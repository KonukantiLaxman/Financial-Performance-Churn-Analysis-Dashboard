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1.xml" ContentType="application/vnd.openxmlformats-officedocument.spreadsheetml.pivotTable+xml"/>
  <Override PartName="/xl/drawings/drawing11.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kl752\OneDrive\Desktop\Bytecode\Data_Analyst_Projects\Financial Performance &amp; Customer Churn Analysis Dashboard\Excel dashboard\"/>
    </mc:Choice>
  </mc:AlternateContent>
  <xr:revisionPtr revIDLastSave="0" documentId="8_{1F001D5E-FAE8-468D-B0F8-695D602A7F4E}" xr6:coauthVersionLast="47" xr6:coauthVersionMax="47" xr10:uidLastSave="{00000000-0000-0000-0000-000000000000}"/>
  <bookViews>
    <workbookView xWindow="-108" yWindow="-108" windowWidth="23256" windowHeight="13176" firstSheet="12" activeTab="13" xr2:uid="{117E8790-EA42-4D9B-8616-090F87B2EC04}"/>
  </bookViews>
  <sheets>
    <sheet name="Churn Rate by Payment Status" sheetId="12" r:id="rId1"/>
    <sheet name="MONTHLY REVENUE TREND" sheetId="13" r:id="rId2"/>
    <sheet name="Churn Rate by Industry" sheetId="16" r:id="rId3"/>
    <sheet name="Churn Rate by Tenure Segment" sheetId="23" r:id="rId4"/>
    <sheet name="Overdue Revenue by Region" sheetId="24" r:id="rId5"/>
    <sheet name="Churn Risk by Subscription Plan" sheetId="25" r:id="rId6"/>
    <sheet name="Industry Profit Margin (%)" sheetId="26" r:id="rId7"/>
    <sheet name="Revenue by Industry" sheetId="29" r:id="rId8"/>
    <sheet name="Profit by Industry" sheetId="30" r:id="rId9"/>
    <sheet name="Profit by Region" sheetId="32" r:id="rId10"/>
    <sheet name="financial_Operations" sheetId="1" r:id="rId11"/>
    <sheet name="Profit by Subscription_plan" sheetId="33" r:id="rId12"/>
    <sheet name="KPI Summary" sheetId="4" r:id="rId13"/>
    <sheet name="REVENUE &amp; PROFITABILITY ANALYSI" sheetId="18" r:id="rId14"/>
    <sheet name="CUSTOMER CHURN ANALYSIS" sheetId="21" r:id="rId15"/>
    <sheet name="RISK ANALYSIS" sheetId="22" r:id="rId16"/>
  </sheets>
  <definedNames>
    <definedName name="Slicer_industry">#N/A</definedName>
    <definedName name="Slicer_payment_status">#N/A</definedName>
    <definedName name="Slicer_region1">#N/A</definedName>
    <definedName name="Slicer_subscription_plan1">#N/A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26" l="1"/>
  <c r="I11" i="26"/>
  <c r="I12" i="26"/>
  <c r="I13" i="26"/>
  <c r="I14" i="26"/>
  <c r="I9" i="26"/>
  <c r="M7" i="23"/>
  <c r="M3" i="1"/>
  <c r="M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R12" i="16"/>
  <c r="F14" i="4"/>
  <c r="I9" i="4"/>
  <c r="G22" i="4"/>
  <c r="E18" i="4"/>
  <c r="I16" i="4"/>
  <c r="F13" i="4"/>
</calcChain>
</file>

<file path=xl/sharedStrings.xml><?xml version="1.0" encoding="utf-8"?>
<sst xmlns="http://schemas.openxmlformats.org/spreadsheetml/2006/main" count="18110" uniqueCount="83">
  <si>
    <t>transaction_id</t>
  </si>
  <si>
    <t>client_id</t>
  </si>
  <si>
    <t>industry</t>
  </si>
  <si>
    <t>region</t>
  </si>
  <si>
    <t>subscription_plan</t>
  </si>
  <si>
    <t>onboarding_date</t>
  </si>
  <si>
    <t>invoice_date</t>
  </si>
  <si>
    <t>revenue_amount</t>
  </si>
  <si>
    <t>service_cost</t>
  </si>
  <si>
    <t>profit</t>
  </si>
  <si>
    <t>payment_status</t>
  </si>
  <si>
    <t>tenure_months</t>
  </si>
  <si>
    <t>last_active_date</t>
  </si>
  <si>
    <t>churn_flag</t>
  </si>
  <si>
    <t>temp_id</t>
  </si>
  <si>
    <t>Profit_margin</t>
  </si>
  <si>
    <t>Outlier Flag</t>
  </si>
  <si>
    <t>Year</t>
  </si>
  <si>
    <t>Month</t>
  </si>
  <si>
    <t>South</t>
  </si>
  <si>
    <t>Basic</t>
  </si>
  <si>
    <t>Overdue</t>
  </si>
  <si>
    <t>Outlier</t>
  </si>
  <si>
    <t>January</t>
  </si>
  <si>
    <t>Education</t>
  </si>
  <si>
    <t>East</t>
  </si>
  <si>
    <t>Premium</t>
  </si>
  <si>
    <t>Normal</t>
  </si>
  <si>
    <t>May</t>
  </si>
  <si>
    <t>North</t>
  </si>
  <si>
    <t>September</t>
  </si>
  <si>
    <t>December</t>
  </si>
  <si>
    <t>April</t>
  </si>
  <si>
    <t>October</t>
  </si>
  <si>
    <t>West</t>
  </si>
  <si>
    <t>Pending</t>
  </si>
  <si>
    <t>August</t>
  </si>
  <si>
    <t>Standard</t>
  </si>
  <si>
    <t>March</t>
  </si>
  <si>
    <t>Retail</t>
  </si>
  <si>
    <t>Healthcare</t>
  </si>
  <si>
    <t>June</t>
  </si>
  <si>
    <t>November</t>
  </si>
  <si>
    <t>February</t>
  </si>
  <si>
    <t>July</t>
  </si>
  <si>
    <t>IT</t>
  </si>
  <si>
    <t>Total Revenue</t>
  </si>
  <si>
    <t>Total Profit</t>
  </si>
  <si>
    <t>Total Customers</t>
  </si>
  <si>
    <t>Churn Rate</t>
  </si>
  <si>
    <t>Sum of revenue_amount</t>
  </si>
  <si>
    <t>Row Labels</t>
  </si>
  <si>
    <t>Grand Total</t>
  </si>
  <si>
    <t>Fipaidnce</t>
  </si>
  <si>
    <t>paid</t>
  </si>
  <si>
    <t>Average of churn_flag</t>
  </si>
  <si>
    <t>2022</t>
  </si>
  <si>
    <t>2023</t>
  </si>
  <si>
    <t>2024</t>
  </si>
  <si>
    <t>Jan</t>
  </si>
  <si>
    <t>Feb</t>
  </si>
  <si>
    <t>Mar</t>
  </si>
  <si>
    <t>Apr</t>
  </si>
  <si>
    <t>Jun</t>
  </si>
  <si>
    <t>Jul</t>
  </si>
  <si>
    <t>Aug</t>
  </si>
  <si>
    <t>Sep</t>
  </si>
  <si>
    <t>Oct</t>
  </si>
  <si>
    <t>Nov</t>
  </si>
  <si>
    <t>Dec</t>
  </si>
  <si>
    <t>Count Loss-Making Customers</t>
  </si>
  <si>
    <t>Revenue From Loss Customers</t>
  </si>
  <si>
    <t>profit_margin</t>
  </si>
  <si>
    <t>% of Customers Generating Negat</t>
  </si>
  <si>
    <t>Overall Churn Rate</t>
  </si>
  <si>
    <t>Tenure_group</t>
  </si>
  <si>
    <t>0-6 Months</t>
  </si>
  <si>
    <t>12+ Months</t>
  </si>
  <si>
    <t>6-12 Months</t>
  </si>
  <si>
    <t>Industry Profit Margin</t>
  </si>
  <si>
    <t>Sum of Industry Profit Margin</t>
  </si>
  <si>
    <t>Sum of profit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</si>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</sst>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9" fontId="0" fillId="0" borderId="0" xfId="0" pivotButton="1" applyNumberFormat="1"/>
    <xf numFmtId="9" fontId="0" fillId="0" borderId="0" xfId="0" applyNumberFormat="1" applyAlignment="1">
      <alignment horizontal="left"/>
    </xf>
    <xf numFmtId="0" fontId="0" fillId="0" borderId="0" xfId="0" applyAlignment="1">
      <alignment horizontal="left" indent="1"/>
    </xf>
    <xf numFmtId="9" fontId="0" fillId="0" borderId="0" xfId="42" applyFont="1"/>
    <xf numFmtId="0" fontId="0" fillId="33" borderId="0" xfId="0" applyFill="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2">
    <dxf>
      <numFmt numFmtId="13" formatCode="0%"/>
    </dxf>
    <dxf>
      <numFmt numFmtId="13" formatCode="0%"/>
    </dxf>
    <dxf>
      <numFmt numFmtId="19" formatCode="dd/mm/yyyy"/>
    </dxf>
    <dxf>
      <numFmt numFmtId="0" formatCode="General"/>
    </dxf>
    <dxf>
      <numFmt numFmtId="19" formatCode="dd/mm/yyyy"/>
    </dxf>
    <dxf>
      <numFmt numFmtId="19" formatCode="dd/mm/yyyy"/>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(1).xlsx]Churn Rate by Payment Status!PivotTable1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800" b="1" i="0" u="none" strike="noStrike" kern="1200" baseline="0">
                <a:solidFill>
                  <a:sysClr val="windowText" lastClr="000000">
                    <a:lumMod val="75000"/>
                    <a:lumOff val="25000"/>
                  </a:sysClr>
                </a:solidFill>
              </a:rPr>
              <a:t>Churn Rate by Payment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'Churn Rate by Payment Status'!$B$3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'Churn Rate by Payment Status'!$A$4:$A$7</c:f>
              <c:strCache>
                <c:ptCount val="3"/>
                <c:pt idx="0">
                  <c:v>Overdue</c:v>
                </c:pt>
                <c:pt idx="1">
                  <c:v>Pending</c:v>
                </c:pt>
                <c:pt idx="2">
                  <c:v>paid</c:v>
                </c:pt>
              </c:strCache>
            </c:strRef>
          </c:cat>
          <c:val>
            <c:numRef>
              <c:f>'Churn Rate by Payment Status'!$B$4:$B$7</c:f>
              <c:numCache>
                <c:formatCode>0%</c:formatCode>
                <c:ptCount val="3"/>
                <c:pt idx="0">
                  <c:v>0.48252688172043012</c:v>
                </c:pt>
                <c:pt idx="1">
                  <c:v>0.48748353096179181</c:v>
                </c:pt>
                <c:pt idx="2">
                  <c:v>0.50100603621730377</c:v>
                </c:pt>
              </c:numCache>
            </c:numRef>
          </c:val>
          <c:extLst>
            <c:ext xmlns:c16="http://schemas.microsoft.com/office/drawing/2014/chart" uri="{C3380CC4-5D6E-409C-BE32-E72D297353CC}">
              <c16:uniqueId val="{00000000-0DE0-49BF-9EF8-BC7FBA964E3B}"/>
            </c:ext>
          </c:extLst>
        </c:ser>
        <c:dLbls>
          <c:showLegendKey val="0"/>
          <c:showVal val="1"/>
          <c:showCatName val="0"/>
          <c:showSerName val="0"/>
          <c:showPercent val="0"/>
          <c:showBubbleSize val="0"/>
        </c:dLbls>
        <c:gapWidth val="65"/>
        <c:shape val="box"/>
        <c:axId val="1221747968"/>
        <c:axId val="1221748448"/>
        <c:axId val="0"/>
      </c:bar3DChart>
      <c:catAx>
        <c:axId val="12217479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1748448"/>
        <c:crosses val="autoZero"/>
        <c:auto val="1"/>
        <c:lblAlgn val="ctr"/>
        <c:lblOffset val="100"/>
        <c:noMultiLvlLbl val="0"/>
      </c:catAx>
      <c:valAx>
        <c:axId val="12217484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2174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(1).xlsx]MONTHLY REVENUE TREND!PivotTable2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'MONTHLY REVENUE TREND'!$A$4:$A$38</c:f>
              <c:multiLvlStrCache>
                <c:ptCount val="31"/>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lvl>
                <c:lvl>
                  <c:pt idx="0">
                    <c:v>2022</c:v>
                  </c:pt>
                  <c:pt idx="11">
                    <c:v>2023</c:v>
                  </c:pt>
                  <c:pt idx="23">
                    <c:v>2024</c:v>
                  </c:pt>
                </c:lvl>
              </c:multiLvlStrCache>
            </c:multiLvlStrRef>
          </c:cat>
          <c:val>
            <c:numRef>
              <c:f>'MONTHLY REVENUE TREND'!$B$4:$B$38</c:f>
              <c:numCache>
                <c:formatCode>General</c:formatCode>
                <c:ptCount val="31"/>
                <c:pt idx="0">
                  <c:v>37413.93</c:v>
                </c:pt>
                <c:pt idx="1">
                  <c:v>129504.71999999997</c:v>
                </c:pt>
                <c:pt idx="2">
                  <c:v>148723.57999999999</c:v>
                </c:pt>
                <c:pt idx="3">
                  <c:v>220263.29999999996</c:v>
                </c:pt>
                <c:pt idx="4">
                  <c:v>342297.01999999996</c:v>
                </c:pt>
                <c:pt idx="5">
                  <c:v>393854.36999999994</c:v>
                </c:pt>
                <c:pt idx="6">
                  <c:v>434466.22999999992</c:v>
                </c:pt>
                <c:pt idx="7">
                  <c:v>509951.87999999989</c:v>
                </c:pt>
                <c:pt idx="8">
                  <c:v>613135.60000000009</c:v>
                </c:pt>
                <c:pt idx="9">
                  <c:v>531456.0199999999</c:v>
                </c:pt>
                <c:pt idx="10">
                  <c:v>675963.74000000022</c:v>
                </c:pt>
                <c:pt idx="11">
                  <c:v>842145.04000000027</c:v>
                </c:pt>
                <c:pt idx="12">
                  <c:v>738003.97000000044</c:v>
                </c:pt>
                <c:pt idx="13">
                  <c:v>715623.39000000025</c:v>
                </c:pt>
                <c:pt idx="14">
                  <c:v>805324.25000000047</c:v>
                </c:pt>
                <c:pt idx="15">
                  <c:v>697584.74000000022</c:v>
                </c:pt>
                <c:pt idx="16">
                  <c:v>799141.83000000031</c:v>
                </c:pt>
                <c:pt idx="17">
                  <c:v>757970.39000000025</c:v>
                </c:pt>
                <c:pt idx="18">
                  <c:v>919576.32000000041</c:v>
                </c:pt>
                <c:pt idx="19">
                  <c:v>653250.1100000001</c:v>
                </c:pt>
                <c:pt idx="20">
                  <c:v>630121.31999999995</c:v>
                </c:pt>
                <c:pt idx="21">
                  <c:v>675218.66999999993</c:v>
                </c:pt>
                <c:pt idx="22">
                  <c:v>564559.94999999995</c:v>
                </c:pt>
                <c:pt idx="23">
                  <c:v>469309.73999999993</c:v>
                </c:pt>
                <c:pt idx="24">
                  <c:v>345042.29999999993</c:v>
                </c:pt>
                <c:pt idx="25">
                  <c:v>332028.15999999992</c:v>
                </c:pt>
                <c:pt idx="26">
                  <c:v>310252.36999999994</c:v>
                </c:pt>
                <c:pt idx="27">
                  <c:v>278496.50999999995</c:v>
                </c:pt>
                <c:pt idx="28">
                  <c:v>214183.58</c:v>
                </c:pt>
                <c:pt idx="29">
                  <c:v>45829.93</c:v>
                </c:pt>
                <c:pt idx="30">
                  <c:v>43277.93</c:v>
                </c:pt>
              </c:numCache>
            </c:numRef>
          </c:val>
          <c:smooth val="0"/>
          <c:extLst>
            <c:ext xmlns:c16="http://schemas.microsoft.com/office/drawing/2014/chart" uri="{C3380CC4-5D6E-409C-BE32-E72D297353CC}">
              <c16:uniqueId val="{00000000-E0FA-44E6-9D06-E6504C252CFF}"/>
            </c:ext>
          </c:extLst>
        </c:ser>
        <c:dLbls>
          <c:dLblPos val="t"/>
          <c:showLegendKey val="0"/>
          <c:showVal val="1"/>
          <c:showCatName val="0"/>
          <c:showSerName val="0"/>
          <c:showPercent val="0"/>
          <c:showBubbleSize val="0"/>
        </c:dLbls>
        <c:marker val="1"/>
        <c:smooth val="0"/>
        <c:axId val="1281832912"/>
        <c:axId val="1281833392"/>
      </c:lineChart>
      <c:catAx>
        <c:axId val="128183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33392"/>
        <c:crosses val="autoZero"/>
        <c:auto val="1"/>
        <c:lblAlgn val="ctr"/>
        <c:lblOffset val="100"/>
        <c:noMultiLvlLbl val="0"/>
      </c:catAx>
      <c:valAx>
        <c:axId val="1281833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3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(1).xlsx]Churn Rate by Industry!PivotTable2</c:name>
    <c:fmtId val="3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800" b="1" i="0" u="none" strike="noStrike" kern="1200" baseline="0">
                <a:solidFill>
                  <a:sysClr val="windowText" lastClr="000000">
                    <a:lumMod val="75000"/>
                    <a:lumOff val="25000"/>
                  </a:sysClr>
                </a:solidFill>
              </a:rPr>
              <a:t>Churn Rate by Industry</a:t>
            </a:r>
            <a:endParaRPr lang="en-US" sz="1800" b="1" i="0" u="none" strike="noStrike" kern="1200" baseline="0">
              <a:solidFill>
                <a:sysClr val="windowText" lastClr="000000">
                  <a:lumMod val="75000"/>
                  <a:lumOff val="2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'Churn Rate by Industry'!$B$3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299-4008-A85E-4AA296D6E30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299-4008-A85E-4AA296D6E30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299-4008-A85E-4AA296D6E30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299-4008-A85E-4AA296D6E30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299-4008-A85E-4AA296D6E30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'Churn Rate by Industry'!$A$4:$A$9</c:f>
              <c:strCache>
                <c:ptCount val="5"/>
                <c:pt idx="0">
                  <c:v>Education</c:v>
                </c:pt>
                <c:pt idx="1">
                  <c:v>Fipaidnce</c:v>
                </c:pt>
                <c:pt idx="2">
                  <c:v>Healthcare</c:v>
                </c:pt>
                <c:pt idx="3">
                  <c:v>IT</c:v>
                </c:pt>
                <c:pt idx="4">
                  <c:v>Retail</c:v>
                </c:pt>
              </c:strCache>
            </c:strRef>
          </c:cat>
          <c:val>
            <c:numRef>
              <c:f>'Churn Rate by Industry'!$B$4:$B$9</c:f>
              <c:numCache>
                <c:formatCode>0%</c:formatCode>
                <c:ptCount val="5"/>
                <c:pt idx="0">
                  <c:v>0.4838709677419355</c:v>
                </c:pt>
                <c:pt idx="1">
                  <c:v>0.48863636363636365</c:v>
                </c:pt>
                <c:pt idx="2">
                  <c:v>0.48551959114139692</c:v>
                </c:pt>
                <c:pt idx="3">
                  <c:v>0.5034129692832765</c:v>
                </c:pt>
                <c:pt idx="4">
                  <c:v>0.50324675324675328</c:v>
                </c:pt>
              </c:numCache>
            </c:numRef>
          </c:val>
          <c:extLst>
            <c:ext xmlns:c16="http://schemas.microsoft.com/office/drawing/2014/chart" uri="{C3380CC4-5D6E-409C-BE32-E72D297353CC}">
              <c16:uniqueId val="{00000000-6C5B-4D0B-8F84-964EFA9C4173}"/>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(1).xlsx]Churn Rate by Tenure Segment!PivotTable1</c:name>
    <c:fmtId val="10"/>
  </c:pivotSource>
  <c:chart>
    <c:title>
      <c:tx>
        <c:rich>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r>
              <a:rPr lang="en-US" sz="1600" b="1" i="0" u="none" strike="noStrike" baseline="0"/>
              <a:t>+'Churn Rate by Tenure Segment'!$R$14</a:t>
            </a:r>
            <a:endParaRPr lang="en-US" sz="1600" b="1"/>
          </a:p>
        </c:rich>
      </c:tx>
      <c:layout>
        <c:manualLayout>
          <c:xMode val="edge"/>
          <c:yMode val="edge"/>
          <c:x val="0.31284011373578302"/>
          <c:y val="2.7777777777777776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5.5555555555555558E-3"/>
              <c:y val="-4.16666666666666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676E-3"/>
              <c:y val="-2.7777777777777821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1111111111111112E-2"/>
              <c:y val="-4.16666666666666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5.5555555555555558E-3"/>
              <c:y val="-4.16666666666666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676E-3"/>
              <c:y val="-2.7777777777777821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1111111111111112E-2"/>
              <c:y val="-4.16666666666666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5.5555555555555558E-3"/>
              <c:y val="-4.16666666666666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676E-3"/>
              <c:y val="-2.7777777777777821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1111111111111112E-2"/>
              <c:y val="-4.166666666666666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'Churn Rate by Tenure Segment'!$B$3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0156-486E-9E86-90681AE190CE}"/>
              </c:ext>
            </c:extLst>
          </c:dPt>
          <c:dPt>
            <c:idx val="1"/>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3-0156-486E-9E86-90681AE190CE}"/>
              </c:ext>
            </c:extLst>
          </c:dPt>
          <c:dPt>
            <c:idx val="2"/>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5-0156-486E-9E86-90681AE190CE}"/>
              </c:ext>
            </c:extLst>
          </c:dPt>
          <c:dLbls>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56-486E-9E86-90681AE190CE}"/>
                </c:ext>
              </c:extLst>
            </c:dLbl>
            <c:dLbl>
              <c:idx val="1"/>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56-486E-9E86-90681AE190CE}"/>
                </c:ext>
              </c:extLst>
            </c:dLbl>
            <c:dLbl>
              <c:idx val="2"/>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56-486E-9E86-90681AE190CE}"/>
                </c:ext>
              </c:extLst>
            </c:dLbl>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'Churn Rate by Tenure Segment'!$A$4:$A$7</c:f>
              <c:strCache>
                <c:ptCount val="3"/>
                <c:pt idx="0">
                  <c:v>6-12 Months</c:v>
                </c:pt>
                <c:pt idx="1">
                  <c:v>0-6 Months</c:v>
                </c:pt>
                <c:pt idx="2">
                  <c:v>12+ Months</c:v>
                </c:pt>
              </c:strCache>
            </c:strRef>
          </c:cat>
          <c:val>
            <c:numRef>
              <c:f>'Churn Rate by Tenure Segment'!$B$4:$B$7</c:f>
              <c:numCache>
                <c:formatCode>0%</c:formatCode>
                <c:ptCount val="3"/>
                <c:pt idx="0">
                  <c:v>0.50024691358024687</c:v>
                </c:pt>
                <c:pt idx="1">
                  <c:v>0.48894348894348894</c:v>
                </c:pt>
                <c:pt idx="2">
                  <c:v>0.41935483870967744</c:v>
                </c:pt>
              </c:numCache>
            </c:numRef>
          </c:val>
          <c:extLst>
            <c:ext xmlns:c16="http://schemas.microsoft.com/office/drawing/2014/chart" uri="{C3380CC4-5D6E-409C-BE32-E72D297353CC}">
              <c16:uniqueId val="{00000006-0156-486E-9E86-90681AE190CE}"/>
            </c:ext>
          </c:extLst>
        </c:ser>
        <c:dLbls>
          <c:showLegendKey val="0"/>
          <c:showVal val="1"/>
          <c:showCatName val="0"/>
          <c:showSerName val="0"/>
          <c:showPercent val="0"/>
          <c:showBubbleSize val="0"/>
        </c:dLbls>
        <c:gapWidth val="65"/>
        <c:shape val="box"/>
        <c:axId val="689468464"/>
        <c:axId val="689469424"/>
        <c:axId val="0"/>
      </c:bar3DChart>
      <c:catAx>
        <c:axId val="6894684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689469424"/>
        <c:crosses val="autoZero"/>
        <c:auto val="1"/>
        <c:lblAlgn val="ctr"/>
        <c:lblOffset val="100"/>
        <c:noMultiLvlLbl val="0"/>
      </c:catAx>
      <c:valAx>
        <c:axId val="6894694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68946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(1).xlsx]Overdue Revenue by 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Overdue Revenue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6666666666666566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5.0925337632079971E-17"/>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944444444444434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'Overdue Revenue by Region'!$B$3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extLst>
              <c:ext xmlns:c16="http://schemas.microsoft.com/office/drawing/2014/chart" uri="{C3380CC4-5D6E-409C-BE32-E72D297353CC}">
                <c16:uniqueId val="{00000002-B4FC-4090-9D1C-1EA4F5B48C4B}"/>
              </c:ext>
            </c:extLst>
          </c:dPt>
          <c:dPt>
            <c:idx val="1"/>
            <c:invertIfNegative val="0"/>
            <c:bubble3D val="0"/>
            <c:extLst>
              <c:ext xmlns:c16="http://schemas.microsoft.com/office/drawing/2014/chart" uri="{C3380CC4-5D6E-409C-BE32-E72D297353CC}">
                <c16:uniqueId val="{00000004-B4FC-4090-9D1C-1EA4F5B48C4B}"/>
              </c:ext>
            </c:extLst>
          </c:dPt>
          <c:dPt>
            <c:idx val="2"/>
            <c:invertIfNegative val="0"/>
            <c:bubble3D val="0"/>
            <c:extLst>
              <c:ext xmlns:c16="http://schemas.microsoft.com/office/drawing/2014/chart" uri="{C3380CC4-5D6E-409C-BE32-E72D297353CC}">
                <c16:uniqueId val="{00000003-B4FC-4090-9D1C-1EA4F5B48C4B}"/>
              </c:ext>
            </c:extLst>
          </c:dPt>
          <c:dPt>
            <c:idx val="3"/>
            <c:invertIfNegative val="0"/>
            <c:bubble3D val="0"/>
            <c:extLst>
              <c:ext xmlns:c16="http://schemas.microsoft.com/office/drawing/2014/chart" uri="{C3380CC4-5D6E-409C-BE32-E72D297353CC}">
                <c16:uniqueId val="{00000005-B4FC-4090-9D1C-1EA4F5B48C4B}"/>
              </c:ext>
            </c:extLst>
          </c:dPt>
          <c:dLbls>
            <c:dLbl>
              <c:idx val="0"/>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FC-4090-9D1C-1EA4F5B48C4B}"/>
                </c:ext>
              </c:extLst>
            </c:dLbl>
            <c:dLbl>
              <c:idx val="1"/>
              <c:layout>
                <c:manualLayout>
                  <c:x val="1.6666666666666566E-2"/>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FC-4090-9D1C-1EA4F5B48C4B}"/>
                </c:ext>
              </c:extLst>
            </c:dLbl>
            <c:dLbl>
              <c:idx val="2"/>
              <c:layout>
                <c:manualLayout>
                  <c:x val="5.0925337632079971E-17"/>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FC-4090-9D1C-1EA4F5B48C4B}"/>
                </c:ext>
              </c:extLst>
            </c:dLbl>
            <c:dLbl>
              <c:idx val="3"/>
              <c:layout>
                <c:manualLayout>
                  <c:x val="1.9444444444444344E-2"/>
                  <c:y val="-5.092592592592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FC-4090-9D1C-1EA4F5B48C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'Overdue Revenue by Region'!$A$4:$A$8</c:f>
              <c:strCache>
                <c:ptCount val="4"/>
                <c:pt idx="0">
                  <c:v>West</c:v>
                </c:pt>
                <c:pt idx="1">
                  <c:v>East</c:v>
                </c:pt>
                <c:pt idx="2">
                  <c:v>South</c:v>
                </c:pt>
                <c:pt idx="3">
                  <c:v>North</c:v>
                </c:pt>
              </c:strCache>
            </c:strRef>
          </c:cat>
          <c:val>
            <c:numRef>
              <c:f>'Overdue Revenue by Region'!$B$4:$B$8</c:f>
              <c:numCache>
                <c:formatCode>General</c:formatCode>
                <c:ptCount val="4"/>
                <c:pt idx="0">
                  <c:v>3897909.9700000086</c:v>
                </c:pt>
                <c:pt idx="1">
                  <c:v>3766251.7400000058</c:v>
                </c:pt>
                <c:pt idx="2">
                  <c:v>3643290.7200000049</c:v>
                </c:pt>
                <c:pt idx="3">
                  <c:v>3566518.4600000079</c:v>
                </c:pt>
              </c:numCache>
            </c:numRef>
          </c:val>
          <c:extLst>
            <c:ext xmlns:c16="http://schemas.microsoft.com/office/drawing/2014/chart" uri="{C3380CC4-5D6E-409C-BE32-E72D297353CC}">
              <c16:uniqueId val="{00000000-B4FC-4090-9D1C-1EA4F5B48C4B}"/>
            </c:ext>
          </c:extLst>
        </c:ser>
        <c:dLbls>
          <c:showLegendKey val="0"/>
          <c:showVal val="1"/>
          <c:showCatName val="0"/>
          <c:showSerName val="0"/>
          <c:showPercent val="0"/>
          <c:showBubbleSize val="0"/>
        </c:dLbls>
        <c:gapWidth val="65"/>
        <c:shape val="box"/>
        <c:axId val="2083284176"/>
        <c:axId val="2083286096"/>
        <c:axId val="0"/>
      </c:bar3DChart>
      <c:catAx>
        <c:axId val="2083284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3286096"/>
        <c:crosses val="autoZero"/>
        <c:auto val="1"/>
        <c:lblAlgn val="ctr"/>
        <c:lblOffset val="100"/>
        <c:noMultiLvlLbl val="0"/>
      </c:catAx>
      <c:valAx>
        <c:axId val="208328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328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(1).xlsx]Churn Risk by Subscription Plan!PivotTable2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Industry Profit Margin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 Risk by Subscription Plan'!$B$3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78C-4251-AADD-0AD1B910099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78C-4251-AADD-0AD1B910099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78C-4251-AADD-0AD1B910099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'Churn Risk by Subscription Plan'!$A$4:$A$7</c:f>
              <c:strCache>
                <c:ptCount val="3"/>
                <c:pt idx="0">
                  <c:v>Basic</c:v>
                </c:pt>
                <c:pt idx="1">
                  <c:v>Premium</c:v>
                </c:pt>
                <c:pt idx="2">
                  <c:v>Standard</c:v>
                </c:pt>
              </c:strCache>
            </c:strRef>
          </c:cat>
          <c:val>
            <c:numRef>
              <c:f>'Churn Risk by Subscription Plan'!$B$4:$B$7</c:f>
              <c:numCache>
                <c:formatCode>0%</c:formatCode>
                <c:ptCount val="3"/>
                <c:pt idx="0">
                  <c:v>0.49851924975320827</c:v>
                </c:pt>
                <c:pt idx="1">
                  <c:v>0.48860257680872149</c:v>
                </c:pt>
                <c:pt idx="2">
                  <c:v>0.49176954732510286</c:v>
                </c:pt>
              </c:numCache>
            </c:numRef>
          </c:val>
          <c:extLst>
            <c:ext xmlns:c16="http://schemas.microsoft.com/office/drawing/2014/chart" uri="{C3380CC4-5D6E-409C-BE32-E72D297353CC}">
              <c16:uniqueId val="{00000000-244C-48F3-AFEA-C76F9D95F8BA}"/>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(1).xlsx]Industry Profit Margin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Industry Profit Margin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'Industry Profit Margin (%)'!$B$3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 Profit Margin (%)'!$A$4:$A$9</c:f>
              <c:strCache>
                <c:ptCount val="5"/>
                <c:pt idx="0">
                  <c:v>Retail</c:v>
                </c:pt>
                <c:pt idx="1">
                  <c:v>Fipaidnce</c:v>
                </c:pt>
                <c:pt idx="2">
                  <c:v>Education</c:v>
                </c:pt>
                <c:pt idx="3">
                  <c:v>IT</c:v>
                </c:pt>
                <c:pt idx="4">
                  <c:v>Healthcare</c:v>
                </c:pt>
              </c:strCache>
            </c:strRef>
          </c:cat>
          <c:val>
            <c:numRef>
              <c:f>'Industry Profit Margin (%)'!$B$4:$B$9</c:f>
              <c:numCache>
                <c:formatCode>0%</c:formatCode>
                <c:ptCount val="5"/>
                <c:pt idx="0">
                  <c:v>0.15766586644244895</c:v>
                </c:pt>
                <c:pt idx="1">
                  <c:v>0.12708303728433104</c:v>
                </c:pt>
                <c:pt idx="2">
                  <c:v>0.10742928664572265</c:v>
                </c:pt>
                <c:pt idx="3">
                  <c:v>0.10382565743121491</c:v>
                </c:pt>
                <c:pt idx="4">
                  <c:v>8.0821128093579025E-2</c:v>
                </c:pt>
              </c:numCache>
            </c:numRef>
          </c:val>
          <c:extLst>
            <c:ext xmlns:c16="http://schemas.microsoft.com/office/drawing/2014/chart" uri="{C3380CC4-5D6E-409C-BE32-E72D297353CC}">
              <c16:uniqueId val="{00000000-7D2B-430B-BCF9-DB06362387D4}"/>
            </c:ext>
          </c:extLst>
        </c:ser>
        <c:dLbls>
          <c:showLegendKey val="0"/>
          <c:showVal val="1"/>
          <c:showCatName val="0"/>
          <c:showSerName val="0"/>
          <c:showPercent val="0"/>
          <c:showBubbleSize val="0"/>
        </c:dLbls>
        <c:gapWidth val="150"/>
        <c:shape val="box"/>
        <c:axId val="739673839"/>
        <c:axId val="739674319"/>
        <c:axId val="0"/>
      </c:bar3DChart>
      <c:catAx>
        <c:axId val="739673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674319"/>
        <c:crosses val="autoZero"/>
        <c:auto val="1"/>
        <c:lblAlgn val="ctr"/>
        <c:lblOffset val="100"/>
        <c:noMultiLvlLbl val="0"/>
      </c:catAx>
      <c:valAx>
        <c:axId val="7396743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67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(1).xlsx]Revenue by Industry!PivotTable1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Industry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83333333333334E-2"/>
          <c:y val="0.22666375036453776"/>
          <c:w val="0.81388888888888888"/>
          <c:h val="0.66745953630796151"/>
        </c:manualLayout>
      </c:layout>
      <c:pie3DChart>
        <c:varyColors val="1"/>
        <c:ser>
          <c:idx val="0"/>
          <c:order val="0"/>
          <c:tx>
            <c:strRef>
              <c:f>'Revenue by Industry'!$B$3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4BC-4FB7-A60B-32F029A9BF0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4BC-4FB7-A60B-32F029A9BF0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4BC-4FB7-A60B-32F029A9BF0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4BC-4FB7-A60B-32F029A9BF0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4BC-4FB7-A60B-32F029A9BF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Industry'!$A$4:$A$9</c:f>
              <c:strCache>
                <c:ptCount val="5"/>
                <c:pt idx="0">
                  <c:v>Retail</c:v>
                </c:pt>
                <c:pt idx="1">
                  <c:v>Fipaidnce</c:v>
                </c:pt>
                <c:pt idx="2">
                  <c:v>Healthcare</c:v>
                </c:pt>
                <c:pt idx="3">
                  <c:v>Education</c:v>
                </c:pt>
                <c:pt idx="4">
                  <c:v>IT</c:v>
                </c:pt>
              </c:strCache>
            </c:strRef>
          </c:cat>
          <c:val>
            <c:numRef>
              <c:f>'Revenue by Industry'!$B$4:$B$9</c:f>
              <c:numCache>
                <c:formatCode>0%</c:formatCode>
                <c:ptCount val="5"/>
                <c:pt idx="0">
                  <c:v>0.21041273128375743</c:v>
                </c:pt>
                <c:pt idx="1">
                  <c:v>0.20842207860472692</c:v>
                </c:pt>
                <c:pt idx="2">
                  <c:v>0.19772772595496191</c:v>
                </c:pt>
                <c:pt idx="3">
                  <c:v>0.19262696298042836</c:v>
                </c:pt>
                <c:pt idx="4">
                  <c:v>0.1908105011761253</c:v>
                </c:pt>
              </c:numCache>
            </c:numRef>
          </c:val>
          <c:extLst>
            <c:ext xmlns:c16="http://schemas.microsoft.com/office/drawing/2014/chart" uri="{C3380CC4-5D6E-409C-BE32-E72D297353CC}">
              <c16:uniqueId val="{00000000-1379-48F7-9B49-92CE848A274C}"/>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(1).xlsx]Profit by Industry!PivotTable2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by Industry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24759405074368"/>
          <c:y val="0.17171296296296298"/>
          <c:w val="0.85219685039370074"/>
          <c:h val="0.72088764946048411"/>
        </c:manualLayout>
      </c:layout>
      <c:bar3DChart>
        <c:barDir val="col"/>
        <c:grouping val="clustered"/>
        <c:varyColors val="0"/>
        <c:ser>
          <c:idx val="0"/>
          <c:order val="0"/>
          <c:tx>
            <c:strRef>
              <c:f>'Profit by Industry'!$B$3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Industry'!$A$4:$A$9</c:f>
              <c:strCache>
                <c:ptCount val="5"/>
                <c:pt idx="0">
                  <c:v>Retail</c:v>
                </c:pt>
                <c:pt idx="1">
                  <c:v>Fipaidnce</c:v>
                </c:pt>
                <c:pt idx="2">
                  <c:v>Education</c:v>
                </c:pt>
                <c:pt idx="3">
                  <c:v>IT</c:v>
                </c:pt>
                <c:pt idx="4">
                  <c:v>Healthcare</c:v>
                </c:pt>
              </c:strCache>
            </c:strRef>
          </c:cat>
          <c:val>
            <c:numRef>
              <c:f>'Profit by Industry'!$B$4:$B$9</c:f>
              <c:numCache>
                <c:formatCode>General</c:formatCode>
                <c:ptCount val="5"/>
                <c:pt idx="0">
                  <c:v>493442.58000000042</c:v>
                </c:pt>
                <c:pt idx="1">
                  <c:v>393965.54000000021</c:v>
                </c:pt>
                <c:pt idx="2">
                  <c:v>307798.64000000036</c:v>
                </c:pt>
                <c:pt idx="3">
                  <c:v>294668.62000000029</c:v>
                </c:pt>
                <c:pt idx="4">
                  <c:v>237694.6500000002</c:v>
                </c:pt>
              </c:numCache>
            </c:numRef>
          </c:val>
          <c:extLst>
            <c:ext xmlns:c16="http://schemas.microsoft.com/office/drawing/2014/chart" uri="{C3380CC4-5D6E-409C-BE32-E72D297353CC}">
              <c16:uniqueId val="{00000000-788B-407C-ABF7-63C4270A7691}"/>
            </c:ext>
          </c:extLst>
        </c:ser>
        <c:dLbls>
          <c:showLegendKey val="0"/>
          <c:showVal val="1"/>
          <c:showCatName val="0"/>
          <c:showSerName val="0"/>
          <c:showPercent val="0"/>
          <c:showBubbleSize val="0"/>
        </c:dLbls>
        <c:gapWidth val="65"/>
        <c:shape val="box"/>
        <c:axId val="1402335040"/>
        <c:axId val="1402336000"/>
        <c:axId val="0"/>
      </c:bar3DChart>
      <c:catAx>
        <c:axId val="14023350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2336000"/>
        <c:crosses val="autoZero"/>
        <c:auto val="1"/>
        <c:lblAlgn val="ctr"/>
        <c:lblOffset val="100"/>
        <c:noMultiLvlLbl val="0"/>
      </c:catAx>
      <c:valAx>
        <c:axId val="140233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0233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(1).xlsx]Profit by Region!PivotTable1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800" b="1" i="0" u="none" strike="noStrike" kern="1200" baseline="0">
                <a:solidFill>
                  <a:sysClr val="windowText" lastClr="000000">
                    <a:lumMod val="75000"/>
                    <a:lumOff val="25000"/>
                  </a:sysClr>
                </a:solidFill>
              </a:rPr>
              <a:t>Profit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by Region'!$B$3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Region'!$A$4:$A$8</c:f>
              <c:strCache>
                <c:ptCount val="4"/>
                <c:pt idx="0">
                  <c:v>West</c:v>
                </c:pt>
                <c:pt idx="1">
                  <c:v>East</c:v>
                </c:pt>
                <c:pt idx="2">
                  <c:v>South</c:v>
                </c:pt>
                <c:pt idx="3">
                  <c:v>North</c:v>
                </c:pt>
              </c:strCache>
            </c:strRef>
          </c:cat>
          <c:val>
            <c:numRef>
              <c:f>'Profit by Region'!$B$4:$B$8</c:f>
              <c:numCache>
                <c:formatCode>General</c:formatCode>
                <c:ptCount val="4"/>
                <c:pt idx="0">
                  <c:v>566539.71000000043</c:v>
                </c:pt>
                <c:pt idx="1">
                  <c:v>491288.75000000047</c:v>
                </c:pt>
                <c:pt idx="2">
                  <c:v>351254.81000000029</c:v>
                </c:pt>
                <c:pt idx="3">
                  <c:v>318486.76000000036</c:v>
                </c:pt>
              </c:numCache>
            </c:numRef>
          </c:val>
          <c:extLst>
            <c:ext xmlns:c16="http://schemas.microsoft.com/office/drawing/2014/chart" uri="{C3380CC4-5D6E-409C-BE32-E72D297353CC}">
              <c16:uniqueId val="{00000000-80DC-4A66-A6FB-C2DEA64064D8}"/>
            </c:ext>
          </c:extLst>
        </c:ser>
        <c:dLbls>
          <c:showLegendKey val="0"/>
          <c:showVal val="1"/>
          <c:showCatName val="0"/>
          <c:showSerName val="0"/>
          <c:showPercent val="0"/>
          <c:showBubbleSize val="0"/>
        </c:dLbls>
        <c:gapWidth val="65"/>
        <c:shape val="box"/>
        <c:axId val="41635423"/>
        <c:axId val="1615858383"/>
        <c:axId val="0"/>
      </c:bar3DChart>
      <c:catAx>
        <c:axId val="416354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5858383"/>
        <c:crosses val="autoZero"/>
        <c:auto val="1"/>
        <c:lblAlgn val="ctr"/>
        <c:lblOffset val="100"/>
        <c:noMultiLvlLbl val="0"/>
      </c:catAx>
      <c:valAx>
        <c:axId val="1615858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63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[financial_Operations (1).xlsx]Profit by Subscription_plan!PivotTable2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Subscription</a:t>
            </a:r>
            <a:r>
              <a:rPr lang="en-US" baseline="0"/>
              <a:t> Plan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Subscription_plan'!$B$3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Subscription_plan'!$A$4:$A$7</c:f>
              <c:strCache>
                <c:ptCount val="3"/>
                <c:pt idx="0">
                  <c:v>Basic</c:v>
                </c:pt>
                <c:pt idx="1">
                  <c:v>Premium</c:v>
                </c:pt>
                <c:pt idx="2">
                  <c:v>Standard</c:v>
                </c:pt>
              </c:strCache>
            </c:strRef>
          </c:cat>
          <c:val>
            <c:numRef>
              <c:f>'Profit by Subscription_plan'!$B$4:$B$7</c:f>
              <c:numCache>
                <c:formatCode>General</c:formatCode>
                <c:ptCount val="3"/>
                <c:pt idx="0">
                  <c:v>649639.03000000049</c:v>
                </c:pt>
                <c:pt idx="1">
                  <c:v>537715.94000000064</c:v>
                </c:pt>
                <c:pt idx="2">
                  <c:v>540215.06000000064</c:v>
                </c:pt>
              </c:numCache>
            </c:numRef>
          </c:val>
          <c:extLst>
            <c:ext xmlns:c16="http://schemas.microsoft.com/office/drawing/2014/chart" uri="{C3380CC4-5D6E-409C-BE32-E72D297353CC}">
              <c16:uniqueId val="{00000000-3486-469A-9A39-E47908486729}"/>
            </c:ext>
          </c:extLst>
        </c:ser>
        <c:dLbls>
          <c:showLegendKey val="0"/>
          <c:showVal val="1"/>
          <c:showCatName val="0"/>
          <c:showSerName val="0"/>
          <c:showPercent val="0"/>
          <c:showBubbleSize val="0"/>
        </c:dLbls>
        <c:gapWidth val="65"/>
        <c:shape val="box"/>
        <c:axId val="74198095"/>
        <c:axId val="74198575"/>
        <c:axId val="0"/>
      </c:bar3DChart>
      <c:catAx>
        <c:axId val="74198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198575"/>
        <c:crosses val="autoZero"/>
        <c:auto val="1"/>
        <c:lblAlgn val="ctr"/>
        <c:lblOffset val="100"/>
        <c:noMultiLvlLbl val="0"/>
      </c:catAx>
      <c:valAx>
        <c:axId val="7419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1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(1).xlsx]Revenue by Industry!PivotTable1</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Industry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'Revenue by Industry'!$B$3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C06-458B-A886-C2B545D3965D}"/>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C06-458B-A886-C2B545D3965D}"/>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C06-458B-A886-C2B545D3965D}"/>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C06-458B-A886-C2B545D3965D}"/>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C06-458B-A886-C2B545D3965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Industry'!$A$4:$A$9</c:f>
              <c:strCache>
                <c:ptCount val="5"/>
                <c:pt idx="0">
                  <c:v>Retail</c:v>
                </c:pt>
                <c:pt idx="1">
                  <c:v>Fipaidnce</c:v>
                </c:pt>
                <c:pt idx="2">
                  <c:v>Healthcare</c:v>
                </c:pt>
                <c:pt idx="3">
                  <c:v>Education</c:v>
                </c:pt>
                <c:pt idx="4">
                  <c:v>IT</c:v>
                </c:pt>
              </c:strCache>
            </c:strRef>
          </c:cat>
          <c:val>
            <c:numRef>
              <c:f>'Revenue by Industry'!$B$4:$B$9</c:f>
              <c:numCache>
                <c:formatCode>0%</c:formatCode>
                <c:ptCount val="5"/>
                <c:pt idx="0">
                  <c:v>0.21041273128375743</c:v>
                </c:pt>
                <c:pt idx="1">
                  <c:v>0.20842207860472692</c:v>
                </c:pt>
                <c:pt idx="2">
                  <c:v>0.19772772595496191</c:v>
                </c:pt>
                <c:pt idx="3">
                  <c:v>0.19262696298042836</c:v>
                </c:pt>
                <c:pt idx="4">
                  <c:v>0.1908105011761253</c:v>
                </c:pt>
              </c:numCache>
            </c:numRef>
          </c:val>
          <c:extLst>
            <c:ext xmlns:c16="http://schemas.microsoft.com/office/drawing/2014/chart" uri="{C3380CC4-5D6E-409C-BE32-E72D297353CC}">
              <c16:uniqueId val="{0000000A-DC06-458B-A886-C2B545D3965D}"/>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(1).xlsx]Profit by Industry!PivotTable2</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Industry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Industry'!$B$3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Industry'!$A$4:$A$9</c:f>
              <c:strCache>
                <c:ptCount val="5"/>
                <c:pt idx="0">
                  <c:v>Retail</c:v>
                </c:pt>
                <c:pt idx="1">
                  <c:v>Fipaidnce</c:v>
                </c:pt>
                <c:pt idx="2">
                  <c:v>Education</c:v>
                </c:pt>
                <c:pt idx="3">
                  <c:v>IT</c:v>
                </c:pt>
                <c:pt idx="4">
                  <c:v>Healthcare</c:v>
                </c:pt>
              </c:strCache>
            </c:strRef>
          </c:cat>
          <c:val>
            <c:numRef>
              <c:f>'Profit by Industry'!$B$4:$B$9</c:f>
              <c:numCache>
                <c:formatCode>General</c:formatCode>
                <c:ptCount val="5"/>
                <c:pt idx="0">
                  <c:v>493442.58000000042</c:v>
                </c:pt>
                <c:pt idx="1">
                  <c:v>393965.54000000021</c:v>
                </c:pt>
                <c:pt idx="2">
                  <c:v>307798.64000000036</c:v>
                </c:pt>
                <c:pt idx="3">
                  <c:v>294668.62000000029</c:v>
                </c:pt>
                <c:pt idx="4">
                  <c:v>237694.6500000002</c:v>
                </c:pt>
              </c:numCache>
            </c:numRef>
          </c:val>
          <c:extLst>
            <c:ext xmlns:c16="http://schemas.microsoft.com/office/drawing/2014/chart" uri="{C3380CC4-5D6E-409C-BE32-E72D297353CC}">
              <c16:uniqueId val="{00000000-A02F-444D-B612-1ED7151B5866}"/>
            </c:ext>
          </c:extLst>
        </c:ser>
        <c:dLbls>
          <c:showLegendKey val="0"/>
          <c:showVal val="1"/>
          <c:showCatName val="0"/>
          <c:showSerName val="0"/>
          <c:showPercent val="0"/>
          <c:showBubbleSize val="0"/>
        </c:dLbls>
        <c:gapWidth val="65"/>
        <c:shape val="box"/>
        <c:axId val="1402335040"/>
        <c:axId val="1402336000"/>
        <c:axId val="0"/>
      </c:bar3DChart>
      <c:catAx>
        <c:axId val="14023350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2336000"/>
        <c:crosses val="autoZero"/>
        <c:auto val="1"/>
        <c:lblAlgn val="ctr"/>
        <c:lblOffset val="100"/>
        <c:noMultiLvlLbl val="0"/>
      </c:catAx>
      <c:valAx>
        <c:axId val="140233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0233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(1).xlsx]Profit by Region!PivotTable1</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800" b="1" i="0" u="none" strike="noStrike" kern="1200" baseline="0">
                <a:solidFill>
                  <a:sysClr val="windowText" lastClr="000000">
                    <a:lumMod val="75000"/>
                    <a:lumOff val="25000"/>
                  </a:sysClr>
                </a:solidFill>
              </a:rPr>
              <a:t>Profit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by Region'!$B$3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Region'!$A$4:$A$8</c:f>
              <c:strCache>
                <c:ptCount val="4"/>
                <c:pt idx="0">
                  <c:v>West</c:v>
                </c:pt>
                <c:pt idx="1">
                  <c:v>East</c:v>
                </c:pt>
                <c:pt idx="2">
                  <c:v>South</c:v>
                </c:pt>
                <c:pt idx="3">
                  <c:v>North</c:v>
                </c:pt>
              </c:strCache>
            </c:strRef>
          </c:cat>
          <c:val>
            <c:numRef>
              <c:f>'Profit by Region'!$B$4:$B$8</c:f>
              <c:numCache>
                <c:formatCode>General</c:formatCode>
                <c:ptCount val="4"/>
                <c:pt idx="0">
                  <c:v>566539.71000000043</c:v>
                </c:pt>
                <c:pt idx="1">
                  <c:v>491288.75000000047</c:v>
                </c:pt>
                <c:pt idx="2">
                  <c:v>351254.81000000029</c:v>
                </c:pt>
                <c:pt idx="3">
                  <c:v>318486.76000000036</c:v>
                </c:pt>
              </c:numCache>
            </c:numRef>
          </c:val>
          <c:extLst>
            <c:ext xmlns:c16="http://schemas.microsoft.com/office/drawing/2014/chart" uri="{C3380CC4-5D6E-409C-BE32-E72D297353CC}">
              <c16:uniqueId val="{00000000-961A-4D0D-8384-FAB7B5FAB751}"/>
            </c:ext>
          </c:extLst>
        </c:ser>
        <c:dLbls>
          <c:showLegendKey val="0"/>
          <c:showVal val="1"/>
          <c:showCatName val="0"/>
          <c:showSerName val="0"/>
          <c:showPercent val="0"/>
          <c:showBubbleSize val="0"/>
        </c:dLbls>
        <c:gapWidth val="65"/>
        <c:shape val="box"/>
        <c:axId val="41635423"/>
        <c:axId val="1615858383"/>
        <c:axId val="0"/>
      </c:bar3DChart>
      <c:catAx>
        <c:axId val="416354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15858383"/>
        <c:crosses val="autoZero"/>
        <c:auto val="1"/>
        <c:lblAlgn val="ctr"/>
        <c:lblOffset val="100"/>
        <c:noMultiLvlLbl val="0"/>
      </c:catAx>
      <c:valAx>
        <c:axId val="1615858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163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(1).xlsx]Profit by Subscription_plan!PivotTable2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Subscription</a:t>
            </a:r>
            <a:r>
              <a:rPr lang="en-US" baseline="0"/>
              <a:t> Plan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Subscription_plan'!$B$3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by Subscription_plan'!$A$4:$A$7</c:f>
              <c:strCache>
                <c:ptCount val="3"/>
                <c:pt idx="0">
                  <c:v>Basic</c:v>
                </c:pt>
                <c:pt idx="1">
                  <c:v>Premium</c:v>
                </c:pt>
                <c:pt idx="2">
                  <c:v>Standard</c:v>
                </c:pt>
              </c:strCache>
            </c:strRef>
          </c:cat>
          <c:val>
            <c:numRef>
              <c:f>'Profit by Subscription_plan'!$B$4:$B$7</c:f>
              <c:numCache>
                <c:formatCode>General</c:formatCode>
                <c:ptCount val="3"/>
                <c:pt idx="0">
                  <c:v>649639.03000000049</c:v>
                </c:pt>
                <c:pt idx="1">
                  <c:v>537715.94000000064</c:v>
                </c:pt>
                <c:pt idx="2">
                  <c:v>540215.06000000064</c:v>
                </c:pt>
              </c:numCache>
            </c:numRef>
          </c:val>
          <c:extLst>
            <c:ext xmlns:c16="http://schemas.microsoft.com/office/drawing/2014/chart" uri="{C3380CC4-5D6E-409C-BE32-E72D297353CC}">
              <c16:uniqueId val="{00000000-7A3C-44A8-AC8F-4C5B88365512}"/>
            </c:ext>
          </c:extLst>
        </c:ser>
        <c:dLbls>
          <c:showLegendKey val="0"/>
          <c:showVal val="1"/>
          <c:showCatName val="0"/>
          <c:showSerName val="0"/>
          <c:showPercent val="0"/>
          <c:showBubbleSize val="0"/>
        </c:dLbls>
        <c:gapWidth val="65"/>
        <c:shape val="box"/>
        <c:axId val="74198095"/>
        <c:axId val="74198575"/>
        <c:axId val="0"/>
      </c:bar3DChart>
      <c:catAx>
        <c:axId val="74198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198575"/>
        <c:crosses val="autoZero"/>
        <c:auto val="1"/>
        <c:lblAlgn val="ctr"/>
        <c:lblOffset val="100"/>
        <c:noMultiLvlLbl val="0"/>
      </c:catAx>
      <c:valAx>
        <c:axId val="74198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19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(1).xlsx]MONTHLY REVENUE TREND!PivotTable2</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Churn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896646688889906E-2"/>
          <c:y val="0.14991085489313835"/>
          <c:w val="0.97061442049460112"/>
          <c:h val="0.63696034870641172"/>
        </c:manualLayout>
      </c:layout>
      <c:lineChart>
        <c:grouping val="standard"/>
        <c:varyColors val="0"/>
        <c:ser>
          <c:idx val="0"/>
          <c:order val="0"/>
          <c:tx>
            <c:strRef>
              <c:f>'MONTHLY REVENUE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'MONTHLY REVENUE TREND'!$A$4:$A$38</c:f>
              <c:multiLvlStrCache>
                <c:ptCount val="31"/>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lvl>
                <c:lvl>
                  <c:pt idx="0">
                    <c:v>2022</c:v>
                  </c:pt>
                  <c:pt idx="11">
                    <c:v>2023</c:v>
                  </c:pt>
                  <c:pt idx="23">
                    <c:v>2024</c:v>
                  </c:pt>
                </c:lvl>
              </c:multiLvlStrCache>
            </c:multiLvlStrRef>
          </c:cat>
          <c:val>
            <c:numRef>
              <c:f>'MONTHLY REVENUE TREND'!$B$4:$B$38</c:f>
              <c:numCache>
                <c:formatCode>General</c:formatCode>
                <c:ptCount val="31"/>
                <c:pt idx="0">
                  <c:v>37413.93</c:v>
                </c:pt>
                <c:pt idx="1">
                  <c:v>129504.71999999997</c:v>
                </c:pt>
                <c:pt idx="2">
                  <c:v>148723.57999999999</c:v>
                </c:pt>
                <c:pt idx="3">
                  <c:v>220263.29999999996</c:v>
                </c:pt>
                <c:pt idx="4">
                  <c:v>342297.01999999996</c:v>
                </c:pt>
                <c:pt idx="5">
                  <c:v>393854.36999999994</c:v>
                </c:pt>
                <c:pt idx="6">
                  <c:v>434466.22999999992</c:v>
                </c:pt>
                <c:pt idx="7">
                  <c:v>509951.87999999989</c:v>
                </c:pt>
                <c:pt idx="8">
                  <c:v>613135.60000000009</c:v>
                </c:pt>
                <c:pt idx="9">
                  <c:v>531456.0199999999</c:v>
                </c:pt>
                <c:pt idx="10">
                  <c:v>675963.74000000022</c:v>
                </c:pt>
                <c:pt idx="11">
                  <c:v>842145.04000000027</c:v>
                </c:pt>
                <c:pt idx="12">
                  <c:v>738003.97000000044</c:v>
                </c:pt>
                <c:pt idx="13">
                  <c:v>715623.39000000025</c:v>
                </c:pt>
                <c:pt idx="14">
                  <c:v>805324.25000000047</c:v>
                </c:pt>
                <c:pt idx="15">
                  <c:v>697584.74000000022</c:v>
                </c:pt>
                <c:pt idx="16">
                  <c:v>799141.83000000031</c:v>
                </c:pt>
                <c:pt idx="17">
                  <c:v>757970.39000000025</c:v>
                </c:pt>
                <c:pt idx="18">
                  <c:v>919576.32000000041</c:v>
                </c:pt>
                <c:pt idx="19">
                  <c:v>653250.1100000001</c:v>
                </c:pt>
                <c:pt idx="20">
                  <c:v>630121.31999999995</c:v>
                </c:pt>
                <c:pt idx="21">
                  <c:v>675218.66999999993</c:v>
                </c:pt>
                <c:pt idx="22">
                  <c:v>564559.94999999995</c:v>
                </c:pt>
                <c:pt idx="23">
                  <c:v>469309.73999999993</c:v>
                </c:pt>
                <c:pt idx="24">
                  <c:v>345042.29999999993</c:v>
                </c:pt>
                <c:pt idx="25">
                  <c:v>332028.15999999992</c:v>
                </c:pt>
                <c:pt idx="26">
                  <c:v>310252.36999999994</c:v>
                </c:pt>
                <c:pt idx="27">
                  <c:v>278496.50999999995</c:v>
                </c:pt>
                <c:pt idx="28">
                  <c:v>214183.58</c:v>
                </c:pt>
                <c:pt idx="29">
                  <c:v>45829.93</c:v>
                </c:pt>
                <c:pt idx="30">
                  <c:v>43277.93</c:v>
                </c:pt>
              </c:numCache>
            </c:numRef>
          </c:val>
          <c:smooth val="0"/>
          <c:extLst>
            <c:ext xmlns:c16="http://schemas.microsoft.com/office/drawing/2014/chart" uri="{C3380CC4-5D6E-409C-BE32-E72D297353CC}">
              <c16:uniqueId val="{00000000-943E-40EC-85EE-7508F9AEC27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81832912"/>
        <c:axId val="1281833392"/>
      </c:lineChart>
      <c:catAx>
        <c:axId val="128183291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81833392"/>
        <c:crosses val="autoZero"/>
        <c:auto val="1"/>
        <c:lblAlgn val="ctr"/>
        <c:lblOffset val="100"/>
        <c:noMultiLvlLbl val="0"/>
      </c:catAx>
      <c:valAx>
        <c:axId val="1281833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1832912"/>
        <c:crosses val="autoZero"/>
        <c:crossBetween val="between"/>
      </c:valAx>
      <c:spPr>
        <a:noFill/>
        <a:ln>
          <a:solidFill>
            <a:srgbClr val="0070C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(1).xlsx]Churn Rate by Industry!PivotTable2</c:name>
    <c:fmtId val="4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800" b="1" i="0" u="none" strike="noStrike" kern="1200" baseline="0">
                <a:solidFill>
                  <a:sysClr val="windowText" lastClr="000000">
                    <a:lumMod val="75000"/>
                    <a:lumOff val="25000"/>
                  </a:sysClr>
                </a:solidFill>
              </a:rPr>
              <a:t>Churn Rate by Industry</a:t>
            </a:r>
            <a:endParaRPr lang="en-US" sz="1800" b="1" i="0" u="none" strike="noStrike" kern="1200" baseline="0">
              <a:solidFill>
                <a:sysClr val="windowText" lastClr="000000">
                  <a:lumMod val="75000"/>
                  <a:lumOff val="2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'Churn Rate by Industry'!$B$3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9C-4AB0-9D81-2AA313CE706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9C-4AB0-9D81-2AA313CE706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19C-4AB0-9D81-2AA313CE706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19C-4AB0-9D81-2AA313CE7068}"/>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19C-4AB0-9D81-2AA313CE706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'Churn Rate by Industry'!$A$4:$A$9</c:f>
              <c:strCache>
                <c:ptCount val="5"/>
                <c:pt idx="0">
                  <c:v>Education</c:v>
                </c:pt>
                <c:pt idx="1">
                  <c:v>Fipaidnce</c:v>
                </c:pt>
                <c:pt idx="2">
                  <c:v>Healthcare</c:v>
                </c:pt>
                <c:pt idx="3">
                  <c:v>IT</c:v>
                </c:pt>
                <c:pt idx="4">
                  <c:v>Retail</c:v>
                </c:pt>
              </c:strCache>
            </c:strRef>
          </c:cat>
          <c:val>
            <c:numRef>
              <c:f>'Churn Rate by Industry'!$B$4:$B$9</c:f>
              <c:numCache>
                <c:formatCode>0%</c:formatCode>
                <c:ptCount val="5"/>
                <c:pt idx="0">
                  <c:v>0.4838709677419355</c:v>
                </c:pt>
                <c:pt idx="1">
                  <c:v>0.48863636363636365</c:v>
                </c:pt>
                <c:pt idx="2">
                  <c:v>0.48551959114139692</c:v>
                </c:pt>
                <c:pt idx="3">
                  <c:v>0.5034129692832765</c:v>
                </c:pt>
                <c:pt idx="4">
                  <c:v>0.50324675324675328</c:v>
                </c:pt>
              </c:numCache>
            </c:numRef>
          </c:val>
          <c:extLst>
            <c:ext xmlns:c16="http://schemas.microsoft.com/office/drawing/2014/chart" uri="{C3380CC4-5D6E-409C-BE32-E72D297353CC}">
              <c16:uniqueId val="{0000000A-219C-4AB0-9D81-2AA313CE706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(1).xlsx]Churn Rate by Payment Status!PivotTable1</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sz="1800" b="1" i="0" u="none" strike="noStrike" kern="1200" baseline="0">
                <a:solidFill>
                  <a:sysClr val="windowText" lastClr="000000">
                    <a:lumMod val="75000"/>
                    <a:lumOff val="25000"/>
                  </a:sysClr>
                </a:solidFill>
              </a:rPr>
              <a:t>Churn Rate by Payment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'Churn Rate by Payment Status'!$B$3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'Churn Rate by Payment Status'!$A$4:$A$7</c:f>
              <c:strCache>
                <c:ptCount val="3"/>
                <c:pt idx="0">
                  <c:v>Overdue</c:v>
                </c:pt>
                <c:pt idx="1">
                  <c:v>Pending</c:v>
                </c:pt>
                <c:pt idx="2">
                  <c:v>paid</c:v>
                </c:pt>
              </c:strCache>
            </c:strRef>
          </c:cat>
          <c:val>
            <c:numRef>
              <c:f>'Churn Rate by Payment Status'!$B$4:$B$7</c:f>
              <c:numCache>
                <c:formatCode>0%</c:formatCode>
                <c:ptCount val="3"/>
                <c:pt idx="0">
                  <c:v>0.48252688172043012</c:v>
                </c:pt>
                <c:pt idx="1">
                  <c:v>0.48748353096179181</c:v>
                </c:pt>
                <c:pt idx="2">
                  <c:v>0.50100603621730377</c:v>
                </c:pt>
              </c:numCache>
            </c:numRef>
          </c:val>
          <c:extLst>
            <c:ext xmlns:c16="http://schemas.microsoft.com/office/drawing/2014/chart" uri="{C3380CC4-5D6E-409C-BE32-E72D297353CC}">
              <c16:uniqueId val="{00000000-C340-47FC-AC7B-AAD0843B1639}"/>
            </c:ext>
          </c:extLst>
        </c:ser>
        <c:dLbls>
          <c:showLegendKey val="0"/>
          <c:showVal val="1"/>
          <c:showCatName val="0"/>
          <c:showSerName val="0"/>
          <c:showPercent val="0"/>
          <c:showBubbleSize val="0"/>
        </c:dLbls>
        <c:gapWidth val="65"/>
        <c:shape val="box"/>
        <c:axId val="1221747968"/>
        <c:axId val="1221748448"/>
        <c:axId val="0"/>
      </c:bar3DChart>
      <c:catAx>
        <c:axId val="12217479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1748448"/>
        <c:crosses val="autoZero"/>
        <c:auto val="1"/>
        <c:lblAlgn val="ctr"/>
        <c:lblOffset val="100"/>
        <c:noMultiLvlLbl val="0"/>
      </c:catAx>
      <c:valAx>
        <c:axId val="12217484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2174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(1).xlsx]Overdue Revenue by Region!PivotTable1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Overdue Revenue by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666666666666566E-2"/>
              <c:y val="-6.01851851851852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0925337632079971E-17"/>
              <c:y val="-1.851851851851860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444444444444344E-2"/>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0925337632079971E-17"/>
              <c:y val="-1.851851851851860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6666666666666566E-2"/>
              <c:y val="-6.01851851851852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444444444444344E-2"/>
              <c:y val="-5.092592592592601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5.0925337632079971E-17"/>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6666666666666566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944444444444434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2.7777777777777779E-3"/>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6666666666666566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5.0925337632079971E-17"/>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944444444444434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'Overdue Revenue by Region'!$B$3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Pt>
            <c:idx val="0"/>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0-34A7-4369-91F3-6A268724D1A6}"/>
              </c:ext>
            </c:extLst>
          </c:dPt>
          <c:dPt>
            <c:idx val="1"/>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1-34A7-4369-91F3-6A268724D1A6}"/>
              </c:ext>
            </c:extLst>
          </c:dPt>
          <c:dPt>
            <c:idx val="2"/>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2-34A7-4369-91F3-6A268724D1A6}"/>
              </c:ext>
            </c:extLst>
          </c:dPt>
          <c:dPt>
            <c:idx val="3"/>
            <c:invertIfNegative val="0"/>
            <c:bubble3D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extLst>
              <c:ext xmlns:c16="http://schemas.microsoft.com/office/drawing/2014/chart" uri="{C3380CC4-5D6E-409C-BE32-E72D297353CC}">
                <c16:uniqueId val="{00000003-34A7-4369-91F3-6A268724D1A6}"/>
              </c:ext>
            </c:extLst>
          </c:dPt>
          <c:dLbls>
            <c:dLbl>
              <c:idx val="0"/>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A7-4369-91F3-6A268724D1A6}"/>
                </c:ext>
              </c:extLst>
            </c:dLbl>
            <c:dLbl>
              <c:idx val="1"/>
              <c:layout>
                <c:manualLayout>
                  <c:x val="1.6666666666666566E-2"/>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A7-4369-91F3-6A268724D1A6}"/>
                </c:ext>
              </c:extLst>
            </c:dLbl>
            <c:dLbl>
              <c:idx val="2"/>
              <c:layout>
                <c:manualLayout>
                  <c:x val="5.0925337632079971E-17"/>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A7-4369-91F3-6A268724D1A6}"/>
                </c:ext>
              </c:extLst>
            </c:dLbl>
            <c:dLbl>
              <c:idx val="3"/>
              <c:layout>
                <c:manualLayout>
                  <c:x val="1.9444444444444344E-2"/>
                  <c:y val="-5.09259259259260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A7-4369-91F3-6A268724D1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'Overdue Revenue by Region'!$A$4:$A$8</c:f>
              <c:strCache>
                <c:ptCount val="4"/>
                <c:pt idx="0">
                  <c:v>West</c:v>
                </c:pt>
                <c:pt idx="1">
                  <c:v>East</c:v>
                </c:pt>
                <c:pt idx="2">
                  <c:v>South</c:v>
                </c:pt>
                <c:pt idx="3">
                  <c:v>North</c:v>
                </c:pt>
              </c:strCache>
            </c:strRef>
          </c:cat>
          <c:val>
            <c:numRef>
              <c:f>'Overdue Revenue by Region'!$B$4:$B$8</c:f>
              <c:numCache>
                <c:formatCode>General</c:formatCode>
                <c:ptCount val="4"/>
                <c:pt idx="0">
                  <c:v>3897909.9700000086</c:v>
                </c:pt>
                <c:pt idx="1">
                  <c:v>3766251.7400000058</c:v>
                </c:pt>
                <c:pt idx="2">
                  <c:v>3643290.7200000049</c:v>
                </c:pt>
                <c:pt idx="3">
                  <c:v>3566518.4600000079</c:v>
                </c:pt>
              </c:numCache>
            </c:numRef>
          </c:val>
          <c:extLst>
            <c:ext xmlns:c16="http://schemas.microsoft.com/office/drawing/2014/chart" uri="{C3380CC4-5D6E-409C-BE32-E72D297353CC}">
              <c16:uniqueId val="{00000004-34A7-4369-91F3-6A268724D1A6}"/>
            </c:ext>
          </c:extLst>
        </c:ser>
        <c:dLbls>
          <c:showLegendKey val="0"/>
          <c:showVal val="1"/>
          <c:showCatName val="0"/>
          <c:showSerName val="0"/>
          <c:showPercent val="0"/>
          <c:showBubbleSize val="0"/>
        </c:dLbls>
        <c:gapWidth val="65"/>
        <c:shape val="box"/>
        <c:axId val="2083284176"/>
        <c:axId val="2083286096"/>
        <c:axId val="0"/>
      </c:bar3DChart>
      <c:catAx>
        <c:axId val="20832841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83286096"/>
        <c:crosses val="autoZero"/>
        <c:auto val="1"/>
        <c:lblAlgn val="ctr"/>
        <c:lblOffset val="100"/>
        <c:noMultiLvlLbl val="0"/>
      </c:catAx>
      <c:valAx>
        <c:axId val="208328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328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(1).xlsx]Churn Risk by Subscription Plan!PivotTable2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Churn Risk by Subscription Plan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745636712766684E-2"/>
          <c:y val="0.16862806114599796"/>
          <c:w val="0.9425087265744666"/>
          <c:h val="0.76476447881847809"/>
        </c:manualLayout>
      </c:layout>
      <c:pie3DChart>
        <c:varyColors val="1"/>
        <c:ser>
          <c:idx val="0"/>
          <c:order val="0"/>
          <c:tx>
            <c:strRef>
              <c:f>'Churn Risk by Subscription Plan'!$B$3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EAB-47B2-898B-E3E5E5D0104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EAB-47B2-898B-E3E5E5D0104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EAB-47B2-898B-E3E5E5D010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'Churn Risk by Subscription Plan'!$A$4:$A$7</c:f>
              <c:strCache>
                <c:ptCount val="3"/>
                <c:pt idx="0">
                  <c:v>Basic</c:v>
                </c:pt>
                <c:pt idx="1">
                  <c:v>Premium</c:v>
                </c:pt>
                <c:pt idx="2">
                  <c:v>Standard</c:v>
                </c:pt>
              </c:strCache>
            </c:strRef>
          </c:cat>
          <c:val>
            <c:numRef>
              <c:f>'Churn Risk by Subscription Plan'!$B$4:$B$7</c:f>
              <c:numCache>
                <c:formatCode>0%</c:formatCode>
                <c:ptCount val="3"/>
                <c:pt idx="0">
                  <c:v>0.49851924975320827</c:v>
                </c:pt>
                <c:pt idx="1">
                  <c:v>0.48860257680872149</c:v>
                </c:pt>
                <c:pt idx="2">
                  <c:v>0.49176954732510286</c:v>
                </c:pt>
              </c:numCache>
            </c:numRef>
          </c:val>
          <c:extLst>
            <c:ext xmlns:c16="http://schemas.microsoft.com/office/drawing/2014/chart" uri="{C3380CC4-5D6E-409C-BE32-E72D297353CC}">
              <c16:uniqueId val="{00000006-7EAB-47B2-898B-E3E5E5D01048}"/>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(1).xlsx]Churn Rate by Tenure Segment!PivotTable1</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Churn Rate by Tenure Segment</a:t>
            </a:r>
            <a:endParaRPr lang="en-US"/>
          </a:p>
        </c:rich>
      </c:tx>
      <c:layout>
        <c:manualLayout>
          <c:xMode val="edge"/>
          <c:yMode val="edge"/>
          <c:x val="0.31284011373578302"/>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5555555555555558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777777777777676E-3"/>
              <c:y val="-2.777777777777782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1111111111111112E-2"/>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'Churn Rate by Tenure Segment'!$B$3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BB-4A2B-B797-57B7F33D7F6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BB-4A2B-B797-57B7F33D7F6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0BB-4A2B-B797-57B7F33D7F6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'Churn Rate by Tenure Segment'!$A$4:$A$7</c:f>
              <c:strCache>
                <c:ptCount val="3"/>
                <c:pt idx="0">
                  <c:v>6-12 Months</c:v>
                </c:pt>
                <c:pt idx="1">
                  <c:v>0-6 Months</c:v>
                </c:pt>
                <c:pt idx="2">
                  <c:v>12+ Months</c:v>
                </c:pt>
              </c:strCache>
            </c:strRef>
          </c:cat>
          <c:val>
            <c:numRef>
              <c:f>'Churn Rate by Tenure Segment'!$B$4:$B$7</c:f>
              <c:numCache>
                <c:formatCode>0%</c:formatCode>
                <c:ptCount val="3"/>
                <c:pt idx="0">
                  <c:v>0.50024691358024687</c:v>
                </c:pt>
                <c:pt idx="1">
                  <c:v>0.48894348894348894</c:v>
                </c:pt>
                <c:pt idx="2">
                  <c:v>0.41935483870967744</c:v>
                </c:pt>
              </c:numCache>
            </c:numRef>
          </c:val>
          <c:extLst>
            <c:ext xmlns:c16="http://schemas.microsoft.com/office/drawing/2014/chart" uri="{C3380CC4-5D6E-409C-BE32-E72D297353CC}">
              <c16:uniqueId val="{00000006-80BB-4A2B-B797-57B7F33D7F60}"/>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[financial_Operations (1).xlsx]Industry Profit Margin (%)!PivotTable1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Industry Profit Margin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'Industry Profit Margin (%)'!$B$3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'Industry Profit Margin (%)'!$A$4:$A$9</c:f>
              <c:strCache>
                <c:ptCount val="5"/>
                <c:pt idx="0">
                  <c:v>Retail</c:v>
                </c:pt>
                <c:pt idx="1">
                  <c:v>Fipaidnce</c:v>
                </c:pt>
                <c:pt idx="2">
                  <c:v>Education</c:v>
                </c:pt>
                <c:pt idx="3">
                  <c:v>IT</c:v>
                </c:pt>
                <c:pt idx="4">
                  <c:v>Healthcare</c:v>
                </c:pt>
              </c:strCache>
            </c:strRef>
          </c:cat>
          <c:val>
            <c:numRef>
              <c:f>'Industry Profit Margin (%)'!$B$4:$B$9</c:f>
              <c:numCache>
                <c:formatCode>0%</c:formatCode>
                <c:ptCount val="5"/>
                <c:pt idx="0">
                  <c:v>0.15766586644244895</c:v>
                </c:pt>
                <c:pt idx="1">
                  <c:v>0.12708303728433104</c:v>
                </c:pt>
                <c:pt idx="2">
                  <c:v>0.10742928664572265</c:v>
                </c:pt>
                <c:pt idx="3">
                  <c:v>0.10382565743121491</c:v>
                </c:pt>
                <c:pt idx="4">
                  <c:v>8.0821128093579025E-2</c:v>
                </c:pt>
              </c:numCache>
            </c:numRef>
          </c:val>
          <c:extLst>
            <c:ext xmlns:c16="http://schemas.microsoft.com/office/drawing/2014/chart" uri="{C3380CC4-5D6E-409C-BE32-E72D297353CC}">
              <c16:uniqueId val="{00000000-808D-4428-86F6-41EE06D111C0}"/>
            </c:ext>
          </c:extLst>
        </c:ser>
        <c:dLbls>
          <c:showLegendKey val="0"/>
          <c:showVal val="1"/>
          <c:showCatName val="0"/>
          <c:showSerName val="0"/>
          <c:showPercent val="0"/>
          <c:showBubbleSize val="0"/>
        </c:dLbls>
        <c:gapWidth val="65"/>
        <c:shape val="box"/>
        <c:axId val="739673839"/>
        <c:axId val="739674319"/>
        <c:axId val="0"/>
      </c:bar3DChart>
      <c:catAx>
        <c:axId val="739673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39674319"/>
        <c:crosses val="autoZero"/>
        <c:auto val="1"/>
        <c:lblAlgn val="ctr"/>
        <c:lblOffset val="100"/>
        <c:noMultiLvlLbl val="0"/>
      </c:catAx>
      <c:valAx>
        <c:axId val="7396743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3967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304800</xdr:colOff>
      <xdr:row>6</xdr:row>
      <xdr:rowOff>175260</xdr:rowOff>
    </xdr:from>
    <xdr:to>
      <xdr:col>11</xdr:col>
      <xdr:colOff>0</xdr:colOff>
      <xdr:row>21</xdr:row>
      <xdr:rowOff>175260</xdr:rowOff>
    </xdr:to>
    <xdr:graphicFrame macro="">
      <xdr:nvGraphicFramePr>
        <xdr:cNvPr id="3" name="Chart 2">
          <a:extLst>
            <a:ext uri="{FF2B5EF4-FFF2-40B4-BE49-F238E27FC236}">
              <a16:creationId xmlns:a16="http://schemas.microsoft.com/office/drawing/2014/main" id="{694285E0-86B7-7D51-BA90-C08B60F50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281940</xdr:colOff>
      <xdr:row>7</xdr:row>
      <xdr:rowOff>60960</xdr:rowOff>
    </xdr:from>
    <xdr:to>
      <xdr:col>14</xdr:col>
      <xdr:colOff>281940</xdr:colOff>
      <xdr:row>20</xdr:row>
      <xdr:rowOff>150495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ECB5AD4D-1C3E-06B2-08BC-9085CC28C71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985760" y="1341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12</xdr:row>
      <xdr:rowOff>68581</xdr:rowOff>
    </xdr:from>
    <xdr:to>
      <xdr:col>11</xdr:col>
      <xdr:colOff>426720</xdr:colOff>
      <xdr:row>18</xdr:row>
      <xdr:rowOff>76201</xdr:rowOff>
    </xdr:to>
    <mc:AlternateContent xmlns:mc="http://schemas.openxmlformats.org/markup-compatibility/2006" xmlns:a14="http://schemas.microsoft.com/office/drawing/2010/main">
      <mc:Choice Requires="a14">
        <xdr:graphicFrame macro="">
          <xdr:nvGraphicFramePr>
            <xdr:cNvPr id="4" name="payment_status">
              <a:extLst>
                <a:ext uri="{FF2B5EF4-FFF2-40B4-BE49-F238E27FC236}">
                  <a16:creationId xmlns:a16="http://schemas.microsoft.com/office/drawing/2014/main" id="{A13F5761-BB96-C014-7EEE-9CC6FAF108AF}"/>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6301740" y="2263141"/>
              <a:ext cx="18288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xdr:colOff>
      <xdr:row>10</xdr:row>
      <xdr:rowOff>175260</xdr:rowOff>
    </xdr:from>
    <xdr:to>
      <xdr:col>17</xdr:col>
      <xdr:colOff>129540</xdr:colOff>
      <xdr:row>25</xdr:row>
      <xdr:rowOff>175260</xdr:rowOff>
    </xdr:to>
    <xdr:graphicFrame macro="">
      <xdr:nvGraphicFramePr>
        <xdr:cNvPr id="2" name="Chart 1">
          <a:extLst>
            <a:ext uri="{FF2B5EF4-FFF2-40B4-BE49-F238E27FC236}">
              <a16:creationId xmlns:a16="http://schemas.microsoft.com/office/drawing/2014/main" id="{68BBD346-39FD-D597-6AE9-0568AE6D0E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11</xdr:row>
      <xdr:rowOff>106680</xdr:rowOff>
    </xdr:from>
    <xdr:to>
      <xdr:col>11</xdr:col>
      <xdr:colOff>312420</xdr:colOff>
      <xdr:row>26</xdr:row>
      <xdr:rowOff>106680</xdr:rowOff>
    </xdr:to>
    <xdr:graphicFrame macro="">
      <xdr:nvGraphicFramePr>
        <xdr:cNvPr id="2" name="Chart 1">
          <a:extLst>
            <a:ext uri="{FF2B5EF4-FFF2-40B4-BE49-F238E27FC236}">
              <a16:creationId xmlns:a16="http://schemas.microsoft.com/office/drawing/2014/main" id="{D05A9524-6178-1F55-631A-DAE20CE93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220980</xdr:colOff>
      <xdr:row>14</xdr:row>
      <xdr:rowOff>68580</xdr:rowOff>
    </xdr:from>
    <xdr:to>
      <xdr:col>10</xdr:col>
      <xdr:colOff>525780</xdr:colOff>
      <xdr:row>29</xdr:row>
      <xdr:rowOff>68580</xdr:rowOff>
    </xdr:to>
    <xdr:graphicFrame macro="">
      <xdr:nvGraphicFramePr>
        <xdr:cNvPr id="3" name="Chart 2">
          <a:extLst>
            <a:ext uri="{FF2B5EF4-FFF2-40B4-BE49-F238E27FC236}">
              <a16:creationId xmlns:a16="http://schemas.microsoft.com/office/drawing/2014/main" id="{A005B84C-579B-4EF0-B4A1-40626EECD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106680</xdr:colOff>
      <xdr:row>11</xdr:row>
      <xdr:rowOff>129540</xdr:rowOff>
    </xdr:from>
    <xdr:to>
      <xdr:col>10</xdr:col>
      <xdr:colOff>411480</xdr:colOff>
      <xdr:row>26</xdr:row>
      <xdr:rowOff>129540</xdr:rowOff>
    </xdr:to>
    <xdr:graphicFrame macro="">
      <xdr:nvGraphicFramePr>
        <xdr:cNvPr id="2" name="Chart 1">
          <a:extLst>
            <a:ext uri="{FF2B5EF4-FFF2-40B4-BE49-F238E27FC236}">
              <a16:creationId xmlns:a16="http://schemas.microsoft.com/office/drawing/2014/main" id="{40DC1BCB-19D6-15AD-5CF1-2C2A5CE29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11</xdr:row>
      <xdr:rowOff>106680</xdr:rowOff>
    </xdr:from>
    <xdr:to>
      <xdr:col>10</xdr:col>
      <xdr:colOff>419100</xdr:colOff>
      <xdr:row>26</xdr:row>
      <xdr:rowOff>106680</xdr:rowOff>
    </xdr:to>
    <xdr:graphicFrame macro="">
      <xdr:nvGraphicFramePr>
        <xdr:cNvPr id="2" name="Chart 1">
          <a:extLst>
            <a:ext uri="{FF2B5EF4-FFF2-40B4-BE49-F238E27FC236}">
              <a16:creationId xmlns:a16="http://schemas.microsoft.com/office/drawing/2014/main" id="{5FE011B0-5932-71C6-5566-AE38236C3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457200</xdr:colOff>
      <xdr:row>11</xdr:row>
      <xdr:rowOff>106680</xdr:rowOff>
    </xdr:from>
    <xdr:to>
      <xdr:col>6</xdr:col>
      <xdr:colOff>182880</xdr:colOff>
      <xdr:row>26</xdr:row>
      <xdr:rowOff>106680</xdr:rowOff>
    </xdr:to>
    <xdr:graphicFrame macro="">
      <xdr:nvGraphicFramePr>
        <xdr:cNvPr id="2" name="Chart 1">
          <a:extLst>
            <a:ext uri="{FF2B5EF4-FFF2-40B4-BE49-F238E27FC236}">
              <a16:creationId xmlns:a16="http://schemas.microsoft.com/office/drawing/2014/main" id="{AF4A1480-4881-3066-46AB-F9768750A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228600</xdr:colOff>
      <xdr:row>12</xdr:row>
      <xdr:rowOff>0</xdr:rowOff>
    </xdr:from>
    <xdr:to>
      <xdr:col>10</xdr:col>
      <xdr:colOff>533400</xdr:colOff>
      <xdr:row>27</xdr:row>
      <xdr:rowOff>0</xdr:rowOff>
    </xdr:to>
    <xdr:graphicFrame macro="">
      <xdr:nvGraphicFramePr>
        <xdr:cNvPr id="2" name="Chart 1">
          <a:extLst>
            <a:ext uri="{FF2B5EF4-FFF2-40B4-BE49-F238E27FC236}">
              <a16:creationId xmlns:a16="http://schemas.microsoft.com/office/drawing/2014/main" id="{0109D69A-C4FD-CB8E-22FC-A23009983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220980</xdr:colOff>
      <xdr:row>11</xdr:row>
      <xdr:rowOff>106680</xdr:rowOff>
    </xdr:from>
    <xdr:to>
      <xdr:col>11</xdr:col>
      <xdr:colOff>525780</xdr:colOff>
      <xdr:row>26</xdr:row>
      <xdr:rowOff>106680</xdr:rowOff>
    </xdr:to>
    <xdr:graphicFrame macro="">
      <xdr:nvGraphicFramePr>
        <xdr:cNvPr id="2" name="Chart 1">
          <a:extLst>
            <a:ext uri="{FF2B5EF4-FFF2-40B4-BE49-F238E27FC236}">
              <a16:creationId xmlns:a16="http://schemas.microsoft.com/office/drawing/2014/main" id="{3DB10680-D1C0-130A-A508-5C8EF3870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350520</xdr:colOff>
      <xdr:row>6</xdr:row>
      <xdr:rowOff>91441</xdr:rowOff>
    </xdr:from>
    <xdr:to>
      <xdr:col>16</xdr:col>
      <xdr:colOff>350520</xdr:colOff>
      <xdr:row>16</xdr:row>
      <xdr:rowOff>68581</xdr:rowOff>
    </xdr:to>
    <mc:AlternateContent xmlns:mc="http://schemas.openxmlformats.org/markup-compatibility/2006" xmlns:a14="http://schemas.microsoft.com/office/drawing/2010/main">
      <mc:Choice Requires="a14">
        <xdr:graphicFrame macro="">
          <xdr:nvGraphicFramePr>
            <xdr:cNvPr id="3" name="industry">
              <a:extLst>
                <a:ext uri="{FF2B5EF4-FFF2-40B4-BE49-F238E27FC236}">
                  <a16:creationId xmlns:a16="http://schemas.microsoft.com/office/drawing/2014/main" id="{2FB462E3-BEF2-4A03-49DE-3241E32E07F4}"/>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8747760" y="1188721"/>
              <a:ext cx="182880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129540</xdr:colOff>
      <xdr:row>10</xdr:row>
      <xdr:rowOff>129540</xdr:rowOff>
    </xdr:from>
    <xdr:to>
      <xdr:col>11</xdr:col>
      <xdr:colOff>434340</xdr:colOff>
      <xdr:row>25</xdr:row>
      <xdr:rowOff>129540</xdr:rowOff>
    </xdr:to>
    <xdr:graphicFrame macro="">
      <xdr:nvGraphicFramePr>
        <xdr:cNvPr id="2" name="Chart 1">
          <a:extLst>
            <a:ext uri="{FF2B5EF4-FFF2-40B4-BE49-F238E27FC236}">
              <a16:creationId xmlns:a16="http://schemas.microsoft.com/office/drawing/2014/main" id="{6970E4BD-F188-93A1-E527-071B8C648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220980</xdr:colOff>
      <xdr:row>11</xdr:row>
      <xdr:rowOff>106680</xdr:rowOff>
    </xdr:from>
    <xdr:to>
      <xdr:col>11</xdr:col>
      <xdr:colOff>525780</xdr:colOff>
      <xdr:row>26</xdr:row>
      <xdr:rowOff>106680</xdr:rowOff>
    </xdr:to>
    <xdr:graphicFrame macro="">
      <xdr:nvGraphicFramePr>
        <xdr:cNvPr id="2" name="Chart 1">
          <a:extLst>
            <a:ext uri="{FF2B5EF4-FFF2-40B4-BE49-F238E27FC236}">
              <a16:creationId xmlns:a16="http://schemas.microsoft.com/office/drawing/2014/main" id="{7993444D-A3D6-C0A2-8271-DBA2A6C8E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190500</xdr:colOff>
      <xdr:row>9</xdr:row>
      <xdr:rowOff>137161</xdr:rowOff>
    </xdr:from>
    <xdr:to>
      <xdr:col>16</xdr:col>
      <xdr:colOff>190500</xdr:colOff>
      <xdr:row>17</xdr:row>
      <xdr:rowOff>129541</xdr:rowOff>
    </xdr:to>
    <mc:AlternateContent xmlns:mc="http://schemas.openxmlformats.org/markup-compatibility/2006" xmlns:a14="http://schemas.microsoft.com/office/drawing/2010/main">
      <mc:Choice Requires="a14">
        <xdr:graphicFrame macro="">
          <xdr:nvGraphicFramePr>
            <xdr:cNvPr id="3" name="subscription_plan 1">
              <a:extLst>
                <a:ext uri="{FF2B5EF4-FFF2-40B4-BE49-F238E27FC236}">
                  <a16:creationId xmlns:a16="http://schemas.microsoft.com/office/drawing/2014/main" id="{46B4D45A-47E3-F2C4-664E-138557A7566B}"/>
                </a:ext>
              </a:extLst>
            </xdr:cNvPr>
            <xdr:cNvGraphicFramePr/>
          </xdr:nvGraphicFramePr>
          <xdr:xfrm>
            <a:off x="0" y="0"/>
            <a:ext cx="0" cy="0"/>
          </xdr:xfrm>
          <a:graphic>
            <a:graphicData uri="http://schemas.microsoft.com/office/drawing/2010/slicer">
              <sle:slicer xmlns:sle="http://schemas.microsoft.com/office/drawing/2010/slicer" name="subscription_plan 1"/>
            </a:graphicData>
          </a:graphic>
        </xdr:graphicFrame>
      </mc:Choice>
      <mc:Fallback xmlns="">
        <xdr:sp macro="" textlink="">
          <xdr:nvSpPr>
            <xdr:cNvPr id="0" name=""/>
            <xdr:cNvSpPr>
              <a:spLocks noTextEdit="1"/>
            </xdr:cNvSpPr>
          </xdr:nvSpPr>
          <xdr:spPr>
            <a:xfrm>
              <a:off x="8587740" y="178308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372535</xdr:colOff>
      <xdr:row>7</xdr:row>
      <xdr:rowOff>135466</xdr:rowOff>
    </xdr:from>
    <xdr:to>
      <xdr:col>14</xdr:col>
      <xdr:colOff>50802</xdr:colOff>
      <xdr:row>9</xdr:row>
      <xdr:rowOff>118533</xdr:rowOff>
    </xdr:to>
    <xdr:sp macro="" textlink="$C$1">
      <xdr:nvSpPr>
        <xdr:cNvPr id="26" name="TextBox 25">
          <a:extLst>
            <a:ext uri="{FF2B5EF4-FFF2-40B4-BE49-F238E27FC236}">
              <a16:creationId xmlns:a16="http://schemas.microsoft.com/office/drawing/2014/main" id="{4017CB68-D084-490E-B3BE-50C109AB9BE3}"/>
            </a:ext>
          </a:extLst>
        </xdr:cNvPr>
        <xdr:cNvSpPr txBox="1"/>
      </xdr:nvSpPr>
      <xdr:spPr>
        <a:xfrm>
          <a:off x="7078135" y="1439333"/>
          <a:ext cx="1507067"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D209D4-BAC3-4EF4-8427-C81AFC296A5B}" type="TxLink">
            <a:rPr lang="en-US" sz="1100" b="0" i="0" u="none" strike="noStrike">
              <a:solidFill>
                <a:srgbClr val="000000"/>
              </a:solidFill>
              <a:latin typeface="Calibri"/>
              <a:ea typeface="Calibri"/>
              <a:cs typeface="Calibri"/>
            </a:rPr>
            <a:pPr/>
            <a:t> </a:t>
          </a:fld>
          <a:endParaRPr lang="en-IN" sz="1400" b="1"/>
        </a:p>
      </xdr:txBody>
    </xdr:sp>
    <xdr:clientData/>
  </xdr:twoCellAnchor>
  <xdr:twoCellAnchor>
    <xdr:from>
      <xdr:col>2</xdr:col>
      <xdr:colOff>338666</xdr:colOff>
      <xdr:row>2</xdr:row>
      <xdr:rowOff>127001</xdr:rowOff>
    </xdr:from>
    <xdr:to>
      <xdr:col>29</xdr:col>
      <xdr:colOff>222250</xdr:colOff>
      <xdr:row>53</xdr:row>
      <xdr:rowOff>40218</xdr:rowOff>
    </xdr:to>
    <xdr:grpSp>
      <xdr:nvGrpSpPr>
        <xdr:cNvPr id="55" name="Group 54">
          <a:extLst>
            <a:ext uri="{FF2B5EF4-FFF2-40B4-BE49-F238E27FC236}">
              <a16:creationId xmlns:a16="http://schemas.microsoft.com/office/drawing/2014/main" id="{DD6CAF63-71C5-429D-EF41-01D5BE76A67B}"/>
            </a:ext>
          </a:extLst>
        </xdr:cNvPr>
        <xdr:cNvGrpSpPr/>
      </xdr:nvGrpSpPr>
      <xdr:grpSpPr>
        <a:xfrm>
          <a:off x="1566333" y="486834"/>
          <a:ext cx="16457084" cy="9088967"/>
          <a:chOff x="42334" y="232834"/>
          <a:chExt cx="13701483" cy="9088967"/>
        </a:xfrm>
      </xdr:grpSpPr>
      <xdr:sp macro="" textlink="">
        <xdr:nvSpPr>
          <xdr:cNvPr id="2" name="Rectangle 1">
            <a:extLst>
              <a:ext uri="{FF2B5EF4-FFF2-40B4-BE49-F238E27FC236}">
                <a16:creationId xmlns:a16="http://schemas.microsoft.com/office/drawing/2014/main" id="{8C129F53-4216-3D92-822F-69772BE27907}"/>
              </a:ext>
            </a:extLst>
          </xdr:cNvPr>
          <xdr:cNvSpPr/>
        </xdr:nvSpPr>
        <xdr:spPr>
          <a:xfrm>
            <a:off x="42334" y="232834"/>
            <a:ext cx="13701483" cy="9088967"/>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B65604B-B528-F307-F5CF-B65AAAADEB9B}"/>
              </a:ext>
            </a:extLst>
          </xdr:cNvPr>
          <xdr:cNvSpPr/>
        </xdr:nvSpPr>
        <xdr:spPr>
          <a:xfrm>
            <a:off x="2366433" y="2491317"/>
            <a:ext cx="11108267" cy="659765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47F0D9D8-976B-46A0-B4B0-9B3BD188F472}"/>
              </a:ext>
            </a:extLst>
          </xdr:cNvPr>
          <xdr:cNvSpPr/>
        </xdr:nvSpPr>
        <xdr:spPr>
          <a:xfrm>
            <a:off x="2442633" y="2662767"/>
            <a:ext cx="10947399" cy="6314016"/>
          </a:xfrm>
          <a:prstGeom prst="roundRect">
            <a:avLst/>
          </a:prstGeom>
          <a:solidFill>
            <a:schemeClr val="bg2">
              <a:lumMod val="9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1A59A3DB-DB3B-43AB-98F3-E63E015979E1}"/>
              </a:ext>
            </a:extLst>
          </xdr:cNvPr>
          <xdr:cNvSpPr/>
        </xdr:nvSpPr>
        <xdr:spPr>
          <a:xfrm>
            <a:off x="681566" y="289983"/>
            <a:ext cx="12674601" cy="546100"/>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800" b="1"/>
              <a:t>Financial Performance &amp; Customer Churn Analysis Dashboard</a:t>
            </a:r>
            <a:endParaRPr lang="en-IN" sz="2800" b="1">
              <a:solidFill>
                <a:schemeClr val="lt1"/>
              </a:solidFill>
              <a:latin typeface="+mn-lt"/>
              <a:ea typeface="+mn-ea"/>
              <a:cs typeface="+mn-cs"/>
            </a:endParaRPr>
          </a:p>
        </xdr:txBody>
      </xdr:sp>
      <xdr:grpSp>
        <xdr:nvGrpSpPr>
          <xdr:cNvPr id="32" name="Group 31">
            <a:extLst>
              <a:ext uri="{FF2B5EF4-FFF2-40B4-BE49-F238E27FC236}">
                <a16:creationId xmlns:a16="http://schemas.microsoft.com/office/drawing/2014/main" id="{98C916EE-9B16-1D7D-8BC6-0431B3E5FCF5}"/>
              </a:ext>
            </a:extLst>
          </xdr:cNvPr>
          <xdr:cNvGrpSpPr/>
        </xdr:nvGrpSpPr>
        <xdr:grpSpPr>
          <a:xfrm>
            <a:off x="3263903" y="1515536"/>
            <a:ext cx="2336799" cy="821265"/>
            <a:chOff x="2226733" y="1075268"/>
            <a:chExt cx="1913467" cy="846665"/>
          </a:xfrm>
        </xdr:grpSpPr>
        <xdr:sp macro="" textlink="">
          <xdr:nvSpPr>
            <xdr:cNvPr id="3" name="Rectangle: Rounded Corners 2">
              <a:extLst>
                <a:ext uri="{FF2B5EF4-FFF2-40B4-BE49-F238E27FC236}">
                  <a16:creationId xmlns:a16="http://schemas.microsoft.com/office/drawing/2014/main" id="{70A37ADA-0550-1DA4-B259-2968AB16A433}"/>
                </a:ext>
              </a:extLst>
            </xdr:cNvPr>
            <xdr:cNvSpPr/>
          </xdr:nvSpPr>
          <xdr:spPr>
            <a:xfrm>
              <a:off x="2226733" y="1075268"/>
              <a:ext cx="1913467" cy="84666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E021EBB8-8563-4150-9EB6-707880720D5E}"/>
                </a:ext>
              </a:extLst>
            </xdr:cNvPr>
            <xdr:cNvSpPr/>
          </xdr:nvSpPr>
          <xdr:spPr>
            <a:xfrm>
              <a:off x="2319866" y="1176870"/>
              <a:ext cx="1710267" cy="651932"/>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KPI Summary'!A5">
          <xdr:nvSpPr>
            <xdr:cNvPr id="24" name="TextBox 23">
              <a:extLst>
                <a:ext uri="{FF2B5EF4-FFF2-40B4-BE49-F238E27FC236}">
                  <a16:creationId xmlns:a16="http://schemas.microsoft.com/office/drawing/2014/main" id="{F48973A0-A126-A5BD-B032-D968E627B5AF}"/>
                </a:ext>
              </a:extLst>
            </xdr:cNvPr>
            <xdr:cNvSpPr txBox="1"/>
          </xdr:nvSpPr>
          <xdr:spPr>
            <a:xfrm>
              <a:off x="2387600" y="1439333"/>
              <a:ext cx="1507067"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701481-C9B1-4A15-A644-5426E44EDA63}" type="TxLink">
                <a:rPr lang="en-US" sz="1400" b="1" i="0" u="none" strike="noStrike">
                  <a:solidFill>
                    <a:srgbClr val="000000"/>
                  </a:solidFill>
                  <a:latin typeface="Calibri"/>
                  <a:ea typeface="Calibri"/>
                  <a:cs typeface="Calibri"/>
                </a:rPr>
                <a:pPr algn="ctr"/>
                <a:t>14873970.89</a:t>
              </a:fld>
              <a:endParaRPr lang="en-IN" sz="1400" b="1"/>
            </a:p>
          </xdr:txBody>
        </xdr:sp>
        <xdr:sp macro="" textlink="">
          <xdr:nvSpPr>
            <xdr:cNvPr id="30" name="TextBox 29">
              <a:extLst>
                <a:ext uri="{FF2B5EF4-FFF2-40B4-BE49-F238E27FC236}">
                  <a16:creationId xmlns:a16="http://schemas.microsoft.com/office/drawing/2014/main" id="{C3F9F10E-0832-5749-89BA-CAF797FCB6AE}"/>
                </a:ext>
              </a:extLst>
            </xdr:cNvPr>
            <xdr:cNvSpPr txBox="1"/>
          </xdr:nvSpPr>
          <xdr:spPr>
            <a:xfrm>
              <a:off x="2429933" y="1193799"/>
              <a:ext cx="14054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0" baseline="0"/>
                <a:t> </a:t>
              </a:r>
              <a:r>
                <a:rPr lang="en-IN" sz="1600" b="1"/>
                <a:t>Revenue</a:t>
              </a:r>
            </a:p>
          </xdr:txBody>
        </xdr:sp>
      </xdr:grpSp>
      <xdr:grpSp>
        <xdr:nvGrpSpPr>
          <xdr:cNvPr id="33" name="Group 32">
            <a:extLst>
              <a:ext uri="{FF2B5EF4-FFF2-40B4-BE49-F238E27FC236}">
                <a16:creationId xmlns:a16="http://schemas.microsoft.com/office/drawing/2014/main" id="{FB7527CC-A5B1-BDDA-0400-29B1EE1673CF}"/>
              </a:ext>
            </a:extLst>
          </xdr:cNvPr>
          <xdr:cNvGrpSpPr/>
        </xdr:nvGrpSpPr>
        <xdr:grpSpPr>
          <a:xfrm>
            <a:off x="5998632" y="1515531"/>
            <a:ext cx="2582334" cy="831852"/>
            <a:chOff x="4292600" y="1083733"/>
            <a:chExt cx="1896534" cy="846667"/>
          </a:xfrm>
        </xdr:grpSpPr>
        <xdr:sp macro="" textlink="">
          <xdr:nvSpPr>
            <xdr:cNvPr id="4" name="Rectangle: Rounded Corners 3">
              <a:extLst>
                <a:ext uri="{FF2B5EF4-FFF2-40B4-BE49-F238E27FC236}">
                  <a16:creationId xmlns:a16="http://schemas.microsoft.com/office/drawing/2014/main" id="{9DD7FA55-DEB1-4BC3-AC07-A9088A9755A6}"/>
                </a:ext>
              </a:extLst>
            </xdr:cNvPr>
            <xdr:cNvSpPr/>
          </xdr:nvSpPr>
          <xdr:spPr>
            <a:xfrm>
              <a:off x="4292600" y="1083733"/>
              <a:ext cx="1896534" cy="84666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B59BA58A-6CE2-47CF-80F7-86D58B31DA84}"/>
                </a:ext>
              </a:extLst>
            </xdr:cNvPr>
            <xdr:cNvSpPr/>
          </xdr:nvSpPr>
          <xdr:spPr>
            <a:xfrm>
              <a:off x="4428067" y="1168403"/>
              <a:ext cx="1667933" cy="651932"/>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KPI Summary'!B5">
          <xdr:nvSpPr>
            <xdr:cNvPr id="25" name="TextBox 24">
              <a:extLst>
                <a:ext uri="{FF2B5EF4-FFF2-40B4-BE49-F238E27FC236}">
                  <a16:creationId xmlns:a16="http://schemas.microsoft.com/office/drawing/2014/main" id="{95E54084-F5B0-4BDD-8CFB-A03D21209C04}"/>
                </a:ext>
              </a:extLst>
            </xdr:cNvPr>
            <xdr:cNvSpPr txBox="1"/>
          </xdr:nvSpPr>
          <xdr:spPr>
            <a:xfrm>
              <a:off x="4512735" y="1430867"/>
              <a:ext cx="1507067"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1A2DAA-BEA4-4BB2-8C1C-34CAC204E84F}" type="TxLink">
                <a:rPr lang="en-US" sz="1400" b="1" i="0" u="none" strike="noStrike">
                  <a:solidFill>
                    <a:srgbClr val="000000"/>
                  </a:solidFill>
                  <a:latin typeface="Calibri"/>
                  <a:ea typeface="Calibri"/>
                  <a:cs typeface="Calibri"/>
                </a:rPr>
                <a:pPr marL="0" indent="0" algn="ctr"/>
                <a:t>1727570.03</a:t>
              </a:fld>
              <a:endParaRPr lang="en-IN" sz="1400" b="1" i="0" u="none" strike="noStrike">
                <a:solidFill>
                  <a:srgbClr val="000000"/>
                </a:solidFill>
                <a:latin typeface="Calibri"/>
                <a:ea typeface="Calibri"/>
                <a:cs typeface="Calibri"/>
              </a:endParaRPr>
            </a:p>
          </xdr:txBody>
        </xdr:sp>
        <xdr:sp macro="" textlink="">
          <xdr:nvSpPr>
            <xdr:cNvPr id="7" name="TextBox 6">
              <a:extLst>
                <a:ext uri="{FF2B5EF4-FFF2-40B4-BE49-F238E27FC236}">
                  <a16:creationId xmlns:a16="http://schemas.microsoft.com/office/drawing/2014/main" id="{0C5502BF-6AAE-4274-B0FC-003DB43342E7}"/>
                </a:ext>
              </a:extLst>
            </xdr:cNvPr>
            <xdr:cNvSpPr txBox="1"/>
          </xdr:nvSpPr>
          <xdr:spPr>
            <a:xfrm>
              <a:off x="4512734" y="1185333"/>
              <a:ext cx="14054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a:t>
              </a:r>
              <a:r>
                <a:rPr lang="en-IN" sz="1600" b="0" baseline="0"/>
                <a:t> </a:t>
              </a:r>
              <a:r>
                <a:rPr lang="en-IN" sz="1600" b="1"/>
                <a:t>Profit</a:t>
              </a:r>
            </a:p>
          </xdr:txBody>
        </xdr:sp>
      </xdr:grpSp>
      <xdr:grpSp>
        <xdr:nvGrpSpPr>
          <xdr:cNvPr id="34" name="Group 33">
            <a:extLst>
              <a:ext uri="{FF2B5EF4-FFF2-40B4-BE49-F238E27FC236}">
                <a16:creationId xmlns:a16="http://schemas.microsoft.com/office/drawing/2014/main" id="{6AF0CCE1-692D-4133-4B0E-9B66BE59385B}"/>
              </a:ext>
            </a:extLst>
          </xdr:cNvPr>
          <xdr:cNvGrpSpPr/>
        </xdr:nvGrpSpPr>
        <xdr:grpSpPr>
          <a:xfrm>
            <a:off x="8915400" y="1515533"/>
            <a:ext cx="2616199" cy="848783"/>
            <a:chOff x="6400800" y="1092201"/>
            <a:chExt cx="2065866" cy="855136"/>
          </a:xfrm>
        </xdr:grpSpPr>
        <xdr:sp macro="" textlink="">
          <xdr:nvSpPr>
            <xdr:cNvPr id="5" name="Rectangle: Rounded Corners 4">
              <a:extLst>
                <a:ext uri="{FF2B5EF4-FFF2-40B4-BE49-F238E27FC236}">
                  <a16:creationId xmlns:a16="http://schemas.microsoft.com/office/drawing/2014/main" id="{8C8ECDAE-D18A-45EF-9604-F6ADDB5D1490}"/>
                </a:ext>
              </a:extLst>
            </xdr:cNvPr>
            <xdr:cNvSpPr/>
          </xdr:nvSpPr>
          <xdr:spPr>
            <a:xfrm>
              <a:off x="6400800" y="1092201"/>
              <a:ext cx="2065866" cy="85513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F2A71828-CF3A-448E-9BA0-3F04D6608C1B}"/>
                </a:ext>
              </a:extLst>
            </xdr:cNvPr>
            <xdr:cNvSpPr/>
          </xdr:nvSpPr>
          <xdr:spPr>
            <a:xfrm>
              <a:off x="6527800" y="1202270"/>
              <a:ext cx="1828800" cy="651932"/>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KPI Summary'!E18">
          <xdr:nvSpPr>
            <xdr:cNvPr id="29" name="TextBox 28">
              <a:extLst>
                <a:ext uri="{FF2B5EF4-FFF2-40B4-BE49-F238E27FC236}">
                  <a16:creationId xmlns:a16="http://schemas.microsoft.com/office/drawing/2014/main" id="{DB44BFE0-106D-4A5F-9C80-DF82EA6F10A4}"/>
                </a:ext>
              </a:extLst>
            </xdr:cNvPr>
            <xdr:cNvSpPr txBox="1"/>
          </xdr:nvSpPr>
          <xdr:spPr>
            <a:xfrm>
              <a:off x="6646335" y="1447800"/>
              <a:ext cx="150706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884DAB-C8FF-4783-8ECF-C9FAAFFC1614}" type="TxLink">
                <a:rPr lang="en-US" sz="1400" b="1" i="0" u="none" strike="noStrike">
                  <a:solidFill>
                    <a:srgbClr val="000000"/>
                  </a:solidFill>
                  <a:latin typeface="Calibri"/>
                  <a:ea typeface="Calibri"/>
                  <a:cs typeface="Calibri"/>
                </a:rPr>
                <a:pPr marL="0" indent="0" algn="ctr"/>
                <a:t>12%</a:t>
              </a:fld>
              <a:endParaRPr lang="en-IN" sz="1400" b="1" i="0" u="none" strike="noStrike">
                <a:solidFill>
                  <a:srgbClr val="000000"/>
                </a:solidFill>
                <a:latin typeface="Calibri"/>
                <a:ea typeface="Calibri"/>
                <a:cs typeface="Calibri"/>
              </a:endParaRPr>
            </a:p>
          </xdr:txBody>
        </xdr:sp>
        <xdr:sp macro="" textlink="">
          <xdr:nvSpPr>
            <xdr:cNvPr id="10" name="TextBox 9">
              <a:extLst>
                <a:ext uri="{FF2B5EF4-FFF2-40B4-BE49-F238E27FC236}">
                  <a16:creationId xmlns:a16="http://schemas.microsoft.com/office/drawing/2014/main" id="{F03EBA7A-3585-43ED-A8F1-FA5686282B99}"/>
                </a:ext>
              </a:extLst>
            </xdr:cNvPr>
            <xdr:cNvSpPr txBox="1"/>
          </xdr:nvSpPr>
          <xdr:spPr>
            <a:xfrm>
              <a:off x="6434667" y="1193799"/>
              <a:ext cx="2015067"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OveallProfit Margin</a:t>
              </a:r>
            </a:p>
          </xdr:txBody>
        </xdr:sp>
      </xdr:grpSp>
      <xdr:sp macro="" textlink="">
        <xdr:nvSpPr>
          <xdr:cNvPr id="40" name="Rectangle: Rounded Corners 39">
            <a:extLst>
              <a:ext uri="{FF2B5EF4-FFF2-40B4-BE49-F238E27FC236}">
                <a16:creationId xmlns:a16="http://schemas.microsoft.com/office/drawing/2014/main" id="{4C8FB395-C62E-4247-A51F-CBF4F325D6FC}"/>
              </a:ext>
            </a:extLst>
          </xdr:cNvPr>
          <xdr:cNvSpPr/>
        </xdr:nvSpPr>
        <xdr:spPr>
          <a:xfrm>
            <a:off x="2921002" y="908050"/>
            <a:ext cx="7785098" cy="444500"/>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000" b="1"/>
              <a:t>REVENUE &amp; PROFITABILITY ANALYSIS</a:t>
            </a:r>
            <a:endParaRPr lang="en-IN" sz="2000" b="1">
              <a:solidFill>
                <a:schemeClr val="lt1"/>
              </a:solidFill>
              <a:latin typeface="+mn-lt"/>
              <a:ea typeface="+mn-ea"/>
              <a:cs typeface="+mn-cs"/>
            </a:endParaRPr>
          </a:p>
        </xdr:txBody>
      </xdr:sp>
      <xdr:graphicFrame macro="">
        <xdr:nvGraphicFramePr>
          <xdr:cNvPr id="42" name="Chart 41">
            <a:extLst>
              <a:ext uri="{FF2B5EF4-FFF2-40B4-BE49-F238E27FC236}">
                <a16:creationId xmlns:a16="http://schemas.microsoft.com/office/drawing/2014/main" id="{66F8A8B4-7E3B-431F-BFF7-A0B723DBFA88}"/>
              </a:ext>
            </a:extLst>
          </xdr:cNvPr>
          <xdr:cNvGraphicFramePr>
            <a:graphicFrameLocks/>
          </xdr:cNvGraphicFramePr>
        </xdr:nvGraphicFramePr>
        <xdr:xfrm>
          <a:off x="3170767" y="2904068"/>
          <a:ext cx="4601633" cy="290406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6" name="Chart 45">
            <a:extLst>
              <a:ext uri="{FF2B5EF4-FFF2-40B4-BE49-F238E27FC236}">
                <a16:creationId xmlns:a16="http://schemas.microsoft.com/office/drawing/2014/main" id="{D60E4376-B0E7-4A19-B9B6-1528B8273CFA}"/>
              </a:ext>
            </a:extLst>
          </xdr:cNvPr>
          <xdr:cNvGraphicFramePr>
            <a:graphicFrameLocks/>
          </xdr:cNvGraphicFramePr>
        </xdr:nvGraphicFramePr>
        <xdr:xfrm>
          <a:off x="8360833" y="2921001"/>
          <a:ext cx="4605867" cy="287866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5" name="Chart 44">
            <a:extLst>
              <a:ext uri="{FF2B5EF4-FFF2-40B4-BE49-F238E27FC236}">
                <a16:creationId xmlns:a16="http://schemas.microsoft.com/office/drawing/2014/main" id="{D7D4B8EC-8750-43A1-BEBB-9719AAF96F1D}"/>
              </a:ext>
            </a:extLst>
          </xdr:cNvPr>
          <xdr:cNvGraphicFramePr>
            <a:graphicFrameLocks/>
          </xdr:cNvGraphicFramePr>
        </xdr:nvGraphicFramePr>
        <xdr:xfrm>
          <a:off x="3263900" y="6021917"/>
          <a:ext cx="4601633" cy="26479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7" name="Chart 46">
            <a:extLst>
              <a:ext uri="{FF2B5EF4-FFF2-40B4-BE49-F238E27FC236}">
                <a16:creationId xmlns:a16="http://schemas.microsoft.com/office/drawing/2014/main" id="{B1FF62DF-A665-409D-BE25-D25122400CAE}"/>
              </a:ext>
            </a:extLst>
          </xdr:cNvPr>
          <xdr:cNvGraphicFramePr>
            <a:graphicFrameLocks/>
          </xdr:cNvGraphicFramePr>
        </xdr:nvGraphicFramePr>
        <xdr:xfrm>
          <a:off x="8216899" y="6030384"/>
          <a:ext cx="4601634" cy="264795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49" name="subscription_plan 2">
                <a:extLst>
                  <a:ext uri="{FF2B5EF4-FFF2-40B4-BE49-F238E27FC236}">
                    <a16:creationId xmlns:a16="http://schemas.microsoft.com/office/drawing/2014/main" id="{71E2C0AD-E8DA-478A-9012-B3B89B6286C2}"/>
                  </a:ext>
                </a:extLst>
              </xdr:cNvPr>
              <xdr:cNvGraphicFramePr/>
            </xdr:nvGraphicFramePr>
            <xdr:xfrm>
              <a:off x="228602" y="5272616"/>
              <a:ext cx="1841500" cy="1301750"/>
            </xdr:xfrm>
            <a:graphic>
              <a:graphicData uri="http://schemas.microsoft.com/office/drawing/2010/slicer">
                <sle:slicer xmlns:sle="http://schemas.microsoft.com/office/drawing/2010/slicer" name="subscription_plan 2"/>
              </a:graphicData>
            </a:graphic>
          </xdr:graphicFrame>
        </mc:Choice>
        <mc:Fallback xmlns="">
          <xdr:sp macro="" textlink="">
            <xdr:nvSpPr>
              <xdr:cNvPr id="0" name=""/>
              <xdr:cNvSpPr>
                <a:spLocks noTextEdit="1"/>
              </xdr:cNvSpPr>
            </xdr:nvSpPr>
            <xdr:spPr>
              <a:xfrm>
                <a:off x="1790063" y="5526616"/>
                <a:ext cx="2211857" cy="1301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region 2">
                <a:extLst>
                  <a:ext uri="{FF2B5EF4-FFF2-40B4-BE49-F238E27FC236}">
                    <a16:creationId xmlns:a16="http://schemas.microsoft.com/office/drawing/2014/main" id="{EAA4E704-BAA6-4C2B-B374-CB41E932DC43}"/>
                  </a:ext>
                </a:extLst>
              </xdr:cNvPr>
              <xdr:cNvGraphicFramePr/>
            </xdr:nvGraphicFramePr>
            <xdr:xfrm>
              <a:off x="220134" y="1532467"/>
              <a:ext cx="1841500" cy="1464733"/>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779892" y="1786467"/>
                <a:ext cx="2211857" cy="1464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industry 1">
                <a:extLst>
                  <a:ext uri="{FF2B5EF4-FFF2-40B4-BE49-F238E27FC236}">
                    <a16:creationId xmlns:a16="http://schemas.microsoft.com/office/drawing/2014/main" id="{0CD0B253-92A7-44E8-8A8A-CFAAA828E42C}"/>
                  </a:ext>
                </a:extLst>
              </xdr:cNvPr>
              <xdr:cNvGraphicFramePr/>
            </xdr:nvGraphicFramePr>
            <xdr:xfrm>
              <a:off x="220133" y="3246968"/>
              <a:ext cx="1841500" cy="174879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779890" y="3500968"/>
                <a:ext cx="2211857" cy="1748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payment_status 1">
                <a:extLst>
                  <a:ext uri="{FF2B5EF4-FFF2-40B4-BE49-F238E27FC236}">
                    <a16:creationId xmlns:a16="http://schemas.microsoft.com/office/drawing/2014/main" id="{62677EC6-69BC-4F08-882B-F5460A5EF4A0}"/>
                  </a:ext>
                </a:extLst>
              </xdr:cNvPr>
              <xdr:cNvGraphicFramePr/>
            </xdr:nvGraphicFramePr>
            <xdr:xfrm>
              <a:off x="198966" y="6807200"/>
              <a:ext cx="1841500" cy="1447800"/>
            </xdr:xfrm>
            <a:graphic>
              <a:graphicData uri="http://schemas.microsoft.com/office/drawing/2010/slicer">
                <sle:slicer xmlns:sle="http://schemas.microsoft.com/office/drawing/2010/slicer" name="payment_status 1"/>
              </a:graphicData>
            </a:graphic>
          </xdr:graphicFrame>
        </mc:Choice>
        <mc:Fallback xmlns="">
          <xdr:sp macro="" textlink="">
            <xdr:nvSpPr>
              <xdr:cNvPr id="0" name=""/>
              <xdr:cNvSpPr>
                <a:spLocks noTextEdit="1"/>
              </xdr:cNvSpPr>
            </xdr:nvSpPr>
            <xdr:spPr>
              <a:xfrm>
                <a:off x="1754466" y="7061200"/>
                <a:ext cx="2211857"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210396</xdr:colOff>
      <xdr:row>16</xdr:row>
      <xdr:rowOff>132080</xdr:rowOff>
    </xdr:from>
    <xdr:to>
      <xdr:col>27</xdr:col>
      <xdr:colOff>30480</xdr:colOff>
      <xdr:row>67</xdr:row>
      <xdr:rowOff>29032</xdr:rowOff>
    </xdr:to>
    <xdr:grpSp>
      <xdr:nvGrpSpPr>
        <xdr:cNvPr id="41" name="Group 40">
          <a:extLst>
            <a:ext uri="{FF2B5EF4-FFF2-40B4-BE49-F238E27FC236}">
              <a16:creationId xmlns:a16="http://schemas.microsoft.com/office/drawing/2014/main" id="{62847749-9F3C-FEEE-2CF5-94364AE08B29}"/>
            </a:ext>
          </a:extLst>
        </xdr:cNvPr>
        <xdr:cNvGrpSpPr/>
      </xdr:nvGrpSpPr>
      <xdr:grpSpPr>
        <a:xfrm>
          <a:off x="1429596" y="3058160"/>
          <a:ext cx="15060084" cy="9223832"/>
          <a:chOff x="1957916" y="0"/>
          <a:chExt cx="11686418" cy="9223832"/>
        </a:xfrm>
      </xdr:grpSpPr>
      <xdr:sp macro="" textlink="">
        <xdr:nvSpPr>
          <xdr:cNvPr id="2" name="Rectangle 1">
            <a:extLst>
              <a:ext uri="{FF2B5EF4-FFF2-40B4-BE49-F238E27FC236}">
                <a16:creationId xmlns:a16="http://schemas.microsoft.com/office/drawing/2014/main" id="{3A74139A-37BF-4F95-B8E4-5091CF5DCE2F}"/>
              </a:ext>
            </a:extLst>
          </xdr:cNvPr>
          <xdr:cNvSpPr/>
        </xdr:nvSpPr>
        <xdr:spPr>
          <a:xfrm>
            <a:off x="1957916" y="0"/>
            <a:ext cx="11686418" cy="9223832"/>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51337D6-B1EF-44F0-8C47-F14BC0D679D3}"/>
              </a:ext>
            </a:extLst>
          </xdr:cNvPr>
          <xdr:cNvSpPr/>
        </xdr:nvSpPr>
        <xdr:spPr>
          <a:xfrm>
            <a:off x="2379134" y="2189481"/>
            <a:ext cx="10871199" cy="6822440"/>
          </a:xfrm>
          <a:prstGeom prst="roundRect">
            <a:avLst/>
          </a:prstGeom>
          <a:solidFill>
            <a:schemeClr val="bg2">
              <a:lumMod val="90000"/>
            </a:schemeClr>
          </a:solidFill>
          <a:ln>
            <a:solidFill>
              <a:schemeClr val="accent1">
                <a:shade val="15000"/>
                <a:alpha val="91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4179EDA5-5932-4D86-92BF-F3370B3CC219}"/>
              </a:ext>
            </a:extLst>
          </xdr:cNvPr>
          <xdr:cNvSpPr/>
        </xdr:nvSpPr>
        <xdr:spPr>
          <a:xfrm>
            <a:off x="2159000" y="335282"/>
            <a:ext cx="11235267" cy="531704"/>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CUSTOMER CHURN ANALYSIS</a:t>
            </a:r>
          </a:p>
        </xdr:txBody>
      </xdr:sp>
      <xdr:grpSp>
        <xdr:nvGrpSpPr>
          <xdr:cNvPr id="13" name="Group 12">
            <a:extLst>
              <a:ext uri="{FF2B5EF4-FFF2-40B4-BE49-F238E27FC236}">
                <a16:creationId xmlns:a16="http://schemas.microsoft.com/office/drawing/2014/main" id="{8D2FDD5B-FD66-1F2E-8522-71BF6E166FAF}"/>
              </a:ext>
            </a:extLst>
          </xdr:cNvPr>
          <xdr:cNvGrpSpPr/>
        </xdr:nvGrpSpPr>
        <xdr:grpSpPr>
          <a:xfrm>
            <a:off x="2077507" y="1064685"/>
            <a:ext cx="2133601" cy="905933"/>
            <a:chOff x="2412998" y="1117601"/>
            <a:chExt cx="2133601" cy="922866"/>
          </a:xfrm>
        </xdr:grpSpPr>
        <xdr:sp macro="" textlink="">
          <xdr:nvSpPr>
            <xdr:cNvPr id="3" name="Rectangle: Rounded Corners 2">
              <a:extLst>
                <a:ext uri="{FF2B5EF4-FFF2-40B4-BE49-F238E27FC236}">
                  <a16:creationId xmlns:a16="http://schemas.microsoft.com/office/drawing/2014/main" id="{2844081C-593A-4A2A-9F75-F5E55EEC25B9}"/>
                </a:ext>
              </a:extLst>
            </xdr:cNvPr>
            <xdr:cNvSpPr/>
          </xdr:nvSpPr>
          <xdr:spPr>
            <a:xfrm>
              <a:off x="2412998" y="1117601"/>
              <a:ext cx="2133601" cy="92286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A5797321-C0F3-49AD-AC9A-CC8F8CEB8EED}"/>
                </a:ext>
              </a:extLst>
            </xdr:cNvPr>
            <xdr:cNvSpPr/>
          </xdr:nvSpPr>
          <xdr:spPr>
            <a:xfrm>
              <a:off x="2539998" y="1219204"/>
              <a:ext cx="1879602" cy="761997"/>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Churn Rate by Industry'!R12">
          <xdr:nvSpPr>
            <xdr:cNvPr id="17" name="TextBox 16">
              <a:extLst>
                <a:ext uri="{FF2B5EF4-FFF2-40B4-BE49-F238E27FC236}">
                  <a16:creationId xmlns:a16="http://schemas.microsoft.com/office/drawing/2014/main" id="{DF26EB1A-816E-441A-B9FB-5DEE7E15D275}"/>
                </a:ext>
              </a:extLst>
            </xdr:cNvPr>
            <xdr:cNvSpPr txBox="1"/>
          </xdr:nvSpPr>
          <xdr:spPr>
            <a:xfrm>
              <a:off x="2633134" y="1481664"/>
              <a:ext cx="1617132" cy="37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FA2923-8666-4834-9060-E6B081EF9BC4}" type="TxLink">
                <a:rPr lang="en-US" sz="1400" b="1" i="0" u="none" strike="noStrike">
                  <a:solidFill>
                    <a:srgbClr val="000000"/>
                  </a:solidFill>
                  <a:latin typeface="Calibri"/>
                  <a:ea typeface="Calibri"/>
                  <a:cs typeface="Calibri"/>
                </a:rPr>
                <a:pPr algn="ctr"/>
                <a:t>49%</a:t>
              </a:fld>
              <a:endParaRPr lang="en-IN" sz="1400" b="1"/>
            </a:p>
          </xdr:txBody>
        </xdr:sp>
        <xdr:sp macro="" textlink="">
          <xdr:nvSpPr>
            <xdr:cNvPr id="23" name="TextBox 22">
              <a:extLst>
                <a:ext uri="{FF2B5EF4-FFF2-40B4-BE49-F238E27FC236}">
                  <a16:creationId xmlns:a16="http://schemas.microsoft.com/office/drawing/2014/main" id="{4E5F2C01-32D7-423C-B4A7-173C2E10E631}"/>
                </a:ext>
              </a:extLst>
            </xdr:cNvPr>
            <xdr:cNvSpPr txBox="1"/>
          </xdr:nvSpPr>
          <xdr:spPr>
            <a:xfrm>
              <a:off x="2582335" y="1202266"/>
              <a:ext cx="17780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Overall Churn Rate</a:t>
              </a:r>
            </a:p>
          </xdr:txBody>
        </xdr:sp>
      </xdr:grpSp>
      <xdr:grpSp>
        <xdr:nvGrpSpPr>
          <xdr:cNvPr id="33" name="Group 32">
            <a:extLst>
              <a:ext uri="{FF2B5EF4-FFF2-40B4-BE49-F238E27FC236}">
                <a16:creationId xmlns:a16="http://schemas.microsoft.com/office/drawing/2014/main" id="{3D610F9B-67DC-B942-2097-9E7496DFA1E9}"/>
              </a:ext>
            </a:extLst>
          </xdr:cNvPr>
          <xdr:cNvGrpSpPr/>
        </xdr:nvGrpSpPr>
        <xdr:grpSpPr>
          <a:xfrm>
            <a:off x="4368799" y="1105747"/>
            <a:ext cx="4250267" cy="892386"/>
            <a:chOff x="4512733" y="1066801"/>
            <a:chExt cx="4250267" cy="931332"/>
          </a:xfrm>
        </xdr:grpSpPr>
        <xdr:sp macro="" textlink="">
          <xdr:nvSpPr>
            <xdr:cNvPr id="4" name="Rectangle: Rounded Corners 3">
              <a:extLst>
                <a:ext uri="{FF2B5EF4-FFF2-40B4-BE49-F238E27FC236}">
                  <a16:creationId xmlns:a16="http://schemas.microsoft.com/office/drawing/2014/main" id="{A45EE3B8-2B93-42C4-A8F1-78BB5C644751}"/>
                </a:ext>
              </a:extLst>
            </xdr:cNvPr>
            <xdr:cNvSpPr/>
          </xdr:nvSpPr>
          <xdr:spPr>
            <a:xfrm>
              <a:off x="4512733" y="1066801"/>
              <a:ext cx="4250267" cy="93133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8D1C6C01-2A0D-46D8-B933-532F158D95E3}"/>
                </a:ext>
              </a:extLst>
            </xdr:cNvPr>
            <xdr:cNvSpPr/>
          </xdr:nvSpPr>
          <xdr:spPr>
            <a:xfrm>
              <a:off x="4588935" y="1159936"/>
              <a:ext cx="4089400" cy="736598"/>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Churn Rate by Tenure Segment'!M7">
          <xdr:nvSpPr>
            <xdr:cNvPr id="18" name="TextBox 17">
              <a:extLst>
                <a:ext uri="{FF2B5EF4-FFF2-40B4-BE49-F238E27FC236}">
                  <a16:creationId xmlns:a16="http://schemas.microsoft.com/office/drawing/2014/main" id="{6F68BBFD-3DDA-4D94-81CF-15D0574E1AF8}"/>
                </a:ext>
              </a:extLst>
            </xdr:cNvPr>
            <xdr:cNvSpPr txBox="1"/>
          </xdr:nvSpPr>
          <xdr:spPr>
            <a:xfrm>
              <a:off x="5842001" y="1481666"/>
              <a:ext cx="1507067" cy="372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62E006-299B-4E7D-95E8-1EDC6E9C8BE8}" type="TxLink">
                <a:rPr lang="en-US" sz="1400" b="1" i="0" u="none" strike="noStrike">
                  <a:solidFill>
                    <a:srgbClr val="000000"/>
                  </a:solidFill>
                  <a:latin typeface="Calibri"/>
                  <a:ea typeface="Calibri"/>
                  <a:cs typeface="Calibri"/>
                </a:rPr>
                <a:pPr marL="0" indent="0" algn="ctr"/>
                <a:t>9.91</a:t>
              </a:fld>
              <a:endParaRPr lang="en-IN" sz="1400" b="1" i="0" u="none" strike="noStrike">
                <a:solidFill>
                  <a:srgbClr val="000000"/>
                </a:solidFill>
                <a:latin typeface="Calibri"/>
                <a:ea typeface="Calibri"/>
                <a:cs typeface="Calibri"/>
              </a:endParaRPr>
            </a:p>
          </xdr:txBody>
        </xdr:sp>
        <xdr:sp macro="" textlink="">
          <xdr:nvSpPr>
            <xdr:cNvPr id="32" name="TextBox 31">
              <a:extLst>
                <a:ext uri="{FF2B5EF4-FFF2-40B4-BE49-F238E27FC236}">
                  <a16:creationId xmlns:a16="http://schemas.microsoft.com/office/drawing/2014/main" id="{883C955A-AC03-4BED-B06E-F8034ADB7450}"/>
                </a:ext>
              </a:extLst>
            </xdr:cNvPr>
            <xdr:cNvSpPr txBox="1"/>
          </xdr:nvSpPr>
          <xdr:spPr>
            <a:xfrm>
              <a:off x="4707466" y="1193799"/>
              <a:ext cx="3903133"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Average Tenure of Churned Customers</a:t>
              </a:r>
            </a:p>
          </xdr:txBody>
        </xdr:sp>
      </xdr:grpSp>
      <xdr:graphicFrame macro="">
        <xdr:nvGraphicFramePr>
          <xdr:cNvPr id="5" name="Chart 4">
            <a:extLst>
              <a:ext uri="{FF2B5EF4-FFF2-40B4-BE49-F238E27FC236}">
                <a16:creationId xmlns:a16="http://schemas.microsoft.com/office/drawing/2014/main" id="{48146C1D-4504-4E64-B423-BACD2E1DB9F7}"/>
              </a:ext>
            </a:extLst>
          </xdr:cNvPr>
          <xdr:cNvGraphicFramePr>
            <a:graphicFrameLocks/>
          </xdr:cNvGraphicFramePr>
        </xdr:nvGraphicFramePr>
        <xdr:xfrm>
          <a:off x="3115734" y="5256106"/>
          <a:ext cx="9508065" cy="3491654"/>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14" name="Group 13">
            <a:extLst>
              <a:ext uri="{FF2B5EF4-FFF2-40B4-BE49-F238E27FC236}">
                <a16:creationId xmlns:a16="http://schemas.microsoft.com/office/drawing/2014/main" id="{4A7F15DE-04B1-4AA5-95D7-F05688BE383F}"/>
              </a:ext>
            </a:extLst>
          </xdr:cNvPr>
          <xdr:cNvGrpSpPr/>
        </xdr:nvGrpSpPr>
        <xdr:grpSpPr>
          <a:xfrm>
            <a:off x="8746067" y="1144446"/>
            <a:ext cx="2277532" cy="853686"/>
            <a:chOff x="8602134" y="1117600"/>
            <a:chExt cx="2302934" cy="863600"/>
          </a:xfrm>
        </xdr:grpSpPr>
        <xdr:sp macro="" textlink="">
          <xdr:nvSpPr>
            <xdr:cNvPr id="19" name="Rectangle: Rounded Corners 18">
              <a:extLst>
                <a:ext uri="{FF2B5EF4-FFF2-40B4-BE49-F238E27FC236}">
                  <a16:creationId xmlns:a16="http://schemas.microsoft.com/office/drawing/2014/main" id="{4463401E-9156-9875-DE85-00131349108F}"/>
                </a:ext>
              </a:extLst>
            </xdr:cNvPr>
            <xdr:cNvSpPr/>
          </xdr:nvSpPr>
          <xdr:spPr>
            <a:xfrm>
              <a:off x="8602134" y="1117600"/>
              <a:ext cx="2286000" cy="8636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411048AF-F4FF-20B0-B7FC-8D54CAC81D35}"/>
                </a:ext>
              </a:extLst>
            </xdr:cNvPr>
            <xdr:cNvSpPr/>
          </xdr:nvSpPr>
          <xdr:spPr>
            <a:xfrm>
              <a:off x="8720666" y="1219203"/>
              <a:ext cx="2082800" cy="651932"/>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KPI Summary'!F14">
          <xdr:nvSpPr>
            <xdr:cNvPr id="21" name="TextBox 20">
              <a:extLst>
                <a:ext uri="{FF2B5EF4-FFF2-40B4-BE49-F238E27FC236}">
                  <a16:creationId xmlns:a16="http://schemas.microsoft.com/office/drawing/2014/main" id="{C86D3C86-D1B6-5382-8A39-87979F37B07C}"/>
                </a:ext>
              </a:extLst>
            </xdr:cNvPr>
            <xdr:cNvSpPr txBox="1"/>
          </xdr:nvSpPr>
          <xdr:spPr>
            <a:xfrm>
              <a:off x="9008536" y="1507067"/>
              <a:ext cx="1507067"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53C80F-1E63-496B-A629-D417506470D1}" type="TxLink">
                <a:rPr lang="en-US" sz="1400" b="1" i="0" u="none" strike="noStrike">
                  <a:solidFill>
                    <a:srgbClr val="000000"/>
                  </a:solidFill>
                  <a:latin typeface="Calibri"/>
                  <a:ea typeface="Calibri"/>
                  <a:cs typeface="Calibri"/>
                </a:rPr>
                <a:pPr marL="0" indent="0" algn="ctr"/>
                <a:t>1203</a:t>
              </a:fld>
              <a:endParaRPr lang="en-IN" sz="1400" b="1" i="0" u="none" strike="noStrike">
                <a:solidFill>
                  <a:srgbClr val="000000"/>
                </a:solidFill>
                <a:latin typeface="Calibri"/>
                <a:ea typeface="Calibri"/>
                <a:cs typeface="Calibri"/>
              </a:endParaRPr>
            </a:p>
          </xdr:txBody>
        </xdr:sp>
        <xdr:sp macro="" textlink="">
          <xdr:nvSpPr>
            <xdr:cNvPr id="22" name="TextBox 21">
              <a:extLst>
                <a:ext uri="{FF2B5EF4-FFF2-40B4-BE49-F238E27FC236}">
                  <a16:creationId xmlns:a16="http://schemas.microsoft.com/office/drawing/2014/main" id="{DEC245F2-AFAD-02CE-B765-67B6403C48A3}"/>
                </a:ext>
              </a:extLst>
            </xdr:cNvPr>
            <xdr:cNvSpPr txBox="1"/>
          </xdr:nvSpPr>
          <xdr:spPr>
            <a:xfrm>
              <a:off x="8636000" y="1210732"/>
              <a:ext cx="2269068"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Loss-Making Customers</a:t>
              </a:r>
            </a:p>
          </xdr:txBody>
        </xdr:sp>
      </xdr:grpSp>
      <xdr:grpSp>
        <xdr:nvGrpSpPr>
          <xdr:cNvPr id="30" name="Group 29">
            <a:extLst>
              <a:ext uri="{FF2B5EF4-FFF2-40B4-BE49-F238E27FC236}">
                <a16:creationId xmlns:a16="http://schemas.microsoft.com/office/drawing/2014/main" id="{380E56F2-0FA9-4365-A5DF-71C6CAA5680E}"/>
              </a:ext>
            </a:extLst>
          </xdr:cNvPr>
          <xdr:cNvGrpSpPr/>
        </xdr:nvGrpSpPr>
        <xdr:grpSpPr>
          <a:xfrm>
            <a:off x="11108266" y="1119047"/>
            <a:ext cx="2523064" cy="875450"/>
            <a:chOff x="10955868" y="1083736"/>
            <a:chExt cx="2523064" cy="888997"/>
          </a:xfrm>
        </xdr:grpSpPr>
        <xdr:sp macro="" textlink="">
          <xdr:nvSpPr>
            <xdr:cNvPr id="31" name="Rectangle: Rounded Corners 30">
              <a:extLst>
                <a:ext uri="{FF2B5EF4-FFF2-40B4-BE49-F238E27FC236}">
                  <a16:creationId xmlns:a16="http://schemas.microsoft.com/office/drawing/2014/main" id="{337360F6-8FB1-E04F-DDAE-E3B66B2F6843}"/>
                </a:ext>
              </a:extLst>
            </xdr:cNvPr>
            <xdr:cNvSpPr/>
          </xdr:nvSpPr>
          <xdr:spPr>
            <a:xfrm>
              <a:off x="10955868" y="1083736"/>
              <a:ext cx="2446866" cy="88899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92044B12-2A48-4DB7-9F9B-69ADA144D5FE}"/>
                </a:ext>
              </a:extLst>
            </xdr:cNvPr>
            <xdr:cNvSpPr/>
          </xdr:nvSpPr>
          <xdr:spPr>
            <a:xfrm>
              <a:off x="11074401" y="1193803"/>
              <a:ext cx="2260600" cy="668863"/>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KPI Summary'!G22">
          <xdr:nvSpPr>
            <xdr:cNvPr id="36" name="TextBox 35">
              <a:extLst>
                <a:ext uri="{FF2B5EF4-FFF2-40B4-BE49-F238E27FC236}">
                  <a16:creationId xmlns:a16="http://schemas.microsoft.com/office/drawing/2014/main" id="{4F2C0203-3D16-B061-533D-6141D13F595B}"/>
                </a:ext>
              </a:extLst>
            </xdr:cNvPr>
            <xdr:cNvSpPr txBox="1"/>
          </xdr:nvSpPr>
          <xdr:spPr>
            <a:xfrm>
              <a:off x="11379202" y="1464732"/>
              <a:ext cx="1507067"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A091B8-995A-4C4F-9467-785CF2116E40}" type="TxLink">
                <a:rPr lang="en-US" sz="1400" b="1" i="0" u="none" strike="noStrike">
                  <a:solidFill>
                    <a:srgbClr val="000000"/>
                  </a:solidFill>
                  <a:latin typeface="Calibri"/>
                  <a:ea typeface="Calibri"/>
                  <a:cs typeface="Calibri"/>
                </a:rPr>
                <a:pPr marL="0" indent="0" algn="ctr"/>
                <a:t>40%</a:t>
              </a:fld>
              <a:endParaRPr lang="en-IN" sz="1400" b="1" i="0" u="none" strike="noStrike">
                <a:solidFill>
                  <a:srgbClr val="000000"/>
                </a:solidFill>
                <a:latin typeface="Calibri"/>
                <a:ea typeface="Calibri"/>
                <a:cs typeface="Calibri"/>
              </a:endParaRPr>
            </a:p>
          </xdr:txBody>
        </xdr:sp>
        <xdr:sp macro="" textlink="">
          <xdr:nvSpPr>
            <xdr:cNvPr id="37" name="TextBox 36">
              <a:extLst>
                <a:ext uri="{FF2B5EF4-FFF2-40B4-BE49-F238E27FC236}">
                  <a16:creationId xmlns:a16="http://schemas.microsoft.com/office/drawing/2014/main" id="{870D7221-6746-C776-38C0-F2DB41BB0D18}"/>
                </a:ext>
              </a:extLst>
            </xdr:cNvPr>
            <xdr:cNvSpPr txBox="1"/>
          </xdr:nvSpPr>
          <xdr:spPr>
            <a:xfrm>
              <a:off x="10998199" y="1185332"/>
              <a:ext cx="2480733"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 Loss-Making Customers</a:t>
              </a:r>
              <a:endParaRPr lang="en-IN" sz="1600" b="1"/>
            </a:p>
          </xdr:txBody>
        </xdr:sp>
      </xdr:grpSp>
      <xdr:graphicFrame macro="">
        <xdr:nvGraphicFramePr>
          <xdr:cNvPr id="39" name="Chart 38">
            <a:extLst>
              <a:ext uri="{FF2B5EF4-FFF2-40B4-BE49-F238E27FC236}">
                <a16:creationId xmlns:a16="http://schemas.microsoft.com/office/drawing/2014/main" id="{E8E5293A-35A7-4046-9CA1-90DEA85A02FE}"/>
              </a:ext>
            </a:extLst>
          </xdr:cNvPr>
          <xdr:cNvGraphicFramePr>
            <a:graphicFrameLocks/>
          </xdr:cNvGraphicFramePr>
        </xdr:nvGraphicFramePr>
        <xdr:xfrm>
          <a:off x="3149600" y="2436707"/>
          <a:ext cx="4572000" cy="26924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0" name="Chart 39">
            <a:extLst>
              <a:ext uri="{FF2B5EF4-FFF2-40B4-BE49-F238E27FC236}">
                <a16:creationId xmlns:a16="http://schemas.microsoft.com/office/drawing/2014/main" id="{7163A546-BE06-438A-B8CB-3ACE1D4D1B86}"/>
              </a:ext>
            </a:extLst>
          </xdr:cNvPr>
          <xdr:cNvGraphicFramePr>
            <a:graphicFrameLocks/>
          </xdr:cNvGraphicFramePr>
        </xdr:nvGraphicFramePr>
        <xdr:xfrm>
          <a:off x="8009467" y="2436707"/>
          <a:ext cx="4572000" cy="26924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225706</xdr:colOff>
      <xdr:row>0</xdr:row>
      <xdr:rowOff>153149</xdr:rowOff>
    </xdr:from>
    <xdr:to>
      <xdr:col>27</xdr:col>
      <xdr:colOff>67518</xdr:colOff>
      <xdr:row>49</xdr:row>
      <xdr:rowOff>113816</xdr:rowOff>
    </xdr:to>
    <xdr:grpSp>
      <xdr:nvGrpSpPr>
        <xdr:cNvPr id="65" name="Group 55">
          <a:extLst>
            <a:ext uri="{FF2B5EF4-FFF2-40B4-BE49-F238E27FC236}">
              <a16:creationId xmlns:a16="http://schemas.microsoft.com/office/drawing/2014/main" id="{B919E0CC-C7DD-4575-3C57-9F8842A8869C}"/>
            </a:ext>
          </a:extLst>
        </xdr:cNvPr>
        <xdr:cNvGrpSpPr/>
      </xdr:nvGrpSpPr>
      <xdr:grpSpPr>
        <a:xfrm>
          <a:off x="1441048" y="153149"/>
          <a:ext cx="15033584" cy="8940692"/>
          <a:chOff x="2133600" y="0"/>
          <a:chExt cx="11686418" cy="9084733"/>
        </a:xfrm>
      </xdr:grpSpPr>
      <xdr:sp macro="" textlink="">
        <xdr:nvSpPr>
          <xdr:cNvPr id="66" name="Rectangle 1">
            <a:extLst>
              <a:ext uri="{FF2B5EF4-FFF2-40B4-BE49-F238E27FC236}">
                <a16:creationId xmlns:a16="http://schemas.microsoft.com/office/drawing/2014/main" id="{C6029C84-82B0-4AA6-9767-8F289C4CB898}"/>
              </a:ext>
            </a:extLst>
          </xdr:cNvPr>
          <xdr:cNvSpPr/>
        </xdr:nvSpPr>
        <xdr:spPr>
          <a:xfrm>
            <a:off x="2133600" y="0"/>
            <a:ext cx="11686418" cy="9084733"/>
          </a:xfrm>
          <a:prstGeom prst="rect">
            <a:avLst/>
          </a:prstGeom>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7" name="Rectangle: Rounded Corners 7">
            <a:extLst>
              <a:ext uri="{FF2B5EF4-FFF2-40B4-BE49-F238E27FC236}">
                <a16:creationId xmlns:a16="http://schemas.microsoft.com/office/drawing/2014/main" id="{11C80D0F-7A57-4069-8308-26C3AC1D8744}"/>
              </a:ext>
            </a:extLst>
          </xdr:cNvPr>
          <xdr:cNvSpPr/>
        </xdr:nvSpPr>
        <xdr:spPr>
          <a:xfrm>
            <a:off x="2353733" y="2277533"/>
            <a:ext cx="11032067" cy="627380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8" name="Rectangle: Rounded Corners 8">
            <a:extLst>
              <a:ext uri="{FF2B5EF4-FFF2-40B4-BE49-F238E27FC236}">
                <a16:creationId xmlns:a16="http://schemas.microsoft.com/office/drawing/2014/main" id="{5787BD9E-9569-4DFC-B811-4F2458827F6E}"/>
              </a:ext>
            </a:extLst>
          </xdr:cNvPr>
          <xdr:cNvSpPr/>
        </xdr:nvSpPr>
        <xdr:spPr>
          <a:xfrm>
            <a:off x="2413000" y="2362200"/>
            <a:ext cx="10871199" cy="6070600"/>
          </a:xfrm>
          <a:prstGeom prst="roundRect">
            <a:avLst/>
          </a:prstGeom>
          <a:solidFill>
            <a:schemeClr val="bg2">
              <a:lumMod val="90000"/>
            </a:schemeClr>
          </a:solidFill>
          <a:ln>
            <a:solidFill>
              <a:schemeClr val="accent1">
                <a:shade val="15000"/>
                <a:alpha val="91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Rectangle: Rounded Corners 14">
            <a:extLst>
              <a:ext uri="{FF2B5EF4-FFF2-40B4-BE49-F238E27FC236}">
                <a16:creationId xmlns:a16="http://schemas.microsoft.com/office/drawing/2014/main" id="{800B43E1-C4BF-4194-9123-ABBAD70363DD}"/>
              </a:ext>
            </a:extLst>
          </xdr:cNvPr>
          <xdr:cNvSpPr/>
        </xdr:nvSpPr>
        <xdr:spPr>
          <a:xfrm>
            <a:off x="2203677" y="237118"/>
            <a:ext cx="11068635" cy="75397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Rounded Corners 15">
            <a:extLst>
              <a:ext uri="{FF2B5EF4-FFF2-40B4-BE49-F238E27FC236}">
                <a16:creationId xmlns:a16="http://schemas.microsoft.com/office/drawing/2014/main" id="{1B216538-2D08-4410-A00F-AAB610B27ABC}"/>
              </a:ext>
            </a:extLst>
          </xdr:cNvPr>
          <xdr:cNvSpPr/>
        </xdr:nvSpPr>
        <xdr:spPr>
          <a:xfrm>
            <a:off x="2284694" y="295228"/>
            <a:ext cx="10920091" cy="637063"/>
          </a:xfrm>
          <a:prstGeom prst="roundRect">
            <a:avLst/>
          </a:prstGeom>
          <a:solidFill>
            <a:schemeClr val="tx1"/>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2400" b="1"/>
              <a:t>RISK ANALYSIS</a:t>
            </a:r>
            <a:endParaRPr lang="en-IN" sz="2400" b="1">
              <a:solidFill>
                <a:schemeClr val="lt1"/>
              </a:solidFill>
              <a:latin typeface="+mn-lt"/>
              <a:ea typeface="+mn-ea"/>
              <a:cs typeface="+mn-cs"/>
            </a:endParaRPr>
          </a:p>
        </xdr:txBody>
      </xdr:sp>
      <xdr:grpSp>
        <xdr:nvGrpSpPr>
          <xdr:cNvPr id="71" name="Group 31">
            <a:extLst>
              <a:ext uri="{FF2B5EF4-FFF2-40B4-BE49-F238E27FC236}">
                <a16:creationId xmlns:a16="http://schemas.microsoft.com/office/drawing/2014/main" id="{D6D9575D-AD2F-CC73-4617-AC2D0613C3B5}"/>
              </a:ext>
            </a:extLst>
          </xdr:cNvPr>
          <xdr:cNvGrpSpPr/>
        </xdr:nvGrpSpPr>
        <xdr:grpSpPr>
          <a:xfrm>
            <a:off x="3217334" y="1303870"/>
            <a:ext cx="3640669" cy="821267"/>
            <a:chOff x="5909733" y="1066803"/>
            <a:chExt cx="2802467" cy="821267"/>
          </a:xfrm>
        </xdr:grpSpPr>
        <xdr:sp macro="" textlink="">
          <xdr:nvSpPr>
            <xdr:cNvPr id="72" name="Rectangle: Rounded Corners 4">
              <a:extLst>
                <a:ext uri="{FF2B5EF4-FFF2-40B4-BE49-F238E27FC236}">
                  <a16:creationId xmlns:a16="http://schemas.microsoft.com/office/drawing/2014/main" id="{348C50AB-EA6F-4D00-B13B-C7068EE21B23}"/>
                </a:ext>
              </a:extLst>
            </xdr:cNvPr>
            <xdr:cNvSpPr/>
          </xdr:nvSpPr>
          <xdr:spPr>
            <a:xfrm>
              <a:off x="5909733" y="1066803"/>
              <a:ext cx="2802467" cy="82126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3" name="Rectangle: Rounded Corners 11">
              <a:extLst>
                <a:ext uri="{FF2B5EF4-FFF2-40B4-BE49-F238E27FC236}">
                  <a16:creationId xmlns:a16="http://schemas.microsoft.com/office/drawing/2014/main" id="{43F3AEF4-A895-4928-AC6C-0B5802FD0B22}"/>
                </a:ext>
              </a:extLst>
            </xdr:cNvPr>
            <xdr:cNvSpPr/>
          </xdr:nvSpPr>
          <xdr:spPr>
            <a:xfrm>
              <a:off x="6002867" y="1134536"/>
              <a:ext cx="2599266" cy="651932"/>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C$1">
          <xdr:nvSpPr>
            <xdr:cNvPr id="74" name="TextBox 18">
              <a:extLst>
                <a:ext uri="{FF2B5EF4-FFF2-40B4-BE49-F238E27FC236}">
                  <a16:creationId xmlns:a16="http://schemas.microsoft.com/office/drawing/2014/main" id="{9BC6FA12-7775-4F79-85C2-7D01684E2F3F}"/>
                </a:ext>
              </a:extLst>
            </xdr:cNvPr>
            <xdr:cNvSpPr txBox="1"/>
          </xdr:nvSpPr>
          <xdr:spPr>
            <a:xfrm>
              <a:off x="7078135" y="1439333"/>
              <a:ext cx="1507067"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D209D4-BAC3-4EF4-8427-C81AFC296A5B}" type="TxLink">
                <a:rPr lang="en-US" sz="1100" b="0" i="0" u="none" strike="noStrike">
                  <a:solidFill>
                    <a:srgbClr val="000000"/>
                  </a:solidFill>
                  <a:latin typeface="Calibri"/>
                  <a:ea typeface="Calibri"/>
                  <a:cs typeface="Calibri"/>
                </a:rPr>
                <a:pPr/>
                <a:t> </a:t>
              </a:fld>
              <a:endParaRPr lang="en-IN" sz="1400" b="1"/>
            </a:p>
          </xdr:txBody>
        </xdr:sp>
        <xdr:sp macro="" textlink="#REF!">
          <xdr:nvSpPr>
            <xdr:cNvPr id="75" name="TextBox 21">
              <a:extLst>
                <a:ext uri="{FF2B5EF4-FFF2-40B4-BE49-F238E27FC236}">
                  <a16:creationId xmlns:a16="http://schemas.microsoft.com/office/drawing/2014/main" id="{65317AA6-FF90-46BC-AD79-6C7F94842A3C}"/>
                </a:ext>
              </a:extLst>
            </xdr:cNvPr>
            <xdr:cNvSpPr txBox="1"/>
          </xdr:nvSpPr>
          <xdr:spPr>
            <a:xfrm>
              <a:off x="6460068" y="1397000"/>
              <a:ext cx="150706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1906C21-3F55-4A90-943D-1648A2582B76}" type="TxLink">
                <a:rPr lang="en-US" sz="1400" b="1" i="0" u="none" strike="noStrike">
                  <a:solidFill>
                    <a:srgbClr val="000000"/>
                  </a:solidFill>
                  <a:latin typeface="Calibri"/>
                  <a:ea typeface="Calibri"/>
                  <a:cs typeface="Calibri"/>
                </a:rPr>
                <a:pPr marL="0" indent="0" algn="ctr"/>
                <a:t>24%</a:t>
              </a:fld>
              <a:endParaRPr lang="en-IN" sz="1400" b="1" i="0" u="none" strike="noStrike">
                <a:solidFill>
                  <a:srgbClr val="000000"/>
                </a:solidFill>
                <a:latin typeface="Calibri"/>
                <a:ea typeface="Calibri"/>
                <a:cs typeface="Calibri"/>
              </a:endParaRPr>
            </a:p>
          </xdr:txBody>
        </xdr:sp>
        <xdr:sp macro="" textlink="">
          <xdr:nvSpPr>
            <xdr:cNvPr id="76" name="TextBox 24">
              <a:extLst>
                <a:ext uri="{FF2B5EF4-FFF2-40B4-BE49-F238E27FC236}">
                  <a16:creationId xmlns:a16="http://schemas.microsoft.com/office/drawing/2014/main" id="{46B9E28C-A394-4FAE-A7D5-175B089E1364}"/>
                </a:ext>
              </a:extLst>
            </xdr:cNvPr>
            <xdr:cNvSpPr txBox="1"/>
          </xdr:nvSpPr>
          <xdr:spPr>
            <a:xfrm>
              <a:off x="5909733" y="1168399"/>
              <a:ext cx="2760135"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 Revenue at Risk (Overdue)</a:t>
              </a:r>
            </a:p>
          </xdr:txBody>
        </xdr:sp>
      </xdr:grpSp>
      <xdr:grpSp>
        <xdr:nvGrpSpPr>
          <xdr:cNvPr id="77" name="Group 34">
            <a:extLst>
              <a:ext uri="{FF2B5EF4-FFF2-40B4-BE49-F238E27FC236}">
                <a16:creationId xmlns:a16="http://schemas.microsoft.com/office/drawing/2014/main" id="{EA13847F-8A23-4F03-0DB2-C82C130A2731}"/>
              </a:ext>
            </a:extLst>
          </xdr:cNvPr>
          <xdr:cNvGrpSpPr/>
        </xdr:nvGrpSpPr>
        <xdr:grpSpPr>
          <a:xfrm>
            <a:off x="7323667" y="1278471"/>
            <a:ext cx="2810932" cy="821267"/>
            <a:chOff x="9093201" y="1083737"/>
            <a:chExt cx="2142066" cy="821267"/>
          </a:xfrm>
        </xdr:grpSpPr>
        <xdr:sp macro="" textlink="">
          <xdr:nvSpPr>
            <xdr:cNvPr id="78" name="Rectangle: Rounded Corners 6">
              <a:extLst>
                <a:ext uri="{FF2B5EF4-FFF2-40B4-BE49-F238E27FC236}">
                  <a16:creationId xmlns:a16="http://schemas.microsoft.com/office/drawing/2014/main" id="{27E7DC88-A0DA-4246-ABF4-F873D584E9DD}"/>
                </a:ext>
              </a:extLst>
            </xdr:cNvPr>
            <xdr:cNvSpPr/>
          </xdr:nvSpPr>
          <xdr:spPr>
            <a:xfrm>
              <a:off x="9093201" y="1083737"/>
              <a:ext cx="2142066" cy="82126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9" name="Rectangle: Rounded Corners 13">
              <a:extLst>
                <a:ext uri="{FF2B5EF4-FFF2-40B4-BE49-F238E27FC236}">
                  <a16:creationId xmlns:a16="http://schemas.microsoft.com/office/drawing/2014/main" id="{E90A479D-9868-40CE-B82D-A62D24D1DA83}"/>
                </a:ext>
              </a:extLst>
            </xdr:cNvPr>
            <xdr:cNvSpPr/>
          </xdr:nvSpPr>
          <xdr:spPr>
            <a:xfrm>
              <a:off x="9203268" y="1159933"/>
              <a:ext cx="1913466" cy="694269"/>
            </a:xfrm>
            <a:prstGeom prst="roundRect">
              <a:avLst/>
            </a:prstGeom>
            <a:solidFill>
              <a:schemeClr val="bg2">
                <a:lumMod val="9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KPI Summary'!G22">
          <xdr:nvSpPr>
            <xdr:cNvPr id="80" name="TextBox 20">
              <a:extLst>
                <a:ext uri="{FF2B5EF4-FFF2-40B4-BE49-F238E27FC236}">
                  <a16:creationId xmlns:a16="http://schemas.microsoft.com/office/drawing/2014/main" id="{4D8A440D-06A0-4254-B9EB-8D891A5C4B92}"/>
                </a:ext>
              </a:extLst>
            </xdr:cNvPr>
            <xdr:cNvSpPr txBox="1"/>
          </xdr:nvSpPr>
          <xdr:spPr>
            <a:xfrm>
              <a:off x="9364136" y="1481666"/>
              <a:ext cx="1507067"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6A091B8-995A-4C4F-9467-785CF2116E40}" type="TxLink">
                <a:rPr lang="en-US" sz="1400" b="1" i="0" u="none" strike="noStrike">
                  <a:solidFill>
                    <a:srgbClr val="000000"/>
                  </a:solidFill>
                  <a:latin typeface="Calibri"/>
                  <a:ea typeface="Calibri"/>
                  <a:cs typeface="Calibri"/>
                </a:rPr>
                <a:pPr marL="0" indent="0" algn="ctr"/>
                <a:t>40%</a:t>
              </a:fld>
              <a:endParaRPr lang="en-IN" sz="1400" b="1" i="0" u="none" strike="noStrike">
                <a:solidFill>
                  <a:srgbClr val="000000"/>
                </a:solidFill>
                <a:latin typeface="Calibri"/>
                <a:ea typeface="Calibri"/>
                <a:cs typeface="Calibri"/>
              </a:endParaRPr>
            </a:p>
          </xdr:txBody>
        </xdr:sp>
        <xdr:sp macro="" textlink="">
          <xdr:nvSpPr>
            <xdr:cNvPr id="81" name="TextBox 26">
              <a:extLst>
                <a:ext uri="{FF2B5EF4-FFF2-40B4-BE49-F238E27FC236}">
                  <a16:creationId xmlns:a16="http://schemas.microsoft.com/office/drawing/2014/main" id="{0F7839FD-E949-4504-8EE0-1BBDEBB4DF23}"/>
                </a:ext>
              </a:extLst>
            </xdr:cNvPr>
            <xdr:cNvSpPr txBox="1"/>
          </xdr:nvSpPr>
          <xdr:spPr>
            <a:xfrm>
              <a:off x="9093203" y="1185332"/>
              <a:ext cx="2125132"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Revenue at Risk (₹)</a:t>
              </a:r>
            </a:p>
          </xdr:txBody>
        </xdr:sp>
      </xdr:grpSp>
      <xdr:graphicFrame macro="">
        <xdr:nvGraphicFramePr>
          <xdr:cNvPr id="82" name="Chart 35">
            <a:extLst>
              <a:ext uri="{FF2B5EF4-FFF2-40B4-BE49-F238E27FC236}">
                <a16:creationId xmlns:a16="http://schemas.microsoft.com/office/drawing/2014/main" id="{8103B91B-42FF-4DE8-AE72-103BB69DEE31}"/>
              </a:ext>
            </a:extLst>
          </xdr:cNvPr>
          <xdr:cNvGraphicFramePr>
            <a:graphicFrameLocks/>
          </xdr:cNvGraphicFramePr>
        </xdr:nvGraphicFramePr>
        <xdr:xfrm>
          <a:off x="3014132" y="2533227"/>
          <a:ext cx="4572000" cy="292777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3" name="Chart 36">
            <a:extLst>
              <a:ext uri="{FF2B5EF4-FFF2-40B4-BE49-F238E27FC236}">
                <a16:creationId xmlns:a16="http://schemas.microsoft.com/office/drawing/2014/main" id="{4AA5990E-1613-4D30-9FF8-6A6735B4EFCF}"/>
              </a:ext>
            </a:extLst>
          </xdr:cNvPr>
          <xdr:cNvGraphicFramePr>
            <a:graphicFrameLocks/>
          </xdr:cNvGraphicFramePr>
        </xdr:nvGraphicFramePr>
        <xdr:xfrm>
          <a:off x="7941732" y="2558626"/>
          <a:ext cx="4859868" cy="28600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4" name="Chart 2">
            <a:extLst>
              <a:ext uri="{FF2B5EF4-FFF2-40B4-BE49-F238E27FC236}">
                <a16:creationId xmlns:a16="http://schemas.microsoft.com/office/drawing/2014/main" id="{FABB377B-E9CC-4F2C-A74D-86877A120133}"/>
              </a:ext>
            </a:extLst>
          </xdr:cNvPr>
          <xdr:cNvGraphicFramePr>
            <a:graphicFrameLocks/>
          </xdr:cNvGraphicFramePr>
        </xdr:nvGraphicFramePr>
        <xdr:xfrm>
          <a:off x="2980266" y="5528734"/>
          <a:ext cx="4572000" cy="261619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5" name="Chart 3">
            <a:extLst>
              <a:ext uri="{FF2B5EF4-FFF2-40B4-BE49-F238E27FC236}">
                <a16:creationId xmlns:a16="http://schemas.microsoft.com/office/drawing/2014/main" id="{2A556E62-AF4E-40B9-94C4-6F8E4AB1E2D7}"/>
              </a:ext>
            </a:extLst>
          </xdr:cNvPr>
          <xdr:cNvGraphicFramePr>
            <a:graphicFrameLocks/>
          </xdr:cNvGraphicFramePr>
        </xdr:nvGraphicFramePr>
        <xdr:xfrm>
          <a:off x="7958666" y="5613399"/>
          <a:ext cx="4936067" cy="252306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man Konukati" refreshedDate="46069.65954803241" createdVersion="8" refreshedVersion="8" minRefreshableVersion="3" recordCount="2995" xr:uid="{C123E346-2A8C-48DF-8F87-A3BDA60EA92A}">
  <cacheSource type="worksheet">
    <worksheetSource ref="A1:T1048576" sheet="financial_Operations"/>
  </cacheSource>
  <cacheFields count="19">
    <cacheField name="transaction_id" numFmtId="0">
      <sharedItems containsString="0" containsBlank="1" containsNumber="1" containsInteger="1" minValue="1" maxValue="4999"/>
    </cacheField>
    <cacheField name="client_id" numFmtId="0">
      <sharedItems containsString="0" containsBlank="1" containsNumber="1" containsInteger="1" minValue="100" maxValue="500" count="402">
        <n v="271"/>
        <n v="270"/>
        <n v="135"/>
        <n v="447"/>
        <n v="183"/>
        <n v="341"/>
        <n v="413"/>
        <n v="351"/>
        <n v="284"/>
        <n v="266"/>
        <n v="251"/>
        <n v="306"/>
        <n v="292"/>
        <n v="253"/>
        <n v="279"/>
        <n v="399"/>
        <n v="338"/>
        <n v="430"/>
        <n v="228"/>
        <n v="214"/>
        <n v="314"/>
        <n v="434"/>
        <n v="305"/>
        <n v="336"/>
        <n v="308"/>
        <n v="424"/>
        <n v="117"/>
        <n v="189"/>
        <n v="482"/>
        <n v="208"/>
        <n v="245"/>
        <n v="327"/>
        <n v="404"/>
        <n v="100"/>
        <n v="114"/>
        <n v="412"/>
        <n v="185"/>
        <n v="419"/>
        <n v="159"/>
        <n v="329"/>
        <n v="272"/>
        <n v="112"/>
        <n v="428"/>
        <n v="472"/>
        <n v="380"/>
        <n v="312"/>
        <n v="436"/>
        <n v="408"/>
        <n v="295"/>
        <n v="218"/>
        <n v="493"/>
        <n v="233"/>
        <n v="118"/>
        <n v="192"/>
        <n v="140"/>
        <n v="287"/>
        <n v="296"/>
        <n v="252"/>
        <n v="492"/>
        <n v="379"/>
        <n v="335"/>
        <n v="451"/>
        <n v="301"/>
        <n v="278"/>
        <n v="222"/>
        <n v="223"/>
        <n v="372"/>
        <n v="364"/>
        <n v="239"/>
        <n v="357"/>
        <n v="268"/>
        <n v="231"/>
        <n v="352"/>
        <n v="396"/>
        <n v="299"/>
        <n v="200"/>
        <n v="155"/>
        <n v="288"/>
        <n v="240"/>
        <n v="339"/>
        <n v="318"/>
        <n v="132"/>
        <n v="230"/>
        <n v="137"/>
        <n v="398"/>
        <n v="171"/>
        <n v="153"/>
        <n v="219"/>
        <n v="429"/>
        <n v="470"/>
        <n v="146"/>
        <n v="110"/>
        <n v="473"/>
        <n v="143"/>
        <n v="464"/>
        <n v="496"/>
        <n v="286"/>
        <n v="244"/>
        <n v="499"/>
        <n v="166"/>
        <n v="273"/>
        <n v="184"/>
        <n v="293"/>
        <n v="328"/>
        <n v="498"/>
        <n v="227"/>
        <n v="337"/>
        <n v="458"/>
        <n v="457"/>
        <n v="485"/>
        <n v="441"/>
        <n v="195"/>
        <n v="205"/>
        <n v="182"/>
        <n v="488"/>
        <n v="150"/>
        <n v="322"/>
        <n v="405"/>
        <n v="212"/>
        <n v="177"/>
        <n v="452"/>
        <n v="193"/>
        <n v="403"/>
        <n v="255"/>
        <n v="246"/>
        <n v="333"/>
        <n v="469"/>
        <n v="466"/>
        <n v="368"/>
        <n v="258"/>
        <n v="179"/>
        <n v="348"/>
        <n v="174"/>
        <n v="468"/>
        <n v="204"/>
        <n v="311"/>
        <n v="196"/>
        <n v="358"/>
        <n v="203"/>
        <n v="402"/>
        <n v="136"/>
        <n v="449"/>
        <n v="319"/>
        <n v="354"/>
        <n v="294"/>
        <n v="116"/>
        <n v="259"/>
        <n v="453"/>
        <n v="433"/>
        <n v="361"/>
        <n v="370"/>
        <n v="427"/>
        <n v="199"/>
        <n v="291"/>
        <n v="432"/>
        <n v="144"/>
        <n v="207"/>
        <n v="289"/>
        <n v="497"/>
        <n v="190"/>
        <n v="260"/>
        <n v="145"/>
        <n v="484"/>
        <n v="437"/>
        <n v="439"/>
        <n v="391"/>
        <n v="388"/>
        <n v="300"/>
        <n v="123"/>
        <n v="456"/>
        <n v="107"/>
        <n v="309"/>
        <n v="417"/>
        <n v="330"/>
        <n v="197"/>
        <n v="421"/>
        <n v="489"/>
        <n v="487"/>
        <n v="181"/>
        <n v="265"/>
        <n v="444"/>
        <n v="169"/>
        <n v="371"/>
        <n v="130"/>
        <n v="101"/>
        <n v="356"/>
        <n v="198"/>
        <n v="257"/>
        <n v="234"/>
        <n v="397"/>
        <n v="454"/>
        <n v="202"/>
        <n v="463"/>
        <n v="383"/>
        <n v="220"/>
        <n v="446"/>
        <n v="226"/>
        <n v="235"/>
        <n v="410"/>
        <n v="474"/>
        <n v="418"/>
        <n v="315"/>
        <n v="119"/>
        <n v="394"/>
        <n v="416"/>
        <n v="105"/>
        <n v="213"/>
        <n v="377"/>
        <n v="224"/>
        <n v="242"/>
        <n v="366"/>
        <n v="261"/>
        <n v="237"/>
        <n v="381"/>
        <n v="191"/>
        <n v="216"/>
        <n v="201"/>
        <n v="209"/>
        <n v="125"/>
        <n v="494"/>
        <n v="154"/>
        <n v="290"/>
        <n v="317"/>
        <n v="386"/>
        <n v="310"/>
        <n v="269"/>
        <n v="131"/>
        <n v="435"/>
        <n v="365"/>
        <n v="243"/>
        <n v="401"/>
        <n v="415"/>
        <n v="445"/>
        <n v="232"/>
        <n v="158"/>
        <n v="471"/>
        <n v="151"/>
        <n v="126"/>
        <n v="325"/>
        <n v="103"/>
        <n v="460"/>
        <n v="374"/>
        <n v="164"/>
        <n v="343"/>
        <n v="480"/>
        <n v="113"/>
        <n v="141"/>
        <n v="285"/>
        <n v="215"/>
        <n v="481"/>
        <n v="331"/>
        <n v="264"/>
        <n v="393"/>
        <n v="281"/>
        <n v="142"/>
        <n v="477"/>
        <n v="165"/>
        <n v="475"/>
        <n v="486"/>
        <n v="440"/>
        <n v="109"/>
        <n v="420"/>
        <n v="263"/>
        <n v="478"/>
        <n v="376"/>
        <n v="321"/>
        <n v="275"/>
        <n v="167"/>
        <n v="129"/>
        <n v="152"/>
        <n v="248"/>
        <n v="161"/>
        <n v="236"/>
        <n v="280"/>
        <n v="442"/>
        <n v="172"/>
        <n v="409"/>
        <n v="128"/>
        <n v="283"/>
        <n v="267"/>
        <n v="359"/>
        <n v="303"/>
        <n v="307"/>
        <n v="425"/>
        <n v="400"/>
        <n v="250"/>
        <n v="138"/>
        <n v="320"/>
        <n v="256"/>
        <n v="450"/>
        <n v="298"/>
        <n v="313"/>
        <n v="422"/>
        <n v="176"/>
        <n v="139"/>
        <n v="495"/>
        <n v="247"/>
        <n v="124"/>
        <n v="411"/>
        <n v="360"/>
        <n v="500"/>
        <n v="170"/>
        <n v="326"/>
        <n v="443"/>
        <n v="115"/>
        <n v="389"/>
        <n v="108"/>
        <n v="187"/>
        <n v="382"/>
        <n v="395"/>
        <n v="423"/>
        <n v="340"/>
        <n v="378"/>
        <n v="238"/>
        <n v="346"/>
        <n v="173"/>
        <n v="274"/>
        <n v="180"/>
        <n v="148"/>
        <n v="344"/>
        <n v="217"/>
        <n v="229"/>
        <n v="160"/>
        <n v="106"/>
        <n v="122"/>
        <n v="304"/>
        <n v="350"/>
        <n v="355"/>
        <n v="156"/>
        <n v="225"/>
        <n v="455"/>
        <n v="461"/>
        <n v="363"/>
        <n v="392"/>
        <n v="353"/>
        <n v="459"/>
        <n v="414"/>
        <n v="438"/>
        <n v="332"/>
        <n v="111"/>
        <n v="168"/>
        <n v="102"/>
        <n v="104"/>
        <n v="316"/>
        <n v="465"/>
        <n v="448"/>
        <n v="387"/>
        <n v="211"/>
        <n v="262"/>
        <n v="302"/>
        <n v="277"/>
        <n v="385"/>
        <n v="188"/>
        <n v="407"/>
        <n v="249"/>
        <n v="426"/>
        <n v="347"/>
        <n v="134"/>
        <n v="345"/>
        <n v="362"/>
        <n v="373"/>
        <n v="149"/>
        <n v="406"/>
        <n v="479"/>
        <n v="491"/>
        <n v="476"/>
        <n v="254"/>
        <n v="297"/>
        <n v="157"/>
        <n v="282"/>
        <n v="194"/>
        <n v="390"/>
        <n v="175"/>
        <n v="276"/>
        <n v="120"/>
        <n v="121"/>
        <n v="147"/>
        <n v="334"/>
        <n v="163"/>
        <n v="367"/>
        <n v="324"/>
        <n v="162"/>
        <n v="483"/>
        <n v="133"/>
        <n v="210"/>
        <n v="462"/>
        <n v="206"/>
        <n v="178"/>
        <n v="127"/>
        <n v="490"/>
        <n v="323"/>
        <n v="186"/>
        <n v="384"/>
        <n v="241"/>
        <n v="431"/>
        <n v="467"/>
        <n v="342"/>
        <n v="349"/>
        <n v="369"/>
        <n v="221"/>
        <n v="375"/>
        <m/>
      </sharedItems>
    </cacheField>
    <cacheField name="industry" numFmtId="0">
      <sharedItems containsBlank="1" count="6">
        <s v="Finance"/>
        <s v="Education"/>
        <s v="Retail"/>
        <s v="Healthcare"/>
        <s v="IT"/>
        <m/>
      </sharedItems>
    </cacheField>
    <cacheField name="region" numFmtId="0">
      <sharedItems containsBlank="1"/>
    </cacheField>
    <cacheField name="subscription_plan" numFmtId="0">
      <sharedItems containsBlank="1"/>
    </cacheField>
    <cacheField name="onboarding_date" numFmtId="0">
      <sharedItems containsNonDate="0" containsDate="1" containsString="0" containsBlank="1" minDate="2022-01-01T00:00:00" maxDate="2023-01-02T00:00:00"/>
    </cacheField>
    <cacheField name="invoice_date" numFmtId="0">
      <sharedItems containsNonDate="0" containsDate="1" containsString="0" containsBlank="1" minDate="2022-02-08T00:00:00" maxDate="2024-08-12T00:00:00"/>
    </cacheField>
    <cacheField name="revenue_amount" numFmtId="0">
      <sharedItems containsString="0" containsBlank="1" containsNumber="1" minValue="3" maxValue="9988" count="2222">
        <n v="1872"/>
        <n v="1329"/>
        <n v="6492"/>
        <n v="6643"/>
        <n v="7118"/>
        <n v="9585"/>
        <n v="7193"/>
        <n v="2216"/>
        <n v="9847"/>
        <n v="9821"/>
        <n v="2195"/>
        <n v="4890"/>
        <n v="2264"/>
        <n v="8230"/>
        <n v="8417"/>
        <n v="215"/>
        <n v="9568"/>
        <n v="4967.93"/>
        <n v="3875"/>
        <n v="3813"/>
        <n v="1532"/>
        <n v="6526"/>
        <n v="2456"/>
        <n v="2322"/>
        <n v="9757"/>
        <n v="6863"/>
        <n v="8973"/>
        <n v="2763"/>
        <n v="2986"/>
        <n v="9519"/>
        <n v="8456"/>
        <n v="6434"/>
        <n v="9712"/>
        <n v="5374"/>
        <n v="7719"/>
        <n v="6865"/>
        <n v="1051"/>
        <n v="1497"/>
        <n v="861"/>
        <n v="5417"/>
        <n v="3417"/>
        <n v="393"/>
        <n v="5966"/>
        <n v="3420"/>
        <n v="4726"/>
        <n v="2383"/>
        <n v="1226"/>
        <n v="2434"/>
        <n v="9736"/>
        <n v="5013"/>
        <n v="3070"/>
        <n v="7648"/>
        <n v="6771"/>
        <n v="9755"/>
        <n v="8004"/>
        <n v="7749"/>
        <n v="6697"/>
        <n v="8981"/>
        <n v="5947"/>
        <n v="4031"/>
        <n v="4705"/>
        <n v="7645"/>
        <n v="461"/>
        <n v="898"/>
        <n v="408"/>
        <n v="7287"/>
        <n v="4081"/>
        <n v="8046"/>
        <n v="2896"/>
        <n v="47"/>
        <n v="1892"/>
        <n v="722"/>
        <n v="8283"/>
        <n v="4853"/>
        <n v="5442"/>
        <n v="762"/>
        <n v="3395"/>
        <n v="3265"/>
        <n v="5802"/>
        <n v="8778"/>
        <n v="9829"/>
        <n v="4403"/>
        <n v="9063"/>
        <n v="343"/>
        <n v="4468"/>
        <n v="5146"/>
        <n v="3274"/>
        <n v="4320"/>
        <n v="3021"/>
        <n v="6598"/>
        <n v="9479"/>
        <n v="7639"/>
        <n v="9206"/>
        <n v="9104"/>
        <n v="6248"/>
        <n v="4122"/>
        <n v="8057"/>
        <n v="3731"/>
        <n v="7182"/>
        <n v="2540"/>
        <n v="4391"/>
        <n v="241"/>
        <n v="8343"/>
        <n v="2543"/>
        <n v="5463"/>
        <n v="9191"/>
        <n v="743"/>
        <n v="2830"/>
        <n v="981"/>
        <n v="32"/>
        <n v="6508"/>
        <n v="365"/>
        <n v="1943"/>
        <n v="3946"/>
        <n v="5149"/>
        <n v="7033"/>
        <n v="1734"/>
        <n v="9423"/>
        <n v="8092"/>
        <n v="6266"/>
        <n v="2502"/>
        <n v="600"/>
        <n v="2058"/>
        <n v="1008"/>
        <n v="1123"/>
        <n v="5068"/>
        <n v="6008"/>
        <n v="7012"/>
        <n v="7433"/>
        <n v="8402"/>
        <n v="2035"/>
        <n v="7259"/>
        <n v="4666"/>
        <n v="6204"/>
        <n v="7077"/>
        <n v="6996"/>
        <n v="4062"/>
        <n v="9717"/>
        <n v="7570"/>
        <n v="9720"/>
        <n v="513"/>
        <n v="1004"/>
        <n v="9919"/>
        <n v="4867"/>
        <n v="9432"/>
        <n v="6648"/>
        <n v="1724"/>
        <n v="2003"/>
        <n v="2721"/>
        <n v="8248"/>
        <n v="2714"/>
        <n v="4268"/>
        <n v="1455"/>
        <n v="6310"/>
        <n v="1848"/>
        <n v="9264"/>
        <n v="5064"/>
        <n v="4009"/>
        <n v="7688"/>
        <n v="6555"/>
        <n v="5884"/>
        <n v="6269"/>
        <n v="1870"/>
        <n v="8627"/>
        <n v="8054"/>
        <n v="3820"/>
        <n v="8300"/>
        <n v="6558"/>
        <n v="7697"/>
        <n v="6460"/>
        <n v="1328"/>
        <n v="1908"/>
        <n v="9831"/>
        <n v="8544"/>
        <n v="3980"/>
        <n v="4869"/>
        <n v="1462"/>
        <n v="5019"/>
        <n v="9635"/>
        <n v="4597"/>
        <n v="4968"/>
        <n v="5679"/>
        <n v="5406"/>
        <n v="3469"/>
        <n v="2016"/>
        <n v="1939"/>
        <n v="3803"/>
        <n v="1788"/>
        <n v="2459"/>
        <n v="2255"/>
        <n v="2171"/>
        <n v="5749"/>
        <n v="3322"/>
        <n v="7936"/>
        <n v="2599"/>
        <n v="3015"/>
        <n v="4778"/>
        <n v="324"/>
        <n v="5030"/>
        <n v="479"/>
        <n v="7553"/>
        <n v="7045"/>
        <n v="6867"/>
        <n v="6287"/>
        <n v="6829"/>
        <n v="3774"/>
        <n v="1644"/>
        <n v="5360"/>
        <n v="8293"/>
        <n v="7756"/>
        <n v="4458"/>
        <n v="1674"/>
        <n v="9178"/>
        <n v="3475"/>
        <n v="7546"/>
        <n v="15"/>
        <n v="3430"/>
        <n v="1971"/>
        <n v="5833"/>
        <n v="1926"/>
        <n v="2205"/>
        <n v="8099"/>
        <n v="2677"/>
        <n v="1400"/>
        <n v="5025"/>
        <n v="1561"/>
        <n v="2214"/>
        <n v="7048"/>
        <n v="136"/>
        <n v="6191"/>
        <n v="6522"/>
        <n v="4868"/>
        <n v="2235"/>
        <n v="1772"/>
        <n v="5244"/>
        <n v="8416"/>
        <n v="5305"/>
        <n v="7865"/>
        <n v="7274"/>
        <n v="3628"/>
        <n v="4443"/>
        <n v="8953"/>
        <n v="5139"/>
        <n v="8764"/>
        <n v="9833"/>
        <n v="8651"/>
        <n v="738"/>
        <n v="1001"/>
        <n v="634"/>
        <n v="1850"/>
        <n v="6150"/>
        <n v="6259"/>
        <n v="4091"/>
        <n v="2060"/>
        <n v="9374"/>
        <n v="6521"/>
        <n v="5960"/>
        <n v="3883"/>
        <n v="3246"/>
        <n v="8802"/>
        <n v="1646"/>
        <n v="8192"/>
        <n v="7800"/>
        <n v="2547"/>
        <n v="7046"/>
        <n v="2805"/>
        <n v="6101"/>
        <n v="7979"/>
        <n v="3576"/>
        <n v="7849"/>
        <n v="5267"/>
        <n v="9004"/>
        <n v="5388"/>
        <n v="4909"/>
        <n v="8691"/>
        <n v="1252"/>
        <n v="4431"/>
        <n v="3995"/>
        <n v="2890"/>
        <n v="6227"/>
        <n v="55"/>
        <n v="8453"/>
        <n v="2036"/>
        <n v="6742"/>
        <n v="5179"/>
        <n v="7340"/>
        <n v="1303"/>
        <n v="2908"/>
        <n v="5593"/>
        <n v="8373"/>
        <n v="8166"/>
        <n v="1523"/>
        <n v="8041"/>
        <n v="5401"/>
        <n v="3570"/>
        <n v="5"/>
        <n v="3008"/>
        <n v="8497"/>
        <n v="3515"/>
        <n v="2675"/>
        <n v="2436"/>
        <n v="1247"/>
        <n v="3971"/>
        <n v="7461"/>
        <n v="8897"/>
        <n v="996"/>
        <n v="5176"/>
        <n v="8334"/>
        <n v="4741"/>
        <n v="2974"/>
        <n v="4708"/>
        <n v="588"/>
        <n v="7197"/>
        <n v="1994"/>
        <n v="7056"/>
        <n v="6193"/>
        <n v="9743"/>
        <n v="9037"/>
        <n v="6897"/>
        <n v="9924"/>
        <n v="3697"/>
        <n v="3886"/>
        <n v="1502"/>
        <n v="9115"/>
        <n v="2439"/>
        <n v="6377"/>
        <n v="1270"/>
        <n v="9891"/>
        <n v="1205"/>
        <n v="4206"/>
        <n v="105"/>
        <n v="6635"/>
        <n v="4277"/>
        <n v="1834"/>
        <n v="7691"/>
        <n v="3532"/>
        <n v="6399"/>
        <n v="5574"/>
        <n v="6459"/>
        <n v="4613"/>
        <n v="2187"/>
        <n v="5965"/>
        <n v="97"/>
        <n v="1106"/>
        <n v="3379"/>
        <n v="2082"/>
        <n v="1832"/>
        <n v="3178"/>
        <n v="3589"/>
        <n v="1242"/>
        <n v="1749"/>
        <n v="8161"/>
        <n v="6650"/>
        <n v="8380"/>
        <n v="4628"/>
        <n v="9639"/>
        <n v="6872"/>
        <n v="2068"/>
        <n v="4157"/>
        <n v="6975"/>
        <n v="4679"/>
        <n v="6210"/>
        <n v="755"/>
        <n v="5086"/>
        <n v="3087"/>
        <n v="412"/>
        <n v="2928"/>
        <n v="798"/>
        <n v="6145"/>
        <n v="6073"/>
        <n v="878"/>
        <n v="6666"/>
        <n v="962"/>
        <n v="8477"/>
        <n v="7341"/>
        <n v="5432"/>
        <n v="699"/>
        <n v="6998"/>
        <n v="1245"/>
        <n v="1540"/>
        <n v="9806"/>
        <n v="7286"/>
        <n v="7113"/>
        <n v="8090"/>
        <n v="938"/>
        <n v="335"/>
        <n v="70"/>
        <n v="7109"/>
        <n v="9673"/>
        <n v="5103"/>
        <n v="2989"/>
        <n v="8313"/>
        <n v="3321"/>
        <n v="4724"/>
        <n v="6816"/>
        <n v="9193"/>
        <n v="5524"/>
        <n v="3633"/>
        <n v="1578"/>
        <n v="3829"/>
        <n v="7736"/>
        <n v="5433"/>
        <n v="9867"/>
        <n v="4903"/>
        <n v="8958"/>
        <n v="1113"/>
        <n v="3738"/>
        <n v="3553"/>
        <n v="1125"/>
        <n v="5571"/>
        <n v="6628"/>
        <n v="6432"/>
        <n v="4477"/>
        <n v="5669"/>
        <n v="4042"/>
        <n v="2642"/>
        <n v="5911"/>
        <n v="5334"/>
        <n v="6639"/>
        <n v="2199"/>
        <n v="2057"/>
        <n v="5796"/>
        <n v="5769"/>
        <n v="1308"/>
        <n v="5828"/>
        <n v="1433"/>
        <n v="4866"/>
        <n v="7827"/>
        <n v="7374"/>
        <n v="1033"/>
        <n v="4701"/>
        <n v="2449"/>
        <n v="5198"/>
        <n v="3523"/>
        <n v="178"/>
        <n v="5511"/>
        <n v="1989"/>
        <n v="7037"/>
        <n v="4650"/>
        <n v="4931"/>
        <n v="3739"/>
        <n v="7861"/>
        <n v="8704"/>
        <n v="3705"/>
        <n v="5166"/>
        <n v="5855"/>
        <n v="1153"/>
        <n v="8492"/>
        <n v="8875"/>
        <n v="6609"/>
        <n v="8051"/>
        <n v="5686"/>
        <n v="6099"/>
        <n v="4711"/>
        <n v="5848"/>
        <n v="8660"/>
        <n v="3512"/>
        <n v="3996"/>
        <n v="8716"/>
        <n v="1134"/>
        <n v="6895"/>
        <n v="6518"/>
        <n v="4148"/>
        <n v="5283"/>
        <n v="2167"/>
        <n v="7577"/>
        <n v="3071"/>
        <n v="4059"/>
        <n v="7206"/>
        <n v="6094"/>
        <n v="2943"/>
        <n v="5588"/>
        <n v="3143"/>
        <n v="9025"/>
        <n v="3718"/>
        <n v="9559"/>
        <n v="9804"/>
        <n v="3855"/>
        <n v="7388"/>
        <n v="9391"/>
        <n v="3575"/>
        <n v="4271"/>
        <n v="1280"/>
        <n v="8329"/>
        <n v="4710"/>
        <n v="4602"/>
        <n v="6190"/>
        <n v="5792"/>
        <n v="6797"/>
        <n v="9822"/>
        <n v="5488"/>
        <n v="5586"/>
        <n v="1006"/>
        <n v="5851"/>
        <n v="1454"/>
        <n v="2836"/>
        <n v="4626"/>
        <n v="4808"/>
        <n v="1620"/>
        <n v="232"/>
        <n v="8581"/>
        <n v="2248"/>
        <n v="1032"/>
        <n v="4800"/>
        <n v="96"/>
        <n v="7180"/>
        <n v="592"/>
        <n v="3642"/>
        <n v="7431"/>
        <n v="5115"/>
        <n v="419"/>
        <n v="4071"/>
        <n v="528"/>
        <n v="2917"/>
        <n v="4845"/>
        <n v="270"/>
        <n v="1349"/>
        <n v="2250"/>
        <n v="4158"/>
        <n v="3217"/>
        <n v="7656"/>
        <n v="5294"/>
        <n v="7502"/>
        <n v="1406"/>
        <n v="8478"/>
        <n v="7737"/>
        <n v="2098"/>
        <n v="9779"/>
        <n v="2311"/>
        <n v="3391"/>
        <n v="6677"/>
        <n v="4593"/>
        <n v="8330"/>
        <n v="764"/>
        <n v="7134"/>
        <n v="505"/>
        <n v="4725"/>
        <n v="6065"/>
        <n v="9046"/>
        <n v="8384"/>
        <n v="4687"/>
        <n v="3646"/>
        <n v="6726"/>
        <n v="6547"/>
        <n v="5654"/>
        <n v="5464"/>
        <n v="4453"/>
        <n v="8214"/>
        <n v="4083"/>
        <n v="6304"/>
        <n v="5407"/>
        <n v="3343"/>
        <n v="6368"/>
        <n v="929"/>
        <n v="1890"/>
        <n v="5356"/>
        <n v="8634"/>
        <n v="9734"/>
        <n v="5129"/>
        <n v="9740"/>
        <n v="5538"/>
        <n v="308"/>
        <n v="2957"/>
        <n v="2415"/>
        <n v="5910"/>
        <n v="8105"/>
        <n v="9426"/>
        <n v="2938"/>
        <n v="9366"/>
        <n v="7097"/>
        <n v="6781"/>
        <n v="8882"/>
        <n v="1011"/>
        <n v="174"/>
        <n v="2709"/>
        <n v="7403"/>
        <n v="9666"/>
        <n v="2632"/>
        <n v="4638"/>
        <n v="7747"/>
        <n v="9785"/>
        <n v="4736"/>
        <n v="515"/>
        <n v="4940"/>
        <n v="4385"/>
        <n v="8454"/>
        <n v="6042"/>
        <n v="9547"/>
        <n v="239"/>
        <n v="5392"/>
        <n v="9291"/>
        <n v="4332"/>
        <n v="1355"/>
        <n v="965"/>
        <n v="3638"/>
        <n v="212"/>
        <n v="7976"/>
        <n v="9748"/>
        <n v="7169"/>
        <n v="3837"/>
        <n v="6858"/>
        <n v="4565"/>
        <n v="7565"/>
        <n v="1295"/>
        <n v="6355"/>
        <n v="757"/>
        <n v="1348"/>
        <n v="2861"/>
        <n v="3146"/>
        <n v="4104"/>
        <n v="2112"/>
        <n v="6755"/>
        <n v="6090"/>
        <n v="8136"/>
        <n v="5431"/>
        <n v="8908"/>
        <n v="5037"/>
        <n v="4670"/>
        <n v="9129"/>
        <n v="4444"/>
        <n v="2209"/>
        <n v="11"/>
        <n v="5547"/>
        <n v="3613"/>
        <n v="7010"/>
        <n v="3313"/>
        <n v="4311"/>
        <n v="7273"/>
        <n v="5916"/>
        <n v="2647"/>
        <n v="5842"/>
        <n v="4809"/>
        <n v="7696"/>
        <n v="1680"/>
        <n v="5919"/>
        <n v="8405"/>
        <n v="9880"/>
        <n v="5007"/>
        <n v="531"/>
        <n v="4116"/>
        <n v="5624"/>
        <n v="8273"/>
        <n v="1079"/>
        <n v="7485"/>
        <n v="6408"/>
        <n v="7832"/>
        <n v="952"/>
        <n v="6632"/>
        <n v="7954"/>
        <n v="3815"/>
        <n v="3299"/>
        <n v="2913"/>
        <n v="8259"/>
        <n v="6288"/>
        <n v="8836"/>
        <n v="7775"/>
        <n v="5141"/>
        <n v="5862"/>
        <n v="2369"/>
        <n v="3"/>
        <n v="8945"/>
        <n v="1043"/>
        <n v="1821"/>
        <n v="3396"/>
        <n v="259"/>
        <n v="3045"/>
        <n v="5081"/>
        <n v="3563"/>
        <n v="2982"/>
        <n v="426"/>
        <n v="2843"/>
        <n v="1151"/>
        <n v="8071"/>
        <n v="8193"/>
        <n v="8211"/>
        <n v="2752"/>
        <n v="1693"/>
        <n v="3404"/>
        <n v="6100"/>
        <n v="7521"/>
        <n v="6331"/>
        <n v="7428"/>
        <n v="3709"/>
        <n v="8679"/>
        <n v="194"/>
        <n v="6308"/>
        <n v="4784"/>
        <n v="5766"/>
        <n v="9570"/>
        <n v="7566"/>
        <n v="6263"/>
        <n v="9832"/>
        <n v="9249"/>
        <n v="1573"/>
        <n v="8671"/>
        <n v="5273"/>
        <n v="6902"/>
        <n v="1323"/>
        <n v="5533"/>
        <n v="1498"/>
        <n v="8364"/>
        <n v="7664"/>
        <n v="2810"/>
        <n v="8740"/>
        <n v="94"/>
        <n v="153"/>
        <n v="8870"/>
        <n v="2155"/>
        <n v="8140"/>
        <n v="3729"/>
        <n v="8505"/>
        <n v="9332"/>
        <n v="3187"/>
        <n v="3631"/>
        <n v="696"/>
        <n v="131"/>
        <n v="6663"/>
        <n v="1913"/>
        <n v="9253"/>
        <n v="2933"/>
        <n v="8742"/>
        <n v="3442"/>
        <n v="6657"/>
        <n v="1222"/>
        <n v="9399"/>
        <n v="8164"/>
        <n v="627"/>
        <n v="9137"/>
        <n v="4036"/>
        <n v="2588"/>
        <n v="5546"/>
        <n v="8276"/>
        <n v="281"/>
        <n v="6845"/>
        <n v="6812"/>
        <n v="6986"/>
        <n v="7886"/>
        <n v="1269"/>
        <n v="3918"/>
        <n v="2765"/>
        <n v="1950"/>
        <n v="1587"/>
        <n v="3606"/>
        <n v="6316"/>
        <n v="1230"/>
        <n v="7490"/>
        <n v="7103"/>
        <n v="9975"/>
        <n v="4585"/>
        <n v="5845"/>
        <n v="3474"/>
        <n v="6905"/>
        <n v="9175"/>
        <n v="3885"/>
        <n v="7376"/>
        <n v="5900"/>
        <n v="6994"/>
        <n v="4590"/>
        <n v="7070"/>
        <n v="6110"/>
        <n v="2946"/>
        <n v="4165"/>
        <n v="2269"/>
        <n v="40"/>
        <n v="892"/>
        <n v="7652"/>
        <n v="6900"/>
        <n v="687"/>
        <n v="3765"/>
        <n v="2183"/>
        <n v="8877"/>
        <n v="9262"/>
        <n v="5471"/>
        <n v="2581"/>
        <n v="1746"/>
        <n v="1258"/>
        <n v="9486"/>
        <n v="502"/>
        <n v="6883"/>
        <n v="5316"/>
        <n v="4933"/>
        <n v="9015"/>
        <n v="5329"/>
        <n v="7539"/>
        <n v="896"/>
        <n v="7757"/>
        <n v="29"/>
        <n v="7463"/>
        <n v="763"/>
        <n v="8609"/>
        <n v="2503"/>
        <n v="7172"/>
        <n v="3850"/>
        <n v="8744"/>
        <n v="6911"/>
        <n v="5616"/>
        <n v="1306"/>
        <n v="4594"/>
        <n v="9325"/>
        <n v="8463"/>
        <n v="4846"/>
        <n v="657"/>
        <n v="7303"/>
        <n v="8766"/>
        <n v="2668"/>
        <n v="480"/>
        <n v="5163"/>
        <n v="6997"/>
        <n v="8831"/>
        <n v="6047"/>
        <n v="1296"/>
        <n v="9571"/>
        <n v="9660"/>
        <n v="4965"/>
        <n v="8974"/>
        <n v="1601"/>
        <n v="5446"/>
        <n v="7344"/>
        <n v="8428"/>
        <n v="2521"/>
        <n v="2720"/>
        <n v="9727"/>
        <n v="4620"/>
        <n v="7898"/>
        <n v="354"/>
        <n v="2470"/>
        <n v="7183"/>
        <n v="198"/>
        <n v="9802"/>
        <n v="291"/>
        <n v="7219"/>
        <n v="2313"/>
        <n v="3701"/>
        <n v="6429"/>
        <n v="1506"/>
        <n v="3394"/>
        <n v="3982"/>
        <n v="8390"/>
        <n v="4635"/>
        <n v="2480"/>
        <n v="3003"/>
        <n v="3293"/>
        <n v="3966"/>
        <n v="4330"/>
        <n v="8221"/>
        <n v="5752"/>
        <n v="9870"/>
        <n v="2967"/>
        <n v="2513"/>
        <n v="3689"/>
        <n v="5892"/>
        <n v="3898"/>
        <n v="7585"/>
        <n v="9464"/>
        <n v="1745"/>
        <n v="2988"/>
        <n v="7795"/>
        <n v="8615"/>
        <n v="1388"/>
        <n v="9544"/>
        <n v="2359"/>
        <n v="3483"/>
        <n v="601"/>
        <n v="9951"/>
        <n v="2325"/>
        <n v="3651"/>
        <n v="5741"/>
        <n v="8654"/>
        <n v="1040"/>
        <n v="2760"/>
        <n v="1124"/>
        <n v="8372"/>
        <n v="5110"/>
        <n v="9964"/>
        <n v="1191"/>
        <n v="589"/>
        <n v="7364"/>
        <n v="9009"/>
        <n v="660"/>
        <n v="1396"/>
        <n v="8800"/>
        <n v="1337"/>
        <n v="4906"/>
        <n v="5896"/>
        <n v="4359"/>
        <n v="9312"/>
        <n v="4551"/>
        <n v="2944"/>
        <n v="3054"/>
        <n v="8401"/>
        <n v="9759"/>
        <n v="5901"/>
        <n v="6874"/>
        <n v="4304"/>
        <n v="8982"/>
        <n v="1947"/>
        <n v="3337"/>
        <n v="538"/>
        <n v="4698"/>
        <n v="4378"/>
        <n v="9059"/>
        <n v="1705"/>
        <n v="8274"/>
        <n v="7627"/>
        <n v="2181"/>
        <n v="3419"/>
        <n v="3226"/>
        <n v="8354"/>
        <n v="6847"/>
        <n v="8701"/>
        <n v="6633"/>
        <n v="3170"/>
        <n v="2280"/>
        <n v="7786"/>
        <n v="3668"/>
        <n v="2520"/>
        <n v="1081"/>
        <n v="3353"/>
        <n v="7235"/>
        <n v="7777"/>
        <n v="3655"/>
        <n v="9888"/>
        <n v="8061"/>
        <n v="3308"/>
        <n v="1030"/>
        <n v="2853"/>
        <n v="5668"/>
        <n v="3755"/>
        <n v="8787"/>
        <n v="8610"/>
        <n v="460"/>
        <n v="497"/>
        <n v="3591"/>
        <n v="4616"/>
        <n v="7106"/>
        <n v="5753"/>
        <n v="3346"/>
        <n v="6284"/>
        <n v="5941"/>
        <n v="246"/>
        <n v="9414"/>
        <n v="4532"/>
        <n v="1284"/>
        <n v="3987"/>
        <n v="2433"/>
        <n v="7908"/>
        <n v="3033"/>
        <n v="9917"/>
        <n v="4953"/>
        <n v="779"/>
        <n v="3871"/>
        <n v="6949"/>
        <n v="6789"/>
        <n v="4280"/>
        <n v="6879"/>
        <n v="3836"/>
        <n v="7362"/>
        <n v="155"/>
        <n v="184"/>
        <n v="3251"/>
        <n v="5474"/>
        <n v="5744"/>
        <n v="3958"/>
        <n v="9381"/>
        <n v="6155"/>
        <n v="3543"/>
        <n v="6965"/>
        <n v="3562"/>
        <n v="165"/>
        <n v="3555"/>
        <n v="2368"/>
        <n v="5581"/>
        <n v="9939"/>
        <n v="5930"/>
        <n v="4478"/>
        <n v="1457"/>
        <n v="2537"/>
        <n v="3290"/>
        <n v="6857"/>
        <n v="1649"/>
        <n v="573"/>
        <n v="7064"/>
        <n v="3201"/>
        <n v="5028"/>
        <n v="3804"/>
        <n v="9316"/>
        <n v="2194"/>
        <n v="8646"/>
        <n v="5220"/>
        <n v="3295"/>
        <n v="8842"/>
        <n v="7556"/>
        <n v="5168"/>
        <n v="1985"/>
        <n v="6587"/>
        <n v="4060"/>
        <n v="5470"/>
        <n v="6128"/>
        <n v="5057"/>
        <n v="846"/>
        <n v="7486"/>
        <n v="9691"/>
        <n v="8446"/>
        <n v="4759"/>
        <n v="6561"/>
        <n v="3953"/>
        <n v="985"/>
        <n v="8388"/>
        <n v="1078"/>
        <n v="6358"/>
        <n v="5384"/>
        <n v="6732"/>
        <n v="276"/>
        <n v="4013"/>
        <n v="7657"/>
        <n v="428"/>
        <n v="7111"/>
        <n v="746"/>
        <n v="3941"/>
        <n v="7642"/>
        <n v="7041"/>
        <n v="7524"/>
        <n v="2048"/>
        <n v="6361"/>
        <n v="5364"/>
        <n v="9881"/>
        <n v="7156"/>
        <n v="670"/>
        <n v="9724"/>
        <n v="2390"/>
        <n v="7931"/>
        <n v="5830"/>
        <n v="5050"/>
        <n v="4915"/>
        <n v="6929"/>
        <n v="1175"/>
        <n v="5661"/>
        <n v="2847"/>
        <n v="5895"/>
        <n v="771"/>
        <n v="7763"/>
        <n v="4228"/>
        <n v="6656"/>
        <n v="146"/>
        <n v="1237"/>
        <n v="9770"/>
        <n v="9006"/>
        <n v="3778"/>
        <n v="2711"/>
        <n v="5097"/>
        <n v="5726"/>
        <n v="6800"/>
        <n v="3760"/>
        <n v="8379"/>
        <n v="7819"/>
        <n v="5853"/>
        <n v="2179"/>
        <n v="8386"/>
        <n v="8928"/>
        <n v="5478"/>
        <n v="9932"/>
        <n v="8784"/>
        <n v="2912"/>
        <n v="1073"/>
        <n v="7771"/>
        <n v="6454"/>
        <n v="8808"/>
        <n v="2074"/>
        <n v="6882"/>
        <n v="1655"/>
        <n v="1972"/>
        <n v="3451"/>
        <n v="8895"/>
        <n v="5719"/>
        <n v="7058"/>
        <n v="1169"/>
        <n v="9489"/>
        <n v="532"/>
        <n v="6425"/>
        <n v="8441"/>
        <n v="9421"/>
        <n v="3444"/>
        <n v="7471"/>
        <n v="8303"/>
        <n v="8056"/>
        <n v="3099"/>
        <n v="22"/>
        <n v="3199"/>
        <n v="8941"/>
        <n v="1112"/>
        <n v="5385"/>
        <n v="1522"/>
        <n v="4749"/>
        <n v="9106"/>
        <n v="7422"/>
        <n v="3360"/>
        <n v="34"/>
        <n v="8774"/>
        <n v="6436"/>
        <n v="3935"/>
        <n v="2023"/>
        <n v="4681"/>
        <n v="986"/>
        <n v="4176"/>
        <n v="2204"/>
        <n v="9904"/>
        <n v="6760"/>
        <n v="2650"/>
        <n v="9844"/>
        <n v="8906"/>
        <n v="5107"/>
        <n v="9894"/>
        <n v="2730"/>
        <n v="4008"/>
        <n v="1557"/>
        <n v="2466"/>
        <n v="2360"/>
        <n v="3399"/>
        <n v="9278"/>
        <n v="231"/>
        <n v="9737"/>
        <n v="5167"/>
        <n v="8489"/>
        <n v="5677"/>
        <n v="1476"/>
        <n v="6027"/>
        <n v="6548"/>
        <n v="5023"/>
        <n v="5592"/>
        <n v="9786"/>
        <n v="7940"/>
        <n v="8163"/>
        <n v="756"/>
        <n v="3435"/>
        <n v="9981"/>
        <n v="9142"/>
        <n v="306"/>
        <n v="4337"/>
        <n v="1505"/>
        <n v="1474"/>
        <n v="7008"/>
        <n v="2386"/>
        <n v="3703"/>
        <n v="5906"/>
        <n v="3957"/>
        <n v="9560"/>
        <n v="5977"/>
        <n v="9257"/>
        <n v="4667"/>
        <n v="8093"/>
        <n v="9698"/>
        <n v="2512"/>
        <n v="7266"/>
        <n v="9850"/>
        <n v="7188"/>
        <n v="1683"/>
        <n v="6579"/>
        <n v="1525"/>
        <n v="6916"/>
        <n v="5477"/>
        <n v="3943"/>
        <n v="2284"/>
        <n v="8029"/>
        <n v="322"/>
        <n v="1686"/>
        <n v="4720"/>
        <n v="570"/>
        <n v="5757"/>
        <n v="7957"/>
        <n v="1115"/>
        <n v="6966"/>
        <n v="1218"/>
        <n v="4959"/>
        <n v="4943"/>
        <n v="8867"/>
        <n v="835"/>
        <n v="5335"/>
        <n v="9182"/>
        <n v="9725"/>
        <n v="6258"/>
        <n v="7773"/>
        <n v="4964"/>
        <n v="5973"/>
        <n v="2962"/>
        <n v="3093"/>
        <n v="9607"/>
        <n v="8207"/>
        <n v="7137"/>
        <n v="5698"/>
        <n v="339"/>
        <n v="3758"/>
        <n v="6631"/>
        <n v="5902"/>
        <n v="1121"/>
        <n v="8397"/>
        <n v="2299"/>
        <n v="3641"/>
        <n v="8992"/>
        <n v="2151"/>
        <n v="1395"/>
        <n v="9198"/>
        <n v="963"/>
        <n v="8686"/>
        <n v="6494"/>
        <n v="2004"/>
        <n v="5468"/>
        <n v="3619"/>
        <n v="4731"/>
        <n v="483"/>
        <n v="7509"/>
        <n v="7139"/>
        <n v="4769"/>
        <n v="2951"/>
        <n v="1477"/>
        <n v="5712"/>
        <n v="8629"/>
        <n v="4659"/>
        <n v="825"/>
        <n v="4760"/>
        <n v="2682"/>
        <n v="1614"/>
        <n v="4264"/>
        <n v="7081"/>
        <n v="9026"/>
        <n v="401"/>
        <n v="1034"/>
        <n v="1527"/>
        <n v="9155"/>
        <n v="4496"/>
        <n v="3801"/>
        <n v="2138"/>
        <n v="3673"/>
        <n v="5549"/>
        <n v="4668"/>
        <n v="5439"/>
        <n v="1854"/>
        <n v="3499"/>
        <n v="2463"/>
        <n v="9341"/>
        <n v="114"/>
        <n v="392"/>
        <n v="2747"/>
        <n v="1105"/>
        <n v="7803"/>
        <n v="3157"/>
        <n v="9901"/>
        <n v="9212"/>
        <n v="6395"/>
        <n v="4020"/>
        <n v="3627"/>
        <n v="466"/>
        <n v="974"/>
        <n v="2616"/>
        <n v="9460"/>
        <n v="3858"/>
        <n v="5935"/>
        <n v="8396"/>
        <n v="6033"/>
        <n v="9648"/>
        <n v="1720"/>
        <n v="1082"/>
        <n v="6514"/>
        <n v="4021"/>
        <n v="652"/>
        <n v="2376"/>
        <n v="6664"/>
        <n v="6002"/>
        <n v="1706"/>
        <n v="4690"/>
        <n v="4600"/>
        <n v="7445"/>
        <n v="7705"/>
        <n v="5517"/>
        <n v="2452"/>
        <n v="4324"/>
        <n v="6133"/>
        <n v="4992"/>
        <n v="1233"/>
        <n v="7247"/>
        <n v="2410"/>
        <n v="2735"/>
        <n v="7498"/>
        <n v="8433"/>
        <n v="5696"/>
        <n v="3687"/>
        <n v="2998"/>
        <n v="2903"/>
        <n v="1765"/>
        <n v="7061"/>
        <n v="4463"/>
        <n v="2925"/>
        <n v="6983"/>
        <n v="8638"/>
        <n v="2450"/>
        <n v="8382"/>
        <n v="5899"/>
        <n v="3582"/>
        <n v="8399"/>
        <n v="5689"/>
        <n v="3445"/>
        <n v="4751"/>
        <n v="9222"/>
        <n v="3597"/>
        <n v="6471"/>
        <n v="9385"/>
        <n v="583"/>
        <n v="5031"/>
        <n v="1722"/>
        <n v="5378"/>
        <n v="2579"/>
        <n v="2627"/>
        <n v="1300"/>
        <n v="7887"/>
        <n v="7326"/>
        <n v="2685"/>
        <n v="5676"/>
        <n v="2483"/>
        <n v="9087"/>
        <n v="1262"/>
        <n v="7494"/>
        <n v="5087"/>
        <n v="4878"/>
        <n v="3460"/>
        <n v="5808"/>
        <n v="5133"/>
        <n v="2798"/>
        <n v="9948"/>
        <n v="4100"/>
        <n v="8005"/>
        <n v="8557"/>
        <n v="4533"/>
        <n v="3708"/>
        <n v="5559"/>
        <n v="2857"/>
        <n v="8790"/>
        <n v="8640"/>
        <n v="8522"/>
        <n v="3363"/>
        <n v="1622"/>
        <n v="9586"/>
        <n v="4857"/>
        <n v="6124"/>
        <n v="3501"/>
        <n v="2759"/>
        <n v="7531"/>
        <n v="9488"/>
        <n v="8517"/>
        <n v="8345"/>
        <n v="1369"/>
        <n v="3604"/>
        <n v="1009"/>
        <n v="2859"/>
        <n v="5001"/>
        <n v="2278"/>
        <n v="9082"/>
        <n v="2743"/>
        <n v="921"/>
        <n v="6613"/>
        <n v="5859"/>
        <n v="7476"/>
        <n v="2842"/>
        <n v="9539"/>
        <n v="2766"/>
        <n v="9230"/>
        <n v="5672"/>
        <n v="5114"/>
        <n v="3560"/>
        <n v="2482"/>
        <n v="6581"/>
        <n v="8045"/>
        <n v="7996"/>
        <n v="3159"/>
        <n v="3227"/>
        <n v="3063"/>
        <n v="152"/>
        <n v="7831"/>
        <n v="6644"/>
        <n v="5944"/>
        <n v="4121"/>
        <n v="2422"/>
        <n v="1621"/>
        <n v="3848"/>
        <n v="9541"/>
        <n v="8182"/>
        <n v="5091"/>
        <n v="1632"/>
        <n v="6717"/>
        <n v="9239"/>
        <n v="8065"/>
        <n v="5380"/>
        <n v="9968"/>
        <n v="4969"/>
        <n v="5048"/>
        <n v="3228"/>
        <n v="7244"/>
        <n v="9500"/>
        <n v="1208"/>
        <n v="9032"/>
        <n v="4517"/>
        <n v="741"/>
        <n v="6250"/>
        <n v="4312"/>
        <n v="6216"/>
        <n v="9893"/>
        <n v="715"/>
        <n v="2762"/>
        <n v="8699"/>
        <n v="7590"/>
        <n v="6533"/>
        <n v="9874"/>
        <n v="2294"/>
        <n v="278"/>
        <n v="4756"/>
        <n v="1350"/>
        <n v="6636"/>
        <n v="7002"/>
        <n v="8853"/>
        <n v="4563"/>
        <n v="4888"/>
        <n v="19"/>
        <n v="6294"/>
        <n v="817"/>
        <n v="4927"/>
        <n v="9021"/>
        <n v="1630"/>
        <n v="2288"/>
        <n v="5279"/>
        <n v="1747"/>
        <n v="3753"/>
        <n v="7342"/>
        <n v="2268"/>
        <n v="3050"/>
        <n v="7419"/>
        <n v="4276"/>
        <n v="7609"/>
        <n v="3748"/>
        <n v="5301"/>
        <n v="6467"/>
        <n v="7810"/>
        <n v="5518"/>
        <n v="4369"/>
        <n v="1877"/>
        <n v="8662"/>
        <n v="6420"/>
        <n v="5575"/>
        <n v="3593"/>
        <n v="709"/>
        <n v="2050"/>
        <n v="1773"/>
        <n v="968"/>
        <n v="9031"/>
        <n v="3214"/>
        <n v="982"/>
        <n v="8667"/>
        <n v="3514"/>
        <n v="6727"/>
        <n v="1931"/>
        <n v="8030"/>
        <n v="568"/>
        <n v="1969"/>
        <n v="8573"/>
        <n v="3605"/>
        <n v="8348"/>
        <n v="6416"/>
        <n v="8931"/>
        <n v="2848"/>
        <n v="8120"/>
        <n v="8435"/>
        <n v="5937"/>
        <n v="2186"/>
        <n v="3970"/>
        <n v="2656"/>
        <n v="3281"/>
        <n v="2688"/>
        <n v="2404"/>
        <n v="4342"/>
        <n v="8119"/>
        <n v="5017"/>
        <n v="5289"/>
        <n v="4150"/>
        <n v="5620"/>
        <n v="7836"/>
        <n v="793"/>
        <n v="3253"/>
        <n v="3130"/>
        <n v="5608"/>
        <n v="5121"/>
        <n v="8695"/>
        <n v="2054"/>
        <n v="84"/>
        <n v="9557"/>
        <n v="5134"/>
        <n v="9764"/>
        <n v="8722"/>
        <n v="4313"/>
        <n v="6327"/>
        <n v="2837"/>
        <n v="1492"/>
        <n v="9493"/>
        <n v="4363"/>
        <n v="2117"/>
        <n v="2363"/>
        <n v="7772"/>
        <n v="4970"/>
        <n v="4528"/>
        <n v="9047"/>
        <n v="3725"/>
        <n v="832"/>
        <n v="2741"/>
        <n v="9773"/>
        <n v="7972"/>
        <n v="9538"/>
        <n v="9327"/>
        <n v="7004"/>
        <n v="3893"/>
        <n v="7769"/>
        <n v="7598"/>
        <n v="7034"/>
        <n v="6122"/>
        <n v="470"/>
        <n v="4727"/>
        <n v="1895"/>
        <n v="3573"/>
        <n v="7075"/>
        <n v="2252"/>
        <n v="760"/>
        <n v="3132"/>
        <n v="4249"/>
        <n v="7210"/>
        <n v="5154"/>
        <n v="8307"/>
        <n v="200"/>
        <n v="9555"/>
        <n v="8728"/>
        <n v="60"/>
        <n v="382"/>
        <n v="5897"/>
        <n v="6906"/>
        <n v="3816"/>
        <n v="103"/>
        <n v="8"/>
        <n v="493"/>
        <n v="7176"/>
        <n v="6566"/>
        <n v="7316"/>
        <n v="8747"/>
        <n v="4617"/>
        <n v="8269"/>
        <n v="7277"/>
        <n v="264"/>
        <n v="5568"/>
        <n v="4189"/>
        <n v="1261"/>
        <n v="8650"/>
        <n v="7805"/>
        <n v="7227"/>
        <n v="2844"/>
        <n v="8461"/>
        <n v="376"/>
        <n v="1012"/>
        <n v="8735"/>
        <n v="305"/>
        <n v="5117"/>
        <n v="3972"/>
        <n v="3091"/>
        <n v="7770"/>
        <n v="7089"/>
        <n v="8279"/>
        <n v="4914"/>
        <n v="3500"/>
        <n v="6356"/>
        <n v="120"/>
        <n v="680"/>
        <n v="9889"/>
        <n v="8233"/>
        <n v="3149"/>
        <n v="4417"/>
        <n v="1321"/>
        <n v="2999"/>
        <n v="1782"/>
        <n v="4848"/>
        <n v="9472"/>
        <n v="9153"/>
        <n v="9957"/>
        <n v="9123"/>
        <n v="726"/>
        <n v="6433"/>
        <n v="1158"/>
        <n v="4843"/>
        <n v="2184"/>
        <n v="2878"/>
        <n v="2352"/>
        <n v="2328"/>
        <n v="4758"/>
        <n v="5330"/>
        <n v="2768"/>
        <n v="4254"/>
        <n v="826"/>
        <n v="2246"/>
        <n v="6286"/>
        <n v="5425"/>
        <n v="6194"/>
        <n v="347"/>
        <n v="8937"/>
        <n v="4887"/>
        <n v="5946"/>
        <n v="4486"/>
        <n v="9631"/>
        <n v="7523"/>
        <n v="9469"/>
        <n v="4892"/>
        <n v="7522"/>
        <n v="5865"/>
        <n v="2290"/>
        <n v="8956"/>
        <n v="3463"/>
        <n v="857"/>
        <n v="6549"/>
        <n v="8603"/>
        <n v="1928"/>
        <n v="1526"/>
        <n v="6359"/>
        <n v="8171"/>
        <n v="8311"/>
        <n v="6582"/>
        <n v="2643"/>
        <n v="4319"/>
        <n v="7939"/>
        <n v="1585"/>
        <n v="5237"/>
        <n v="9768"/>
        <n v="99"/>
        <n v="9868"/>
        <n v="9931"/>
        <n v="7695"/>
        <n v="7919"/>
        <n v="7391"/>
        <n v="8664"/>
        <n v="5610"/>
        <n v="2829"/>
        <n v="7987"/>
        <n v="8134"/>
        <n v="5778"/>
        <n v="8972"/>
        <n v="207"/>
        <n v="6481"/>
        <n v="7856"/>
        <n v="8205"/>
        <n v="5515"/>
        <n v="1180"/>
        <n v="8711"/>
        <n v="7166"/>
        <n v="2478"/>
        <n v="6871"/>
        <n v="1060"/>
        <n v="6676"/>
        <n v="5096"/>
        <n v="8371"/>
        <n v="1846"/>
        <n v="2001"/>
        <n v="745"/>
        <n v="1047"/>
        <n v="7483"/>
        <n v="8724"/>
        <n v="7308"/>
        <n v="7922"/>
        <n v="4669"/>
        <n v="636"/>
        <n v="8324"/>
        <n v="4521"/>
        <n v="209"/>
        <n v="1728"/>
        <n v="50"/>
        <n v="6690"/>
        <n v="2960"/>
        <n v="3129"/>
        <n v="3868"/>
        <n v="4945"/>
        <n v="4278"/>
        <n v="457"/>
        <n v="2272"/>
        <n v="4300"/>
        <n v="9846"/>
        <n v="9644"/>
        <n v="5197"/>
        <n v="3540"/>
        <n v="5035"/>
        <n v="9613"/>
        <n v="5265"/>
        <n v="7799"/>
        <n v="318"/>
        <n v="4411"/>
        <n v="1743"/>
        <n v="4007"/>
        <n v="1347"/>
        <n v="8904"/>
        <n v="5082"/>
        <n v="1035"/>
        <n v="5065"/>
        <n v="7896"/>
        <n v="7748"/>
        <n v="3134"/>
        <n v="1394"/>
        <n v="9094"/>
        <n v="4702"/>
        <n v="2053"/>
        <n v="3551"/>
        <n v="5224"/>
        <n v="9064"/>
        <n v="4057"/>
        <n v="4883"/>
        <n v="5590"/>
        <n v="7631"/>
        <n v="2119"/>
        <n v="854"/>
        <n v="1141"/>
        <n v="6730"/>
        <n v="9354"/>
        <n v="5444"/>
        <n v="9188"/>
        <n v="2245"/>
        <n v="4472"/>
        <n v="7597"/>
        <n v="2596"/>
        <n v="9790"/>
        <n v="2870"/>
        <n v="4188"/>
        <n v="5258"/>
        <n v="509"/>
        <n v="4747"/>
        <n v="2979"/>
        <n v="5454"/>
        <n v="312"/>
        <n v="8749"/>
        <n v="2699"/>
        <n v="2316"/>
        <n v="7451"/>
        <n v="9789"/>
        <n v="4392"/>
        <n v="4144"/>
        <n v="6051"/>
        <n v="1656"/>
        <n v="8115"/>
        <n v="2087"/>
        <n v="8264"/>
        <n v="5647"/>
        <n v="1794"/>
        <n v="7168"/>
        <n v="90"/>
        <n v="7533"/>
        <n v="6262"/>
        <n v="4344"/>
        <n v="1450"/>
        <n v="6489"/>
        <n v="7392"/>
        <n v="7497"/>
        <n v="7162"/>
        <n v="3634"/>
        <n v="5309"/>
        <n v="5674"/>
        <n v="8114"/>
        <n v="842"/>
        <n v="6615"/>
        <n v="7355"/>
        <n v="2011"/>
        <n v="5699"/>
        <n v="4885"/>
        <n v="5423"/>
        <n v="4979"/>
        <n v="1662"/>
        <n v="2583"/>
        <n v="2825"/>
        <n v="6775"/>
        <n v="2472"/>
        <n v="1387"/>
        <n v="5670"/>
        <n v="1942"/>
        <n v="9670"/>
        <n v="1302"/>
        <n v="979"/>
        <n v="1426"/>
        <n v="2297"/>
        <n v="7230"/>
        <n v="2358"/>
        <n v="7510"/>
        <n v="9949"/>
        <n v="5737"/>
        <n v="6448"/>
        <n v="6235"/>
        <n v="6082"/>
        <n v="1367"/>
        <n v="6366"/>
        <n v="2523"/>
        <n v="7718"/>
        <n v="3832"/>
        <n v="5721"/>
        <n v="3548"/>
        <n v="3825"/>
        <n v="5325"/>
        <n v="5052"/>
        <n v="1066"/>
        <n v="5777"/>
        <n v="2831"/>
        <n v="984"/>
        <n v="5839"/>
        <n v="758"/>
        <n v="2644"/>
        <n v="80"/>
        <n v="5909"/>
        <n v="6345"/>
        <n v="3229"/>
        <n v="6351"/>
        <n v="6527"/>
        <n v="1695"/>
        <n v="3037"/>
        <n v="74"/>
        <n v="2515"/>
        <n v="6773"/>
        <n v="235"/>
        <n v="311"/>
        <n v="6147"/>
        <n v="6574"/>
        <n v="625"/>
        <n v="3102"/>
        <n v="5458"/>
        <n v="112"/>
        <n v="7816"/>
        <n v="8614"/>
        <n v="5393"/>
        <n v="1062"/>
        <n v="4677"/>
        <n v="6686"/>
        <n v="4273"/>
        <n v="481"/>
        <n v="9662"/>
        <n v="5187"/>
        <n v="8296"/>
        <n v="2575"/>
        <n v="4981"/>
        <n v="9143"/>
        <n v="8084"/>
        <n v="5128"/>
        <n v="645"/>
        <n v="5457"/>
        <n v="520"/>
        <n v="2113"/>
        <n v="9226"/>
        <n v="6086"/>
        <n v="960"/>
        <n v="6411"/>
        <n v="855"/>
        <n v="5508"/>
        <n v="2146"/>
        <n v="2619"/>
        <n v="9130"/>
        <n v="6515"/>
        <n v="5361"/>
        <n v="9927"/>
        <n v="4252"/>
        <n v="604"/>
        <n v="42"/>
        <n v="2725"/>
        <n v="7580"/>
        <n v="368"/>
        <n v="193"/>
        <n v="4952"/>
        <n v="7416"/>
        <n v="1567"/>
        <n v="5585"/>
        <n v="5840"/>
        <n v="7189"/>
        <n v="3406"/>
        <n v="789"/>
        <n v="6689"/>
        <n v="8267"/>
        <n v="7629"/>
        <n v="8083"/>
        <n v="9440"/>
        <n v="1679"/>
        <n v="833"/>
        <n v="4522"/>
        <n v="8368"/>
        <n v="9732"/>
        <n v="8075"/>
        <n v="282"/>
        <n v="5729"/>
        <n v="6616"/>
        <n v="8833"/>
        <n v="1682"/>
        <n v="3035"/>
        <n v="6232"/>
        <n v="1107"/>
        <n v="1936"/>
        <n v="721"/>
        <n v="9612"/>
        <n v="1448"/>
        <n v="3533"/>
        <n v="1763"/>
        <n v="6509"/>
        <n v="2364"/>
        <n v="7586"/>
        <n v="6535"/>
        <n v="5734"/>
        <n v="85"/>
        <n v="197"/>
        <n v="4774"/>
        <n v="9962"/>
        <n v="8442"/>
        <n v="1979"/>
        <n v="7561"/>
        <n v="7847"/>
        <n v="4573"/>
        <n v="3126"/>
        <n v="4645"/>
        <n v="658"/>
        <n v="2137"/>
        <n v="1138"/>
        <n v="6944"/>
        <n v="9626"/>
        <n v="8220"/>
        <n v="338"/>
        <n v="2018"/>
        <n v="2005"/>
        <n v="8692"/>
        <n v="4811"/>
        <n v="7916"/>
        <n v="3711"/>
        <n v="8779"/>
        <n v="8944"/>
        <n v="5363"/>
        <n v="7001"/>
        <n v="922"/>
        <n v="7607"/>
        <n v="5720"/>
        <n v="7673"/>
        <n v="8799"/>
        <n v="9442"/>
        <n v="4361"/>
        <n v="3206"/>
        <n v="2576"/>
        <n v="5857"/>
        <n v="3654"/>
        <n v="9203"/>
        <n v="9485"/>
        <n v="2130"/>
        <n v="68"/>
        <n v="6330"/>
        <n v="9944"/>
        <n v="4457"/>
        <n v="5186"/>
        <n v="518"/>
        <n v="3060"/>
        <n v="1739"/>
        <n v="1544"/>
        <n v="9042"/>
        <n v="2403"/>
        <n v="1613"/>
        <n v="587"/>
        <n v="1488"/>
        <n v="3138"/>
        <n v="8839"/>
        <n v="1751"/>
        <n v="4464"/>
        <n v="7728"/>
        <n v="4680"/>
        <n v="7320"/>
        <n v="907"/>
        <n v="75"/>
        <n v="4284"/>
        <n v="6659"/>
        <n v="2924"/>
        <n v="5579"/>
        <n v="4223"/>
        <n v="555"/>
        <n v="2175"/>
        <n v="4986"/>
        <n v="9598"/>
        <n v="7643"/>
        <n v="2991"/>
        <n v="7186"/>
        <n v="5600"/>
        <n v="3331"/>
        <n v="2851"/>
        <n v="3453"/>
        <n v="2394"/>
        <n v="3355"/>
        <n v="6712"/>
        <n v="1905"/>
        <n v="9869"/>
        <n v="5218"/>
        <n v="3869"/>
        <n v="8965"/>
        <n v="888"/>
        <n v="3133"/>
        <n v="2984"/>
        <n v="8118"/>
        <n v="9168"/>
        <n v="2430"/>
        <n v="5641"/>
        <n v="280"/>
        <n v="2516"/>
        <n v="1669"/>
        <n v="9667"/>
        <n v="5441"/>
        <n v="4055"/>
        <n v="3734"/>
        <n v="5709"/>
        <n v="9402"/>
        <n v="7846"/>
        <n v="1017"/>
        <n v="7279"/>
        <n v="6161"/>
        <n v="7969"/>
        <n v="4015"/>
        <n v="6876"/>
        <n v="8763"/>
        <n v="8631"/>
        <n v="9111"/>
        <n v="6772"/>
        <n v="500"/>
        <n v="542"/>
        <n v="7217"/>
        <n v="340"/>
        <n v="4129"/>
        <n v="9141"/>
        <n v="7082"/>
        <n v="719"/>
        <n v="2160"/>
        <n v="6933"/>
        <n v="4204"/>
        <n v="992"/>
        <n v="2384"/>
        <n v="6352"/>
        <n v="1472"/>
        <n v="7043"/>
        <n v="6032"/>
        <n v="5291"/>
        <n v="2670"/>
        <n v="8073"/>
        <n v="9386"/>
        <n v="8338"/>
        <n v="4398"/>
        <n v="9661"/>
        <n v="6977"/>
        <n v="4234"/>
        <n v="612"/>
        <n v="7239"/>
        <n v="2331"/>
        <n v="7222"/>
        <n v="5565"/>
        <n v="6063"/>
        <n v="5271"/>
        <n v="8645"/>
        <n v="4506"/>
        <n v="8636"/>
        <n v="610"/>
        <n v="6557"/>
        <n v="3862"/>
        <n v="3899"/>
        <n v="1143"/>
        <n v="1964"/>
        <n v="5264"/>
        <n v="5826"/>
        <n v="3578"/>
        <n v="1586"/>
        <n v="2029"/>
        <n v="4058"/>
        <n v="5993"/>
        <n v="732"/>
        <n v="7356"/>
        <n v="411"/>
        <n v="7437"/>
        <n v="6984"/>
        <n v="8523"/>
        <n v="9856"/>
        <n v="2417"/>
        <n v="9575"/>
        <n v="4094"/>
        <n v="5921"/>
        <n v="5980"/>
        <n v="297"/>
        <n v="1335"/>
        <n v="665"/>
        <n v="5389"/>
        <n v="1721"/>
        <n v="2210"/>
        <n v="3907"/>
        <n v="4752"/>
        <n v="3173"/>
        <n v="4880"/>
        <n v="889"/>
        <n v="9507"/>
        <n v="6201"/>
        <n v="3029"/>
        <n v="6935"/>
        <n v="1626"/>
        <n v="8063"/>
        <n v="1689"/>
        <n v="7154"/>
        <n v="149"/>
        <n v="1240"/>
        <n v="1404"/>
        <n v="4966"/>
        <n v="9136"/>
        <n v="5215"/>
        <n v="208"/>
        <n v="2349"/>
        <n v="2373"/>
        <n v="9988"/>
        <n v="4194"/>
        <n v="8528"/>
        <n v="4918"/>
        <n v="7559"/>
        <n v="9201"/>
        <n v="6499"/>
        <n v="5456"/>
        <n v="3114"/>
        <n v="1565"/>
        <n v="4675"/>
        <n v="2354"/>
        <n v="7913"/>
        <n v="7874"/>
        <n v="2931"/>
        <n v="8753"/>
        <n v="647"/>
        <n v="28"/>
        <n v="5262"/>
        <n v="4001"/>
        <n v="6390"/>
        <n v="8326"/>
        <n v="6590"/>
        <n v="7962"/>
        <n v="8261"/>
        <n v="5188"/>
        <n v="9548"/>
        <n v="1309"/>
        <n v="1580"/>
        <n v="3926"/>
        <n v="8585"/>
        <n v="8902"/>
        <n v="4481"/>
        <n v="7633"/>
        <n v="5074"/>
        <n v="102"/>
        <n v="928"/>
        <n v="6131"/>
        <n v="9718"/>
        <n v="9793"/>
        <n v="5762"/>
        <n v="927"/>
        <n v="3492"/>
        <n v="9934"/>
        <n v="6608"/>
        <n v="8757"/>
        <n v="3799"/>
        <n v="6576"/>
        <n v="7964"/>
        <n v="5809"/>
        <n v="2161"/>
        <n v="9235"/>
        <n v="6184"/>
        <n v="4140"/>
        <n v="7709"/>
        <n v="266"/>
        <n v="8385"/>
        <n v="4434"/>
        <n v="2698"/>
        <n v="9181"/>
        <n v="307"/>
        <n v="6873"/>
        <n v="7493"/>
        <n v="4795"/>
        <n v="9209"/>
        <n v="8526"/>
        <n v="87"/>
        <n v="8452"/>
        <n v="7796"/>
        <n v="9747"/>
        <n v="9707"/>
        <n v="9567"/>
        <n v="7136"/>
        <n v="8017"/>
        <n v="3856"/>
        <n v="1793"/>
        <n v="7612"/>
        <n v="8424"/>
        <n v="8812"/>
        <n v="1603"/>
        <n v="4328"/>
        <n v="4454"/>
        <n v="559"/>
        <n v="4406"/>
        <n v="8709"/>
        <n v="6239"/>
        <n v="644"/>
        <n v="5974"/>
        <n v="7417"/>
        <n v="3220"/>
        <n v="614"/>
        <n v="7879"/>
        <n v="9825"/>
        <n v="6946"/>
        <n v="1368"/>
        <n v="655"/>
        <n v="5170"/>
        <n v="2791"/>
        <n v="8107"/>
        <n v="7187"/>
        <n v="4673"/>
        <n v="580"/>
        <n v="5076"/>
        <n v="9441"/>
        <n v="969"/>
        <n v="5192"/>
        <n v="7384"/>
        <n v="827"/>
        <n v="3142"/>
        <n v="5645"/>
        <n v="3410"/>
        <n v="1827"/>
        <n v="6714"/>
        <m/>
      </sharedItems>
    </cacheField>
    <cacheField name="service_cost" numFmtId="0">
      <sharedItems containsString="0" containsBlank="1" containsNumber="1" minValue="3" maxValue="7996"/>
    </cacheField>
    <cacheField name="profit" numFmtId="0">
      <sharedItems containsString="0" containsBlank="1" containsNumber="1" minValue="-9639" maxValue="10692"/>
    </cacheField>
    <cacheField name="payment_status" numFmtId="0">
      <sharedItems containsBlank="1"/>
    </cacheField>
    <cacheField name="tenure_months" numFmtId="0">
      <sharedItems containsString="0" containsBlank="1" containsNumber="1" containsInteger="1" minValue="0" maxValue="19"/>
    </cacheField>
    <cacheField name="last_active_date" numFmtId="0">
      <sharedItems containsNonDate="0" containsDate="1" containsString="0" containsBlank="1" minDate="2022-02-08T00:00:00" maxDate="2024-08-12T00:00:00"/>
    </cacheField>
    <cacheField name="churn_flag" numFmtId="0">
      <sharedItems containsString="0" containsBlank="1" containsNumber="1" containsInteger="1" minValue="0" maxValue="1"/>
    </cacheField>
    <cacheField name="temp_id" numFmtId="0">
      <sharedItems containsString="0" containsBlank="1" containsNumber="1" containsInteger="1" minValue="1" maxValue="2994"/>
    </cacheField>
    <cacheField name="Profit_margin" numFmtId="0">
      <sharedItems containsString="0" containsBlank="1" containsNumber="1" minValue="-1221.2" maxValue="72.13"/>
    </cacheField>
    <cacheField name="Outlier Flag" numFmtId="0">
      <sharedItems containsBlank="1"/>
    </cacheField>
    <cacheField name="Year" numFmtId="0">
      <sharedItems containsString="0" containsBlank="1" containsNumber="1" containsInteger="1" minValue="2022" maxValue="2024"/>
    </cacheField>
    <cacheField name="Month"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man Konukati" refreshedDate="46071.656243865742" createdVersion="8" refreshedVersion="8" minRefreshableVersion="3" recordCount="2994" xr:uid="{5A7B2FBA-64F6-46E1-B0E2-1A1F360A905F}">
  <cacheSource type="worksheet">
    <worksheetSource name="Table1"/>
  </cacheSource>
  <cacheFields count="23">
    <cacheField name="transaction_id" numFmtId="0">
      <sharedItems containsSemiMixedTypes="0" containsString="0" containsNumber="1" containsInteger="1" minValue="1" maxValue="4999"/>
    </cacheField>
    <cacheField name="client_id" numFmtId="0">
      <sharedItems containsSemiMixedTypes="0" containsString="0" containsNumber="1" containsInteger="1" minValue="100" maxValue="500"/>
    </cacheField>
    <cacheField name="industry" numFmtId="0">
      <sharedItems count="5">
        <s v="Fipaidnce"/>
        <s v="Education"/>
        <s v="Retail"/>
        <s v="Healthcare"/>
        <s v="IT"/>
      </sharedItems>
    </cacheField>
    <cacheField name="region" numFmtId="0">
      <sharedItems count="4">
        <s v="South"/>
        <s v="East"/>
        <s v="North"/>
        <s v="West"/>
      </sharedItems>
    </cacheField>
    <cacheField name="subscription_plan" numFmtId="0">
      <sharedItems count="3">
        <s v="Basic"/>
        <s v="Premium"/>
        <s v="Standard"/>
      </sharedItems>
    </cacheField>
    <cacheField name="onboarding_date" numFmtId="14">
      <sharedItems containsSemiMixedTypes="0" containsNonDate="0" containsDate="1" containsString="0" minDate="2022-01-01T00:00:00" maxDate="2023-01-02T00:00:00"/>
    </cacheField>
    <cacheField name="invoice_date" numFmtId="14">
      <sharedItems containsSemiMixedTypes="0" containsNonDate="0" containsDate="1" containsString="0" minDate="2022-02-08T00:00:00" maxDate="2024-08-12T00:00:00" count="801">
        <d v="2023-01-20T00:00:00"/>
        <d v="2022-05-18T00:00:00"/>
        <d v="2023-09-15T00:00:00"/>
        <d v="2023-12-05T00:00:00"/>
        <d v="2023-04-05T00:00:00"/>
        <d v="2022-10-13T00:00:00"/>
        <d v="2023-08-06T00:00:00"/>
        <d v="2023-03-04T00:00:00"/>
        <d v="2024-05-13T00:00:00"/>
        <d v="2023-10-15T00:00:00"/>
        <d v="2023-08-29T00:00:00"/>
        <d v="2023-06-30T00:00:00"/>
        <d v="2023-05-31T00:00:00"/>
        <d v="2022-06-18T00:00:00"/>
        <d v="2023-08-21T00:00:00"/>
        <d v="2023-04-11T00:00:00"/>
        <d v="2022-11-03T00:00:00"/>
        <d v="2022-08-09T00:00:00"/>
        <d v="2023-06-17T00:00:00"/>
        <d v="2023-02-19T00:00:00"/>
        <d v="2023-05-14T00:00:00"/>
        <d v="2024-06-15T00:00:00"/>
        <d v="2023-03-19T00:00:00"/>
        <d v="2022-08-27T00:00:00"/>
        <d v="2023-06-14T00:00:00"/>
        <d v="2024-04-28T00:00:00"/>
        <d v="2023-04-08T00:00:00"/>
        <d v="2023-07-03T00:00:00"/>
        <d v="2023-01-27T00:00:00"/>
        <d v="2023-02-02T00:00:00"/>
        <d v="2023-01-13T00:00:00"/>
        <d v="2022-10-24T00:00:00"/>
        <d v="2023-06-19T00:00:00"/>
        <d v="2023-05-21T00:00:00"/>
        <d v="2022-10-14T00:00:00"/>
        <d v="2023-11-25T00:00:00"/>
        <d v="2023-07-29T00:00:00"/>
        <d v="2022-09-05T00:00:00"/>
        <d v="2022-04-25T00:00:00"/>
        <d v="2023-09-27T00:00:00"/>
        <d v="2023-07-02T00:00:00"/>
        <d v="2023-04-28T00:00:00"/>
        <d v="2023-03-05T00:00:00"/>
        <d v="2023-09-01T00:00:00"/>
        <d v="2023-02-08T00:00:00"/>
        <d v="2023-01-02T00:00:00"/>
        <d v="2023-09-19T00:00:00"/>
        <d v="2022-05-03T00:00:00"/>
        <d v="2023-11-02T00:00:00"/>
        <d v="2023-09-14T00:00:00"/>
        <d v="2023-09-08T00:00:00"/>
        <d v="2023-12-17T00:00:00"/>
        <d v="2023-10-04T00:00:00"/>
        <d v="2022-07-11T00:00:00"/>
        <d v="2024-03-22T00:00:00"/>
        <d v="2023-11-06T00:00:00"/>
        <d v="2023-10-02T00:00:00"/>
        <d v="2024-01-22T00:00:00"/>
        <d v="2023-04-02T00:00:00"/>
        <d v="2023-03-25T00:00:00"/>
        <d v="2023-09-28T00:00:00"/>
        <d v="2024-01-14T00:00:00"/>
        <d v="2023-02-07T00:00:00"/>
        <d v="2023-01-05T00:00:00"/>
        <d v="2023-03-07T00:00:00"/>
        <d v="2023-01-14T00:00:00"/>
        <d v="2023-07-04T00:00:00"/>
        <d v="2023-02-20T00:00:00"/>
        <d v="2023-09-10T00:00:00"/>
        <d v="2023-07-18T00:00:00"/>
        <d v="2023-06-22T00:00:00"/>
        <d v="2023-07-31T00:00:00"/>
        <d v="2023-08-12T00:00:00"/>
        <d v="2024-05-29T00:00:00"/>
        <d v="2024-01-04T00:00:00"/>
        <d v="2023-02-01T00:00:00"/>
        <d v="2022-11-08T00:00:00"/>
        <d v="2024-02-16T00:00:00"/>
        <d v="2022-07-13T00:00:00"/>
        <d v="2023-08-07T00:00:00"/>
        <d v="2023-01-12T00:00:00"/>
        <d v="2024-03-17T00:00:00"/>
        <d v="2023-05-28T00:00:00"/>
        <d v="2023-06-06T00:00:00"/>
        <d v="2023-06-10T00:00:00"/>
        <d v="2023-03-24T00:00:00"/>
        <d v="2023-12-26T00:00:00"/>
        <d v="2023-11-01T00:00:00"/>
        <d v="2023-06-07T00:00:00"/>
        <d v="2023-03-12T00:00:00"/>
        <d v="2022-12-18T00:00:00"/>
        <d v="2022-03-29T00:00:00"/>
        <d v="2023-01-23T00:00:00"/>
        <d v="2022-10-06T00:00:00"/>
        <d v="2023-06-13T00:00:00"/>
        <d v="2023-10-12T00:00:00"/>
        <d v="2024-01-26T00:00:00"/>
        <d v="2022-06-26T00:00:00"/>
        <d v="2023-04-16T00:00:00"/>
        <d v="2023-02-23T00:00:00"/>
        <d v="2022-09-23T00:00:00"/>
        <d v="2022-11-17T00:00:00"/>
        <d v="2022-07-12T00:00:00"/>
        <d v="2023-10-05T00:00:00"/>
        <d v="2024-05-28T00:00:00"/>
        <d v="2022-12-05T00:00:00"/>
        <d v="2024-06-11T00:00:00"/>
        <d v="2022-10-03T00:00:00"/>
        <d v="2023-04-30T00:00:00"/>
        <d v="2024-04-08T00:00:00"/>
        <d v="2022-10-31T00:00:00"/>
        <d v="2023-11-16T00:00:00"/>
        <d v="2022-05-04T00:00:00"/>
        <d v="2023-08-15T00:00:00"/>
        <d v="2022-10-21T00:00:00"/>
        <d v="2023-01-01T00:00:00"/>
        <d v="2023-06-27T00:00:00"/>
        <d v="2024-06-21T00:00:00"/>
        <d v="2022-09-13T00:00:00"/>
        <d v="2023-11-17T00:00:00"/>
        <d v="2023-03-01T00:00:00"/>
        <d v="2022-05-15T00:00:00"/>
        <d v="2023-12-21T00:00:00"/>
        <d v="2022-07-19T00:00:00"/>
        <d v="2023-04-13T00:00:00"/>
        <d v="2023-10-10T00:00:00"/>
        <d v="2024-03-05T00:00:00"/>
        <d v="2024-03-07T00:00:00"/>
        <d v="2024-02-21T00:00:00"/>
        <d v="2023-06-02T00:00:00"/>
        <d v="2023-03-28T00:00:00"/>
        <d v="2023-06-01T00:00:00"/>
        <d v="2022-11-02T00:00:00"/>
        <d v="2023-02-12T00:00:00"/>
        <d v="2022-11-05T00:00:00"/>
        <d v="2024-04-21T00:00:00"/>
        <d v="2023-08-11T00:00:00"/>
        <d v="2023-05-19T00:00:00"/>
        <d v="2022-10-11T00:00:00"/>
        <d v="2022-08-04T00:00:00"/>
        <d v="2023-06-20T00:00:00"/>
        <d v="2022-08-03T00:00:00"/>
        <d v="2023-01-22T00:00:00"/>
        <d v="2022-07-26T00:00:00"/>
        <d v="2023-09-13T00:00:00"/>
        <d v="2023-01-09T00:00:00"/>
        <d v="2023-10-08T00:00:00"/>
        <d v="2022-06-29T00:00:00"/>
        <d v="2023-12-02T00:00:00"/>
        <d v="2023-01-31T00:00:00"/>
        <d v="2023-11-24T00:00:00"/>
        <d v="2022-08-10T00:00:00"/>
        <d v="2022-06-11T00:00:00"/>
        <d v="2023-04-22T00:00:00"/>
        <d v="2023-06-24T00:00:00"/>
        <d v="2023-01-25T00:00:00"/>
        <d v="2023-02-24T00:00:00"/>
        <d v="2022-07-27T00:00:00"/>
        <d v="2023-05-09T00:00:00"/>
        <d v="2024-07-17T00:00:00"/>
        <d v="2022-10-15T00:00:00"/>
        <d v="2024-04-18T00:00:00"/>
        <d v="2023-08-01T00:00:00"/>
        <d v="2023-07-05T00:00:00"/>
        <d v="2024-05-27T00:00:00"/>
        <d v="2023-08-10T00:00:00"/>
        <d v="2022-07-15T00:00:00"/>
        <d v="2022-12-03T00:00:00"/>
        <d v="2024-04-01T00:00:00"/>
        <d v="2022-06-27T00:00:00"/>
        <d v="2023-10-21T00:00:00"/>
        <d v="2024-04-03T00:00:00"/>
        <d v="2023-02-26T00:00:00"/>
        <d v="2023-01-04T00:00:00"/>
        <d v="2022-11-19T00:00:00"/>
        <d v="2022-08-07T00:00:00"/>
        <d v="2022-08-14T00:00:00"/>
        <d v="2023-07-20T00:00:00"/>
        <d v="2022-08-12T00:00:00"/>
        <d v="2023-03-18T00:00:00"/>
        <d v="2024-01-17T00:00:00"/>
        <d v="2023-12-16T00:00:00"/>
        <d v="2022-10-04T00:00:00"/>
        <d v="2024-04-09T00:00:00"/>
        <d v="2023-03-30T00:00:00"/>
        <d v="2023-04-20T00:00:00"/>
        <d v="2023-04-03T00:00:00"/>
        <d v="2022-09-12T00:00:00"/>
        <d v="2023-04-09T00:00:00"/>
        <d v="2023-04-04T00:00:00"/>
        <d v="2022-08-11T00:00:00"/>
        <d v="2023-12-07T00:00:00"/>
        <d v="2023-01-06T00:00:00"/>
        <d v="2023-10-23T00:00:00"/>
        <d v="2024-03-21T00:00:00"/>
        <d v="2024-04-30T00:00:00"/>
        <d v="2023-09-20T00:00:00"/>
        <d v="2022-12-10T00:00:00"/>
        <d v="2023-01-18T00:00:00"/>
        <d v="2023-09-24T00:00:00"/>
        <d v="2023-12-09T00:00:00"/>
        <d v="2022-12-09T00:00:00"/>
        <d v="2023-11-19T00:00:00"/>
        <d v="2023-05-06T00:00:00"/>
        <d v="2024-06-25T00:00:00"/>
        <d v="2023-07-14T00:00:00"/>
        <d v="2023-07-22T00:00:00"/>
        <d v="2022-10-17T00:00:00"/>
        <d v="2024-02-09T00:00:00"/>
        <d v="2023-05-23T00:00:00"/>
        <d v="2023-09-12T00:00:00"/>
        <d v="2023-09-21T00:00:00"/>
        <d v="2022-12-07T00:00:00"/>
        <d v="2023-07-19T00:00:00"/>
        <d v="2023-01-10T00:00:00"/>
        <d v="2023-08-22T00:00:00"/>
        <d v="2023-07-10T00:00:00"/>
        <d v="2023-05-17T00:00:00"/>
        <d v="2022-12-27T00:00:00"/>
        <d v="2023-02-05T00:00:00"/>
        <d v="2023-03-29T00:00:00"/>
        <d v="2024-02-17T00:00:00"/>
        <d v="2024-05-15T00:00:00"/>
        <d v="2023-08-23T00:00:00"/>
        <d v="2022-12-24T00:00:00"/>
        <d v="2023-10-26T00:00:00"/>
        <d v="2022-09-03T00:00:00"/>
        <d v="2022-09-21T00:00:00"/>
        <d v="2022-09-08T00:00:00"/>
        <d v="2023-09-26T00:00:00"/>
        <d v="2023-01-07T00:00:00"/>
        <d v="2023-01-24T00:00:00"/>
        <d v="2023-04-17T00:00:00"/>
        <d v="2023-12-23T00:00:00"/>
        <d v="2024-06-12T00:00:00"/>
        <d v="2023-02-15T00:00:00"/>
        <d v="2022-05-13T00:00:00"/>
        <d v="2023-11-08T00:00:00"/>
        <d v="2023-07-30T00:00:00"/>
        <d v="2022-07-03T00:00:00"/>
        <d v="2024-03-27T00:00:00"/>
        <d v="2023-01-16T00:00:00"/>
        <d v="2022-07-21T00:00:00"/>
        <d v="2023-12-30T00:00:00"/>
        <d v="2022-12-26T00:00:00"/>
        <d v="2024-05-02T00:00:00"/>
        <d v="2022-10-05T00:00:00"/>
        <d v="2023-12-11T00:00:00"/>
        <d v="2023-11-23T00:00:00"/>
        <d v="2024-04-06T00:00:00"/>
        <d v="2023-01-11T00:00:00"/>
        <d v="2022-10-09T00:00:00"/>
        <d v="2023-12-12T00:00:00"/>
        <d v="2024-01-24T00:00:00"/>
        <d v="2023-07-06T00:00:00"/>
        <d v="2022-09-25T00:00:00"/>
        <d v="2023-12-10T00:00:00"/>
        <d v="2023-09-11T00:00:00"/>
        <d v="2022-06-19T00:00:00"/>
        <d v="2024-02-20T00:00:00"/>
        <d v="2023-07-11T00:00:00"/>
        <d v="2023-05-02T00:00:00"/>
        <d v="2023-05-27T00:00:00"/>
        <d v="2022-06-12T00:00:00"/>
        <d v="2023-09-17T00:00:00"/>
        <d v="2024-01-16T00:00:00"/>
        <d v="2023-11-09T00:00:00"/>
        <d v="2022-06-10T00:00:00"/>
        <d v="2023-12-06T00:00:00"/>
        <d v="2023-08-02T00:00:00"/>
        <d v="2023-09-09T00:00:00"/>
        <d v="2023-09-29T00:00:00"/>
        <d v="2023-07-01T00:00:00"/>
        <d v="2023-05-03T00:00:00"/>
        <d v="2024-05-11T00:00:00"/>
        <d v="2022-12-15T00:00:00"/>
        <d v="2023-04-23T00:00:00"/>
        <d v="2023-10-09T00:00:00"/>
        <d v="2023-01-03T00:00:00"/>
        <d v="2022-03-24T00:00:00"/>
        <d v="2023-09-06T00:00:00"/>
        <d v="2024-06-17T00:00:00"/>
        <d v="2022-10-30T00:00:00"/>
        <d v="2023-04-12T00:00:00"/>
        <d v="2023-03-02T00:00:00"/>
        <d v="2022-08-20T00:00:00"/>
        <d v="2023-03-15T00:00:00"/>
        <d v="2024-03-29T00:00:00"/>
        <d v="2023-03-31T00:00:00"/>
        <d v="2022-06-03T00:00:00"/>
        <d v="2023-05-25T00:00:00"/>
        <d v="2022-08-23T00:00:00"/>
        <d v="2023-08-16T00:00:00"/>
        <d v="2022-07-17T00:00:00"/>
        <d v="2024-07-14T00:00:00"/>
        <d v="2024-06-16T00:00:00"/>
        <d v="2022-08-22T00:00:00"/>
        <d v="2023-04-01T00:00:00"/>
        <d v="2023-05-16T00:00:00"/>
        <d v="2022-10-18T00:00:00"/>
        <d v="2024-03-10T00:00:00"/>
        <d v="2023-08-31T00:00:00"/>
        <d v="2024-03-12T00:00:00"/>
        <d v="2022-12-20T00:00:00"/>
        <d v="2023-01-17T00:00:00"/>
        <d v="2023-02-11T00:00:00"/>
        <d v="2022-11-25T00:00:00"/>
        <d v="2022-11-13T00:00:00"/>
        <d v="2023-03-20T00:00:00"/>
        <d v="2023-04-19T00:00:00"/>
        <d v="2023-10-28T00:00:00"/>
        <d v="2023-11-14T00:00:00"/>
        <d v="2023-12-15T00:00:00"/>
        <d v="2023-06-23T00:00:00"/>
        <d v="2022-06-09T00:00:00"/>
        <d v="2023-07-13T00:00:00"/>
        <d v="2023-11-21T00:00:00"/>
        <d v="2022-11-14T00:00:00"/>
        <d v="2023-08-17T00:00:00"/>
        <d v="2024-04-12T00:00:00"/>
        <d v="2022-12-21T00:00:00"/>
        <d v="2022-12-19T00:00:00"/>
        <d v="2024-02-02T00:00:00"/>
        <d v="2023-09-03T00:00:00"/>
        <d v="2022-05-11T00:00:00"/>
        <d v="2022-08-08T00:00:00"/>
        <d v="2024-06-05T00:00:00"/>
        <d v="2023-04-25T00:00:00"/>
        <d v="2023-07-07T00:00:00"/>
        <d v="2023-06-05T00:00:00"/>
        <d v="2022-10-29T00:00:00"/>
        <d v="2024-01-31T00:00:00"/>
        <d v="2022-12-25T00:00:00"/>
        <d v="2024-02-27T00:00:00"/>
        <d v="2022-05-25T00:00:00"/>
        <d v="2023-08-18T00:00:00"/>
        <d v="2022-09-29T00:00:00"/>
        <d v="2023-11-03T00:00:00"/>
        <d v="2023-10-24T00:00:00"/>
        <d v="2022-11-12T00:00:00"/>
        <d v="2023-03-03T00:00:00"/>
        <d v="2024-04-27T00:00:00"/>
        <d v="2023-10-18T00:00:00"/>
        <d v="2024-01-25T00:00:00"/>
        <d v="2023-05-22T00:00:00"/>
        <d v="2022-05-22T00:00:00"/>
        <d v="2022-04-09T00:00:00"/>
        <d v="2022-06-01T00:00:00"/>
        <d v="2023-06-08T00:00:00"/>
        <d v="2023-06-03T00:00:00"/>
        <d v="2023-07-09T00:00:00"/>
        <d v="2023-03-16T00:00:00"/>
        <d v="2022-07-07T00:00:00"/>
        <d v="2022-10-12T00:00:00"/>
        <d v="2022-11-28T00:00:00"/>
        <d v="2022-06-04T00:00:00"/>
        <d v="2022-12-23T00:00:00"/>
        <d v="2023-02-25T00:00:00"/>
        <d v="2022-11-30T00:00:00"/>
        <d v="2024-04-17T00:00:00"/>
        <d v="2022-03-15T00:00:00"/>
        <d v="2023-10-20T00:00:00"/>
        <d v="2023-08-19T00:00:00"/>
        <d v="2024-04-20T00:00:00"/>
        <d v="2023-02-21T00:00:00"/>
        <d v="2023-06-15T00:00:00"/>
        <d v="2023-09-23T00:00:00"/>
        <d v="2023-02-14T00:00:00"/>
        <d v="2024-05-25T00:00:00"/>
        <d v="2023-06-26T00:00:00"/>
        <d v="2022-11-23T00:00:00"/>
        <d v="2024-01-27T00:00:00"/>
        <d v="2024-02-14T00:00:00"/>
        <d v="2022-04-27T00:00:00"/>
        <d v="2024-08-03T00:00:00"/>
        <d v="2022-09-09T00:00:00"/>
        <d v="2022-11-04T00:00:00"/>
        <d v="2023-04-14T00:00:00"/>
        <d v="2023-06-12T00:00:00"/>
        <d v="2023-06-21T00:00:00"/>
        <d v="2022-12-14T00:00:00"/>
        <d v="2024-07-19T00:00:00"/>
        <d v="2024-01-19T00:00:00"/>
        <d v="2022-09-06T00:00:00"/>
        <d v="2023-11-28T00:00:00"/>
        <d v="2023-05-10T00:00:00"/>
        <d v="2023-05-18T00:00:00"/>
        <d v="2022-06-17T00:00:00"/>
        <d v="2023-02-17T00:00:00"/>
        <d v="2023-01-28T00:00:00"/>
        <d v="2022-06-30T00:00:00"/>
        <d v="2023-02-03T00:00:00"/>
        <d v="2023-10-22T00:00:00"/>
        <d v="2024-02-18T00:00:00"/>
        <d v="2022-11-22T00:00:00"/>
        <d v="2022-05-31T00:00:00"/>
        <d v="2022-12-04T00:00:00"/>
        <d v="2023-11-20T00:00:00"/>
        <d v="2024-01-28T00:00:00"/>
        <d v="2024-06-02T00:00:00"/>
        <d v="2022-09-14T00:00:00"/>
        <d v="2023-11-11T00:00:00"/>
        <d v="2023-04-07T00:00:00"/>
        <d v="2022-10-26T00:00:00"/>
        <d v="2023-06-28T00:00:00"/>
        <d v="2022-02-13T00:00:00"/>
        <d v="2023-05-05T00:00:00"/>
        <d v="2022-02-08T00:00:00"/>
        <d v="2022-05-12T00:00:00"/>
        <d v="2024-01-02T00:00:00"/>
        <d v="2023-03-13T00:00:00"/>
        <d v="2024-02-05T00:00:00"/>
        <d v="2024-03-04T00:00:00"/>
        <d v="2023-07-16T00:00:00"/>
        <d v="2022-03-12T00:00:00"/>
        <d v="2023-10-07T00:00:00"/>
        <d v="2023-09-04T00:00:00"/>
        <d v="2022-10-08T00:00:00"/>
        <d v="2022-07-24T00:00:00"/>
        <d v="2023-08-08T00:00:00"/>
        <d v="2023-07-25T00:00:00"/>
        <d v="2023-06-25T00:00:00"/>
        <d v="2024-01-10T00:00:00"/>
        <d v="2022-03-21T00:00:00"/>
        <d v="2023-07-12T00:00:00"/>
        <d v="2023-04-29T00:00:00"/>
        <d v="2023-01-15T00:00:00"/>
        <d v="2023-03-08T00:00:00"/>
        <d v="2023-04-15T00:00:00"/>
        <d v="2024-02-28T00:00:00"/>
        <d v="2022-07-18T00:00:00"/>
        <d v="2023-06-11T00:00:00"/>
        <d v="2024-02-25T00:00:00"/>
        <d v="2023-03-11T00:00:00"/>
        <d v="2022-07-30T00:00:00"/>
        <d v="2024-01-30T00:00:00"/>
        <d v="2023-05-12T00:00:00"/>
        <d v="2024-02-06T00:00:00"/>
        <d v="2024-02-11T00:00:00"/>
        <d v="2022-07-10T00:00:00"/>
        <d v="2023-02-22T00:00:00"/>
        <d v="2023-09-02T00:00:00"/>
        <d v="2022-08-28T00:00:00"/>
        <d v="2022-09-07T00:00:00"/>
        <d v="2022-08-30T00:00:00"/>
        <d v="2023-11-12T00:00:00"/>
        <d v="2023-02-13T00:00:00"/>
        <d v="2024-05-26T00:00:00"/>
        <d v="2023-07-21T00:00:00"/>
        <d v="2022-09-18T00:00:00"/>
        <d v="2023-03-26T00:00:00"/>
        <d v="2023-08-13T00:00:00"/>
        <d v="2024-02-03T00:00:00"/>
        <d v="2024-06-09T00:00:00"/>
        <d v="2023-09-05T00:00:00"/>
        <d v="2023-01-21T00:00:00"/>
        <d v="2023-06-16T00:00:00"/>
        <d v="2023-12-31T00:00:00"/>
        <d v="2024-06-01T00:00:00"/>
        <d v="2023-03-27T00:00:00"/>
        <d v="2024-07-10T00:00:00"/>
        <d v="2023-08-14T00:00:00"/>
        <d v="2022-05-21T00:00:00"/>
        <d v="2023-11-29T00:00:00"/>
        <d v="2023-03-09T00:00:00"/>
        <d v="2023-01-19T00:00:00"/>
        <d v="2024-05-06T00:00:00"/>
        <d v="2022-12-28T00:00:00"/>
        <d v="2024-03-24T00:00:00"/>
        <d v="2022-05-10T00:00:00"/>
        <d v="2022-05-26T00:00:00"/>
        <d v="2024-05-01T00:00:00"/>
        <d v="2023-10-27T00:00:00"/>
        <d v="2024-03-06T00:00:00"/>
        <d v="2023-03-14T00:00:00"/>
        <d v="2023-08-26T00:00:00"/>
        <d v="2022-09-24T00:00:00"/>
        <d v="2024-01-05T00:00:00"/>
        <d v="2022-10-07T00:00:00"/>
        <d v="2023-02-04T00:00:00"/>
        <d v="2024-01-13T00:00:00"/>
        <d v="2024-04-15T00:00:00"/>
        <d v="2023-05-01T00:00:00"/>
        <d v="2024-02-19T00:00:00"/>
        <d v="2022-02-21T00:00:00"/>
        <d v="2022-12-08T00:00:00"/>
        <d v="2022-06-07T00:00:00"/>
        <d v="2023-12-14T00:00:00"/>
        <d v="2022-08-02T00:00:00"/>
        <d v="2024-03-23T00:00:00"/>
        <d v="2024-08-08T00:00:00"/>
        <d v="2023-12-08T00:00:00"/>
        <d v="2023-06-04T00:00:00"/>
        <d v="2023-02-16T00:00:00"/>
        <d v="2023-06-09T00:00:00"/>
        <d v="2023-12-04T00:00:00"/>
        <d v="2022-08-06T00:00:00"/>
        <d v="2022-07-01T00:00:00"/>
        <d v="2024-07-05T00:00:00"/>
        <d v="2022-10-20T00:00:00"/>
        <d v="2023-04-18T00:00:00"/>
        <d v="2022-06-21T00:00:00"/>
        <d v="2022-05-20T00:00:00"/>
        <d v="2023-05-07T00:00:00"/>
        <d v="2023-02-18T00:00:00"/>
        <d v="2023-10-01T00:00:00"/>
        <d v="2023-10-13T00:00:00"/>
        <d v="2022-10-19T00:00:00"/>
        <d v="2023-08-30T00:00:00"/>
        <d v="2022-10-23T00:00:00"/>
        <d v="2023-10-11T00:00:00"/>
        <d v="2022-09-01T00:00:00"/>
        <d v="2024-07-28T00:00:00"/>
        <d v="2022-03-26T00:00:00"/>
        <d v="2022-12-29T00:00:00"/>
        <d v="2023-03-21T00:00:00"/>
        <d v="2023-12-19T00:00:00"/>
        <d v="2022-09-11T00:00:00"/>
        <d v="2024-04-25T00:00:00"/>
        <d v="2022-04-30T00:00:00"/>
        <d v="2022-09-28T00:00:00"/>
        <d v="2022-11-11T00:00:00"/>
        <d v="2022-07-16T00:00:00"/>
        <d v="2022-07-25T00:00:00"/>
        <d v="2022-12-30T00:00:00"/>
        <d v="2022-10-27T00:00:00"/>
        <d v="2022-09-20T00:00:00"/>
        <d v="2022-10-25T00:00:00"/>
        <d v="2022-04-22T00:00:00"/>
        <d v="2022-06-02T00:00:00"/>
        <d v="2024-03-11T00:00:00"/>
        <d v="2022-10-01T00:00:00"/>
        <d v="2022-09-15T00:00:00"/>
        <d v="2023-04-27T00:00:00"/>
        <d v="2023-05-13T00:00:00"/>
        <d v="2024-04-11T00:00:00"/>
        <d v="2022-10-10T00:00:00"/>
        <d v="2023-07-28T00:00:00"/>
        <d v="2023-10-17T00:00:00"/>
        <d v="2024-03-28T00:00:00"/>
        <d v="2023-08-09T00:00:00"/>
        <d v="2022-11-06T00:00:00"/>
        <d v="2024-03-13T00:00:00"/>
        <d v="2022-05-27T00:00:00"/>
        <d v="2022-08-13T00:00:00"/>
        <d v="2022-12-17T00:00:00"/>
        <d v="2023-06-29T00:00:00"/>
        <d v="2023-12-27T00:00:00"/>
        <d v="2022-07-23T00:00:00"/>
        <d v="2022-11-09T00:00:00"/>
        <d v="2024-04-05T00:00:00"/>
        <d v="2024-01-12T00:00:00"/>
        <d v="2023-05-11T00:00:00"/>
        <d v="2023-01-30T00:00:00"/>
        <d v="2022-11-18T00:00:00"/>
        <d v="2022-12-16T00:00:00"/>
        <d v="2022-07-20T00:00:00"/>
        <d v="2024-02-01T00:00:00"/>
        <d v="2023-08-04T00:00:00"/>
        <d v="2024-01-01T00:00:00"/>
        <d v="2023-07-15T00:00:00"/>
        <d v="2024-08-01T00:00:00"/>
        <d v="2022-08-24T00:00:00"/>
        <d v="2024-02-29T00:00:00"/>
        <d v="2022-12-01T00:00:00"/>
        <d v="2024-03-15T00:00:00"/>
        <d v="2022-07-08T00:00:00"/>
        <d v="2023-01-08T00:00:00"/>
        <d v="2024-03-18T00:00:00"/>
        <d v="2022-09-02T00:00:00"/>
        <d v="2023-12-20T00:00:00"/>
        <d v="2023-09-18T00:00:00"/>
        <d v="2022-11-21T00:00:00"/>
        <d v="2023-12-29T00:00:00"/>
        <d v="2023-05-15T00:00:00"/>
        <d v="2024-01-08T00:00:00"/>
        <d v="2024-05-24T00:00:00"/>
        <d v="2024-04-13T00:00:00"/>
        <d v="2024-04-19T00:00:00"/>
        <d v="2024-02-13T00:00:00"/>
        <d v="2022-06-25T00:00:00"/>
        <d v="2023-07-27T00:00:00"/>
        <d v="2023-09-07T00:00:00"/>
        <d v="2023-10-30T00:00:00"/>
        <d v="2024-05-30T00:00:00"/>
        <d v="2023-11-27T00:00:00"/>
        <d v="2023-04-21T00:00:00"/>
        <d v="2024-05-12T00:00:00"/>
        <d v="2023-07-23T00:00:00"/>
        <d v="2023-08-27T00:00:00"/>
        <d v="2023-02-28T00:00:00"/>
        <d v="2022-12-13T00:00:00"/>
        <d v="2023-11-15T00:00:00"/>
        <d v="2022-10-02T00:00:00"/>
        <d v="2022-08-17T00:00:00"/>
        <d v="2022-02-27T00:00:00"/>
        <d v="2023-09-16T00:00:00"/>
        <d v="2023-11-30T00:00:00"/>
        <d v="2024-05-09T00:00:00"/>
        <d v="2024-03-30T00:00:00"/>
        <d v="2023-12-25T00:00:00"/>
        <d v="2023-11-07T00:00:00"/>
        <d v="2024-01-20T00:00:00"/>
        <d v="2023-08-25T00:00:00"/>
        <d v="2022-03-28T00:00:00"/>
        <d v="2023-10-29T00:00:00"/>
        <d v="2023-12-01T00:00:00"/>
        <d v="2024-06-19T00:00:00"/>
        <d v="2023-04-06T00:00:00"/>
        <d v="2023-09-25T00:00:00"/>
        <d v="2024-04-14T00:00:00"/>
        <d v="2023-05-26T00:00:00"/>
        <d v="2022-12-11T00:00:00"/>
        <d v="2023-10-06T00:00:00"/>
        <d v="2023-05-29T00:00:00"/>
        <d v="2022-07-09T00:00:00"/>
        <d v="2024-02-08T00:00:00"/>
        <d v="2022-05-09T00:00:00"/>
        <d v="2024-01-15T00:00:00"/>
        <d v="2023-11-18T00:00:00"/>
        <d v="2024-03-03T00:00:00"/>
        <d v="2022-02-24T00:00:00"/>
        <d v="2023-03-17T00:00:00"/>
        <d v="2024-02-26T00:00:00"/>
        <d v="2024-02-12T00:00:00"/>
        <d v="2023-12-13T00:00:00"/>
        <d v="2023-11-05T00:00:00"/>
        <d v="2023-05-08T00:00:00"/>
        <d v="2023-08-24T00:00:00"/>
        <d v="2023-09-22T00:00:00"/>
        <d v="2022-12-22T00:00:00"/>
        <d v="2022-09-17T00:00:00"/>
        <d v="2024-01-18T00:00:00"/>
        <d v="2022-09-16T00:00:00"/>
        <d v="2022-03-10T00:00:00"/>
        <d v="2022-12-06T00:00:00"/>
        <d v="2022-06-16T00:00:00"/>
        <d v="2024-03-25T00:00:00"/>
        <d v="2022-04-28T00:00:00"/>
        <d v="2022-08-01T00:00:00"/>
        <d v="2022-03-20T00:00:00"/>
        <d v="2022-03-13T00:00:00"/>
        <d v="2022-04-01T00:00:00"/>
        <d v="2022-03-19T00:00:00"/>
        <d v="2024-06-18T00:00:00"/>
        <d v="2022-09-22T00:00:00"/>
        <d v="2022-10-22T00:00:00"/>
        <d v="2024-01-09T00:00:00"/>
        <d v="2024-02-10T00:00:00"/>
        <d v="2023-02-27T00:00:00"/>
        <d v="2022-12-02T00:00:00"/>
        <d v="2024-05-19T00:00:00"/>
        <d v="2022-04-19T00:00:00"/>
        <d v="2023-11-04T00:00:00"/>
        <d v="2023-04-10T00:00:00"/>
        <d v="2024-03-31T00:00:00"/>
        <d v="2022-12-12T00:00:00"/>
        <d v="2023-04-24T00:00:00"/>
        <d v="2022-04-17T00:00:00"/>
        <d v="2022-05-08T00:00:00"/>
        <d v="2022-09-10T00:00:00"/>
        <d v="2022-04-15T00:00:00"/>
        <d v="2022-03-07T00:00:00"/>
        <d v="2022-02-26T00:00:00"/>
        <d v="2024-06-27T00:00:00"/>
        <d v="2024-01-21T00:00:00"/>
        <d v="2022-04-08T00:00:00"/>
        <d v="2023-04-26T00:00:00"/>
        <d v="2024-02-04T00:00:00"/>
        <d v="2022-10-16T00:00:00"/>
        <d v="2024-04-07T00:00:00"/>
        <d v="2022-07-05T00:00:00"/>
        <d v="2022-08-25T00:00:00"/>
        <d v="2023-10-14T00:00:00"/>
        <d v="2024-06-24T00:00:00"/>
        <d v="2023-10-31T00:00:00"/>
        <d v="2022-09-27T00:00:00"/>
        <d v="2023-09-30T00:00:00"/>
        <d v="2023-11-13T00:00:00"/>
        <d v="2023-03-23T00:00:00"/>
        <d v="2023-01-26T00:00:00"/>
        <d v="2024-06-07T00:00:00"/>
        <d v="2024-06-29T00:00:00"/>
        <d v="2022-06-05T00:00:00"/>
        <d v="2024-06-14T00:00:00"/>
        <d v="2022-07-14T00:00:00"/>
        <d v="2023-02-10T00:00:00"/>
        <d v="2024-01-11T00:00:00"/>
        <d v="2023-07-08T00:00:00"/>
        <d v="2023-12-18T00:00:00"/>
        <d v="2024-04-29T00:00:00"/>
        <d v="2022-05-07T00:00:00"/>
        <d v="2022-04-12T00:00:00"/>
        <d v="2023-06-18T00:00:00"/>
        <d v="2024-07-20T00:00:00"/>
        <d v="2022-05-01T00:00:00"/>
        <d v="2022-11-16T00:00:00"/>
        <d v="2022-09-19T00:00:00"/>
        <d v="2024-01-03T00:00:00"/>
        <d v="2022-11-07T00:00:00"/>
        <d v="2022-07-06T00:00:00"/>
        <d v="2022-08-31T00:00:00"/>
        <d v="2022-04-20T00:00:00"/>
        <d v="2024-01-29T00:00:00"/>
        <d v="2022-11-15T00:00:00"/>
        <d v="2024-03-20T00:00:00"/>
        <d v="2023-12-03T00:00:00"/>
        <d v="2024-03-02T00:00:00"/>
        <d v="2024-05-23T00:00:00"/>
        <d v="2022-12-31T00:00:00"/>
        <d v="2023-02-06T00:00:00"/>
        <d v="2024-02-07T00:00:00"/>
        <d v="2022-08-05T00:00:00"/>
        <d v="2022-08-18T00:00:00"/>
        <d v="2022-07-04T00:00:00"/>
        <d v="2022-11-20T00:00:00"/>
        <d v="2022-07-31T00:00:00"/>
        <d v="2023-12-24T00:00:00"/>
        <d v="2023-12-28T00:00:00"/>
        <d v="2024-01-23T00:00:00"/>
        <d v="2022-04-16T00:00:00"/>
        <d v="2023-10-16T00:00:00"/>
        <d v="2023-10-19T00:00:00"/>
        <d v="2023-05-30T00:00:00"/>
        <d v="2022-03-31T00:00:00"/>
        <d v="2022-06-13T00:00:00"/>
        <d v="2024-03-26T00:00:00"/>
        <d v="2024-04-04T00:00:00"/>
        <d v="2023-05-04T00:00:00"/>
        <d v="2022-11-26T00:00:00"/>
        <d v="2022-03-23T00:00:00"/>
        <d v="2023-05-24T00:00:00"/>
        <d v="2023-08-20T00:00:00"/>
        <d v="2022-03-06T00:00:00"/>
        <d v="2023-03-06T00:00:00"/>
        <d v="2024-03-08T00:00:00"/>
        <d v="2022-04-23T00:00:00"/>
        <d v="2023-01-29T00:00:00"/>
        <d v="2022-06-23T00:00:00"/>
        <d v="2022-03-18T00:00:00"/>
        <d v="2024-02-15T00:00:00"/>
        <d v="2023-11-22T00:00:00"/>
        <d v="2022-06-08T00:00:00"/>
        <d v="2022-06-20T00:00:00"/>
        <d v="2024-08-11T00:00:00"/>
        <d v="2023-05-20T00:00:00"/>
        <d v="2022-07-28T00:00:00"/>
        <d v="2023-07-26T00:00:00"/>
        <d v="2022-11-10T00:00:00"/>
        <d v="2024-06-06T00:00:00"/>
        <d v="2023-08-28T00:00:00"/>
        <d v="2022-07-02T00:00:00"/>
        <d v="2022-08-29T00:00:00"/>
        <d v="2024-02-23T00:00:00"/>
        <d v="2024-06-13T00:00:00"/>
        <d v="2024-05-14T00:00:00"/>
        <d v="2023-08-03T00:00:00"/>
        <d v="2023-03-22T00:00:00"/>
        <d v="2022-08-16T00:00:00"/>
        <d v="2022-11-01T00:00:00"/>
        <d v="2022-11-29T00:00:00"/>
        <d v="2022-09-30T00:00:00"/>
        <d v="2022-03-25T00:00:00"/>
        <d v="2022-05-17T00:00:00"/>
        <d v="2023-12-22T00:00:00"/>
        <d v="2024-05-05T00:00:00"/>
        <d v="2022-02-19T00:00:00"/>
        <d v="2024-08-04T00:00:00"/>
        <d v="2024-03-16T00:00:00"/>
        <d v="2024-06-23T00:00:00"/>
        <d v="2022-07-29T00:00:00"/>
        <d v="2024-05-08T00:00:00"/>
        <d v="2024-04-16T00:00:00"/>
        <d v="2022-09-04T00:00:00"/>
        <d v="2024-08-10T00:00:00"/>
        <d v="2023-02-09T00:00:00"/>
        <d v="2022-06-24T00:00:00"/>
        <d v="2024-04-22T00:00:00"/>
        <d v="2023-07-17T00:00:00"/>
        <d v="2023-11-26T00:00:00"/>
        <d v="2024-05-18T00:00:00"/>
        <d v="2024-05-21T00:00:00"/>
        <d v="2022-06-22T00:00:00"/>
        <d v="2022-07-22T00:00:00"/>
        <d v="2022-05-30T00:00:00"/>
        <d v="2024-05-16T00:00:00"/>
        <d v="2023-08-05T00:00:00"/>
        <d v="2022-05-14T00:00:00"/>
        <d v="2024-01-06T00:00:00"/>
        <d v="2024-05-31T00:00:00"/>
        <d v="2022-05-02T00:00:00"/>
        <d v="2022-02-15T00:00:00"/>
        <d v="2024-05-22T00:00:00"/>
        <d v="2022-03-30T00:00:00"/>
        <d v="2024-03-09T00:00:00"/>
        <d v="2024-06-28T00:00:00"/>
        <d v="2024-07-12T00:00:00"/>
        <d v="2022-02-12T00:00:00"/>
        <d v="2023-10-25T00:00:00"/>
        <d v="2022-11-27T00:00:00"/>
        <d v="2022-09-26T00:00:00"/>
      </sharedItems>
      <fieldGroup par="21"/>
    </cacheField>
    <cacheField name="revenue_amount" numFmtId="0">
      <sharedItems containsSemiMixedTypes="0" containsString="0" containsNumber="1" minValue="3" maxValue="9988"/>
    </cacheField>
    <cacheField name="service_cost" numFmtId="0">
      <sharedItems containsSemiMixedTypes="0" containsString="0" containsNumber="1" minValue="3" maxValue="7996"/>
    </cacheField>
    <cacheField name="profit" numFmtId="0">
      <sharedItems containsSemiMixedTypes="0" containsString="0" containsNumber="1" minValue="-9639" maxValue="10692"/>
    </cacheField>
    <cacheField name="payment_status" numFmtId="0">
      <sharedItems count="4">
        <s v="Overdue"/>
        <s v="paid"/>
        <s v="Pending"/>
        <s v="NA" u="1"/>
      </sharedItems>
    </cacheField>
    <cacheField name="tenure_months" numFmtId="0">
      <sharedItems containsSemiMixedTypes="0" containsString="0" containsNumber="1" containsInteger="1" minValue="0" maxValue="19"/>
    </cacheField>
    <cacheField name="Tenure_group" numFmtId="0">
      <sharedItems count="3">
        <s v="0-6 Months"/>
        <s v="6-12 Months"/>
        <s v="12+ Months"/>
      </sharedItems>
    </cacheField>
    <cacheField name="last_active_date" numFmtId="14">
      <sharedItems containsSemiMixedTypes="0" containsNonDate="0" containsDate="1" containsString="0" minDate="2022-02-08T00:00:00" maxDate="2024-08-12T00:00:00"/>
    </cacheField>
    <cacheField name="churn_flag" numFmtId="0">
      <sharedItems containsSemiMixedTypes="0" containsString="0" containsNumber="1" containsInteger="1" minValue="0" maxValue="1"/>
    </cacheField>
    <cacheField name="temp_id" numFmtId="0">
      <sharedItems containsSemiMixedTypes="0" containsString="0" containsNumber="1" containsInteger="1" minValue="1" maxValue="2994"/>
    </cacheField>
    <cacheField name="Profit_margin" numFmtId="9">
      <sharedItems containsSemiMixedTypes="0" containsString="0" containsNumber="1" minValue="-1221.2" maxValue="72.13"/>
    </cacheField>
    <cacheField name="Outlier Flag" numFmtId="0">
      <sharedItems/>
    </cacheField>
    <cacheField name="Year" numFmtId="0">
      <sharedItems containsSemiMixedTypes="0" containsString="0" containsNumber="1" containsInteger="1" minValue="2022" maxValue="2024"/>
    </cacheField>
    <cacheField name="Month" numFmtId="0">
      <sharedItems/>
    </cacheField>
    <cacheField name="Months (invoice_date)" numFmtId="0" databaseField="0">
      <fieldGroup base="6">
        <rangePr groupBy="months" startDate="2022-02-08T00:00:00" endDate="2024-08-12T00:00:00"/>
        <groupItems count="14">
          <s v="&lt;08-02-2022"/>
          <s v="Jan"/>
          <s v="Feb"/>
          <s v="Mar"/>
          <s v="Apr"/>
          <s v="May"/>
          <s v="Jun"/>
          <s v="Jul"/>
          <s v="Aug"/>
          <s v="Sep"/>
          <s v="Oct"/>
          <s v="Nov"/>
          <s v="Dec"/>
          <s v="&gt;12-08-2024"/>
        </groupItems>
      </fieldGroup>
    </cacheField>
    <cacheField name="Years (invoice_date)" numFmtId="0" databaseField="0">
      <fieldGroup base="6">
        <rangePr groupBy="years" startDate="2022-02-08T00:00:00" endDate="2024-08-12T00:00:00"/>
        <groupItems count="5">
          <s v="&lt;08-02-2022"/>
          <s v="2022"/>
          <s v="2023"/>
          <s v="2024"/>
          <s v="&gt;12-08-2024"/>
        </groupItems>
      </fieldGroup>
    </cacheField>
    <cacheField name="Industry Profit Margin" numFmtId="0" formula="profit/revenue_amount" databaseField="0"/>
  </cacheFields>
  <extLst>
    <ext xmlns:x14="http://schemas.microsoft.com/office/spreadsheetml/2009/9/main" uri="{725AE2AE-9491-48be-B2B4-4EB974FC3084}">
      <x14:pivotCacheDefinition pivotCacheId="18137693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5">
  <r>
    <n v="1"/>
    <x v="0"/>
    <x v="0"/>
    <s v="South"/>
    <s v="Basic"/>
    <d v="2022-12-06T00:00:00"/>
    <d v="2023-01-20T00:00:00"/>
    <x v="0"/>
    <n v="7917"/>
    <n v="-6045"/>
    <s v="Overdue"/>
    <n v="1"/>
    <d v="2023-01-20T00:00:00"/>
    <n v="0"/>
    <n v="1"/>
    <n v="-3.23"/>
    <s v="Outlier"/>
    <n v="2023"/>
    <s v="January"/>
  </r>
  <r>
    <n v="2"/>
    <x v="1"/>
    <x v="1"/>
    <s v="East"/>
    <s v="Premium"/>
    <d v="2022-02-16T00:00:00"/>
    <d v="2022-05-18T00:00:00"/>
    <x v="1"/>
    <n v="4642"/>
    <n v="577.01"/>
    <s v="Overdue"/>
    <n v="3"/>
    <d v="2022-05-18T00:00:00"/>
    <n v="0"/>
    <n v="2"/>
    <n v="0.43"/>
    <s v="Normal"/>
    <n v="2022"/>
    <s v="May"/>
  </r>
  <r>
    <n v="3"/>
    <x v="2"/>
    <x v="0"/>
    <s v="North"/>
    <s v="Premium"/>
    <d v="2022-06-25T00:00:00"/>
    <d v="2023-09-15T00:00:00"/>
    <x v="2"/>
    <n v="4358"/>
    <n v="2134"/>
    <s v="NA"/>
    <n v="14"/>
    <d v="2023-09-15T00:00:00"/>
    <n v="1"/>
    <n v="3"/>
    <n v="0.33"/>
    <s v="Normal"/>
    <n v="2023"/>
    <s v="September"/>
  </r>
  <r>
    <n v="4"/>
    <x v="3"/>
    <x v="1"/>
    <s v="South"/>
    <s v="Basic"/>
    <d v="2022-06-27T00:00:00"/>
    <d v="2023-12-05T00:00:00"/>
    <x v="3"/>
    <n v="7007"/>
    <n v="-364"/>
    <s v="Paid"/>
    <n v="17"/>
    <d v="2023-12-05T00:00:00"/>
    <n v="0"/>
    <n v="4"/>
    <n v="-0.05"/>
    <s v="Normal"/>
    <n v="2023"/>
    <s v="December"/>
  </r>
  <r>
    <n v="5"/>
    <x v="4"/>
    <x v="1"/>
    <s v="East"/>
    <s v="Basic"/>
    <d v="2022-04-10T00:00:00"/>
    <d v="2023-04-05T00:00:00"/>
    <x v="4"/>
    <n v="92"/>
    <n v="7026"/>
    <s v="NA"/>
    <n v="11"/>
    <d v="2023-04-05T00:00:00"/>
    <n v="1"/>
    <n v="5"/>
    <n v="0.99"/>
    <s v="Normal"/>
    <n v="2023"/>
    <s v="April"/>
  </r>
  <r>
    <n v="6"/>
    <x v="5"/>
    <x v="0"/>
    <s v="East"/>
    <s v="Basic"/>
    <d v="2022-05-01T00:00:00"/>
    <d v="2022-10-13T00:00:00"/>
    <x v="5"/>
    <n v="1926"/>
    <n v="7659"/>
    <s v="Paid"/>
    <n v="5"/>
    <d v="2022-10-13T00:00:00"/>
    <n v="0"/>
    <n v="6"/>
    <n v="0.8"/>
    <s v="Normal"/>
    <n v="2022"/>
    <s v="October"/>
  </r>
  <r>
    <n v="7"/>
    <x v="6"/>
    <x v="0"/>
    <s v="West"/>
    <s v="Premium"/>
    <d v="2022-12-20T00:00:00"/>
    <d v="2023-08-06T00:00:00"/>
    <x v="6"/>
    <n v="7314"/>
    <n v="-121"/>
    <s v="Pending"/>
    <n v="7"/>
    <d v="2023-08-06T00:00:00"/>
    <n v="0"/>
    <n v="7"/>
    <n v="-0.02"/>
    <s v="Normal"/>
    <n v="2023"/>
    <s v="August"/>
  </r>
  <r>
    <n v="8"/>
    <x v="7"/>
    <x v="1"/>
    <s v="South"/>
    <s v="Standard"/>
    <d v="2022-07-04T00:00:00"/>
    <d v="2023-03-04T00:00:00"/>
    <x v="7"/>
    <n v="2945"/>
    <n v="-729"/>
    <s v="NA"/>
    <n v="8"/>
    <d v="2023-03-04T00:00:00"/>
    <n v="1"/>
    <n v="8"/>
    <n v="-0.33"/>
    <s v="Normal"/>
    <n v="2023"/>
    <s v="March"/>
  </r>
  <r>
    <n v="9"/>
    <x v="8"/>
    <x v="2"/>
    <s v="South"/>
    <s v="Premium"/>
    <d v="2022-11-09T00:00:00"/>
    <d v="2024-05-13T00:00:00"/>
    <x v="8"/>
    <n v="2008"/>
    <n v="7839"/>
    <s v="Paid"/>
    <n v="18"/>
    <d v="2024-05-13T00:00:00"/>
    <n v="1"/>
    <n v="9"/>
    <n v="0.8"/>
    <s v="Normal"/>
    <n v="2024"/>
    <s v="May"/>
  </r>
  <r>
    <n v="11"/>
    <x v="9"/>
    <x v="3"/>
    <s v="North"/>
    <s v="Premium"/>
    <d v="2022-08-18T00:00:00"/>
    <d v="2023-10-15T00:00:00"/>
    <x v="9"/>
    <n v="1857"/>
    <n v="7964"/>
    <s v="Paid"/>
    <n v="13"/>
    <d v="2023-10-15T00:00:00"/>
    <n v="0"/>
    <n v="10"/>
    <n v="0.81"/>
    <s v="Normal"/>
    <n v="2023"/>
    <s v="October"/>
  </r>
  <r>
    <n v="12"/>
    <x v="10"/>
    <x v="3"/>
    <s v="East"/>
    <s v="Premium"/>
    <d v="2022-06-08T00:00:00"/>
    <d v="2023-08-29T00:00:00"/>
    <x v="10"/>
    <n v="6020"/>
    <n v="-3825"/>
    <s v="Overdue"/>
    <n v="14"/>
    <d v="2023-08-29T00:00:00"/>
    <n v="0"/>
    <n v="11"/>
    <n v="-1.74"/>
    <s v="Outlier"/>
    <n v="2023"/>
    <s v="August"/>
  </r>
  <r>
    <n v="15"/>
    <x v="11"/>
    <x v="2"/>
    <s v="South"/>
    <s v="Standard"/>
    <d v="2022-02-05T00:00:00"/>
    <d v="2023-06-30T00:00:00"/>
    <x v="11"/>
    <n v="7735"/>
    <n v="-2845"/>
    <s v="Paid"/>
    <n v="16"/>
    <d v="2023-06-30T00:00:00"/>
    <n v="0"/>
    <n v="12"/>
    <n v="-0.57999999999999996"/>
    <s v="Normal"/>
    <n v="2023"/>
    <s v="June"/>
  </r>
  <r>
    <n v="16"/>
    <x v="12"/>
    <x v="3"/>
    <s v="East"/>
    <s v="Standard"/>
    <d v="2022-02-06T00:00:00"/>
    <d v="2023-05-31T00:00:00"/>
    <x v="12"/>
    <n v="2826"/>
    <n v="-562"/>
    <s v="Paid"/>
    <n v="15"/>
    <d v="2023-05-31T00:00:00"/>
    <n v="1"/>
    <n v="13"/>
    <n v="-0.25"/>
    <s v="Normal"/>
    <n v="2023"/>
    <s v="May"/>
  </r>
  <r>
    <n v="19"/>
    <x v="13"/>
    <x v="3"/>
    <s v="East"/>
    <s v="Premium"/>
    <d v="2022-02-17T00:00:00"/>
    <d v="2022-06-18T00:00:00"/>
    <x v="13"/>
    <n v="7801"/>
    <n v="429"/>
    <s v="Pending"/>
    <n v="4"/>
    <d v="2022-06-18T00:00:00"/>
    <n v="1"/>
    <n v="14"/>
    <n v="0.05"/>
    <s v="Normal"/>
    <n v="2022"/>
    <s v="June"/>
  </r>
  <r>
    <n v="20"/>
    <x v="14"/>
    <x v="3"/>
    <s v="East"/>
    <s v="Standard"/>
    <d v="2022-01-23T00:00:00"/>
    <d v="2023-08-21T00:00:00"/>
    <x v="14"/>
    <n v="6632"/>
    <n v="1785"/>
    <s v="Paid"/>
    <n v="18"/>
    <d v="2023-08-21T00:00:00"/>
    <n v="0"/>
    <n v="15"/>
    <n v="0.21"/>
    <s v="Normal"/>
    <n v="2023"/>
    <s v="August"/>
  </r>
  <r>
    <n v="21"/>
    <x v="15"/>
    <x v="1"/>
    <s v="East"/>
    <s v="Standard"/>
    <d v="2022-02-19T00:00:00"/>
    <d v="2023-04-11T00:00:00"/>
    <x v="15"/>
    <n v="5335"/>
    <n v="-5120"/>
    <s v="Pending"/>
    <n v="13"/>
    <d v="2023-04-11T00:00:00"/>
    <n v="1"/>
    <n v="16"/>
    <n v="-23.81"/>
    <s v="Outlier"/>
    <n v="2023"/>
    <s v="April"/>
  </r>
  <r>
    <n v="27"/>
    <x v="16"/>
    <x v="0"/>
    <s v="North"/>
    <s v="Standard"/>
    <d v="2022-12-09T00:00:00"/>
    <d v="2023-12-05T00:00:00"/>
    <x v="16"/>
    <n v="3741"/>
    <n v="5827"/>
    <s v="Overdue"/>
    <n v="11"/>
    <d v="2023-12-05T00:00:00"/>
    <n v="1"/>
    <n v="17"/>
    <n v="0.61"/>
    <s v="Normal"/>
    <n v="2023"/>
    <s v="December"/>
  </r>
  <r>
    <n v="28"/>
    <x v="17"/>
    <x v="2"/>
    <s v="North"/>
    <s v="Standard"/>
    <d v="2022-08-14T00:00:00"/>
    <d v="2022-11-03T00:00:00"/>
    <x v="17"/>
    <n v="7457"/>
    <n v="-8027"/>
    <s v="Pending"/>
    <n v="2"/>
    <d v="2022-11-03T00:00:00"/>
    <n v="0"/>
    <n v="18"/>
    <n v="-1.62"/>
    <s v="Outlier"/>
    <n v="2022"/>
    <s v="November"/>
  </r>
  <r>
    <n v="29"/>
    <x v="18"/>
    <x v="0"/>
    <s v="South"/>
    <s v="Premium"/>
    <d v="2022-01-19T00:00:00"/>
    <d v="2022-08-09T00:00:00"/>
    <x v="18"/>
    <n v="657"/>
    <n v="3218"/>
    <s v="Paid"/>
    <n v="6"/>
    <d v="2022-08-09T00:00:00"/>
    <n v="1"/>
    <n v="19"/>
    <n v="0.83"/>
    <s v="Normal"/>
    <n v="2022"/>
    <s v="August"/>
  </r>
  <r>
    <n v="30"/>
    <x v="19"/>
    <x v="3"/>
    <s v="East"/>
    <s v="Premium"/>
    <d v="2022-03-06T00:00:00"/>
    <d v="2023-06-17T00:00:00"/>
    <x v="19"/>
    <n v="6533"/>
    <n v="-2720"/>
    <s v="NA"/>
    <n v="15"/>
    <d v="2023-06-17T00:00:00"/>
    <n v="0"/>
    <n v="20"/>
    <n v="-0.71"/>
    <s v="Normal"/>
    <n v="2023"/>
    <s v="June"/>
  </r>
  <r>
    <n v="31"/>
    <x v="20"/>
    <x v="3"/>
    <s v="West"/>
    <s v="Premium"/>
    <d v="2022-01-10T00:00:00"/>
    <d v="2023-02-19T00:00:00"/>
    <x v="20"/>
    <n v="1477"/>
    <n v="55"/>
    <s v="Paid"/>
    <n v="13"/>
    <d v="2023-02-19T00:00:00"/>
    <n v="1"/>
    <n v="21"/>
    <n v="0.04"/>
    <s v="Normal"/>
    <n v="2023"/>
    <s v="February"/>
  </r>
  <r>
    <n v="34"/>
    <x v="21"/>
    <x v="2"/>
    <s v="East"/>
    <s v="Standard"/>
    <d v="2022-01-30T00:00:00"/>
    <d v="2023-05-14T00:00:00"/>
    <x v="21"/>
    <n v="1043"/>
    <n v="5483"/>
    <s v="Overdue"/>
    <n v="15"/>
    <d v="2023-05-14T00:00:00"/>
    <n v="1"/>
    <n v="22"/>
    <n v="0.84"/>
    <s v="Normal"/>
    <n v="2023"/>
    <s v="May"/>
  </r>
  <r>
    <n v="35"/>
    <x v="22"/>
    <x v="2"/>
    <s v="South"/>
    <s v="Premium"/>
    <d v="2022-12-05T00:00:00"/>
    <d v="2024-06-15T00:00:00"/>
    <x v="17"/>
    <n v="3024"/>
    <n v="-3085"/>
    <s v="Pending"/>
    <n v="18"/>
    <d v="2024-06-15T00:00:00"/>
    <n v="1"/>
    <n v="23"/>
    <n v="-0.62"/>
    <s v="Normal"/>
    <n v="2024"/>
    <s v="June"/>
  </r>
  <r>
    <n v="37"/>
    <x v="23"/>
    <x v="2"/>
    <s v="West"/>
    <s v="Standard"/>
    <d v="2022-04-12T00:00:00"/>
    <d v="2023-03-19T00:00:00"/>
    <x v="17"/>
    <n v="1624"/>
    <n v="577.01"/>
    <s v="Pending"/>
    <n v="11"/>
    <d v="2023-03-19T00:00:00"/>
    <n v="1"/>
    <n v="24"/>
    <n v="0.12"/>
    <s v="Normal"/>
    <n v="2023"/>
    <s v="March"/>
  </r>
  <r>
    <n v="40"/>
    <x v="24"/>
    <x v="1"/>
    <s v="South"/>
    <s v="Standard"/>
    <d v="2022-01-23T00:00:00"/>
    <d v="2022-08-27T00:00:00"/>
    <x v="22"/>
    <n v="7694"/>
    <n v="-5238"/>
    <s v="Pending"/>
    <n v="7"/>
    <d v="2022-08-27T00:00:00"/>
    <n v="1"/>
    <n v="25"/>
    <n v="-2.13"/>
    <s v="Outlier"/>
    <n v="2022"/>
    <s v="August"/>
  </r>
  <r>
    <n v="41"/>
    <x v="4"/>
    <x v="3"/>
    <s v="East"/>
    <s v="Premium"/>
    <d v="2022-01-01T00:00:00"/>
    <d v="2023-06-14T00:00:00"/>
    <x v="17"/>
    <n v="4622"/>
    <n v="-5758"/>
    <s v="Overdue"/>
    <n v="17"/>
    <d v="2023-06-14T00:00:00"/>
    <n v="1"/>
    <n v="26"/>
    <n v="-1.1599999999999999"/>
    <s v="Outlier"/>
    <n v="2023"/>
    <s v="June"/>
  </r>
  <r>
    <n v="42"/>
    <x v="25"/>
    <x v="0"/>
    <s v="West"/>
    <s v="Standard"/>
    <d v="2022-11-12T00:00:00"/>
    <d v="2024-04-28T00:00:00"/>
    <x v="23"/>
    <n v="3720"/>
    <n v="-1398"/>
    <s v="Paid"/>
    <n v="17"/>
    <d v="2024-04-28T00:00:00"/>
    <n v="1"/>
    <n v="27"/>
    <n v="-0.6"/>
    <s v="Normal"/>
    <n v="2024"/>
    <s v="April"/>
  </r>
  <r>
    <n v="43"/>
    <x v="26"/>
    <x v="0"/>
    <s v="East"/>
    <s v="Basic"/>
    <d v="2022-08-27T00:00:00"/>
    <d v="2023-04-08T00:00:00"/>
    <x v="24"/>
    <n v="4012.75"/>
    <n v="10664"/>
    <s v="NA"/>
    <n v="7"/>
    <d v="2023-04-08T00:00:00"/>
    <n v="0"/>
    <n v="28"/>
    <n v="1.0900000000000001"/>
    <s v="Outlier"/>
    <n v="2023"/>
    <s v="April"/>
  </r>
  <r>
    <n v="44"/>
    <x v="27"/>
    <x v="2"/>
    <s v="North"/>
    <s v="Basic"/>
    <d v="2022-09-03T00:00:00"/>
    <d v="2023-07-03T00:00:00"/>
    <x v="25"/>
    <n v="5970"/>
    <n v="893"/>
    <s v="Pending"/>
    <n v="10"/>
    <d v="2023-07-03T00:00:00"/>
    <n v="0"/>
    <n v="29"/>
    <n v="0.13"/>
    <s v="Normal"/>
    <n v="2023"/>
    <s v="July"/>
  </r>
  <r>
    <n v="45"/>
    <x v="28"/>
    <x v="3"/>
    <s v="West"/>
    <s v="Basic"/>
    <d v="2022-07-16T00:00:00"/>
    <d v="2023-01-27T00:00:00"/>
    <x v="26"/>
    <n v="7330"/>
    <n v="1643"/>
    <s v="Paid"/>
    <n v="6"/>
    <d v="2023-01-27T00:00:00"/>
    <n v="0"/>
    <n v="30"/>
    <n v="0.18"/>
    <s v="Normal"/>
    <n v="2023"/>
    <s v="January"/>
  </r>
  <r>
    <n v="48"/>
    <x v="29"/>
    <x v="0"/>
    <s v="East"/>
    <s v="Premium"/>
    <d v="2022-09-30T00:00:00"/>
    <d v="2023-02-02T00:00:00"/>
    <x v="17"/>
    <n v="4012.75"/>
    <n v="148"/>
    <s v="NA"/>
    <n v="4"/>
    <d v="2023-02-02T00:00:00"/>
    <n v="1"/>
    <n v="31"/>
    <n v="0.03"/>
    <s v="Normal"/>
    <n v="2023"/>
    <s v="February"/>
  </r>
  <r>
    <n v="49"/>
    <x v="30"/>
    <x v="4"/>
    <s v="West"/>
    <s v="Basic"/>
    <d v="2022-07-14T00:00:00"/>
    <d v="2023-01-13T00:00:00"/>
    <x v="27"/>
    <n v="3889"/>
    <n v="-1126"/>
    <s v="Overdue"/>
    <n v="5"/>
    <d v="2023-01-13T00:00:00"/>
    <n v="1"/>
    <n v="32"/>
    <n v="-0.41"/>
    <s v="Normal"/>
    <n v="2023"/>
    <s v="January"/>
  </r>
  <r>
    <n v="50"/>
    <x v="31"/>
    <x v="0"/>
    <s v="North"/>
    <s v="Basic"/>
    <d v="2022-08-22T00:00:00"/>
    <d v="2022-10-24T00:00:00"/>
    <x v="17"/>
    <n v="1478"/>
    <n v="-2427"/>
    <s v="Paid"/>
    <n v="2"/>
    <d v="2022-10-24T00:00:00"/>
    <n v="1"/>
    <n v="33"/>
    <n v="-0.49"/>
    <s v="Normal"/>
    <n v="2022"/>
    <s v="October"/>
  </r>
  <r>
    <n v="52"/>
    <x v="32"/>
    <x v="1"/>
    <s v="South"/>
    <s v="Standard"/>
    <d v="2022-02-05T00:00:00"/>
    <d v="2023-06-19T00:00:00"/>
    <x v="28"/>
    <n v="7992"/>
    <n v="-5006"/>
    <s v="Paid"/>
    <n v="16"/>
    <d v="2023-06-19T00:00:00"/>
    <n v="0"/>
    <n v="34"/>
    <n v="-1.68"/>
    <s v="Outlier"/>
    <n v="2023"/>
    <s v="June"/>
  </r>
  <r>
    <n v="53"/>
    <x v="33"/>
    <x v="4"/>
    <s v="North"/>
    <s v="Standard"/>
    <d v="2022-01-17T00:00:00"/>
    <d v="2023-05-21T00:00:00"/>
    <x v="17"/>
    <n v="5221"/>
    <n v="-5276"/>
    <s v="Paid"/>
    <n v="16"/>
    <d v="2023-05-21T00:00:00"/>
    <n v="1"/>
    <n v="35"/>
    <n v="-1.06"/>
    <s v="Outlier"/>
    <n v="2023"/>
    <s v="May"/>
  </r>
  <r>
    <n v="55"/>
    <x v="34"/>
    <x v="3"/>
    <s v="West"/>
    <s v="Premium"/>
    <d v="2022-04-21T00:00:00"/>
    <d v="2022-10-14T00:00:00"/>
    <x v="17"/>
    <n v="728"/>
    <n v="-2462"/>
    <s v="Overdue"/>
    <n v="5"/>
    <d v="2022-10-14T00:00:00"/>
    <n v="0"/>
    <n v="36"/>
    <n v="-0.5"/>
    <s v="Normal"/>
    <n v="2022"/>
    <s v="October"/>
  </r>
  <r>
    <n v="56"/>
    <x v="35"/>
    <x v="3"/>
    <s v="South"/>
    <s v="Premium"/>
    <d v="2022-12-20T00:00:00"/>
    <d v="2023-11-25T00:00:00"/>
    <x v="29"/>
    <n v="7896"/>
    <n v="1623"/>
    <s v="NA"/>
    <n v="11"/>
    <d v="2023-11-25T00:00:00"/>
    <n v="0"/>
    <n v="37"/>
    <n v="0.17"/>
    <s v="Normal"/>
    <n v="2023"/>
    <s v="November"/>
  </r>
  <r>
    <n v="57"/>
    <x v="36"/>
    <x v="3"/>
    <s v="East"/>
    <s v="Standard"/>
    <d v="2022-09-07T00:00:00"/>
    <d v="2023-07-29T00:00:00"/>
    <x v="30"/>
    <n v="5492"/>
    <n v="2964"/>
    <s v="Overdue"/>
    <n v="10"/>
    <d v="2023-07-29T00:00:00"/>
    <n v="0"/>
    <n v="38"/>
    <n v="0.35"/>
    <s v="Normal"/>
    <n v="2023"/>
    <s v="July"/>
  </r>
  <r>
    <n v="58"/>
    <x v="37"/>
    <x v="3"/>
    <s v="East"/>
    <s v="Premium"/>
    <d v="2022-06-13T00:00:00"/>
    <d v="2022-09-05T00:00:00"/>
    <x v="31"/>
    <n v="1994"/>
    <n v="4440"/>
    <s v="Pending"/>
    <n v="2"/>
    <d v="2022-09-05T00:00:00"/>
    <n v="1"/>
    <n v="39"/>
    <n v="0.69"/>
    <s v="Normal"/>
    <n v="2022"/>
    <s v="September"/>
  </r>
  <r>
    <n v="59"/>
    <x v="38"/>
    <x v="1"/>
    <s v="South"/>
    <s v="Standard"/>
    <d v="2022-03-25T00:00:00"/>
    <d v="2022-04-25T00:00:00"/>
    <x v="32"/>
    <n v="4012.75"/>
    <n v="10385"/>
    <s v="NA"/>
    <n v="1"/>
    <d v="2022-04-25T00:00:00"/>
    <n v="1"/>
    <n v="40"/>
    <n v="1.07"/>
    <s v="Outlier"/>
    <n v="2022"/>
    <s v="April"/>
  </r>
  <r>
    <n v="64"/>
    <x v="20"/>
    <x v="4"/>
    <s v="South"/>
    <s v="Standard"/>
    <d v="2022-07-31T00:00:00"/>
    <d v="2023-06-19T00:00:00"/>
    <x v="33"/>
    <n v="1628"/>
    <n v="3746"/>
    <s v="Pending"/>
    <n v="10"/>
    <d v="2023-06-19T00:00:00"/>
    <n v="1"/>
    <n v="41"/>
    <n v="0.7"/>
    <s v="Normal"/>
    <n v="2023"/>
    <s v="June"/>
  </r>
  <r>
    <n v="65"/>
    <x v="39"/>
    <x v="4"/>
    <s v="South"/>
    <s v="Standard"/>
    <d v="2022-08-20T00:00:00"/>
    <d v="2023-09-27T00:00:00"/>
    <x v="17"/>
    <n v="4012.75"/>
    <n v="577.01"/>
    <s v="Overdue"/>
    <n v="13"/>
    <d v="2023-09-27T00:00:00"/>
    <n v="1"/>
    <n v="42"/>
    <n v="0.12"/>
    <s v="Normal"/>
    <n v="2023"/>
    <s v="September"/>
  </r>
  <r>
    <n v="69"/>
    <x v="40"/>
    <x v="4"/>
    <s v="North"/>
    <s v="Standard"/>
    <d v="2022-12-10T00:00:00"/>
    <d v="2023-07-02T00:00:00"/>
    <x v="34"/>
    <n v="2116"/>
    <n v="5603"/>
    <s v="Pending"/>
    <n v="6"/>
    <d v="2023-07-02T00:00:00"/>
    <n v="0"/>
    <n v="43"/>
    <n v="0.73"/>
    <s v="Normal"/>
    <n v="2023"/>
    <s v="July"/>
  </r>
  <r>
    <n v="72"/>
    <x v="41"/>
    <x v="3"/>
    <s v="South"/>
    <s v="Premium"/>
    <d v="2022-06-14T00:00:00"/>
    <d v="2023-04-28T00:00:00"/>
    <x v="35"/>
    <n v="6378"/>
    <n v="487"/>
    <s v="Pending"/>
    <n v="10"/>
    <d v="2023-04-28T00:00:00"/>
    <n v="1"/>
    <n v="44"/>
    <n v="7.0000000000000007E-2"/>
    <s v="Normal"/>
    <n v="2023"/>
    <s v="April"/>
  </r>
  <r>
    <n v="75"/>
    <x v="42"/>
    <x v="3"/>
    <s v="East"/>
    <s v="Premium"/>
    <d v="2022-07-03T00:00:00"/>
    <d v="2023-03-05T00:00:00"/>
    <x v="36"/>
    <n v="892"/>
    <n v="159"/>
    <s v="Paid"/>
    <n v="8"/>
    <d v="2023-03-05T00:00:00"/>
    <n v="0"/>
    <n v="45"/>
    <n v="0.15"/>
    <s v="Normal"/>
    <n v="2023"/>
    <s v="March"/>
  </r>
  <r>
    <n v="76"/>
    <x v="28"/>
    <x v="4"/>
    <s v="North"/>
    <s v="Basic"/>
    <d v="2022-12-04T00:00:00"/>
    <d v="2023-09-01T00:00:00"/>
    <x v="37"/>
    <n v="4012.75"/>
    <n v="2075"/>
    <s v="Paid"/>
    <n v="8"/>
    <d v="2023-09-01T00:00:00"/>
    <n v="0"/>
    <n v="46"/>
    <n v="1.39"/>
    <s v="Outlier"/>
    <n v="2023"/>
    <s v="September"/>
  </r>
  <r>
    <n v="78"/>
    <x v="43"/>
    <x v="0"/>
    <s v="South"/>
    <s v="Standard"/>
    <d v="2022-03-01T00:00:00"/>
    <d v="2023-02-08T00:00:00"/>
    <x v="38"/>
    <n v="1211"/>
    <n v="-350"/>
    <s v="Overdue"/>
    <n v="11"/>
    <d v="2023-02-08T00:00:00"/>
    <n v="1"/>
    <n v="47"/>
    <n v="-0.41"/>
    <s v="Normal"/>
    <n v="2023"/>
    <s v="February"/>
  </r>
  <r>
    <n v="79"/>
    <x v="44"/>
    <x v="2"/>
    <s v="West"/>
    <s v="Basic"/>
    <d v="2022-07-10T00:00:00"/>
    <d v="2023-01-02T00:00:00"/>
    <x v="39"/>
    <n v="7941"/>
    <n v="-2524"/>
    <s v="NA"/>
    <n v="5"/>
    <d v="2023-01-02T00:00:00"/>
    <n v="1"/>
    <n v="48"/>
    <n v="-0.47"/>
    <s v="Normal"/>
    <n v="2023"/>
    <s v="January"/>
  </r>
  <r>
    <n v="80"/>
    <x v="45"/>
    <x v="2"/>
    <s v="South"/>
    <s v="Basic"/>
    <d v="2022-08-17T00:00:00"/>
    <d v="2023-09-19T00:00:00"/>
    <x v="17"/>
    <n v="7065"/>
    <n v="-8712"/>
    <s v="NA"/>
    <n v="13"/>
    <d v="2023-09-19T00:00:00"/>
    <n v="1"/>
    <n v="49"/>
    <n v="-1.75"/>
    <s v="Outlier"/>
    <n v="2023"/>
    <s v="September"/>
  </r>
  <r>
    <n v="85"/>
    <x v="46"/>
    <x v="2"/>
    <s v="West"/>
    <s v="Basic"/>
    <d v="2022-03-02T00:00:00"/>
    <d v="2022-05-03T00:00:00"/>
    <x v="17"/>
    <n v="3289"/>
    <n v="-4561"/>
    <s v="Pending"/>
    <n v="2"/>
    <d v="2022-05-03T00:00:00"/>
    <n v="1"/>
    <n v="50"/>
    <n v="-0.92"/>
    <s v="Normal"/>
    <n v="2022"/>
    <s v="May"/>
  </r>
  <r>
    <n v="86"/>
    <x v="47"/>
    <x v="3"/>
    <s v="West"/>
    <s v="Premium"/>
    <d v="2022-09-22T00:00:00"/>
    <d v="2023-11-02T00:00:00"/>
    <x v="40"/>
    <n v="581"/>
    <n v="2836"/>
    <s v="Paid"/>
    <n v="13"/>
    <d v="2023-11-02T00:00:00"/>
    <n v="0"/>
    <n v="51"/>
    <n v="0.83"/>
    <s v="Normal"/>
    <n v="2023"/>
    <s v="November"/>
  </r>
  <r>
    <n v="87"/>
    <x v="29"/>
    <x v="0"/>
    <s v="West"/>
    <s v="Standard"/>
    <d v="2022-08-03T00:00:00"/>
    <d v="2023-09-14T00:00:00"/>
    <x v="41"/>
    <n v="4166"/>
    <n v="-3773"/>
    <s v="NA"/>
    <n v="13"/>
    <d v="2023-09-14T00:00:00"/>
    <n v="1"/>
    <n v="52"/>
    <n v="-9.6"/>
    <s v="Outlier"/>
    <n v="2023"/>
    <s v="September"/>
  </r>
  <r>
    <n v="88"/>
    <x v="48"/>
    <x v="4"/>
    <s v="East"/>
    <s v="Standard"/>
    <d v="2022-10-22T00:00:00"/>
    <d v="2023-09-08T00:00:00"/>
    <x v="42"/>
    <n v="430"/>
    <n v="577.01"/>
    <s v="NA"/>
    <n v="10"/>
    <d v="2023-09-08T00:00:00"/>
    <n v="0"/>
    <n v="53"/>
    <n v="0.1"/>
    <s v="Normal"/>
    <n v="2023"/>
    <s v="September"/>
  </r>
  <r>
    <n v="89"/>
    <x v="49"/>
    <x v="0"/>
    <s v="South"/>
    <s v="Standard"/>
    <d v="2022-07-18T00:00:00"/>
    <d v="2023-12-17T00:00:00"/>
    <x v="17"/>
    <n v="6221"/>
    <n v="-7849"/>
    <s v="Overdue"/>
    <n v="16"/>
    <d v="2023-12-17T00:00:00"/>
    <n v="1"/>
    <n v="54"/>
    <n v="-1.58"/>
    <s v="Outlier"/>
    <n v="2023"/>
    <s v="December"/>
  </r>
  <r>
    <n v="90"/>
    <x v="50"/>
    <x v="4"/>
    <s v="South"/>
    <s v="Basic"/>
    <d v="2022-04-09T00:00:00"/>
    <d v="2023-10-04T00:00:00"/>
    <x v="43"/>
    <n v="6478"/>
    <n v="-3058"/>
    <s v="Overdue"/>
    <n v="17"/>
    <d v="2023-10-04T00:00:00"/>
    <n v="0"/>
    <n v="55"/>
    <n v="-0.89"/>
    <s v="Normal"/>
    <n v="2023"/>
    <s v="October"/>
  </r>
  <r>
    <n v="91"/>
    <x v="51"/>
    <x v="3"/>
    <s v="West"/>
    <s v="Standard"/>
    <d v="2022-05-12T00:00:00"/>
    <d v="2022-07-11T00:00:00"/>
    <x v="44"/>
    <n v="2548"/>
    <n v="2178"/>
    <s v="Pending"/>
    <n v="1"/>
    <d v="2022-07-11T00:00:00"/>
    <n v="1"/>
    <n v="56"/>
    <n v="0.46"/>
    <s v="Normal"/>
    <n v="2022"/>
    <s v="July"/>
  </r>
  <r>
    <n v="92"/>
    <x v="52"/>
    <x v="2"/>
    <s v="North"/>
    <s v="Basic"/>
    <d v="2022-12-05T00:00:00"/>
    <d v="2024-03-22T00:00:00"/>
    <x v="45"/>
    <n v="6332"/>
    <n v="-3949"/>
    <s v="Paid"/>
    <n v="15"/>
    <d v="2024-03-22T00:00:00"/>
    <n v="1"/>
    <n v="57"/>
    <n v="-1.66"/>
    <s v="Outlier"/>
    <n v="2024"/>
    <s v="March"/>
  </r>
  <r>
    <n v="95"/>
    <x v="53"/>
    <x v="4"/>
    <s v="North"/>
    <s v="Premium"/>
    <d v="2022-08-18T00:00:00"/>
    <d v="2023-11-06T00:00:00"/>
    <x v="46"/>
    <n v="5215"/>
    <n v="-3989"/>
    <s v="Overdue"/>
    <n v="14"/>
    <d v="2023-11-06T00:00:00"/>
    <n v="1"/>
    <n v="58"/>
    <n v="-3.25"/>
    <s v="Outlier"/>
    <n v="2023"/>
    <s v="November"/>
  </r>
  <r>
    <n v="96"/>
    <x v="54"/>
    <x v="4"/>
    <s v="East"/>
    <s v="Premium"/>
    <d v="2022-07-02T00:00:00"/>
    <d v="2023-10-02T00:00:00"/>
    <x v="47"/>
    <n v="6261"/>
    <n v="-3827"/>
    <s v="Paid"/>
    <n v="15"/>
    <d v="2023-10-02T00:00:00"/>
    <n v="0"/>
    <n v="59"/>
    <n v="-1.57"/>
    <s v="Outlier"/>
    <n v="2023"/>
    <s v="October"/>
  </r>
  <r>
    <n v="97"/>
    <x v="55"/>
    <x v="1"/>
    <s v="East"/>
    <s v="Basic"/>
    <d v="2022-06-27T00:00:00"/>
    <d v="2024-01-22T00:00:00"/>
    <x v="48"/>
    <n v="7700"/>
    <n v="2036"/>
    <s v="NA"/>
    <n v="18"/>
    <d v="2024-01-22T00:00:00"/>
    <n v="0"/>
    <n v="60"/>
    <n v="0.21"/>
    <s v="Normal"/>
    <n v="2024"/>
    <s v="January"/>
  </r>
  <r>
    <n v="98"/>
    <x v="56"/>
    <x v="2"/>
    <s v="West"/>
    <s v="Basic"/>
    <d v="2022-08-25T00:00:00"/>
    <d v="2023-04-02T00:00:00"/>
    <x v="17"/>
    <n v="1269"/>
    <n v="-2766"/>
    <s v="Pending"/>
    <n v="7"/>
    <d v="2023-04-02T00:00:00"/>
    <n v="1"/>
    <n v="61"/>
    <n v="-0.56000000000000005"/>
    <s v="Normal"/>
    <n v="2023"/>
    <s v="April"/>
  </r>
  <r>
    <n v="101"/>
    <x v="41"/>
    <x v="1"/>
    <s v="South"/>
    <s v="Premium"/>
    <d v="2022-06-16T00:00:00"/>
    <d v="2023-03-25T00:00:00"/>
    <x v="49"/>
    <n v="4543"/>
    <n v="470"/>
    <s v="NA"/>
    <n v="9"/>
    <d v="2023-03-25T00:00:00"/>
    <n v="1"/>
    <n v="62"/>
    <n v="0.09"/>
    <s v="Normal"/>
    <n v="2023"/>
    <s v="March"/>
  </r>
  <r>
    <n v="103"/>
    <x v="57"/>
    <x v="1"/>
    <s v="West"/>
    <s v="Premium"/>
    <d v="2022-11-18T00:00:00"/>
    <d v="2023-09-28T00:00:00"/>
    <x v="50"/>
    <n v="4012.75"/>
    <n v="3780"/>
    <s v="Overdue"/>
    <n v="10"/>
    <d v="2023-09-28T00:00:00"/>
    <n v="1"/>
    <n v="63"/>
    <n v="1.23"/>
    <s v="Outlier"/>
    <n v="2023"/>
    <s v="September"/>
  </r>
  <r>
    <n v="104"/>
    <x v="24"/>
    <x v="3"/>
    <s v="East"/>
    <s v="Basic"/>
    <d v="2022-09-14T00:00:00"/>
    <d v="2024-01-14T00:00:00"/>
    <x v="51"/>
    <n v="2611"/>
    <n v="5037"/>
    <s v="Overdue"/>
    <n v="16"/>
    <d v="2024-01-14T00:00:00"/>
    <n v="0"/>
    <n v="64"/>
    <n v="0.66"/>
    <s v="Normal"/>
    <n v="2024"/>
    <s v="January"/>
  </r>
  <r>
    <n v="105"/>
    <x v="58"/>
    <x v="0"/>
    <s v="East"/>
    <s v="Basic"/>
    <d v="2022-07-27T00:00:00"/>
    <d v="2023-02-07T00:00:00"/>
    <x v="52"/>
    <n v="917"/>
    <n v="5854"/>
    <s v="Pending"/>
    <n v="6"/>
    <d v="2023-02-07T00:00:00"/>
    <n v="0"/>
    <n v="65"/>
    <n v="0.86"/>
    <s v="Normal"/>
    <n v="2023"/>
    <s v="February"/>
  </r>
  <r>
    <n v="106"/>
    <x v="59"/>
    <x v="1"/>
    <s v="West"/>
    <s v="Basic"/>
    <d v="2022-07-23T00:00:00"/>
    <d v="2023-01-05T00:00:00"/>
    <x v="53"/>
    <n v="4012.75"/>
    <n v="10048"/>
    <s v="Overdue"/>
    <n v="5"/>
    <d v="2023-01-05T00:00:00"/>
    <n v="0"/>
    <n v="66"/>
    <n v="1.03"/>
    <s v="Outlier"/>
    <n v="2023"/>
    <s v="January"/>
  </r>
  <r>
    <n v="109"/>
    <x v="60"/>
    <x v="2"/>
    <s v="South"/>
    <s v="Basic"/>
    <d v="2022-09-04T00:00:00"/>
    <d v="2023-03-07T00:00:00"/>
    <x v="54"/>
    <n v="3434"/>
    <n v="577.01"/>
    <s v="NA"/>
    <n v="6"/>
    <d v="2023-03-07T00:00:00"/>
    <n v="1"/>
    <n v="67"/>
    <n v="7.0000000000000007E-2"/>
    <s v="Normal"/>
    <n v="2023"/>
    <s v="March"/>
  </r>
  <r>
    <n v="110"/>
    <x v="61"/>
    <x v="4"/>
    <s v="West"/>
    <s v="Standard"/>
    <d v="2022-02-04T00:00:00"/>
    <d v="2023-01-14T00:00:00"/>
    <x v="55"/>
    <n v="4148"/>
    <n v="577.01"/>
    <s v="Paid"/>
    <n v="11"/>
    <d v="2023-01-14T00:00:00"/>
    <n v="1"/>
    <n v="68"/>
    <n v="7.0000000000000007E-2"/>
    <s v="Normal"/>
    <n v="2023"/>
    <s v="January"/>
  </r>
  <r>
    <n v="112"/>
    <x v="62"/>
    <x v="0"/>
    <s v="East"/>
    <s v="Basic"/>
    <d v="2022-03-02T00:00:00"/>
    <d v="2023-07-04T00:00:00"/>
    <x v="56"/>
    <n v="3012"/>
    <n v="3685"/>
    <s v="Paid"/>
    <n v="16"/>
    <d v="2023-07-04T00:00:00"/>
    <n v="1"/>
    <n v="69"/>
    <n v="0.55000000000000004"/>
    <s v="Normal"/>
    <n v="2023"/>
    <s v="July"/>
  </r>
  <r>
    <n v="114"/>
    <x v="63"/>
    <x v="1"/>
    <s v="West"/>
    <s v="Standard"/>
    <d v="2022-02-11T00:00:00"/>
    <d v="2023-02-20T00:00:00"/>
    <x v="57"/>
    <n v="4107"/>
    <n v="4874"/>
    <s v="Paid"/>
    <n v="12"/>
    <d v="2023-02-20T00:00:00"/>
    <n v="1"/>
    <n v="70"/>
    <n v="0.54"/>
    <s v="Normal"/>
    <n v="2023"/>
    <s v="February"/>
  </r>
  <r>
    <n v="117"/>
    <x v="64"/>
    <x v="0"/>
    <s v="West"/>
    <s v="Standard"/>
    <d v="2022-07-22T00:00:00"/>
    <d v="2023-03-07T00:00:00"/>
    <x v="58"/>
    <n v="7508"/>
    <n v="-1561"/>
    <s v="Pending"/>
    <n v="7"/>
    <d v="2023-03-07T00:00:00"/>
    <n v="1"/>
    <n v="71"/>
    <n v="-0.26"/>
    <s v="Normal"/>
    <n v="2023"/>
    <s v="March"/>
  </r>
  <r>
    <n v="118"/>
    <x v="65"/>
    <x v="3"/>
    <s v="West"/>
    <s v="Standard"/>
    <d v="2022-01-31T00:00:00"/>
    <d v="2023-09-10T00:00:00"/>
    <x v="59"/>
    <n v="716"/>
    <n v="3315"/>
    <s v="NA"/>
    <n v="19"/>
    <d v="2023-09-10T00:00:00"/>
    <n v="0"/>
    <n v="72"/>
    <n v="0.82"/>
    <s v="Normal"/>
    <n v="2023"/>
    <s v="September"/>
  </r>
  <r>
    <n v="120"/>
    <x v="66"/>
    <x v="0"/>
    <s v="West"/>
    <s v="Premium"/>
    <d v="2022-04-05T00:00:00"/>
    <d v="2023-07-18T00:00:00"/>
    <x v="60"/>
    <n v="4012.75"/>
    <n v="5328"/>
    <s v="Paid"/>
    <n v="15"/>
    <d v="2023-07-18T00:00:00"/>
    <n v="1"/>
    <n v="73"/>
    <n v="1.1299999999999999"/>
    <s v="Outlier"/>
    <n v="2023"/>
    <s v="July"/>
  </r>
  <r>
    <n v="121"/>
    <x v="67"/>
    <x v="4"/>
    <s v="East"/>
    <s v="Standard"/>
    <d v="2022-12-21T00:00:00"/>
    <d v="2023-02-08T00:00:00"/>
    <x v="61"/>
    <n v="4012.75"/>
    <n v="8408"/>
    <s v="NA"/>
    <n v="1"/>
    <d v="2023-02-08T00:00:00"/>
    <n v="1"/>
    <n v="74"/>
    <n v="1.1000000000000001"/>
    <s v="Outlier"/>
    <n v="2023"/>
    <s v="February"/>
  </r>
  <r>
    <n v="124"/>
    <x v="1"/>
    <x v="3"/>
    <s v="South"/>
    <s v="Basic"/>
    <d v="2022-08-14T00:00:00"/>
    <d v="2023-06-22T00:00:00"/>
    <x v="17"/>
    <n v="4007"/>
    <n v="-5022"/>
    <s v="Pending"/>
    <n v="10"/>
    <d v="2023-06-22T00:00:00"/>
    <n v="0"/>
    <n v="75"/>
    <n v="-1.01"/>
    <s v="Outlier"/>
    <n v="2023"/>
    <s v="June"/>
  </r>
  <r>
    <n v="125"/>
    <x v="68"/>
    <x v="2"/>
    <s v="North"/>
    <s v="Basic"/>
    <d v="2022-05-09T00:00:00"/>
    <d v="2023-07-31T00:00:00"/>
    <x v="62"/>
    <n v="4160"/>
    <n v="-3699"/>
    <s v="Pending"/>
    <n v="14"/>
    <d v="2023-07-31T00:00:00"/>
    <n v="1"/>
    <n v="76"/>
    <n v="-8.02"/>
    <s v="Outlier"/>
    <n v="2023"/>
    <s v="July"/>
  </r>
  <r>
    <n v="131"/>
    <x v="69"/>
    <x v="1"/>
    <s v="South"/>
    <s v="Premium"/>
    <d v="2022-12-03T00:00:00"/>
    <d v="2023-08-12T00:00:00"/>
    <x v="63"/>
    <n v="1825"/>
    <n v="-927"/>
    <s v="Paid"/>
    <n v="8"/>
    <d v="2023-08-12T00:00:00"/>
    <n v="0"/>
    <n v="77"/>
    <n v="-1.03"/>
    <s v="Outlier"/>
    <n v="2023"/>
    <s v="August"/>
  </r>
  <r>
    <n v="132"/>
    <x v="70"/>
    <x v="0"/>
    <s v="West"/>
    <s v="Basic"/>
    <d v="2022-12-29T00:00:00"/>
    <d v="2024-05-29T00:00:00"/>
    <x v="64"/>
    <n v="3308"/>
    <n v="-2900"/>
    <s v="Overdue"/>
    <n v="17"/>
    <d v="2024-05-29T00:00:00"/>
    <n v="1"/>
    <n v="78"/>
    <n v="-7.11"/>
    <s v="Outlier"/>
    <n v="2024"/>
    <s v="May"/>
  </r>
  <r>
    <n v="134"/>
    <x v="71"/>
    <x v="2"/>
    <s v="East"/>
    <s v="Premium"/>
    <d v="2022-07-27T00:00:00"/>
    <d v="2024-01-04T00:00:00"/>
    <x v="65"/>
    <n v="4012.75"/>
    <n v="7505"/>
    <s v="Paid"/>
    <n v="17"/>
    <d v="2024-01-04T00:00:00"/>
    <n v="1"/>
    <n v="79"/>
    <n v="1.03"/>
    <s v="Outlier"/>
    <n v="2024"/>
    <s v="January"/>
  </r>
  <r>
    <n v="136"/>
    <x v="11"/>
    <x v="0"/>
    <s v="West"/>
    <s v="Standard"/>
    <d v="2022-01-07T00:00:00"/>
    <d v="2023-02-01T00:00:00"/>
    <x v="66"/>
    <n v="585"/>
    <n v="3496"/>
    <s v="Pending"/>
    <n v="12"/>
    <d v="2023-02-01T00:00:00"/>
    <n v="1"/>
    <n v="80"/>
    <n v="0.86"/>
    <s v="Normal"/>
    <n v="2023"/>
    <s v="February"/>
  </r>
  <r>
    <n v="137"/>
    <x v="72"/>
    <x v="1"/>
    <s v="North"/>
    <s v="Standard"/>
    <d v="2022-08-11T00:00:00"/>
    <d v="2022-11-08T00:00:00"/>
    <x v="67"/>
    <n v="7904"/>
    <n v="142"/>
    <s v="NA"/>
    <n v="2"/>
    <d v="2022-11-08T00:00:00"/>
    <n v="1"/>
    <n v="81"/>
    <n v="0.02"/>
    <s v="Normal"/>
    <n v="2022"/>
    <s v="November"/>
  </r>
  <r>
    <n v="139"/>
    <x v="73"/>
    <x v="2"/>
    <s v="South"/>
    <s v="Premium"/>
    <d v="2022-12-22T00:00:00"/>
    <d v="2024-02-16T00:00:00"/>
    <x v="68"/>
    <n v="2405"/>
    <n v="491"/>
    <s v="Pending"/>
    <n v="13"/>
    <d v="2024-02-16T00:00:00"/>
    <n v="0"/>
    <n v="82"/>
    <n v="0.17"/>
    <s v="Normal"/>
    <n v="2024"/>
    <s v="February"/>
  </r>
  <r>
    <n v="140"/>
    <x v="74"/>
    <x v="4"/>
    <s v="West"/>
    <s v="Premium"/>
    <d v="2022-01-22T00:00:00"/>
    <d v="2022-07-13T00:00:00"/>
    <x v="17"/>
    <n v="294"/>
    <n v="-1016"/>
    <s v="Paid"/>
    <n v="5"/>
    <d v="2022-07-13T00:00:00"/>
    <n v="0"/>
    <n v="83"/>
    <n v="-0.2"/>
    <s v="Normal"/>
    <n v="2022"/>
    <s v="July"/>
  </r>
  <r>
    <n v="142"/>
    <x v="75"/>
    <x v="4"/>
    <s v="West"/>
    <s v="Basic"/>
    <d v="2022-01-06T00:00:00"/>
    <d v="2023-08-07T00:00:00"/>
    <x v="69"/>
    <n v="302"/>
    <n v="-255"/>
    <s v="Overdue"/>
    <n v="19"/>
    <d v="2023-08-07T00:00:00"/>
    <n v="1"/>
    <n v="84"/>
    <n v="-5.43"/>
    <s v="Outlier"/>
    <n v="2023"/>
    <s v="August"/>
  </r>
  <r>
    <n v="143"/>
    <x v="76"/>
    <x v="0"/>
    <s v="North"/>
    <s v="Basic"/>
    <d v="2022-03-26T00:00:00"/>
    <d v="2023-01-12T00:00:00"/>
    <x v="17"/>
    <n v="7984"/>
    <n v="-8448"/>
    <s v="Paid"/>
    <n v="9"/>
    <d v="2023-01-12T00:00:00"/>
    <n v="0"/>
    <n v="85"/>
    <n v="-1.7"/>
    <s v="Outlier"/>
    <n v="2023"/>
    <s v="January"/>
  </r>
  <r>
    <n v="145"/>
    <x v="77"/>
    <x v="4"/>
    <s v="East"/>
    <s v="Basic"/>
    <d v="2022-12-27T00:00:00"/>
    <d v="2024-03-17T00:00:00"/>
    <x v="17"/>
    <n v="7742"/>
    <n v="-8677"/>
    <s v="Paid"/>
    <n v="14"/>
    <d v="2024-03-17T00:00:00"/>
    <n v="1"/>
    <n v="86"/>
    <n v="-1.75"/>
    <s v="Outlier"/>
    <n v="2024"/>
    <s v="March"/>
  </r>
  <r>
    <n v="146"/>
    <x v="78"/>
    <x v="0"/>
    <s v="North"/>
    <s v="Premium"/>
    <d v="2022-10-04T00:00:00"/>
    <d v="2023-05-28T00:00:00"/>
    <x v="70"/>
    <n v="7655"/>
    <n v="-5763"/>
    <s v="Pending"/>
    <n v="7"/>
    <d v="2023-05-28T00:00:00"/>
    <n v="1"/>
    <n v="87"/>
    <n v="-3.05"/>
    <s v="Outlier"/>
    <n v="2023"/>
    <s v="May"/>
  </r>
  <r>
    <n v="147"/>
    <x v="79"/>
    <x v="0"/>
    <s v="West"/>
    <s v="Basic"/>
    <d v="2022-10-23T00:00:00"/>
    <d v="2023-06-06T00:00:00"/>
    <x v="17"/>
    <n v="7875"/>
    <n v="-9351"/>
    <s v="Paid"/>
    <n v="7"/>
    <d v="2023-06-06T00:00:00"/>
    <n v="1"/>
    <n v="88"/>
    <n v="-1.88"/>
    <s v="Outlier"/>
    <n v="2023"/>
    <s v="June"/>
  </r>
  <r>
    <n v="148"/>
    <x v="80"/>
    <x v="3"/>
    <s v="North"/>
    <s v="Premium"/>
    <d v="2022-09-16T00:00:00"/>
    <d v="2023-06-10T00:00:00"/>
    <x v="71"/>
    <n v="4012.75"/>
    <n v="1655"/>
    <s v="Paid"/>
    <n v="8"/>
    <d v="2023-06-10T00:00:00"/>
    <n v="1"/>
    <n v="89"/>
    <n v="2.29"/>
    <s v="Outlier"/>
    <n v="2023"/>
    <s v="June"/>
  </r>
  <r>
    <n v="149"/>
    <x v="81"/>
    <x v="3"/>
    <s v="East"/>
    <s v="Standard"/>
    <d v="2022-06-22T00:00:00"/>
    <d v="2023-03-24T00:00:00"/>
    <x v="72"/>
    <n v="294"/>
    <n v="7989"/>
    <s v="NA"/>
    <n v="9"/>
    <d v="2023-03-24T00:00:00"/>
    <n v="0"/>
    <n v="90"/>
    <n v="0.96"/>
    <s v="Normal"/>
    <n v="2023"/>
    <s v="March"/>
  </r>
  <r>
    <n v="150"/>
    <x v="82"/>
    <x v="1"/>
    <s v="West"/>
    <s v="Standard"/>
    <d v="2022-10-17T00:00:00"/>
    <d v="2023-12-26T00:00:00"/>
    <x v="73"/>
    <n v="7126"/>
    <n v="-2273"/>
    <s v="NA"/>
    <n v="14"/>
    <d v="2023-12-26T00:00:00"/>
    <n v="0"/>
    <n v="91"/>
    <n v="-0.47"/>
    <s v="Normal"/>
    <n v="2023"/>
    <s v="December"/>
  </r>
  <r>
    <n v="151"/>
    <x v="83"/>
    <x v="0"/>
    <s v="South"/>
    <s v="Standard"/>
    <d v="2022-11-24T00:00:00"/>
    <d v="2023-11-01T00:00:00"/>
    <x v="74"/>
    <n v="719"/>
    <n v="4723"/>
    <s v="NA"/>
    <n v="11"/>
    <d v="2023-11-01T00:00:00"/>
    <n v="1"/>
    <n v="92"/>
    <n v="0.87"/>
    <s v="Normal"/>
    <n v="2023"/>
    <s v="November"/>
  </r>
  <r>
    <n v="152"/>
    <x v="84"/>
    <x v="3"/>
    <s v="East"/>
    <s v="Premium"/>
    <d v="2022-10-18T00:00:00"/>
    <d v="2023-06-07T00:00:00"/>
    <x v="75"/>
    <n v="4763"/>
    <n v="-4001"/>
    <s v="Overdue"/>
    <n v="7"/>
    <d v="2023-06-07T00:00:00"/>
    <n v="1"/>
    <n v="93"/>
    <n v="-5.25"/>
    <s v="Outlier"/>
    <n v="2023"/>
    <s v="June"/>
  </r>
  <r>
    <n v="153"/>
    <x v="85"/>
    <x v="4"/>
    <s v="South"/>
    <s v="Premium"/>
    <d v="2022-08-21T00:00:00"/>
    <d v="2023-03-12T00:00:00"/>
    <x v="76"/>
    <n v="6931"/>
    <n v="-3536"/>
    <s v="NA"/>
    <n v="6"/>
    <d v="2023-03-12T00:00:00"/>
    <n v="0"/>
    <n v="94"/>
    <n v="-1.04"/>
    <s v="Outlier"/>
    <n v="2023"/>
    <s v="March"/>
  </r>
  <r>
    <n v="154"/>
    <x v="86"/>
    <x v="0"/>
    <s v="East"/>
    <s v="Standard"/>
    <d v="2022-11-08T00:00:00"/>
    <d v="2022-12-18T00:00:00"/>
    <x v="77"/>
    <n v="4072"/>
    <n v="-807"/>
    <s v="Paid"/>
    <n v="1"/>
    <d v="2022-12-18T00:00:00"/>
    <n v="1"/>
    <n v="95"/>
    <n v="-0.25"/>
    <s v="Normal"/>
    <n v="2022"/>
    <s v="December"/>
  </r>
  <r>
    <n v="156"/>
    <x v="87"/>
    <x v="0"/>
    <s v="South"/>
    <s v="Premium"/>
    <d v="2022-01-06T00:00:00"/>
    <d v="2022-03-29T00:00:00"/>
    <x v="78"/>
    <n v="1287"/>
    <n v="4515"/>
    <s v="Pending"/>
    <n v="2"/>
    <d v="2022-03-29T00:00:00"/>
    <n v="0"/>
    <n v="96"/>
    <n v="0.78"/>
    <s v="Normal"/>
    <n v="2022"/>
    <s v="March"/>
  </r>
  <r>
    <n v="158"/>
    <x v="88"/>
    <x v="2"/>
    <s v="South"/>
    <s v="Basic"/>
    <d v="2022-07-25T00:00:00"/>
    <d v="2023-01-23T00:00:00"/>
    <x v="79"/>
    <n v="487"/>
    <n v="8291"/>
    <s v="Paid"/>
    <n v="5"/>
    <d v="2023-01-23T00:00:00"/>
    <n v="0"/>
    <n v="97"/>
    <n v="0.94"/>
    <s v="Normal"/>
    <n v="2023"/>
    <s v="January"/>
  </r>
  <r>
    <n v="159"/>
    <x v="89"/>
    <x v="0"/>
    <s v="North"/>
    <s v="Basic"/>
    <d v="2022-03-04T00:00:00"/>
    <d v="2022-10-06T00:00:00"/>
    <x v="80"/>
    <n v="5720"/>
    <n v="4109"/>
    <s v="NA"/>
    <n v="7"/>
    <d v="2022-10-06T00:00:00"/>
    <n v="1"/>
    <n v="98"/>
    <n v="0.42"/>
    <s v="Normal"/>
    <n v="2022"/>
    <s v="October"/>
  </r>
  <r>
    <n v="160"/>
    <x v="90"/>
    <x v="3"/>
    <s v="East"/>
    <s v="Basic"/>
    <d v="2022-12-28T00:00:00"/>
    <d v="2023-06-13T00:00:00"/>
    <x v="81"/>
    <n v="1269"/>
    <n v="3134"/>
    <s v="Paid"/>
    <n v="5"/>
    <d v="2023-06-13T00:00:00"/>
    <n v="1"/>
    <n v="99"/>
    <n v="0.71"/>
    <s v="Normal"/>
    <n v="2023"/>
    <s v="June"/>
  </r>
  <r>
    <n v="164"/>
    <x v="31"/>
    <x v="1"/>
    <s v="South"/>
    <s v="Standard"/>
    <d v="2022-08-06T00:00:00"/>
    <d v="2023-04-02T00:00:00"/>
    <x v="82"/>
    <n v="488"/>
    <n v="8575"/>
    <s v="NA"/>
    <n v="7"/>
    <d v="2023-04-02T00:00:00"/>
    <n v="1"/>
    <n v="100"/>
    <n v="0.95"/>
    <s v="Normal"/>
    <n v="2023"/>
    <s v="April"/>
  </r>
  <r>
    <n v="167"/>
    <x v="91"/>
    <x v="2"/>
    <s v="West"/>
    <s v="Standard"/>
    <d v="2022-04-23T00:00:00"/>
    <d v="2023-10-12T00:00:00"/>
    <x v="83"/>
    <n v="4241"/>
    <n v="-3898"/>
    <s v="Paid"/>
    <n v="17"/>
    <d v="2023-10-12T00:00:00"/>
    <n v="1"/>
    <n v="101"/>
    <n v="-11.36"/>
    <s v="Outlier"/>
    <n v="2023"/>
    <s v="October"/>
  </r>
  <r>
    <n v="170"/>
    <x v="92"/>
    <x v="3"/>
    <s v="East"/>
    <s v="Standard"/>
    <d v="2022-08-27T00:00:00"/>
    <d v="2023-02-02T00:00:00"/>
    <x v="84"/>
    <n v="4000"/>
    <n v="468"/>
    <s v="Pending"/>
    <n v="5"/>
    <d v="2023-02-02T00:00:00"/>
    <n v="1"/>
    <n v="102"/>
    <n v="0.1"/>
    <s v="Normal"/>
    <n v="2023"/>
    <s v="February"/>
  </r>
  <r>
    <n v="171"/>
    <x v="93"/>
    <x v="4"/>
    <s v="South"/>
    <s v="Premium"/>
    <d v="2022-07-29T00:00:00"/>
    <d v="2024-01-26T00:00:00"/>
    <x v="85"/>
    <n v="3188"/>
    <n v="1958"/>
    <s v="NA"/>
    <n v="17"/>
    <d v="2024-01-26T00:00:00"/>
    <n v="0"/>
    <n v="103"/>
    <n v="0.38"/>
    <s v="Normal"/>
    <n v="2024"/>
    <s v="January"/>
  </r>
  <r>
    <n v="172"/>
    <x v="94"/>
    <x v="3"/>
    <s v="South"/>
    <s v="Premium"/>
    <d v="2022-08-07T00:00:00"/>
    <d v="2023-07-31T00:00:00"/>
    <x v="86"/>
    <n v="2821"/>
    <n v="453"/>
    <s v="Overdue"/>
    <n v="11"/>
    <d v="2023-07-31T00:00:00"/>
    <n v="1"/>
    <n v="104"/>
    <n v="0.14000000000000001"/>
    <s v="Normal"/>
    <n v="2023"/>
    <s v="July"/>
  </r>
  <r>
    <n v="176"/>
    <x v="17"/>
    <x v="3"/>
    <s v="East"/>
    <s v="Basic"/>
    <d v="2022-03-10T00:00:00"/>
    <d v="2022-06-26T00:00:00"/>
    <x v="87"/>
    <n v="5028"/>
    <n v="-708"/>
    <s v="Pending"/>
    <n v="3"/>
    <d v="2022-06-26T00:00:00"/>
    <n v="1"/>
    <n v="105"/>
    <n v="-0.16"/>
    <s v="Normal"/>
    <n v="2022"/>
    <s v="June"/>
  </r>
  <r>
    <n v="177"/>
    <x v="95"/>
    <x v="0"/>
    <s v="East"/>
    <s v="Premium"/>
    <d v="2022-04-06T00:00:00"/>
    <d v="2023-04-16T00:00:00"/>
    <x v="88"/>
    <n v="4005"/>
    <n v="-984"/>
    <s v="NA"/>
    <n v="12"/>
    <d v="2023-04-16T00:00:00"/>
    <n v="0"/>
    <n v="106"/>
    <n v="-0.33"/>
    <s v="Normal"/>
    <n v="2023"/>
    <s v="April"/>
  </r>
  <r>
    <n v="178"/>
    <x v="96"/>
    <x v="4"/>
    <s v="East"/>
    <s v="Standard"/>
    <d v="2022-03-03T00:00:00"/>
    <d v="2023-08-12T00:00:00"/>
    <x v="89"/>
    <n v="3532"/>
    <n v="3066"/>
    <s v="Overdue"/>
    <n v="17"/>
    <d v="2023-08-12T00:00:00"/>
    <n v="0"/>
    <n v="107"/>
    <n v="0.46"/>
    <s v="Normal"/>
    <n v="2023"/>
    <s v="August"/>
  </r>
  <r>
    <n v="179"/>
    <x v="97"/>
    <x v="1"/>
    <s v="West"/>
    <s v="Basic"/>
    <d v="2022-08-13T00:00:00"/>
    <d v="2023-02-23T00:00:00"/>
    <x v="90"/>
    <n v="3072"/>
    <n v="6407"/>
    <s v="Overdue"/>
    <n v="6"/>
    <d v="2023-02-23T00:00:00"/>
    <n v="0"/>
    <n v="108"/>
    <n v="0.68"/>
    <s v="Normal"/>
    <n v="2023"/>
    <s v="February"/>
  </r>
  <r>
    <n v="182"/>
    <x v="98"/>
    <x v="0"/>
    <s v="East"/>
    <s v="Basic"/>
    <d v="2022-11-23T00:00:00"/>
    <d v="2023-08-21T00:00:00"/>
    <x v="91"/>
    <n v="1980"/>
    <n v="5659"/>
    <s v="Overdue"/>
    <n v="8"/>
    <d v="2023-08-21T00:00:00"/>
    <n v="0"/>
    <n v="109"/>
    <n v="0.74"/>
    <s v="Normal"/>
    <n v="2023"/>
    <s v="August"/>
  </r>
  <r>
    <n v="183"/>
    <x v="99"/>
    <x v="1"/>
    <s v="West"/>
    <s v="Basic"/>
    <d v="2022-01-23T00:00:00"/>
    <d v="2022-09-23T00:00:00"/>
    <x v="92"/>
    <n v="4012.75"/>
    <n v="9441"/>
    <s v="Overdue"/>
    <n v="8"/>
    <d v="2022-09-23T00:00:00"/>
    <n v="0"/>
    <n v="110"/>
    <n v="1.03"/>
    <s v="Outlier"/>
    <n v="2022"/>
    <s v="September"/>
  </r>
  <r>
    <n v="186"/>
    <x v="100"/>
    <x v="1"/>
    <s v="South"/>
    <s v="Premium"/>
    <d v="2022-07-23T00:00:00"/>
    <d v="2022-11-17T00:00:00"/>
    <x v="93"/>
    <n v="7631"/>
    <n v="577.01"/>
    <s v="Paid"/>
    <n v="3"/>
    <d v="2022-11-17T00:00:00"/>
    <n v="0"/>
    <n v="111"/>
    <n v="0.06"/>
    <s v="Normal"/>
    <n v="2022"/>
    <s v="November"/>
  </r>
  <r>
    <n v="187"/>
    <x v="101"/>
    <x v="3"/>
    <s v="North"/>
    <s v="Premium"/>
    <d v="2022-03-01T00:00:00"/>
    <d v="2022-07-12T00:00:00"/>
    <x v="94"/>
    <n v="1832"/>
    <n v="577.01"/>
    <s v="Overdue"/>
    <n v="4"/>
    <d v="2022-07-12T00:00:00"/>
    <n v="1"/>
    <n v="112"/>
    <n v="0.09"/>
    <s v="Normal"/>
    <n v="2022"/>
    <s v="July"/>
  </r>
  <r>
    <n v="188"/>
    <x v="11"/>
    <x v="2"/>
    <s v="West"/>
    <s v="Basic"/>
    <d v="2022-05-27T00:00:00"/>
    <d v="2023-10-05T00:00:00"/>
    <x v="95"/>
    <n v="5363"/>
    <n v="-1241"/>
    <s v="Pending"/>
    <n v="16"/>
    <d v="2023-10-05T00:00:00"/>
    <n v="1"/>
    <n v="113"/>
    <n v="-0.3"/>
    <s v="Normal"/>
    <n v="2023"/>
    <s v="October"/>
  </r>
  <r>
    <n v="189"/>
    <x v="102"/>
    <x v="4"/>
    <s v="North"/>
    <s v="Standard"/>
    <d v="2022-11-02T00:00:00"/>
    <d v="2024-05-28T00:00:00"/>
    <x v="96"/>
    <n v="594"/>
    <n v="7463"/>
    <s v="Overdue"/>
    <n v="18"/>
    <d v="2024-05-28T00:00:00"/>
    <n v="0"/>
    <n v="114"/>
    <n v="0.93"/>
    <s v="Normal"/>
    <n v="2024"/>
    <s v="May"/>
  </r>
  <r>
    <n v="190"/>
    <x v="103"/>
    <x v="1"/>
    <s v="East"/>
    <s v="Basic"/>
    <d v="2022-02-16T00:00:00"/>
    <d v="2022-12-05T00:00:00"/>
    <x v="97"/>
    <n v="6802"/>
    <n v="-3071"/>
    <s v="Overdue"/>
    <n v="9"/>
    <d v="2022-12-05T00:00:00"/>
    <n v="0"/>
    <n v="115"/>
    <n v="-0.82"/>
    <s v="Normal"/>
    <n v="2022"/>
    <s v="December"/>
  </r>
  <r>
    <n v="191"/>
    <x v="104"/>
    <x v="4"/>
    <s v="South"/>
    <s v="Standard"/>
    <d v="2022-12-11T00:00:00"/>
    <d v="2024-06-11T00:00:00"/>
    <x v="98"/>
    <n v="7580"/>
    <n v="-398"/>
    <s v="NA"/>
    <n v="18"/>
    <d v="2024-06-11T00:00:00"/>
    <n v="0"/>
    <n v="116"/>
    <n v="-0.06"/>
    <s v="Normal"/>
    <n v="2024"/>
    <s v="June"/>
  </r>
  <r>
    <n v="193"/>
    <x v="105"/>
    <x v="1"/>
    <s v="West"/>
    <s v="Premium"/>
    <d v="2022-04-04T00:00:00"/>
    <d v="2022-10-03T00:00:00"/>
    <x v="17"/>
    <n v="5629"/>
    <n v="-7240"/>
    <s v="Pending"/>
    <n v="5"/>
    <d v="2022-10-03T00:00:00"/>
    <n v="0"/>
    <n v="117"/>
    <n v="-1.46"/>
    <s v="Outlier"/>
    <n v="2022"/>
    <s v="October"/>
  </r>
  <r>
    <n v="195"/>
    <x v="106"/>
    <x v="0"/>
    <s v="East"/>
    <s v="Basic"/>
    <d v="2022-11-05T00:00:00"/>
    <d v="2023-04-30T00:00:00"/>
    <x v="99"/>
    <n v="3282"/>
    <n v="-742"/>
    <s v="Paid"/>
    <n v="5"/>
    <d v="2023-04-30T00:00:00"/>
    <n v="1"/>
    <n v="118"/>
    <n v="-0.28999999999999998"/>
    <s v="Normal"/>
    <n v="2023"/>
    <s v="April"/>
  </r>
  <r>
    <n v="196"/>
    <x v="107"/>
    <x v="1"/>
    <s v="North"/>
    <s v="Standard"/>
    <d v="2022-11-30T00:00:00"/>
    <d v="2024-04-08T00:00:00"/>
    <x v="100"/>
    <n v="184"/>
    <n v="4207"/>
    <s v="Pending"/>
    <n v="16"/>
    <d v="2024-04-08T00:00:00"/>
    <n v="1"/>
    <n v="119"/>
    <n v="0.96"/>
    <s v="Normal"/>
    <n v="2024"/>
    <s v="April"/>
  </r>
  <r>
    <n v="198"/>
    <x v="53"/>
    <x v="3"/>
    <s v="North"/>
    <s v="Standard"/>
    <d v="2022-06-02T00:00:00"/>
    <d v="2022-10-31T00:00:00"/>
    <x v="101"/>
    <n v="4012.75"/>
    <n v="1116"/>
    <s v="Pending"/>
    <n v="4"/>
    <d v="2022-10-31T00:00:00"/>
    <n v="1"/>
    <n v="120"/>
    <n v="4.63"/>
    <s v="Outlier"/>
    <n v="2022"/>
    <s v="October"/>
  </r>
  <r>
    <n v="200"/>
    <x v="35"/>
    <x v="4"/>
    <s v="East"/>
    <s v="Standard"/>
    <d v="2022-04-11T00:00:00"/>
    <d v="2023-11-16T00:00:00"/>
    <x v="102"/>
    <n v="4666"/>
    <n v="3677"/>
    <s v="Overdue"/>
    <n v="19"/>
    <d v="2023-11-16T00:00:00"/>
    <n v="0"/>
    <n v="121"/>
    <n v="0.44"/>
    <s v="Normal"/>
    <n v="2023"/>
    <s v="November"/>
  </r>
  <r>
    <n v="201"/>
    <x v="108"/>
    <x v="1"/>
    <s v="North"/>
    <s v="Standard"/>
    <d v="2022-07-16T00:00:00"/>
    <d v="2023-09-10T00:00:00"/>
    <x v="17"/>
    <n v="7087"/>
    <n v="-8682"/>
    <s v="Overdue"/>
    <n v="13"/>
    <d v="2023-09-10T00:00:00"/>
    <n v="1"/>
    <n v="122"/>
    <n v="-1.75"/>
    <s v="Outlier"/>
    <n v="2023"/>
    <s v="September"/>
  </r>
  <r>
    <n v="202"/>
    <x v="101"/>
    <x v="2"/>
    <s v="West"/>
    <s v="Standard"/>
    <d v="2022-03-30T00:00:00"/>
    <d v="2022-05-04T00:00:00"/>
    <x v="103"/>
    <n v="1788"/>
    <n v="755"/>
    <s v="Overdue"/>
    <n v="1"/>
    <d v="2022-05-04T00:00:00"/>
    <n v="0"/>
    <n v="123"/>
    <n v="0.3"/>
    <s v="Normal"/>
    <n v="2022"/>
    <s v="May"/>
  </r>
  <r>
    <n v="205"/>
    <x v="109"/>
    <x v="1"/>
    <s v="West"/>
    <s v="Basic"/>
    <d v="2022-05-11T00:00:00"/>
    <d v="2023-08-15T00:00:00"/>
    <x v="104"/>
    <n v="6798"/>
    <n v="-1335"/>
    <s v="Overdue"/>
    <n v="15"/>
    <d v="2023-08-15T00:00:00"/>
    <n v="0"/>
    <n v="124"/>
    <n v="-0.24"/>
    <s v="Normal"/>
    <n v="2023"/>
    <s v="August"/>
  </r>
  <r>
    <n v="206"/>
    <x v="42"/>
    <x v="2"/>
    <s v="North"/>
    <s v="Standard"/>
    <d v="2022-02-15T00:00:00"/>
    <d v="2022-10-21T00:00:00"/>
    <x v="105"/>
    <n v="3454"/>
    <n v="5737"/>
    <s v="Pending"/>
    <n v="8"/>
    <d v="2022-10-21T00:00:00"/>
    <n v="0"/>
    <n v="125"/>
    <n v="0.62"/>
    <s v="Normal"/>
    <n v="2022"/>
    <s v="October"/>
  </r>
  <r>
    <n v="209"/>
    <x v="110"/>
    <x v="4"/>
    <s v="North"/>
    <s v="Standard"/>
    <d v="2022-08-23T00:00:00"/>
    <d v="2023-01-01T00:00:00"/>
    <x v="105"/>
    <n v="4969"/>
    <n v="4222"/>
    <s v="NA"/>
    <n v="4"/>
    <d v="2023-01-01T00:00:00"/>
    <n v="0"/>
    <n v="126"/>
    <n v="0.46"/>
    <s v="Normal"/>
    <n v="2023"/>
    <s v="January"/>
  </r>
  <r>
    <n v="210"/>
    <x v="44"/>
    <x v="3"/>
    <s v="North"/>
    <s v="Premium"/>
    <d v="2022-12-19T00:00:00"/>
    <d v="2023-06-27T00:00:00"/>
    <x v="17"/>
    <n v="748"/>
    <n v="-1748"/>
    <s v="Paid"/>
    <n v="6"/>
    <d v="2023-06-27T00:00:00"/>
    <n v="0"/>
    <n v="127"/>
    <n v="-0.35"/>
    <s v="Normal"/>
    <n v="2023"/>
    <s v="June"/>
  </r>
  <r>
    <n v="213"/>
    <x v="79"/>
    <x v="1"/>
    <s v="West"/>
    <s v="Basic"/>
    <d v="2022-11-10T00:00:00"/>
    <d v="2024-06-21T00:00:00"/>
    <x v="106"/>
    <n v="4012.75"/>
    <n v="1000"/>
    <s v="Overdue"/>
    <n v="19"/>
    <d v="2024-06-21T00:00:00"/>
    <n v="1"/>
    <n v="128"/>
    <n v="1.35"/>
    <s v="Outlier"/>
    <n v="2024"/>
    <s v="June"/>
  </r>
  <r>
    <n v="214"/>
    <x v="13"/>
    <x v="1"/>
    <s v="East"/>
    <s v="Premium"/>
    <d v="2022-02-10T00:00:00"/>
    <d v="2022-09-13T00:00:00"/>
    <x v="107"/>
    <n v="3813"/>
    <n v="-983"/>
    <s v="Pending"/>
    <n v="7"/>
    <d v="2022-09-13T00:00:00"/>
    <n v="1"/>
    <n v="129"/>
    <n v="-0.35"/>
    <s v="Normal"/>
    <n v="2022"/>
    <s v="September"/>
  </r>
  <r>
    <n v="215"/>
    <x v="111"/>
    <x v="3"/>
    <s v="South"/>
    <s v="Premium"/>
    <d v="2022-08-26T00:00:00"/>
    <d v="2023-11-17T00:00:00"/>
    <x v="108"/>
    <n v="6276"/>
    <n v="-5295"/>
    <s v="Paid"/>
    <n v="14"/>
    <d v="2023-11-17T00:00:00"/>
    <n v="0"/>
    <n v="130"/>
    <n v="-5.4"/>
    <s v="Outlier"/>
    <n v="2023"/>
    <s v="November"/>
  </r>
  <r>
    <n v="217"/>
    <x v="112"/>
    <x v="3"/>
    <s v="South"/>
    <s v="Standard"/>
    <d v="2022-05-04T00:00:00"/>
    <d v="2023-03-01T00:00:00"/>
    <x v="109"/>
    <n v="2944"/>
    <n v="-2912"/>
    <s v="Pending"/>
    <n v="9"/>
    <d v="2023-03-01T00:00:00"/>
    <n v="0"/>
    <n v="131"/>
    <n v="-91"/>
    <s v="Outlier"/>
    <n v="2023"/>
    <s v="March"/>
  </r>
  <r>
    <n v="218"/>
    <x v="113"/>
    <x v="1"/>
    <s v="South"/>
    <s v="Premium"/>
    <d v="2022-02-07T00:00:00"/>
    <d v="2022-05-15T00:00:00"/>
    <x v="17"/>
    <n v="7558"/>
    <n v="-8275"/>
    <s v="NA"/>
    <n v="3"/>
    <d v="2022-05-15T00:00:00"/>
    <n v="0"/>
    <n v="132"/>
    <n v="-1.67"/>
    <s v="Outlier"/>
    <n v="2022"/>
    <s v="May"/>
  </r>
  <r>
    <n v="219"/>
    <x v="114"/>
    <x v="1"/>
    <s v="North"/>
    <s v="Premium"/>
    <d v="2022-05-07T00:00:00"/>
    <d v="2023-12-21T00:00:00"/>
    <x v="17"/>
    <n v="5628"/>
    <n v="-6578"/>
    <s v="Pending"/>
    <n v="19"/>
    <d v="2023-12-21T00:00:00"/>
    <n v="1"/>
    <n v="133"/>
    <n v="-1.32"/>
    <s v="Outlier"/>
    <n v="2023"/>
    <s v="December"/>
  </r>
  <r>
    <n v="220"/>
    <x v="115"/>
    <x v="4"/>
    <s v="South"/>
    <s v="Basic"/>
    <d v="2022-05-04T00:00:00"/>
    <d v="2022-07-19T00:00:00"/>
    <x v="110"/>
    <n v="6205"/>
    <n v="577.01"/>
    <s v="Overdue"/>
    <n v="2"/>
    <d v="2022-07-19T00:00:00"/>
    <n v="1"/>
    <n v="134"/>
    <n v="0.09"/>
    <s v="Normal"/>
    <n v="2022"/>
    <s v="July"/>
  </r>
  <r>
    <n v="223"/>
    <x v="116"/>
    <x v="3"/>
    <s v="South"/>
    <s v="Standard"/>
    <d v="2022-12-02T00:00:00"/>
    <d v="2023-01-02T00:00:00"/>
    <x v="111"/>
    <n v="5059"/>
    <n v="-4694"/>
    <s v="Paid"/>
    <n v="1"/>
    <d v="2023-01-02T00:00:00"/>
    <n v="1"/>
    <n v="135"/>
    <n v="-12.86"/>
    <s v="Outlier"/>
    <n v="2023"/>
    <s v="January"/>
  </r>
  <r>
    <n v="225"/>
    <x v="117"/>
    <x v="4"/>
    <s v="East"/>
    <s v="Premium"/>
    <d v="2022-03-02T00:00:00"/>
    <d v="2023-04-13T00:00:00"/>
    <x v="112"/>
    <n v="3624"/>
    <n v="-1681"/>
    <s v="Overdue"/>
    <n v="13"/>
    <d v="2023-04-13T00:00:00"/>
    <n v="0"/>
    <n v="136"/>
    <n v="-0.87"/>
    <s v="Normal"/>
    <n v="2023"/>
    <s v="April"/>
  </r>
  <r>
    <n v="227"/>
    <x v="118"/>
    <x v="3"/>
    <s v="East"/>
    <s v="Basic"/>
    <d v="2022-12-25T00:00:00"/>
    <d v="2023-10-10T00:00:00"/>
    <x v="113"/>
    <n v="2792"/>
    <n v="1154"/>
    <s v="Overdue"/>
    <n v="9"/>
    <d v="2023-10-10T00:00:00"/>
    <n v="0"/>
    <n v="137"/>
    <n v="0.28999999999999998"/>
    <s v="Normal"/>
    <n v="2023"/>
    <s v="October"/>
  </r>
  <r>
    <n v="228"/>
    <x v="119"/>
    <x v="4"/>
    <s v="East"/>
    <s v="Premium"/>
    <d v="2022-08-24T00:00:00"/>
    <d v="2024-03-05T00:00:00"/>
    <x v="114"/>
    <n v="4012.75"/>
    <n v="5417"/>
    <s v="Paid"/>
    <n v="18"/>
    <d v="2024-03-05T00:00:00"/>
    <n v="1"/>
    <n v="138"/>
    <n v="1.05"/>
    <s v="Outlier"/>
    <n v="2024"/>
    <s v="March"/>
  </r>
  <r>
    <n v="229"/>
    <x v="48"/>
    <x v="0"/>
    <s v="South"/>
    <s v="Basic"/>
    <d v="2022-08-07T00:00:00"/>
    <d v="2024-03-07T00:00:00"/>
    <x v="17"/>
    <n v="3787"/>
    <n v="-3963"/>
    <s v="Pending"/>
    <n v="19"/>
    <d v="2024-03-07T00:00:00"/>
    <n v="1"/>
    <n v="139"/>
    <n v="-0.8"/>
    <s v="Normal"/>
    <n v="2024"/>
    <s v="March"/>
  </r>
  <r>
    <n v="230"/>
    <x v="120"/>
    <x v="4"/>
    <s v="North"/>
    <s v="Premium"/>
    <d v="2022-08-15T00:00:00"/>
    <d v="2024-02-21T00:00:00"/>
    <x v="17"/>
    <n v="4017"/>
    <n v="-4699"/>
    <s v="Overdue"/>
    <n v="18"/>
    <d v="2024-02-21T00:00:00"/>
    <n v="0"/>
    <n v="140"/>
    <n v="-0.95"/>
    <s v="Normal"/>
    <n v="2024"/>
    <s v="February"/>
  </r>
  <r>
    <n v="231"/>
    <x v="121"/>
    <x v="4"/>
    <s v="West"/>
    <s v="Standard"/>
    <d v="2022-07-29T00:00:00"/>
    <d v="2023-06-02T00:00:00"/>
    <x v="115"/>
    <n v="1273"/>
    <n v="5760"/>
    <s v="Paid"/>
    <n v="10"/>
    <d v="2023-06-02T00:00:00"/>
    <n v="0"/>
    <n v="141"/>
    <n v="0.82"/>
    <s v="Normal"/>
    <n v="2023"/>
    <s v="June"/>
  </r>
  <r>
    <n v="232"/>
    <x v="122"/>
    <x v="3"/>
    <s v="North"/>
    <s v="Premium"/>
    <d v="2022-04-19T00:00:00"/>
    <d v="2023-03-28T00:00:00"/>
    <x v="17"/>
    <n v="4542"/>
    <n v="-5397"/>
    <s v="Overdue"/>
    <n v="11"/>
    <d v="2023-03-28T00:00:00"/>
    <n v="1"/>
    <n v="142"/>
    <n v="-1.0900000000000001"/>
    <s v="Outlier"/>
    <n v="2023"/>
    <s v="March"/>
  </r>
  <r>
    <n v="238"/>
    <x v="123"/>
    <x v="4"/>
    <s v="South"/>
    <s v="Standard"/>
    <d v="2022-04-26T00:00:00"/>
    <d v="2023-06-01T00:00:00"/>
    <x v="116"/>
    <n v="4816"/>
    <n v="-3082"/>
    <s v="NA"/>
    <n v="13"/>
    <d v="2023-06-01T00:00:00"/>
    <n v="0"/>
    <n v="143"/>
    <n v="-1.78"/>
    <s v="Outlier"/>
    <n v="2023"/>
    <s v="June"/>
  </r>
  <r>
    <n v="239"/>
    <x v="43"/>
    <x v="4"/>
    <s v="North"/>
    <s v="Standard"/>
    <d v="2022-08-11T00:00:00"/>
    <d v="2022-11-02T00:00:00"/>
    <x v="117"/>
    <n v="885"/>
    <n v="8538"/>
    <s v="Pending"/>
    <n v="2"/>
    <d v="2022-11-02T00:00:00"/>
    <n v="0"/>
    <n v="144"/>
    <n v="0.91"/>
    <s v="Normal"/>
    <n v="2022"/>
    <s v="November"/>
  </r>
  <r>
    <n v="241"/>
    <x v="124"/>
    <x v="2"/>
    <s v="East"/>
    <s v="Premium"/>
    <d v="2022-06-11T00:00:00"/>
    <d v="2023-02-12T00:00:00"/>
    <x v="118"/>
    <n v="3626"/>
    <n v="4466"/>
    <s v="Paid"/>
    <n v="8"/>
    <d v="2023-02-12T00:00:00"/>
    <n v="1"/>
    <n v="145"/>
    <n v="0.55000000000000004"/>
    <s v="Normal"/>
    <n v="2023"/>
    <s v="February"/>
  </r>
  <r>
    <n v="242"/>
    <x v="84"/>
    <x v="4"/>
    <s v="East"/>
    <s v="Standard"/>
    <d v="2022-01-23T00:00:00"/>
    <d v="2022-11-05T00:00:00"/>
    <x v="119"/>
    <n v="3293"/>
    <n v="2973"/>
    <s v="Paid"/>
    <n v="9"/>
    <d v="2022-11-05T00:00:00"/>
    <n v="1"/>
    <n v="146"/>
    <n v="0.47"/>
    <s v="Normal"/>
    <n v="2022"/>
    <s v="November"/>
  </r>
  <r>
    <n v="243"/>
    <x v="125"/>
    <x v="3"/>
    <s v="West"/>
    <s v="Standard"/>
    <d v="2022-09-20T00:00:00"/>
    <d v="2024-04-21T00:00:00"/>
    <x v="120"/>
    <n v="6145"/>
    <n v="-3643"/>
    <s v="Paid"/>
    <n v="19"/>
    <d v="2024-04-21T00:00:00"/>
    <n v="0"/>
    <n v="147"/>
    <n v="-1.46"/>
    <s v="Outlier"/>
    <n v="2024"/>
    <s v="April"/>
  </r>
  <r>
    <n v="244"/>
    <x v="126"/>
    <x v="4"/>
    <s v="West"/>
    <s v="Basic"/>
    <d v="2022-08-05T00:00:00"/>
    <d v="2023-08-11T00:00:00"/>
    <x v="121"/>
    <n v="2957"/>
    <n v="-2357"/>
    <s v="Pending"/>
    <n v="12"/>
    <d v="2023-08-11T00:00:00"/>
    <n v="0"/>
    <n v="148"/>
    <n v="-3.93"/>
    <s v="Outlier"/>
    <n v="2023"/>
    <s v="August"/>
  </r>
  <r>
    <n v="246"/>
    <x v="48"/>
    <x v="2"/>
    <s v="East"/>
    <s v="Basic"/>
    <d v="2022-11-08T00:00:00"/>
    <d v="2023-05-19T00:00:00"/>
    <x v="122"/>
    <n v="2053"/>
    <n v="5"/>
    <s v="Overdue"/>
    <n v="6"/>
    <d v="2023-05-19T00:00:00"/>
    <n v="1"/>
    <n v="149"/>
    <n v="0"/>
    <s v="Normal"/>
    <n v="2023"/>
    <s v="May"/>
  </r>
  <r>
    <n v="248"/>
    <x v="40"/>
    <x v="1"/>
    <s v="East"/>
    <s v="Standard"/>
    <d v="2022-02-22T00:00:00"/>
    <d v="2022-10-11T00:00:00"/>
    <x v="123"/>
    <n v="3089"/>
    <n v="-2081"/>
    <s v="Paid"/>
    <n v="7"/>
    <d v="2022-10-11T00:00:00"/>
    <n v="0"/>
    <n v="150"/>
    <n v="-2.06"/>
    <s v="Outlier"/>
    <n v="2022"/>
    <s v="October"/>
  </r>
  <r>
    <n v="250"/>
    <x v="127"/>
    <x v="4"/>
    <s v="East"/>
    <s v="Standard"/>
    <d v="2022-04-23T00:00:00"/>
    <d v="2023-05-14T00:00:00"/>
    <x v="124"/>
    <n v="5411"/>
    <n v="-4288"/>
    <s v="NA"/>
    <n v="12"/>
    <d v="2023-05-14T00:00:00"/>
    <n v="1"/>
    <n v="151"/>
    <n v="-3.82"/>
    <s v="Outlier"/>
    <n v="2023"/>
    <s v="May"/>
  </r>
  <r>
    <n v="253"/>
    <x v="6"/>
    <x v="4"/>
    <s v="West"/>
    <s v="Standard"/>
    <d v="2022-03-04T00:00:00"/>
    <d v="2023-10-10T00:00:00"/>
    <x v="17"/>
    <n v="5846"/>
    <n v="-7107"/>
    <s v="Paid"/>
    <n v="19"/>
    <d v="2023-10-10T00:00:00"/>
    <n v="1"/>
    <n v="152"/>
    <n v="-1.43"/>
    <s v="Outlier"/>
    <n v="2023"/>
    <s v="October"/>
  </r>
  <r>
    <n v="254"/>
    <x v="128"/>
    <x v="2"/>
    <s v="West"/>
    <s v="Premium"/>
    <d v="2022-04-23T00:00:00"/>
    <d v="2022-08-04T00:00:00"/>
    <x v="125"/>
    <n v="2420"/>
    <n v="2648"/>
    <s v="Paid"/>
    <n v="3"/>
    <d v="2022-08-04T00:00:00"/>
    <n v="0"/>
    <n v="153"/>
    <n v="0.52"/>
    <s v="Normal"/>
    <n v="2022"/>
    <s v="August"/>
  </r>
  <r>
    <n v="255"/>
    <x v="67"/>
    <x v="2"/>
    <s v="South"/>
    <s v="Standard"/>
    <d v="2022-11-01T00:00:00"/>
    <d v="2023-06-20T00:00:00"/>
    <x v="17"/>
    <n v="5472"/>
    <n v="577.01"/>
    <s v="Paid"/>
    <n v="7"/>
    <d v="2023-06-20T00:00:00"/>
    <n v="0"/>
    <n v="154"/>
    <n v="0.12"/>
    <s v="Normal"/>
    <n v="2023"/>
    <s v="June"/>
  </r>
  <r>
    <n v="256"/>
    <x v="74"/>
    <x v="1"/>
    <s v="West"/>
    <s v="Standard"/>
    <d v="2022-05-11T00:00:00"/>
    <d v="2022-08-03T00:00:00"/>
    <x v="126"/>
    <n v="4088"/>
    <n v="1920"/>
    <s v="NA"/>
    <n v="2"/>
    <d v="2022-08-03T00:00:00"/>
    <n v="1"/>
    <n v="155"/>
    <n v="0.32"/>
    <s v="Normal"/>
    <n v="2022"/>
    <s v="August"/>
  </r>
  <r>
    <n v="259"/>
    <x v="129"/>
    <x v="4"/>
    <s v="West"/>
    <s v="Standard"/>
    <d v="2022-08-29T00:00:00"/>
    <d v="2023-01-22T00:00:00"/>
    <x v="127"/>
    <n v="4342"/>
    <n v="2670"/>
    <s v="Pending"/>
    <n v="4"/>
    <d v="2023-01-22T00:00:00"/>
    <n v="1"/>
    <n v="156"/>
    <n v="0.38"/>
    <s v="Normal"/>
    <n v="2023"/>
    <s v="January"/>
  </r>
  <r>
    <n v="263"/>
    <x v="44"/>
    <x v="0"/>
    <s v="South"/>
    <s v="Basic"/>
    <d v="2022-05-11T00:00:00"/>
    <d v="2022-07-26T00:00:00"/>
    <x v="17"/>
    <n v="5134"/>
    <n v="-5652"/>
    <s v="Pending"/>
    <n v="2"/>
    <d v="2022-07-26T00:00:00"/>
    <n v="0"/>
    <n v="157"/>
    <n v="-1.1399999999999999"/>
    <s v="Outlier"/>
    <n v="2022"/>
    <s v="July"/>
  </r>
  <r>
    <n v="267"/>
    <x v="130"/>
    <x v="3"/>
    <s v="South"/>
    <s v="Standard"/>
    <d v="2022-02-04T00:00:00"/>
    <d v="2023-09-13T00:00:00"/>
    <x v="128"/>
    <n v="159"/>
    <n v="7274"/>
    <s v="Paid"/>
    <n v="19"/>
    <d v="2023-09-13T00:00:00"/>
    <n v="0"/>
    <n v="158"/>
    <n v="0.98"/>
    <s v="Normal"/>
    <n v="2023"/>
    <s v="September"/>
  </r>
  <r>
    <n v="268"/>
    <x v="131"/>
    <x v="1"/>
    <s v="West"/>
    <s v="Basic"/>
    <d v="2022-10-02T00:00:00"/>
    <d v="2023-01-09T00:00:00"/>
    <x v="129"/>
    <n v="6381"/>
    <n v="2021"/>
    <s v="Paid"/>
    <n v="3"/>
    <d v="2023-01-09T00:00:00"/>
    <n v="1"/>
    <n v="159"/>
    <n v="0.24"/>
    <s v="Normal"/>
    <n v="2023"/>
    <s v="January"/>
  </r>
  <r>
    <n v="269"/>
    <x v="31"/>
    <x v="3"/>
    <s v="West"/>
    <s v="Basic"/>
    <d v="2022-08-05T00:00:00"/>
    <d v="2023-06-01T00:00:00"/>
    <x v="17"/>
    <n v="3802"/>
    <n v="-4363"/>
    <s v="Overdue"/>
    <n v="9"/>
    <d v="2023-06-01T00:00:00"/>
    <n v="0"/>
    <n v="160"/>
    <n v="-0.88"/>
    <s v="Normal"/>
    <n v="2023"/>
    <s v="June"/>
  </r>
  <r>
    <n v="272"/>
    <x v="132"/>
    <x v="4"/>
    <s v="North"/>
    <s v="Premium"/>
    <d v="2022-07-07T00:00:00"/>
    <d v="2023-02-23T00:00:00"/>
    <x v="130"/>
    <n v="4330"/>
    <n v="-2295"/>
    <s v="NA"/>
    <n v="7"/>
    <d v="2023-02-23T00:00:00"/>
    <n v="1"/>
    <n v="161"/>
    <n v="-1.1299999999999999"/>
    <s v="Outlier"/>
    <n v="2023"/>
    <s v="February"/>
  </r>
  <r>
    <n v="273"/>
    <x v="133"/>
    <x v="0"/>
    <s v="West"/>
    <s v="Premium"/>
    <d v="2022-02-16T00:00:00"/>
    <d v="2023-10-08T00:00:00"/>
    <x v="131"/>
    <n v="6555"/>
    <n v="704"/>
    <s v="Pending"/>
    <n v="19"/>
    <d v="2023-10-08T00:00:00"/>
    <n v="1"/>
    <n v="162"/>
    <n v="0.1"/>
    <s v="Normal"/>
    <n v="2023"/>
    <s v="October"/>
  </r>
  <r>
    <n v="274"/>
    <x v="126"/>
    <x v="3"/>
    <s v="South"/>
    <s v="Standard"/>
    <d v="2022-02-12T00:00:00"/>
    <d v="2022-06-29T00:00:00"/>
    <x v="132"/>
    <n v="3603"/>
    <n v="577.01"/>
    <s v="Paid"/>
    <n v="4"/>
    <d v="2022-06-29T00:00:00"/>
    <n v="1"/>
    <n v="163"/>
    <n v="0.12"/>
    <s v="Normal"/>
    <n v="2022"/>
    <s v="June"/>
  </r>
  <r>
    <n v="275"/>
    <x v="134"/>
    <x v="2"/>
    <s v="North"/>
    <s v="Standard"/>
    <d v="2022-10-15T00:00:00"/>
    <d v="2024-05-13T00:00:00"/>
    <x v="133"/>
    <n v="293"/>
    <n v="5911"/>
    <s v="Paid"/>
    <n v="18"/>
    <d v="2024-05-13T00:00:00"/>
    <n v="0"/>
    <n v="164"/>
    <n v="0.95"/>
    <s v="Normal"/>
    <n v="2024"/>
    <s v="May"/>
  </r>
  <r>
    <n v="278"/>
    <x v="135"/>
    <x v="1"/>
    <s v="East"/>
    <s v="Premium"/>
    <d v="2022-08-05T00:00:00"/>
    <d v="2023-12-02T00:00:00"/>
    <x v="17"/>
    <n v="4141"/>
    <n v="577.01"/>
    <s v="Paid"/>
    <n v="15"/>
    <d v="2023-12-02T00:00:00"/>
    <n v="1"/>
    <n v="165"/>
    <n v="0.12"/>
    <s v="Normal"/>
    <n v="2023"/>
    <s v="December"/>
  </r>
  <r>
    <n v="281"/>
    <x v="136"/>
    <x v="2"/>
    <s v="East"/>
    <s v="Standard"/>
    <d v="2022-10-15T00:00:00"/>
    <d v="2023-01-31T00:00:00"/>
    <x v="134"/>
    <n v="4812"/>
    <n v="2265"/>
    <s v="NA"/>
    <n v="3"/>
    <d v="2023-01-31T00:00:00"/>
    <n v="0"/>
    <n v="166"/>
    <n v="0.32"/>
    <s v="Normal"/>
    <n v="2023"/>
    <s v="January"/>
  </r>
  <r>
    <n v="283"/>
    <x v="137"/>
    <x v="2"/>
    <s v="East"/>
    <s v="Basic"/>
    <d v="2022-04-21T00:00:00"/>
    <d v="2023-11-24T00:00:00"/>
    <x v="135"/>
    <n v="6652"/>
    <n v="344"/>
    <s v="NA"/>
    <n v="19"/>
    <d v="2023-11-24T00:00:00"/>
    <n v="0"/>
    <n v="167"/>
    <n v="0.05"/>
    <s v="Normal"/>
    <n v="2023"/>
    <s v="November"/>
  </r>
  <r>
    <n v="284"/>
    <x v="138"/>
    <x v="4"/>
    <s v="North"/>
    <s v="Standard"/>
    <d v="2022-06-05T00:00:00"/>
    <d v="2022-08-03T00:00:00"/>
    <x v="136"/>
    <n v="3361"/>
    <n v="701"/>
    <s v="NA"/>
    <n v="1"/>
    <d v="2022-08-03T00:00:00"/>
    <n v="0"/>
    <n v="168"/>
    <n v="0.17"/>
    <s v="Normal"/>
    <n v="2022"/>
    <s v="August"/>
  </r>
  <r>
    <n v="285"/>
    <x v="139"/>
    <x v="2"/>
    <s v="South"/>
    <s v="Standard"/>
    <d v="2022-06-28T00:00:00"/>
    <d v="2022-08-10T00:00:00"/>
    <x v="137"/>
    <n v="7474"/>
    <n v="2243"/>
    <s v="Paid"/>
    <n v="1"/>
    <d v="2022-08-10T00:00:00"/>
    <n v="1"/>
    <n v="169"/>
    <n v="0.23"/>
    <s v="Normal"/>
    <n v="2022"/>
    <s v="August"/>
  </r>
  <r>
    <n v="286"/>
    <x v="140"/>
    <x v="2"/>
    <s v="West"/>
    <s v="Standard"/>
    <d v="2022-02-28T00:00:00"/>
    <d v="2022-06-11T00:00:00"/>
    <x v="138"/>
    <n v="4084"/>
    <n v="3486"/>
    <s v="Paid"/>
    <n v="3"/>
    <d v="2022-06-11T00:00:00"/>
    <n v="0"/>
    <n v="170"/>
    <n v="0.46"/>
    <s v="Normal"/>
    <n v="2022"/>
    <s v="June"/>
  </r>
  <r>
    <n v="288"/>
    <x v="141"/>
    <x v="4"/>
    <s v="East"/>
    <s v="Basic"/>
    <d v="2022-08-20T00:00:00"/>
    <d v="2023-01-22T00:00:00"/>
    <x v="139"/>
    <n v="6978"/>
    <n v="2742"/>
    <s v="Overdue"/>
    <n v="5"/>
    <d v="2023-01-22T00:00:00"/>
    <n v="0"/>
    <n v="171"/>
    <n v="0.28000000000000003"/>
    <s v="Normal"/>
    <n v="2023"/>
    <s v="January"/>
  </r>
  <r>
    <n v="293"/>
    <x v="142"/>
    <x v="2"/>
    <s v="North"/>
    <s v="Standard"/>
    <d v="2022-04-13T00:00:00"/>
    <d v="2022-10-21T00:00:00"/>
    <x v="140"/>
    <n v="4012.75"/>
    <n v="850"/>
    <s v="Paid"/>
    <n v="6"/>
    <d v="2022-10-21T00:00:00"/>
    <n v="0"/>
    <n v="172"/>
    <n v="1.66"/>
    <s v="Outlier"/>
    <n v="2022"/>
    <s v="October"/>
  </r>
  <r>
    <n v="295"/>
    <x v="143"/>
    <x v="1"/>
    <s v="South"/>
    <s v="Standard"/>
    <d v="2022-01-23T00:00:00"/>
    <d v="2023-04-22T00:00:00"/>
    <x v="17"/>
    <n v="5054"/>
    <n v="-5067"/>
    <s v="Overdue"/>
    <n v="14"/>
    <d v="2023-04-22T00:00:00"/>
    <n v="0"/>
    <n v="173"/>
    <n v="-1.02"/>
    <s v="Outlier"/>
    <n v="2023"/>
    <s v="April"/>
  </r>
  <r>
    <n v="296"/>
    <x v="90"/>
    <x v="0"/>
    <s v="West"/>
    <s v="Premium"/>
    <d v="2022-03-13T00:00:00"/>
    <d v="2023-06-24T00:00:00"/>
    <x v="141"/>
    <n v="1310"/>
    <n v="-306"/>
    <s v="Paid"/>
    <n v="15"/>
    <d v="2023-06-24T00:00:00"/>
    <n v="1"/>
    <n v="174"/>
    <n v="-0.3"/>
    <s v="Normal"/>
    <n v="2023"/>
    <s v="June"/>
  </r>
  <r>
    <n v="297"/>
    <x v="144"/>
    <x v="3"/>
    <s v="East"/>
    <s v="Premium"/>
    <d v="2022-12-05T00:00:00"/>
    <d v="2023-01-25T00:00:00"/>
    <x v="142"/>
    <n v="1398"/>
    <n v="8521"/>
    <s v="Paid"/>
    <n v="1"/>
    <d v="2023-01-25T00:00:00"/>
    <n v="0"/>
    <n v="175"/>
    <n v="0.86"/>
    <s v="Normal"/>
    <n v="2023"/>
    <s v="January"/>
  </r>
  <r>
    <n v="298"/>
    <x v="145"/>
    <x v="4"/>
    <s v="West"/>
    <s v="Standard"/>
    <d v="2022-12-21T00:00:00"/>
    <d v="2023-02-24T00:00:00"/>
    <x v="143"/>
    <n v="5597"/>
    <n v="-730"/>
    <s v="Pending"/>
    <n v="2"/>
    <d v="2023-02-24T00:00:00"/>
    <n v="0"/>
    <n v="176"/>
    <n v="-0.15"/>
    <s v="Normal"/>
    <n v="2023"/>
    <s v="February"/>
  </r>
  <r>
    <n v="301"/>
    <x v="146"/>
    <x v="0"/>
    <s v="West"/>
    <s v="Basic"/>
    <d v="2022-02-14T00:00:00"/>
    <d v="2022-07-27T00:00:00"/>
    <x v="144"/>
    <n v="7849"/>
    <n v="1583"/>
    <s v="Pending"/>
    <n v="5"/>
    <d v="2022-07-27T00:00:00"/>
    <n v="0"/>
    <n v="177"/>
    <n v="0.17"/>
    <s v="Normal"/>
    <n v="2022"/>
    <s v="July"/>
  </r>
  <r>
    <n v="302"/>
    <x v="119"/>
    <x v="3"/>
    <s v="East"/>
    <s v="Standard"/>
    <d v="2022-01-20T00:00:00"/>
    <d v="2023-05-09T00:00:00"/>
    <x v="145"/>
    <n v="4913"/>
    <n v="1735"/>
    <s v="Pending"/>
    <n v="15"/>
    <d v="2023-05-09T00:00:00"/>
    <n v="0"/>
    <n v="178"/>
    <n v="0.26"/>
    <s v="Normal"/>
    <n v="2023"/>
    <s v="May"/>
  </r>
  <r>
    <n v="305"/>
    <x v="147"/>
    <x v="3"/>
    <s v="West"/>
    <s v="Standard"/>
    <d v="2022-11-16T00:00:00"/>
    <d v="2023-11-01T00:00:00"/>
    <x v="146"/>
    <n v="6599"/>
    <n v="-4875"/>
    <s v="Overdue"/>
    <n v="11"/>
    <d v="2023-11-01T00:00:00"/>
    <n v="0"/>
    <n v="179"/>
    <n v="-2.83"/>
    <s v="Outlier"/>
    <n v="2023"/>
    <s v="November"/>
  </r>
  <r>
    <n v="307"/>
    <x v="148"/>
    <x v="1"/>
    <s v="West"/>
    <s v="Premium"/>
    <d v="2022-12-19T00:00:00"/>
    <d v="2024-07-17T00:00:00"/>
    <x v="147"/>
    <n v="5741"/>
    <n v="-3738"/>
    <s v="Pending"/>
    <n v="18"/>
    <d v="2024-07-17T00:00:00"/>
    <n v="0"/>
    <n v="180"/>
    <n v="-1.87"/>
    <s v="Outlier"/>
    <n v="2024"/>
    <s v="July"/>
  </r>
  <r>
    <n v="308"/>
    <x v="37"/>
    <x v="2"/>
    <s v="West"/>
    <s v="Premium"/>
    <d v="2022-04-29T00:00:00"/>
    <d v="2022-10-15T00:00:00"/>
    <x v="148"/>
    <n v="217"/>
    <n v="2504"/>
    <s v="Overdue"/>
    <n v="5"/>
    <d v="2022-10-15T00:00:00"/>
    <n v="0"/>
    <n v="181"/>
    <n v="0.92"/>
    <s v="Normal"/>
    <n v="2022"/>
    <s v="October"/>
  </r>
  <r>
    <n v="310"/>
    <x v="149"/>
    <x v="0"/>
    <s v="South"/>
    <s v="Basic"/>
    <d v="2022-09-26T00:00:00"/>
    <d v="2024-04-18T00:00:00"/>
    <x v="149"/>
    <n v="618"/>
    <n v="7630"/>
    <s v="NA"/>
    <n v="18"/>
    <d v="2024-04-18T00:00:00"/>
    <n v="0"/>
    <n v="182"/>
    <n v="0.93"/>
    <s v="Normal"/>
    <n v="2024"/>
    <s v="April"/>
  </r>
  <r>
    <n v="312"/>
    <x v="150"/>
    <x v="4"/>
    <s v="East"/>
    <s v="Standard"/>
    <d v="2022-04-25T00:00:00"/>
    <d v="2023-08-01T00:00:00"/>
    <x v="150"/>
    <n v="3502"/>
    <n v="-788"/>
    <s v="Overdue"/>
    <n v="15"/>
    <d v="2023-08-01T00:00:00"/>
    <n v="1"/>
    <n v="183"/>
    <n v="-0.28999999999999998"/>
    <s v="Normal"/>
    <n v="2023"/>
    <s v="August"/>
  </r>
  <r>
    <n v="313"/>
    <x v="151"/>
    <x v="3"/>
    <s v="West"/>
    <s v="Standard"/>
    <d v="2022-09-20T00:00:00"/>
    <d v="2023-04-08T00:00:00"/>
    <x v="151"/>
    <n v="4462"/>
    <n v="-194"/>
    <s v="Pending"/>
    <n v="6"/>
    <d v="2023-04-08T00:00:00"/>
    <n v="0"/>
    <n v="184"/>
    <n v="-0.05"/>
    <s v="Normal"/>
    <n v="2023"/>
    <s v="April"/>
  </r>
  <r>
    <n v="314"/>
    <x v="72"/>
    <x v="0"/>
    <s v="West"/>
    <s v="Standard"/>
    <d v="2022-10-24T00:00:00"/>
    <d v="2023-11-25T00:00:00"/>
    <x v="152"/>
    <n v="2654"/>
    <n v="-1199"/>
    <s v="Paid"/>
    <n v="13"/>
    <d v="2023-11-25T00:00:00"/>
    <n v="0"/>
    <n v="185"/>
    <n v="-0.82"/>
    <s v="Normal"/>
    <n v="2023"/>
    <s v="November"/>
  </r>
  <r>
    <n v="315"/>
    <x v="85"/>
    <x v="0"/>
    <s v="West"/>
    <s v="Standard"/>
    <d v="2022-02-07T00:00:00"/>
    <d v="2023-04-30T00:00:00"/>
    <x v="153"/>
    <n v="3356"/>
    <n v="2954"/>
    <s v="Paid"/>
    <n v="14"/>
    <d v="2023-04-30T00:00:00"/>
    <n v="1"/>
    <n v="186"/>
    <n v="0.47"/>
    <s v="Normal"/>
    <n v="2023"/>
    <s v="April"/>
  </r>
  <r>
    <n v="316"/>
    <x v="55"/>
    <x v="2"/>
    <s v="West"/>
    <s v="Premium"/>
    <d v="2022-01-19T00:00:00"/>
    <d v="2023-07-05T00:00:00"/>
    <x v="154"/>
    <n v="5470"/>
    <n v="577.01"/>
    <s v="NA"/>
    <n v="17"/>
    <d v="2023-07-05T00:00:00"/>
    <n v="0"/>
    <n v="187"/>
    <n v="0.31"/>
    <s v="Normal"/>
    <n v="2023"/>
    <s v="July"/>
  </r>
  <r>
    <n v="319"/>
    <x v="152"/>
    <x v="4"/>
    <s v="North"/>
    <s v="Premium"/>
    <d v="2022-01-11T00:00:00"/>
    <d v="2023-06-14T00:00:00"/>
    <x v="17"/>
    <n v="5155"/>
    <n v="-5779"/>
    <s v="Overdue"/>
    <n v="17"/>
    <d v="2023-06-14T00:00:00"/>
    <n v="1"/>
    <n v="188"/>
    <n v="-1.1599999999999999"/>
    <s v="Outlier"/>
    <n v="2023"/>
    <s v="June"/>
  </r>
  <r>
    <n v="321"/>
    <x v="146"/>
    <x v="0"/>
    <s v="North"/>
    <s v="Basic"/>
    <d v="2022-10-29T00:00:00"/>
    <d v="2024-05-27T00:00:00"/>
    <x v="155"/>
    <n v="1537"/>
    <n v="7727"/>
    <s v="Paid"/>
    <n v="18"/>
    <d v="2024-05-27T00:00:00"/>
    <n v="0"/>
    <n v="189"/>
    <n v="0.83"/>
    <s v="Normal"/>
    <n v="2024"/>
    <s v="May"/>
  </r>
  <r>
    <n v="322"/>
    <x v="153"/>
    <x v="4"/>
    <s v="East"/>
    <s v="Premium"/>
    <d v="2022-10-24T00:00:00"/>
    <d v="2023-08-10T00:00:00"/>
    <x v="156"/>
    <n v="5984"/>
    <n v="577.01"/>
    <s v="Pending"/>
    <n v="9"/>
    <d v="2023-08-10T00:00:00"/>
    <n v="0"/>
    <n v="190"/>
    <n v="0.11"/>
    <s v="Normal"/>
    <n v="2023"/>
    <s v="August"/>
  </r>
  <r>
    <n v="323"/>
    <x v="144"/>
    <x v="3"/>
    <s v="East"/>
    <s v="Premium"/>
    <d v="2022-01-27T00:00:00"/>
    <d v="2022-07-15T00:00:00"/>
    <x v="157"/>
    <n v="4012.75"/>
    <n v="4934"/>
    <s v="NA"/>
    <n v="5"/>
    <d v="2022-07-15T00:00:00"/>
    <n v="0"/>
    <n v="191"/>
    <n v="1.23"/>
    <s v="Outlier"/>
    <n v="2022"/>
    <s v="July"/>
  </r>
  <r>
    <n v="324"/>
    <x v="117"/>
    <x v="0"/>
    <s v="South"/>
    <s v="Basic"/>
    <d v="2022-05-01T00:00:00"/>
    <d v="2023-11-06T00:00:00"/>
    <x v="158"/>
    <n v="5478"/>
    <n v="2210"/>
    <s v="Paid"/>
    <n v="18"/>
    <d v="2023-11-06T00:00:00"/>
    <n v="1"/>
    <n v="192"/>
    <n v="0.28999999999999998"/>
    <s v="Normal"/>
    <n v="2023"/>
    <s v="November"/>
  </r>
  <r>
    <n v="325"/>
    <x v="154"/>
    <x v="1"/>
    <s v="East"/>
    <s v="Premium"/>
    <d v="2022-06-25T00:00:00"/>
    <d v="2022-12-03T00:00:00"/>
    <x v="159"/>
    <n v="4012.75"/>
    <n v="7101"/>
    <s v="Overdue"/>
    <n v="5"/>
    <d v="2022-12-03T00:00:00"/>
    <n v="1"/>
    <n v="193"/>
    <n v="1.08"/>
    <s v="Outlier"/>
    <n v="2022"/>
    <s v="December"/>
  </r>
  <r>
    <n v="326"/>
    <x v="155"/>
    <x v="1"/>
    <s v="North"/>
    <s v="Basic"/>
    <d v="2022-09-25T00:00:00"/>
    <d v="2024-04-01T00:00:00"/>
    <x v="160"/>
    <n v="7037"/>
    <n v="-1153"/>
    <s v="Paid"/>
    <n v="18"/>
    <d v="2024-04-01T00:00:00"/>
    <n v="0"/>
    <n v="194"/>
    <n v="-0.2"/>
    <s v="Normal"/>
    <n v="2024"/>
    <s v="April"/>
  </r>
  <r>
    <n v="327"/>
    <x v="62"/>
    <x v="3"/>
    <s v="West"/>
    <s v="Basic"/>
    <d v="2022-03-09T00:00:00"/>
    <d v="2022-06-27T00:00:00"/>
    <x v="161"/>
    <n v="856"/>
    <n v="5413"/>
    <s v="Pending"/>
    <n v="3"/>
    <d v="2022-06-27T00:00:00"/>
    <n v="1"/>
    <n v="195"/>
    <n v="0.86"/>
    <s v="Normal"/>
    <n v="2022"/>
    <s v="June"/>
  </r>
  <r>
    <n v="330"/>
    <x v="156"/>
    <x v="3"/>
    <s v="North"/>
    <s v="Premium"/>
    <d v="2022-05-29T00:00:00"/>
    <d v="2023-10-21T00:00:00"/>
    <x v="162"/>
    <n v="4553"/>
    <n v="-2683"/>
    <s v="Paid"/>
    <n v="16"/>
    <d v="2023-10-21T00:00:00"/>
    <n v="0"/>
    <n v="196"/>
    <n v="-1.43"/>
    <s v="Outlier"/>
    <n v="2023"/>
    <s v="October"/>
  </r>
  <r>
    <n v="332"/>
    <x v="157"/>
    <x v="0"/>
    <s v="West"/>
    <s v="Basic"/>
    <d v="2022-09-12T00:00:00"/>
    <d v="2024-04-03T00:00:00"/>
    <x v="163"/>
    <n v="5145"/>
    <n v="3482"/>
    <s v="Overdue"/>
    <n v="18"/>
    <d v="2024-04-03T00:00:00"/>
    <n v="1"/>
    <n v="197"/>
    <n v="0.4"/>
    <s v="Normal"/>
    <n v="2024"/>
    <s v="April"/>
  </r>
  <r>
    <n v="333"/>
    <x v="158"/>
    <x v="3"/>
    <s v="West"/>
    <s v="Premium"/>
    <d v="2022-04-10T00:00:00"/>
    <d v="2023-02-26T00:00:00"/>
    <x v="164"/>
    <n v="1171"/>
    <n v="6883"/>
    <s v="NA"/>
    <n v="10"/>
    <d v="2023-02-26T00:00:00"/>
    <n v="0"/>
    <n v="198"/>
    <n v="0.85"/>
    <s v="Normal"/>
    <n v="2023"/>
    <s v="February"/>
  </r>
  <r>
    <n v="334"/>
    <x v="21"/>
    <x v="2"/>
    <s v="South"/>
    <s v="Standard"/>
    <d v="2022-04-06T00:00:00"/>
    <d v="2023-01-04T00:00:00"/>
    <x v="42"/>
    <n v="2106"/>
    <n v="3860"/>
    <s v="Paid"/>
    <n v="8"/>
    <d v="2023-01-04T00:00:00"/>
    <n v="1"/>
    <n v="199"/>
    <n v="0.65"/>
    <s v="Normal"/>
    <n v="2023"/>
    <s v="January"/>
  </r>
  <r>
    <n v="336"/>
    <x v="69"/>
    <x v="1"/>
    <s v="South"/>
    <s v="Basic"/>
    <d v="2022-05-03T00:00:00"/>
    <d v="2022-11-19T00:00:00"/>
    <x v="165"/>
    <n v="2788"/>
    <n v="1032"/>
    <s v="Paid"/>
    <n v="6"/>
    <d v="2022-11-19T00:00:00"/>
    <n v="0"/>
    <n v="200"/>
    <n v="0.27"/>
    <s v="Normal"/>
    <n v="2022"/>
    <s v="November"/>
  </r>
  <r>
    <n v="337"/>
    <x v="159"/>
    <x v="4"/>
    <s v="North"/>
    <s v="Basic"/>
    <d v="2022-03-17T00:00:00"/>
    <d v="2022-08-07T00:00:00"/>
    <x v="166"/>
    <n v="3643"/>
    <n v="4657"/>
    <s v="Pending"/>
    <n v="4"/>
    <d v="2022-08-07T00:00:00"/>
    <n v="0"/>
    <n v="201"/>
    <n v="0.56000000000000005"/>
    <s v="Normal"/>
    <n v="2022"/>
    <s v="August"/>
  </r>
  <r>
    <n v="338"/>
    <x v="160"/>
    <x v="1"/>
    <s v="West"/>
    <s v="Standard"/>
    <d v="2022-05-29T00:00:00"/>
    <d v="2022-08-14T00:00:00"/>
    <x v="167"/>
    <n v="1628"/>
    <n v="4930"/>
    <s v="Overdue"/>
    <n v="2"/>
    <d v="2022-08-14T00:00:00"/>
    <n v="0"/>
    <n v="202"/>
    <n v="0.75"/>
    <s v="Normal"/>
    <n v="2022"/>
    <s v="August"/>
  </r>
  <r>
    <n v="339"/>
    <x v="161"/>
    <x v="1"/>
    <s v="West"/>
    <s v="Basic"/>
    <d v="2022-03-28T00:00:00"/>
    <d v="2023-07-20T00:00:00"/>
    <x v="17"/>
    <n v="5606"/>
    <n v="577.01"/>
    <s v="Overdue"/>
    <n v="15"/>
    <d v="2023-07-20T00:00:00"/>
    <n v="1"/>
    <n v="203"/>
    <n v="0.12"/>
    <s v="Normal"/>
    <n v="2023"/>
    <s v="July"/>
  </r>
  <r>
    <n v="340"/>
    <x v="162"/>
    <x v="4"/>
    <s v="East"/>
    <s v="Basic"/>
    <d v="2022-05-20T00:00:00"/>
    <d v="2022-08-12T00:00:00"/>
    <x v="168"/>
    <n v="2620"/>
    <n v="5077"/>
    <s v="Paid"/>
    <n v="2"/>
    <d v="2022-08-12T00:00:00"/>
    <n v="1"/>
    <n v="204"/>
    <n v="0.66"/>
    <s v="Normal"/>
    <n v="2022"/>
    <s v="August"/>
  </r>
  <r>
    <n v="342"/>
    <x v="163"/>
    <x v="3"/>
    <s v="South"/>
    <s v="Premium"/>
    <d v="2022-02-21T00:00:00"/>
    <d v="2023-03-18T00:00:00"/>
    <x v="169"/>
    <n v="950"/>
    <n v="577.01"/>
    <s v="Paid"/>
    <n v="12"/>
    <d v="2023-03-18T00:00:00"/>
    <n v="1"/>
    <n v="205"/>
    <n v="0.09"/>
    <s v="Normal"/>
    <n v="2023"/>
    <s v="March"/>
  </r>
  <r>
    <n v="346"/>
    <x v="164"/>
    <x v="2"/>
    <s v="East"/>
    <s v="Basic"/>
    <d v="2022-09-05T00:00:00"/>
    <d v="2022-12-03T00:00:00"/>
    <x v="17"/>
    <n v="7281"/>
    <n v="-8659"/>
    <s v="Pending"/>
    <n v="2"/>
    <d v="2022-12-03T00:00:00"/>
    <n v="1"/>
    <n v="206"/>
    <n v="-1.74"/>
    <s v="Outlier"/>
    <n v="2022"/>
    <s v="December"/>
  </r>
  <r>
    <n v="348"/>
    <x v="165"/>
    <x v="4"/>
    <s v="North"/>
    <s v="Standard"/>
    <d v="2022-01-17T00:00:00"/>
    <d v="2023-09-08T00:00:00"/>
    <x v="170"/>
    <n v="4504"/>
    <n v="-3176"/>
    <s v="Overdue"/>
    <n v="19"/>
    <d v="2023-09-08T00:00:00"/>
    <n v="0"/>
    <n v="207"/>
    <n v="-2.39"/>
    <s v="Outlier"/>
    <n v="2023"/>
    <s v="September"/>
  </r>
  <r>
    <n v="350"/>
    <x v="166"/>
    <x v="3"/>
    <s v="West"/>
    <s v="Basic"/>
    <d v="2022-06-28T00:00:00"/>
    <d v="2024-01-17T00:00:00"/>
    <x v="171"/>
    <n v="7888"/>
    <n v="577.01"/>
    <s v="NA"/>
    <n v="18"/>
    <d v="2024-01-17T00:00:00"/>
    <n v="0"/>
    <n v="208"/>
    <n v="0.3"/>
    <s v="Normal"/>
    <n v="2024"/>
    <s v="January"/>
  </r>
  <r>
    <n v="351"/>
    <x v="114"/>
    <x v="0"/>
    <s v="North"/>
    <s v="Standard"/>
    <d v="2022-09-10T00:00:00"/>
    <d v="2023-12-16T00:00:00"/>
    <x v="172"/>
    <n v="5280"/>
    <n v="4551"/>
    <s v="Paid"/>
    <n v="15"/>
    <d v="2023-12-16T00:00:00"/>
    <n v="1"/>
    <n v="209"/>
    <n v="0.46"/>
    <s v="Normal"/>
    <n v="2023"/>
    <s v="December"/>
  </r>
  <r>
    <n v="352"/>
    <x v="167"/>
    <x v="2"/>
    <s v="North"/>
    <s v="Standard"/>
    <d v="2022-01-03T00:00:00"/>
    <d v="2022-10-04T00:00:00"/>
    <x v="173"/>
    <n v="2046"/>
    <n v="6498"/>
    <s v="Paid"/>
    <n v="9"/>
    <d v="2022-10-04T00:00:00"/>
    <n v="1"/>
    <n v="210"/>
    <n v="0.76"/>
    <s v="Normal"/>
    <n v="2022"/>
    <s v="October"/>
  </r>
  <r>
    <n v="356"/>
    <x v="153"/>
    <x v="4"/>
    <s v="South"/>
    <s v="Basic"/>
    <d v="2022-09-25T00:00:00"/>
    <d v="2024-04-09T00:00:00"/>
    <x v="174"/>
    <n v="1971"/>
    <n v="2009"/>
    <s v="Pending"/>
    <n v="18"/>
    <d v="2024-04-09T00:00:00"/>
    <n v="1"/>
    <n v="211"/>
    <n v="0.5"/>
    <s v="Normal"/>
    <n v="2024"/>
    <s v="April"/>
  </r>
  <r>
    <n v="359"/>
    <x v="168"/>
    <x v="4"/>
    <s v="North"/>
    <s v="Standard"/>
    <d v="2022-10-13T00:00:00"/>
    <d v="2023-03-30T00:00:00"/>
    <x v="175"/>
    <n v="6061"/>
    <n v="-1192"/>
    <s v="Overdue"/>
    <n v="5"/>
    <d v="2023-03-30T00:00:00"/>
    <n v="1"/>
    <n v="212"/>
    <n v="-0.24"/>
    <s v="Normal"/>
    <n v="2023"/>
    <s v="March"/>
  </r>
  <r>
    <n v="360"/>
    <x v="128"/>
    <x v="4"/>
    <s v="South"/>
    <s v="Premium"/>
    <d v="2022-05-10T00:00:00"/>
    <d v="2023-04-20T00:00:00"/>
    <x v="145"/>
    <n v="3071"/>
    <n v="3577"/>
    <s v="Paid"/>
    <n v="11"/>
    <d v="2023-04-20T00:00:00"/>
    <n v="0"/>
    <n v="213"/>
    <n v="0.54"/>
    <s v="Normal"/>
    <n v="2023"/>
    <s v="April"/>
  </r>
  <r>
    <n v="362"/>
    <x v="163"/>
    <x v="4"/>
    <s v="North"/>
    <s v="Basic"/>
    <d v="2022-12-14T00:00:00"/>
    <d v="2023-04-03T00:00:00"/>
    <x v="176"/>
    <n v="6247"/>
    <n v="-4785"/>
    <s v="NA"/>
    <n v="3"/>
    <d v="2023-04-03T00:00:00"/>
    <n v="1"/>
    <n v="214"/>
    <n v="-3.27"/>
    <s v="Outlier"/>
    <n v="2023"/>
    <s v="April"/>
  </r>
  <r>
    <n v="363"/>
    <x v="169"/>
    <x v="2"/>
    <s v="South"/>
    <s v="Basic"/>
    <d v="2022-07-27T00:00:00"/>
    <d v="2022-09-12T00:00:00"/>
    <x v="177"/>
    <n v="4012.75"/>
    <n v="5144"/>
    <s v="NA"/>
    <n v="1"/>
    <d v="2022-09-12T00:00:00"/>
    <n v="0"/>
    <n v="215"/>
    <n v="1.02"/>
    <s v="Outlier"/>
    <n v="2022"/>
    <s v="September"/>
  </r>
  <r>
    <n v="364"/>
    <x v="139"/>
    <x v="3"/>
    <s v="South"/>
    <s v="Premium"/>
    <d v="2022-05-16T00:00:00"/>
    <d v="2023-11-17T00:00:00"/>
    <x v="17"/>
    <n v="6481"/>
    <n v="-6500"/>
    <s v="Overdue"/>
    <n v="18"/>
    <d v="2023-11-17T00:00:00"/>
    <n v="1"/>
    <n v="216"/>
    <n v="-1.31"/>
    <s v="Outlier"/>
    <n v="2023"/>
    <s v="November"/>
  </r>
  <r>
    <n v="365"/>
    <x v="170"/>
    <x v="0"/>
    <s v="South"/>
    <s v="Basic"/>
    <d v="2022-05-03T00:00:00"/>
    <d v="2023-04-09T00:00:00"/>
    <x v="178"/>
    <n v="4012.75"/>
    <n v="10553"/>
    <s v="Pending"/>
    <n v="11"/>
    <d v="2023-04-09T00:00:00"/>
    <n v="1"/>
    <n v="217"/>
    <n v="1.1000000000000001"/>
    <s v="Outlier"/>
    <n v="2023"/>
    <s v="April"/>
  </r>
  <r>
    <n v="368"/>
    <x v="67"/>
    <x v="1"/>
    <s v="South"/>
    <s v="Standard"/>
    <d v="2022-05-09T00:00:00"/>
    <d v="2023-04-04T00:00:00"/>
    <x v="179"/>
    <n v="3680"/>
    <n v="917"/>
    <s v="Overdue"/>
    <n v="10"/>
    <d v="2023-04-04T00:00:00"/>
    <n v="0"/>
    <n v="218"/>
    <n v="0.2"/>
    <s v="Normal"/>
    <n v="2023"/>
    <s v="April"/>
  </r>
  <r>
    <n v="371"/>
    <x v="90"/>
    <x v="2"/>
    <s v="South"/>
    <s v="Premium"/>
    <d v="2022-01-24T00:00:00"/>
    <d v="2022-08-11T00:00:00"/>
    <x v="17"/>
    <n v="2617"/>
    <n v="-3622"/>
    <s v="Overdue"/>
    <n v="6"/>
    <d v="2022-08-11T00:00:00"/>
    <n v="1"/>
    <n v="219"/>
    <n v="-0.73"/>
    <s v="Normal"/>
    <n v="2022"/>
    <s v="August"/>
  </r>
  <r>
    <n v="372"/>
    <x v="171"/>
    <x v="1"/>
    <s v="West"/>
    <s v="Premium"/>
    <d v="2022-05-25T00:00:00"/>
    <d v="2023-12-07T00:00:00"/>
    <x v="180"/>
    <n v="527"/>
    <n v="4441"/>
    <s v="NA"/>
    <n v="18"/>
    <d v="2023-12-07T00:00:00"/>
    <n v="1"/>
    <n v="220"/>
    <n v="0.89"/>
    <s v="Normal"/>
    <n v="2023"/>
    <s v="December"/>
  </r>
  <r>
    <n v="373"/>
    <x v="172"/>
    <x v="4"/>
    <s v="South"/>
    <s v="Basic"/>
    <d v="2022-01-15T00:00:00"/>
    <d v="2023-01-06T00:00:00"/>
    <x v="17"/>
    <n v="5451"/>
    <n v="-6350"/>
    <s v="NA"/>
    <n v="11"/>
    <d v="2023-01-06T00:00:00"/>
    <n v="1"/>
    <n v="221"/>
    <n v="-1.28"/>
    <s v="Outlier"/>
    <n v="2023"/>
    <s v="January"/>
  </r>
  <r>
    <n v="374"/>
    <x v="109"/>
    <x v="0"/>
    <s v="West"/>
    <s v="Standard"/>
    <d v="2022-05-05T00:00:00"/>
    <d v="2023-10-23T00:00:00"/>
    <x v="181"/>
    <n v="4744"/>
    <n v="935"/>
    <s v="Pending"/>
    <n v="17"/>
    <d v="2023-10-23T00:00:00"/>
    <n v="0"/>
    <n v="222"/>
    <n v="0.16"/>
    <s v="Normal"/>
    <n v="2023"/>
    <s v="October"/>
  </r>
  <r>
    <n v="375"/>
    <x v="173"/>
    <x v="0"/>
    <s v="South"/>
    <s v="Basic"/>
    <d v="2022-11-14T00:00:00"/>
    <d v="2024-03-21T00:00:00"/>
    <x v="182"/>
    <n v="575"/>
    <n v="4831"/>
    <s v="Paid"/>
    <n v="16"/>
    <d v="2024-03-21T00:00:00"/>
    <n v="1"/>
    <n v="223"/>
    <n v="0.89"/>
    <s v="Normal"/>
    <n v="2024"/>
    <s v="March"/>
  </r>
  <r>
    <n v="376"/>
    <x v="39"/>
    <x v="3"/>
    <s v="West"/>
    <s v="Basic"/>
    <d v="2022-10-16T00:00:00"/>
    <d v="2024-04-30T00:00:00"/>
    <x v="183"/>
    <n v="6091"/>
    <n v="-2622"/>
    <s v="Pending"/>
    <n v="18"/>
    <d v="2024-04-30T00:00:00"/>
    <n v="0"/>
    <n v="224"/>
    <n v="-0.76"/>
    <s v="Normal"/>
    <n v="2024"/>
    <s v="April"/>
  </r>
  <r>
    <n v="377"/>
    <x v="174"/>
    <x v="1"/>
    <s v="West"/>
    <s v="Premium"/>
    <d v="2022-12-06T00:00:00"/>
    <d v="2023-09-20T00:00:00"/>
    <x v="99"/>
    <n v="4711"/>
    <n v="-2171"/>
    <s v="Overdue"/>
    <n v="9"/>
    <d v="2023-09-20T00:00:00"/>
    <n v="0"/>
    <n v="225"/>
    <n v="-0.85"/>
    <s v="Normal"/>
    <n v="2023"/>
    <s v="September"/>
  </r>
  <r>
    <n v="379"/>
    <x v="175"/>
    <x v="1"/>
    <s v="West"/>
    <s v="Basic"/>
    <d v="2022-06-15T00:00:00"/>
    <d v="2022-12-10T00:00:00"/>
    <x v="184"/>
    <n v="5561"/>
    <n v="-3545"/>
    <s v="Pending"/>
    <n v="5"/>
    <d v="2022-12-10T00:00:00"/>
    <n v="0"/>
    <n v="226"/>
    <n v="-1.76"/>
    <s v="Outlier"/>
    <n v="2022"/>
    <s v="December"/>
  </r>
  <r>
    <n v="381"/>
    <x v="176"/>
    <x v="0"/>
    <s v="West"/>
    <s v="Premium"/>
    <d v="2022-09-05T00:00:00"/>
    <d v="2023-01-18T00:00:00"/>
    <x v="185"/>
    <n v="4012.75"/>
    <n v="2643"/>
    <s v="NA"/>
    <n v="4"/>
    <d v="2023-01-18T00:00:00"/>
    <n v="1"/>
    <n v="227"/>
    <n v="1.36"/>
    <s v="Outlier"/>
    <n v="2023"/>
    <s v="January"/>
  </r>
  <r>
    <n v="382"/>
    <x v="38"/>
    <x v="0"/>
    <s v="West"/>
    <s v="Basic"/>
    <d v="2022-07-09T00:00:00"/>
    <d v="2023-11-17T00:00:00"/>
    <x v="186"/>
    <n v="7737"/>
    <n v="-3934"/>
    <s v="Overdue"/>
    <n v="16"/>
    <d v="2023-11-17T00:00:00"/>
    <n v="1"/>
    <n v="228"/>
    <n v="-1.03"/>
    <s v="Outlier"/>
    <n v="2023"/>
    <s v="November"/>
  </r>
  <r>
    <n v="384"/>
    <x v="177"/>
    <x v="1"/>
    <s v="North"/>
    <s v="Basic"/>
    <d v="2022-02-21T00:00:00"/>
    <d v="2023-09-24T00:00:00"/>
    <x v="187"/>
    <n v="5236"/>
    <n v="-3448"/>
    <s v="Pending"/>
    <n v="19"/>
    <d v="2023-09-24T00:00:00"/>
    <n v="0"/>
    <n v="229"/>
    <n v="-1.93"/>
    <s v="Outlier"/>
    <n v="2023"/>
    <s v="September"/>
  </r>
  <r>
    <n v="386"/>
    <x v="178"/>
    <x v="2"/>
    <s v="North"/>
    <s v="Basic"/>
    <d v="2022-04-10T00:00:00"/>
    <d v="2023-02-12T00:00:00"/>
    <x v="17"/>
    <n v="4223"/>
    <n v="-5347"/>
    <s v="NA"/>
    <n v="10"/>
    <d v="2023-02-12T00:00:00"/>
    <n v="1"/>
    <n v="230"/>
    <n v="-1.08"/>
    <s v="Outlier"/>
    <n v="2023"/>
    <s v="February"/>
  </r>
  <r>
    <n v="388"/>
    <x v="179"/>
    <x v="1"/>
    <s v="West"/>
    <s v="Premium"/>
    <d v="2022-10-30T00:00:00"/>
    <d v="2023-12-09T00:00:00"/>
    <x v="188"/>
    <n v="2287"/>
    <n v="172"/>
    <s v="Overdue"/>
    <n v="13"/>
    <d v="2023-12-09T00:00:00"/>
    <n v="1"/>
    <n v="231"/>
    <n v="7.0000000000000007E-2"/>
    <s v="Normal"/>
    <n v="2023"/>
    <s v="December"/>
  </r>
  <r>
    <n v="389"/>
    <x v="180"/>
    <x v="3"/>
    <s v="North"/>
    <s v="Basic"/>
    <d v="2022-08-20T00:00:00"/>
    <d v="2022-12-09T00:00:00"/>
    <x v="137"/>
    <n v="4012.75"/>
    <n v="10230"/>
    <s v="Pending"/>
    <n v="3"/>
    <d v="2022-12-09T00:00:00"/>
    <n v="0"/>
    <n v="232"/>
    <n v="1.05"/>
    <s v="Outlier"/>
    <n v="2022"/>
    <s v="December"/>
  </r>
  <r>
    <n v="390"/>
    <x v="44"/>
    <x v="1"/>
    <s v="East"/>
    <s v="Premium"/>
    <d v="2022-10-26T00:00:00"/>
    <d v="2023-11-19T00:00:00"/>
    <x v="189"/>
    <n v="2025"/>
    <n v="577.01"/>
    <s v="Overdue"/>
    <n v="12"/>
    <d v="2023-11-19T00:00:00"/>
    <n v="1"/>
    <n v="233"/>
    <n v="0.26"/>
    <s v="Normal"/>
    <n v="2023"/>
    <s v="November"/>
  </r>
  <r>
    <n v="392"/>
    <x v="37"/>
    <x v="4"/>
    <s v="North"/>
    <s v="Standard"/>
    <d v="2022-02-25T00:00:00"/>
    <d v="2023-05-06T00:00:00"/>
    <x v="190"/>
    <n v="397"/>
    <n v="1774"/>
    <s v="Pending"/>
    <n v="14"/>
    <d v="2023-05-06T00:00:00"/>
    <n v="0"/>
    <n v="234"/>
    <n v="0.82"/>
    <s v="Normal"/>
    <n v="2023"/>
    <s v="May"/>
  </r>
  <r>
    <n v="393"/>
    <x v="181"/>
    <x v="1"/>
    <s v="North"/>
    <s v="Basic"/>
    <d v="2022-11-10T00:00:00"/>
    <d v="2024-06-25T00:00:00"/>
    <x v="17"/>
    <n v="7247"/>
    <n v="-8287"/>
    <s v="NA"/>
    <n v="19"/>
    <d v="2024-06-25T00:00:00"/>
    <n v="1"/>
    <n v="235"/>
    <n v="-1.67"/>
    <s v="Outlier"/>
    <n v="2024"/>
    <s v="June"/>
  </r>
  <r>
    <n v="398"/>
    <x v="182"/>
    <x v="3"/>
    <s v="West"/>
    <s v="Standard"/>
    <d v="2022-01-10T00:00:00"/>
    <d v="2023-07-14T00:00:00"/>
    <x v="17"/>
    <n v="4827"/>
    <n v="-5799"/>
    <s v="Overdue"/>
    <n v="18"/>
    <d v="2023-07-14T00:00:00"/>
    <n v="1"/>
    <n v="236"/>
    <n v="-1.17"/>
    <s v="Outlier"/>
    <n v="2023"/>
    <s v="July"/>
  </r>
  <r>
    <n v="399"/>
    <x v="31"/>
    <x v="0"/>
    <s v="North"/>
    <s v="Standard"/>
    <d v="2022-08-20T00:00:00"/>
    <d v="2023-11-24T00:00:00"/>
    <x v="191"/>
    <n v="1121"/>
    <n v="4628"/>
    <s v="Paid"/>
    <n v="15"/>
    <d v="2023-11-24T00:00:00"/>
    <n v="0"/>
    <n v="237"/>
    <n v="0.81"/>
    <s v="Normal"/>
    <n v="2023"/>
    <s v="November"/>
  </r>
  <r>
    <n v="400"/>
    <x v="31"/>
    <x v="0"/>
    <s v="West"/>
    <s v="Premium"/>
    <d v="2022-06-19T00:00:00"/>
    <d v="2023-07-22T00:00:00"/>
    <x v="192"/>
    <n v="3580"/>
    <n v="577.01"/>
    <s v="Overdue"/>
    <n v="13"/>
    <d v="2023-07-22T00:00:00"/>
    <n v="0"/>
    <n v="238"/>
    <n v="0.17"/>
    <s v="Normal"/>
    <n v="2023"/>
    <s v="July"/>
  </r>
  <r>
    <n v="401"/>
    <x v="183"/>
    <x v="2"/>
    <s v="West"/>
    <s v="Standard"/>
    <d v="2022-05-02T00:00:00"/>
    <d v="2022-10-17T00:00:00"/>
    <x v="193"/>
    <n v="4243"/>
    <n v="3693"/>
    <s v="Overdue"/>
    <n v="5"/>
    <d v="2022-10-17T00:00:00"/>
    <n v="1"/>
    <n v="239"/>
    <n v="0.47"/>
    <s v="Normal"/>
    <n v="2022"/>
    <s v="October"/>
  </r>
  <r>
    <n v="402"/>
    <x v="184"/>
    <x v="1"/>
    <s v="South"/>
    <s v="Standard"/>
    <d v="2022-05-30T00:00:00"/>
    <d v="2023-10-23T00:00:00"/>
    <x v="194"/>
    <n v="357"/>
    <n v="2242"/>
    <s v="NA"/>
    <n v="16"/>
    <d v="2023-10-23T00:00:00"/>
    <n v="1"/>
    <n v="240"/>
    <n v="0.86"/>
    <s v="Normal"/>
    <n v="2023"/>
    <s v="October"/>
  </r>
  <r>
    <n v="403"/>
    <x v="185"/>
    <x v="0"/>
    <s v="West"/>
    <s v="Basic"/>
    <d v="2022-09-01T00:00:00"/>
    <d v="2023-06-13T00:00:00"/>
    <x v="195"/>
    <n v="2646"/>
    <n v="369"/>
    <s v="Overdue"/>
    <n v="9"/>
    <d v="2023-06-13T00:00:00"/>
    <n v="1"/>
    <n v="241"/>
    <n v="0.12"/>
    <s v="Normal"/>
    <n v="2023"/>
    <s v="June"/>
  </r>
  <r>
    <n v="406"/>
    <x v="82"/>
    <x v="1"/>
    <s v="East"/>
    <s v="Basic"/>
    <d v="2022-05-18T00:00:00"/>
    <d v="2023-08-07T00:00:00"/>
    <x v="196"/>
    <n v="7461"/>
    <n v="-2683"/>
    <s v="Pending"/>
    <n v="14"/>
    <d v="2023-08-07T00:00:00"/>
    <n v="1"/>
    <n v="242"/>
    <n v="-0.56000000000000005"/>
    <s v="Normal"/>
    <n v="2023"/>
    <s v="August"/>
  </r>
  <r>
    <n v="408"/>
    <x v="5"/>
    <x v="1"/>
    <s v="West"/>
    <s v="Premium"/>
    <d v="2022-07-05T00:00:00"/>
    <d v="2024-02-09T00:00:00"/>
    <x v="197"/>
    <n v="7173"/>
    <n v="-6849"/>
    <s v="NA"/>
    <n v="19"/>
    <d v="2024-02-09T00:00:00"/>
    <n v="0"/>
    <n v="243"/>
    <n v="-21.14"/>
    <s v="Outlier"/>
    <n v="2024"/>
    <s v="February"/>
  </r>
  <r>
    <n v="409"/>
    <x v="186"/>
    <x v="2"/>
    <s v="North"/>
    <s v="Basic"/>
    <d v="2022-05-16T00:00:00"/>
    <d v="2023-11-17T00:00:00"/>
    <x v="198"/>
    <n v="6655"/>
    <n v="-1625"/>
    <s v="NA"/>
    <n v="18"/>
    <d v="2023-11-17T00:00:00"/>
    <n v="1"/>
    <n v="244"/>
    <n v="-0.32"/>
    <s v="Normal"/>
    <n v="2023"/>
    <s v="November"/>
  </r>
  <r>
    <n v="410"/>
    <x v="98"/>
    <x v="3"/>
    <s v="East"/>
    <s v="Premium"/>
    <d v="2022-10-17T00:00:00"/>
    <d v="2023-11-06T00:00:00"/>
    <x v="17"/>
    <n v="4012.75"/>
    <n v="-416"/>
    <s v="Overdue"/>
    <n v="12"/>
    <d v="2023-11-06T00:00:00"/>
    <n v="1"/>
    <n v="245"/>
    <n v="-0.08"/>
    <s v="Normal"/>
    <n v="2023"/>
    <s v="November"/>
  </r>
  <r>
    <n v="413"/>
    <x v="187"/>
    <x v="1"/>
    <s v="West"/>
    <s v="Basic"/>
    <d v="2022-03-14T00:00:00"/>
    <d v="2023-06-19T00:00:00"/>
    <x v="199"/>
    <n v="259"/>
    <n v="220"/>
    <s v="NA"/>
    <n v="15"/>
    <d v="2023-06-19T00:00:00"/>
    <n v="1"/>
    <n v="246"/>
    <n v="0.46"/>
    <s v="Normal"/>
    <n v="2023"/>
    <s v="June"/>
  </r>
  <r>
    <n v="418"/>
    <x v="8"/>
    <x v="1"/>
    <s v="South"/>
    <s v="Basic"/>
    <d v="2022-12-08T00:00:00"/>
    <d v="2023-05-23T00:00:00"/>
    <x v="200"/>
    <n v="1664"/>
    <n v="5889"/>
    <s v="Paid"/>
    <n v="5"/>
    <d v="2023-05-23T00:00:00"/>
    <n v="1"/>
    <n v="247"/>
    <n v="0.78"/>
    <s v="Normal"/>
    <n v="2023"/>
    <s v="May"/>
  </r>
  <r>
    <n v="420"/>
    <x v="133"/>
    <x v="0"/>
    <s v="North"/>
    <s v="Basic"/>
    <d v="2022-03-30T00:00:00"/>
    <d v="2023-05-28T00:00:00"/>
    <x v="201"/>
    <n v="5451"/>
    <n v="1594"/>
    <s v="Overdue"/>
    <n v="13"/>
    <d v="2023-05-28T00:00:00"/>
    <n v="1"/>
    <n v="248"/>
    <n v="0.23"/>
    <s v="Normal"/>
    <n v="2023"/>
    <s v="May"/>
  </r>
  <r>
    <n v="421"/>
    <x v="179"/>
    <x v="3"/>
    <s v="West"/>
    <s v="Premium"/>
    <d v="2022-08-23T00:00:00"/>
    <d v="2023-09-12T00:00:00"/>
    <x v="17"/>
    <n v="7305"/>
    <n v="-8923"/>
    <s v="Pending"/>
    <n v="12"/>
    <d v="2023-09-12T00:00:00"/>
    <n v="0"/>
    <n v="249"/>
    <n v="-1.8"/>
    <s v="Outlier"/>
    <n v="2023"/>
    <s v="September"/>
  </r>
  <r>
    <n v="422"/>
    <x v="188"/>
    <x v="3"/>
    <s v="South"/>
    <s v="Basic"/>
    <d v="2022-07-26T00:00:00"/>
    <d v="2023-09-21T00:00:00"/>
    <x v="202"/>
    <n v="859"/>
    <n v="577.01"/>
    <s v="Overdue"/>
    <n v="13"/>
    <d v="2023-09-21T00:00:00"/>
    <n v="1"/>
    <n v="250"/>
    <n v="0.08"/>
    <s v="Normal"/>
    <n v="2023"/>
    <s v="September"/>
  </r>
  <r>
    <n v="423"/>
    <x v="64"/>
    <x v="1"/>
    <s v="East"/>
    <s v="Basic"/>
    <d v="2022-01-04T00:00:00"/>
    <d v="2022-12-07T00:00:00"/>
    <x v="203"/>
    <n v="4012.75"/>
    <n v="7158"/>
    <s v="Paid"/>
    <n v="11"/>
    <d v="2022-12-07T00:00:00"/>
    <n v="0"/>
    <n v="251"/>
    <n v="1.1399999999999999"/>
    <s v="Outlier"/>
    <n v="2022"/>
    <s v="December"/>
  </r>
  <r>
    <n v="426"/>
    <x v="189"/>
    <x v="1"/>
    <s v="North"/>
    <s v="Standard"/>
    <d v="2022-04-18T00:00:00"/>
    <d v="2023-02-24T00:00:00"/>
    <x v="204"/>
    <n v="4012.75"/>
    <n v="7367"/>
    <s v="Overdue"/>
    <n v="10"/>
    <d v="2023-02-24T00:00:00"/>
    <n v="0"/>
    <n v="252"/>
    <n v="1.08"/>
    <s v="Outlier"/>
    <n v="2023"/>
    <s v="February"/>
  </r>
  <r>
    <n v="429"/>
    <x v="190"/>
    <x v="2"/>
    <s v="East"/>
    <s v="Standard"/>
    <d v="2022-04-05T00:00:00"/>
    <d v="2023-07-19T00:00:00"/>
    <x v="205"/>
    <n v="6183"/>
    <n v="-2409"/>
    <s v="Overdue"/>
    <n v="15"/>
    <d v="2023-07-19T00:00:00"/>
    <n v="0"/>
    <n v="253"/>
    <n v="-0.64"/>
    <s v="Normal"/>
    <n v="2023"/>
    <s v="July"/>
  </r>
  <r>
    <n v="431"/>
    <x v="191"/>
    <x v="3"/>
    <s v="South"/>
    <s v="Standard"/>
    <d v="2022-11-26T00:00:00"/>
    <d v="2023-01-10T00:00:00"/>
    <x v="206"/>
    <n v="1232"/>
    <n v="412"/>
    <s v="NA"/>
    <n v="1"/>
    <d v="2023-01-10T00:00:00"/>
    <n v="1"/>
    <n v="254"/>
    <n v="0.25"/>
    <s v="Normal"/>
    <n v="2023"/>
    <s v="January"/>
  </r>
  <r>
    <n v="432"/>
    <x v="192"/>
    <x v="1"/>
    <s v="North"/>
    <s v="Premium"/>
    <d v="2022-05-19T00:00:00"/>
    <d v="2022-08-14T00:00:00"/>
    <x v="207"/>
    <n v="4012.75"/>
    <n v="5643"/>
    <s v="Overdue"/>
    <n v="2"/>
    <d v="2022-08-14T00:00:00"/>
    <n v="0"/>
    <n v="255"/>
    <n v="1.05"/>
    <s v="Outlier"/>
    <n v="2022"/>
    <s v="August"/>
  </r>
  <r>
    <n v="435"/>
    <x v="179"/>
    <x v="1"/>
    <s v="West"/>
    <s v="Premium"/>
    <d v="2022-04-25T00:00:00"/>
    <d v="2023-01-09T00:00:00"/>
    <x v="208"/>
    <n v="3971"/>
    <n v="4322"/>
    <s v="Overdue"/>
    <n v="8"/>
    <d v="2023-01-09T00:00:00"/>
    <n v="1"/>
    <n v="256"/>
    <n v="0.52"/>
    <s v="Normal"/>
    <n v="2023"/>
    <s v="January"/>
  </r>
  <r>
    <n v="436"/>
    <x v="193"/>
    <x v="0"/>
    <s v="West"/>
    <s v="Premium"/>
    <d v="2022-04-25T00:00:00"/>
    <d v="2023-08-22T00:00:00"/>
    <x v="209"/>
    <n v="6223"/>
    <n v="1533"/>
    <s v="NA"/>
    <n v="15"/>
    <d v="2023-08-22T00:00:00"/>
    <n v="1"/>
    <n v="257"/>
    <n v="0.2"/>
    <s v="Normal"/>
    <n v="2023"/>
    <s v="August"/>
  </r>
  <r>
    <n v="437"/>
    <x v="194"/>
    <x v="3"/>
    <s v="South"/>
    <s v="Standard"/>
    <d v="2022-12-14T00:00:00"/>
    <d v="2023-07-10T00:00:00"/>
    <x v="210"/>
    <n v="6333"/>
    <n v="577.01"/>
    <s v="Pending"/>
    <n v="6"/>
    <d v="2023-07-10T00:00:00"/>
    <n v="0"/>
    <n v="258"/>
    <n v="0.13"/>
    <s v="Normal"/>
    <n v="2023"/>
    <s v="July"/>
  </r>
  <r>
    <n v="440"/>
    <x v="195"/>
    <x v="0"/>
    <s v="North"/>
    <s v="Premium"/>
    <d v="2022-04-09T00:00:00"/>
    <d v="2023-05-17T00:00:00"/>
    <x v="211"/>
    <n v="5765"/>
    <n v="-4091"/>
    <s v="NA"/>
    <n v="13"/>
    <d v="2023-05-17T00:00:00"/>
    <n v="1"/>
    <n v="259"/>
    <n v="-2.44"/>
    <s v="Outlier"/>
    <n v="2023"/>
    <s v="May"/>
  </r>
  <r>
    <n v="441"/>
    <x v="10"/>
    <x v="1"/>
    <s v="East"/>
    <s v="Standard"/>
    <d v="2022-05-06T00:00:00"/>
    <d v="2022-12-27T00:00:00"/>
    <x v="212"/>
    <n v="888"/>
    <n v="577.01"/>
    <s v="NA"/>
    <n v="7"/>
    <d v="2022-12-27T00:00:00"/>
    <n v="0"/>
    <n v="260"/>
    <n v="0.06"/>
    <s v="Normal"/>
    <n v="2022"/>
    <s v="December"/>
  </r>
  <r>
    <n v="442"/>
    <x v="76"/>
    <x v="2"/>
    <s v="North"/>
    <s v="Basic"/>
    <d v="2022-02-11T00:00:00"/>
    <d v="2023-02-05T00:00:00"/>
    <x v="213"/>
    <n v="7564"/>
    <n v="-4089"/>
    <s v="NA"/>
    <n v="11"/>
    <d v="2023-02-05T00:00:00"/>
    <n v="1"/>
    <n v="261"/>
    <n v="-1.18"/>
    <s v="Outlier"/>
    <n v="2023"/>
    <s v="February"/>
  </r>
  <r>
    <n v="443"/>
    <x v="125"/>
    <x v="2"/>
    <s v="West"/>
    <s v="Standard"/>
    <d v="2022-11-11T00:00:00"/>
    <d v="2023-03-29T00:00:00"/>
    <x v="214"/>
    <n v="4012.75"/>
    <n v="8450"/>
    <s v="Overdue"/>
    <n v="4"/>
    <d v="2023-03-29T00:00:00"/>
    <n v="1"/>
    <n v="262"/>
    <n v="1.1200000000000001"/>
    <s v="Outlier"/>
    <n v="2023"/>
    <s v="March"/>
  </r>
  <r>
    <n v="445"/>
    <x v="183"/>
    <x v="1"/>
    <s v="South"/>
    <s v="Premium"/>
    <d v="2022-11-19T00:00:00"/>
    <d v="2024-02-17T00:00:00"/>
    <x v="215"/>
    <n v="3275"/>
    <n v="-3260"/>
    <s v="Paid"/>
    <n v="14"/>
    <d v="2024-02-17T00:00:00"/>
    <n v="0"/>
    <n v="263"/>
    <n v="-217.33"/>
    <s v="Outlier"/>
    <n v="2024"/>
    <s v="February"/>
  </r>
  <r>
    <n v="454"/>
    <x v="36"/>
    <x v="3"/>
    <s v="North"/>
    <s v="Standard"/>
    <d v="2022-11-01T00:00:00"/>
    <d v="2024-05-15T00:00:00"/>
    <x v="216"/>
    <n v="4717"/>
    <n v="-1287"/>
    <s v="Pending"/>
    <n v="18"/>
    <d v="2024-05-15T00:00:00"/>
    <n v="0"/>
    <n v="264"/>
    <n v="-0.38"/>
    <s v="Normal"/>
    <n v="2024"/>
    <s v="May"/>
  </r>
  <r>
    <n v="456"/>
    <x v="196"/>
    <x v="4"/>
    <s v="North"/>
    <s v="Basic"/>
    <d v="2022-05-11T00:00:00"/>
    <d v="2023-04-03T00:00:00"/>
    <x v="217"/>
    <n v="6055"/>
    <n v="-4084"/>
    <s v="Pending"/>
    <n v="10"/>
    <d v="2023-04-03T00:00:00"/>
    <n v="0"/>
    <n v="265"/>
    <n v="-2.0699999999999998"/>
    <s v="Outlier"/>
    <n v="2023"/>
    <s v="April"/>
  </r>
  <r>
    <n v="457"/>
    <x v="197"/>
    <x v="3"/>
    <s v="South"/>
    <s v="Basic"/>
    <d v="2022-08-21T00:00:00"/>
    <d v="2023-08-23T00:00:00"/>
    <x v="218"/>
    <n v="4920"/>
    <n v="577.01"/>
    <s v="NA"/>
    <n v="12"/>
    <d v="2023-08-23T00:00:00"/>
    <n v="1"/>
    <n v="266"/>
    <n v="0.1"/>
    <s v="Normal"/>
    <n v="2023"/>
    <s v="August"/>
  </r>
  <r>
    <n v="460"/>
    <x v="76"/>
    <x v="3"/>
    <s v="East"/>
    <s v="Standard"/>
    <d v="2022-04-18T00:00:00"/>
    <d v="2022-12-24T00:00:00"/>
    <x v="219"/>
    <n v="1150"/>
    <n v="776"/>
    <s v="Pending"/>
    <n v="8"/>
    <d v="2022-12-24T00:00:00"/>
    <n v="0"/>
    <n v="267"/>
    <n v="0.4"/>
    <s v="Normal"/>
    <n v="2022"/>
    <s v="December"/>
  </r>
  <r>
    <n v="463"/>
    <x v="124"/>
    <x v="0"/>
    <s v="South"/>
    <s v="Premium"/>
    <d v="2022-07-28T00:00:00"/>
    <d v="2023-10-26T00:00:00"/>
    <x v="220"/>
    <n v="6897"/>
    <n v="-4692"/>
    <s v="NA"/>
    <n v="14"/>
    <d v="2023-10-26T00:00:00"/>
    <n v="1"/>
    <n v="268"/>
    <n v="-2.13"/>
    <s v="Outlier"/>
    <n v="2023"/>
    <s v="October"/>
  </r>
  <r>
    <n v="465"/>
    <x v="76"/>
    <x v="0"/>
    <s v="East"/>
    <s v="Premium"/>
    <d v="2022-03-26T00:00:00"/>
    <d v="2022-09-03T00:00:00"/>
    <x v="221"/>
    <n v="3170"/>
    <n v="4929"/>
    <s v="Paid"/>
    <n v="5"/>
    <d v="2022-09-03T00:00:00"/>
    <n v="0"/>
    <n v="269"/>
    <n v="0.61"/>
    <s v="Normal"/>
    <n v="2022"/>
    <s v="September"/>
  </r>
  <r>
    <n v="466"/>
    <x v="190"/>
    <x v="3"/>
    <s v="South"/>
    <s v="Standard"/>
    <d v="2022-05-21T00:00:00"/>
    <d v="2022-09-21T00:00:00"/>
    <x v="222"/>
    <n v="2636"/>
    <n v="41"/>
    <s v="NA"/>
    <n v="4"/>
    <d v="2022-09-21T00:00:00"/>
    <n v="1"/>
    <n v="270"/>
    <n v="0.02"/>
    <s v="Normal"/>
    <n v="2022"/>
    <s v="September"/>
  </r>
  <r>
    <n v="468"/>
    <x v="198"/>
    <x v="3"/>
    <s v="West"/>
    <s v="Premium"/>
    <d v="2022-07-31T00:00:00"/>
    <d v="2022-09-08T00:00:00"/>
    <x v="223"/>
    <n v="745"/>
    <n v="655"/>
    <s v="Pending"/>
    <n v="1"/>
    <d v="2022-09-08T00:00:00"/>
    <n v="0"/>
    <n v="271"/>
    <n v="0.47"/>
    <s v="Normal"/>
    <n v="2022"/>
    <s v="September"/>
  </r>
  <r>
    <n v="469"/>
    <x v="199"/>
    <x v="2"/>
    <s v="East"/>
    <s v="Standard"/>
    <d v="2022-09-14T00:00:00"/>
    <d v="2023-09-26T00:00:00"/>
    <x v="17"/>
    <n v="3703"/>
    <n v="-5399"/>
    <s v="Paid"/>
    <n v="12"/>
    <d v="2023-09-26T00:00:00"/>
    <n v="0"/>
    <n v="272"/>
    <n v="-1.0900000000000001"/>
    <s v="Outlier"/>
    <n v="2023"/>
    <s v="September"/>
  </r>
  <r>
    <n v="471"/>
    <x v="21"/>
    <x v="1"/>
    <s v="North"/>
    <s v="Basic"/>
    <d v="2022-08-29T00:00:00"/>
    <d v="2023-01-07T00:00:00"/>
    <x v="17"/>
    <n v="7041"/>
    <n v="-8997"/>
    <s v="NA"/>
    <n v="4"/>
    <d v="2023-01-07T00:00:00"/>
    <n v="0"/>
    <n v="273"/>
    <n v="-1.81"/>
    <s v="Outlier"/>
    <n v="2023"/>
    <s v="January"/>
  </r>
  <r>
    <n v="472"/>
    <x v="178"/>
    <x v="2"/>
    <s v="South"/>
    <s v="Basic"/>
    <d v="2022-02-16T00:00:00"/>
    <d v="2023-01-24T00:00:00"/>
    <x v="224"/>
    <n v="1457"/>
    <n v="3568"/>
    <s v="Paid"/>
    <n v="11"/>
    <d v="2023-01-24T00:00:00"/>
    <n v="1"/>
    <n v="274"/>
    <n v="0.71"/>
    <s v="Normal"/>
    <n v="2023"/>
    <s v="January"/>
  </r>
  <r>
    <n v="473"/>
    <x v="108"/>
    <x v="2"/>
    <s v="North"/>
    <s v="Basic"/>
    <d v="2022-05-22T00:00:00"/>
    <d v="2023-04-17T00:00:00"/>
    <x v="225"/>
    <n v="5346"/>
    <n v="-3785"/>
    <s v="Pending"/>
    <n v="10"/>
    <d v="2023-04-17T00:00:00"/>
    <n v="0"/>
    <n v="275"/>
    <n v="-2.42"/>
    <s v="Outlier"/>
    <n v="2023"/>
    <s v="April"/>
  </r>
  <r>
    <n v="474"/>
    <x v="200"/>
    <x v="2"/>
    <s v="South"/>
    <s v="Standard"/>
    <d v="2022-10-24T00:00:00"/>
    <d v="2023-12-23T00:00:00"/>
    <x v="226"/>
    <n v="7258"/>
    <n v="-5044"/>
    <s v="Pending"/>
    <n v="13"/>
    <d v="2023-12-23T00:00:00"/>
    <n v="1"/>
    <n v="276"/>
    <n v="-2.2799999999999998"/>
    <s v="Outlier"/>
    <n v="2023"/>
    <s v="December"/>
  </r>
  <r>
    <n v="475"/>
    <x v="201"/>
    <x v="1"/>
    <s v="East"/>
    <s v="Basic"/>
    <d v="2022-11-22T00:00:00"/>
    <d v="2024-06-12T00:00:00"/>
    <x v="227"/>
    <n v="5641"/>
    <n v="1407"/>
    <s v="Paid"/>
    <n v="18"/>
    <d v="2024-06-12T00:00:00"/>
    <n v="1"/>
    <n v="277"/>
    <n v="0.2"/>
    <s v="Normal"/>
    <n v="2024"/>
    <s v="June"/>
  </r>
  <r>
    <n v="477"/>
    <x v="146"/>
    <x v="4"/>
    <s v="South"/>
    <s v="Premium"/>
    <d v="2022-05-03T00:00:00"/>
    <d v="2023-02-15T00:00:00"/>
    <x v="228"/>
    <n v="2788"/>
    <n v="-2652"/>
    <s v="Paid"/>
    <n v="9"/>
    <d v="2023-02-15T00:00:00"/>
    <n v="1"/>
    <n v="278"/>
    <n v="-19.5"/>
    <s v="Outlier"/>
    <n v="2023"/>
    <s v="February"/>
  </r>
  <r>
    <n v="483"/>
    <x v="187"/>
    <x v="0"/>
    <s v="East"/>
    <s v="Premium"/>
    <d v="2022-09-11T00:00:00"/>
    <d v="2023-08-10T00:00:00"/>
    <x v="229"/>
    <n v="6915"/>
    <n v="-724"/>
    <s v="Overdue"/>
    <n v="10"/>
    <d v="2023-08-10T00:00:00"/>
    <n v="1"/>
    <n v="279"/>
    <n v="-0.12"/>
    <s v="Normal"/>
    <n v="2023"/>
    <s v="August"/>
  </r>
  <r>
    <n v="484"/>
    <x v="112"/>
    <x v="4"/>
    <s v="East"/>
    <s v="Premium"/>
    <d v="2022-04-07T00:00:00"/>
    <d v="2022-05-13T00:00:00"/>
    <x v="230"/>
    <n v="2510"/>
    <n v="4012"/>
    <s v="NA"/>
    <n v="1"/>
    <d v="2022-05-13T00:00:00"/>
    <n v="0"/>
    <n v="280"/>
    <n v="0.62"/>
    <s v="Normal"/>
    <n v="2022"/>
    <s v="May"/>
  </r>
  <r>
    <n v="485"/>
    <x v="35"/>
    <x v="2"/>
    <s v="South"/>
    <s v="Premium"/>
    <d v="2022-01-30T00:00:00"/>
    <d v="2023-01-10T00:00:00"/>
    <x v="99"/>
    <n v="4012.75"/>
    <n v="2722"/>
    <s v="Pending"/>
    <n v="11"/>
    <d v="2023-01-10T00:00:00"/>
    <n v="1"/>
    <n v="281"/>
    <n v="1.07"/>
    <s v="Outlier"/>
    <n v="2023"/>
    <s v="January"/>
  </r>
  <r>
    <n v="486"/>
    <x v="57"/>
    <x v="0"/>
    <s v="South"/>
    <s v="Standard"/>
    <d v="2022-09-25T00:00:00"/>
    <d v="2024-05-15T00:00:00"/>
    <x v="231"/>
    <n v="6186"/>
    <n v="-1318"/>
    <s v="NA"/>
    <n v="19"/>
    <d v="2024-05-15T00:00:00"/>
    <n v="1"/>
    <n v="282"/>
    <n v="-0.27"/>
    <s v="Normal"/>
    <n v="2024"/>
    <s v="May"/>
  </r>
  <r>
    <n v="488"/>
    <x v="202"/>
    <x v="0"/>
    <s v="West"/>
    <s v="Premium"/>
    <d v="2022-12-23T00:00:00"/>
    <d v="2023-11-08T00:00:00"/>
    <x v="232"/>
    <n v="4012.75"/>
    <n v="577.01"/>
    <s v="Paid"/>
    <n v="10"/>
    <d v="2023-11-08T00:00:00"/>
    <n v="0"/>
    <n v="283"/>
    <n v="0.26"/>
    <s v="Normal"/>
    <n v="2023"/>
    <s v="November"/>
  </r>
  <r>
    <n v="489"/>
    <x v="203"/>
    <x v="3"/>
    <s v="South"/>
    <s v="Standard"/>
    <d v="2022-01-03T00:00:00"/>
    <d v="2023-07-30T00:00:00"/>
    <x v="233"/>
    <n v="2906"/>
    <n v="-1134"/>
    <s v="Paid"/>
    <n v="18"/>
    <d v="2023-07-30T00:00:00"/>
    <n v="1"/>
    <n v="284"/>
    <n v="-0.64"/>
    <s v="Normal"/>
    <n v="2023"/>
    <s v="July"/>
  </r>
  <r>
    <n v="490"/>
    <x v="204"/>
    <x v="3"/>
    <s v="North"/>
    <s v="Basic"/>
    <d v="2022-08-14T00:00:00"/>
    <d v="2023-08-22T00:00:00"/>
    <x v="234"/>
    <n v="7838"/>
    <n v="577.01"/>
    <s v="Paid"/>
    <n v="12"/>
    <d v="2023-08-22T00:00:00"/>
    <n v="1"/>
    <n v="285"/>
    <n v="0.11"/>
    <s v="Normal"/>
    <n v="2023"/>
    <s v="August"/>
  </r>
  <r>
    <n v="491"/>
    <x v="174"/>
    <x v="1"/>
    <s v="South"/>
    <s v="Basic"/>
    <d v="2022-03-14T00:00:00"/>
    <d v="2023-09-26T00:00:00"/>
    <x v="235"/>
    <n v="4091"/>
    <n v="4325"/>
    <s v="Pending"/>
    <n v="18"/>
    <d v="2023-09-26T00:00:00"/>
    <n v="0"/>
    <n v="286"/>
    <n v="0.51"/>
    <s v="Normal"/>
    <n v="2023"/>
    <s v="September"/>
  </r>
  <r>
    <n v="492"/>
    <x v="205"/>
    <x v="0"/>
    <s v="North"/>
    <s v="Premium"/>
    <d v="2022-05-04T00:00:00"/>
    <d v="2022-07-03T00:00:00"/>
    <x v="17"/>
    <n v="3960"/>
    <n v="577.01"/>
    <s v="NA"/>
    <n v="1"/>
    <d v="2022-07-03T00:00:00"/>
    <n v="0"/>
    <n v="287"/>
    <n v="0.12"/>
    <s v="Normal"/>
    <n v="2022"/>
    <s v="July"/>
  </r>
  <r>
    <n v="493"/>
    <x v="39"/>
    <x v="1"/>
    <s v="North"/>
    <s v="Standard"/>
    <d v="2022-10-07T00:00:00"/>
    <d v="2024-03-27T00:00:00"/>
    <x v="17"/>
    <n v="1695"/>
    <n v="-2377"/>
    <s v="Overdue"/>
    <n v="17"/>
    <d v="2024-03-27T00:00:00"/>
    <n v="1"/>
    <n v="288"/>
    <n v="-0.48"/>
    <s v="Normal"/>
    <n v="2024"/>
    <s v="March"/>
  </r>
  <r>
    <n v="494"/>
    <x v="206"/>
    <x v="0"/>
    <s v="North"/>
    <s v="Premium"/>
    <d v="2022-07-04T00:00:00"/>
    <d v="2023-01-16T00:00:00"/>
    <x v="17"/>
    <n v="6150"/>
    <n v="-7783"/>
    <s v="Overdue"/>
    <n v="6"/>
    <d v="2023-01-16T00:00:00"/>
    <n v="0"/>
    <n v="289"/>
    <n v="-1.57"/>
    <s v="Outlier"/>
    <n v="2023"/>
    <s v="January"/>
  </r>
  <r>
    <n v="497"/>
    <x v="207"/>
    <x v="2"/>
    <s v="West"/>
    <s v="Standard"/>
    <d v="2022-07-23T00:00:00"/>
    <d v="2023-02-08T00:00:00"/>
    <x v="236"/>
    <n v="6618"/>
    <n v="-1313"/>
    <s v="Overdue"/>
    <n v="6"/>
    <d v="2023-02-08T00:00:00"/>
    <n v="0"/>
    <n v="290"/>
    <n v="-0.25"/>
    <s v="Normal"/>
    <n v="2023"/>
    <s v="February"/>
  </r>
  <r>
    <n v="498"/>
    <x v="199"/>
    <x v="2"/>
    <s v="East"/>
    <s v="Standard"/>
    <d v="2022-03-14T00:00:00"/>
    <d v="2023-06-10T00:00:00"/>
    <x v="237"/>
    <n v="3776"/>
    <n v="4089"/>
    <s v="Paid"/>
    <n v="14"/>
    <d v="2023-06-10T00:00:00"/>
    <n v="1"/>
    <n v="291"/>
    <n v="0.52"/>
    <s v="Normal"/>
    <n v="2023"/>
    <s v="June"/>
  </r>
  <r>
    <n v="501"/>
    <x v="208"/>
    <x v="2"/>
    <s v="North"/>
    <s v="Standard"/>
    <d v="2022-02-22T00:00:00"/>
    <d v="2022-07-21T00:00:00"/>
    <x v="238"/>
    <n v="1064"/>
    <n v="6210"/>
    <s v="Paid"/>
    <n v="4"/>
    <d v="2022-07-21T00:00:00"/>
    <n v="1"/>
    <n v="292"/>
    <n v="0.85"/>
    <s v="Normal"/>
    <n v="2022"/>
    <s v="July"/>
  </r>
  <r>
    <n v="502"/>
    <x v="36"/>
    <x v="1"/>
    <s v="East"/>
    <s v="Standard"/>
    <d v="2022-10-05T00:00:00"/>
    <d v="2023-12-30T00:00:00"/>
    <x v="239"/>
    <n v="3677"/>
    <n v="-49"/>
    <s v="NA"/>
    <n v="14"/>
    <d v="2023-12-30T00:00:00"/>
    <n v="0"/>
    <n v="293"/>
    <n v="-0.01"/>
    <s v="Normal"/>
    <n v="2023"/>
    <s v="December"/>
  </r>
  <r>
    <n v="504"/>
    <x v="209"/>
    <x v="4"/>
    <s v="North"/>
    <s v="Basic"/>
    <d v="2022-08-14T00:00:00"/>
    <d v="2022-12-26T00:00:00"/>
    <x v="240"/>
    <n v="5832"/>
    <n v="-1389"/>
    <s v="Paid"/>
    <n v="4"/>
    <d v="2022-12-26T00:00:00"/>
    <n v="0"/>
    <n v="294"/>
    <n v="-0.31"/>
    <s v="Normal"/>
    <n v="2022"/>
    <s v="December"/>
  </r>
  <r>
    <n v="505"/>
    <x v="190"/>
    <x v="2"/>
    <s v="East"/>
    <s v="Basic"/>
    <d v="2022-09-28T00:00:00"/>
    <d v="2024-05-02T00:00:00"/>
    <x v="241"/>
    <n v="13"/>
    <n v="8940"/>
    <s v="Pending"/>
    <n v="19"/>
    <d v="2024-05-02T00:00:00"/>
    <n v="0"/>
    <n v="295"/>
    <n v="1"/>
    <s v="Normal"/>
    <n v="2024"/>
    <s v="May"/>
  </r>
  <r>
    <n v="506"/>
    <x v="111"/>
    <x v="2"/>
    <s v="North"/>
    <s v="Standard"/>
    <d v="2022-08-28T00:00:00"/>
    <d v="2023-06-19T00:00:00"/>
    <x v="242"/>
    <n v="2278"/>
    <n v="2861"/>
    <s v="Paid"/>
    <n v="9"/>
    <d v="2023-06-19T00:00:00"/>
    <n v="1"/>
    <n v="296"/>
    <n v="0.56000000000000005"/>
    <s v="Normal"/>
    <n v="2023"/>
    <s v="June"/>
  </r>
  <r>
    <n v="508"/>
    <x v="210"/>
    <x v="4"/>
    <s v="East"/>
    <s v="Basic"/>
    <d v="2022-05-23T00:00:00"/>
    <d v="2022-10-05T00:00:00"/>
    <x v="243"/>
    <n v="2867"/>
    <n v="5897"/>
    <s v="Overdue"/>
    <n v="4"/>
    <d v="2022-10-05T00:00:00"/>
    <n v="0"/>
    <n v="297"/>
    <n v="0.67"/>
    <s v="Normal"/>
    <n v="2022"/>
    <s v="October"/>
  </r>
  <r>
    <n v="509"/>
    <x v="37"/>
    <x v="4"/>
    <s v="West"/>
    <s v="Basic"/>
    <d v="2022-07-29T00:00:00"/>
    <d v="2023-01-10T00:00:00"/>
    <x v="17"/>
    <n v="4012.75"/>
    <n v="293"/>
    <s v="Paid"/>
    <n v="5"/>
    <d v="2023-01-10T00:00:00"/>
    <n v="1"/>
    <n v="298"/>
    <n v="0.06"/>
    <s v="Normal"/>
    <n v="2023"/>
    <s v="January"/>
  </r>
  <r>
    <n v="510"/>
    <x v="211"/>
    <x v="3"/>
    <s v="West"/>
    <s v="Premium"/>
    <d v="2022-08-11T00:00:00"/>
    <d v="2023-12-11T00:00:00"/>
    <x v="244"/>
    <n v="5501"/>
    <n v="4332"/>
    <s v="Overdue"/>
    <n v="16"/>
    <d v="2023-12-11T00:00:00"/>
    <n v="1"/>
    <n v="299"/>
    <n v="0.44"/>
    <s v="Normal"/>
    <n v="2023"/>
    <s v="December"/>
  </r>
  <r>
    <n v="511"/>
    <x v="212"/>
    <x v="3"/>
    <s v="East"/>
    <s v="Premium"/>
    <d v="2022-10-07T00:00:00"/>
    <d v="2023-11-23T00:00:00"/>
    <x v="245"/>
    <n v="4042"/>
    <n v="4609"/>
    <s v="Paid"/>
    <n v="13"/>
    <d v="2023-11-23T00:00:00"/>
    <n v="0"/>
    <n v="300"/>
    <n v="0.53"/>
    <s v="Normal"/>
    <n v="2023"/>
    <s v="November"/>
  </r>
  <r>
    <n v="513"/>
    <x v="81"/>
    <x v="3"/>
    <s v="West"/>
    <s v="Premium"/>
    <d v="2022-07-17T00:00:00"/>
    <d v="2023-01-13T00:00:00"/>
    <x v="246"/>
    <n v="5906"/>
    <n v="-5168"/>
    <s v="Pending"/>
    <n v="5"/>
    <d v="2023-01-13T00:00:00"/>
    <n v="1"/>
    <n v="301"/>
    <n v="-7"/>
    <s v="Outlier"/>
    <n v="2023"/>
    <s v="January"/>
  </r>
  <r>
    <n v="515"/>
    <x v="160"/>
    <x v="0"/>
    <s v="East"/>
    <s v="Basic"/>
    <d v="2022-09-14T00:00:00"/>
    <d v="2024-04-06T00:00:00"/>
    <x v="247"/>
    <n v="15"/>
    <n v="986"/>
    <s v="Pending"/>
    <n v="18"/>
    <d v="2024-04-06T00:00:00"/>
    <n v="0"/>
    <n v="302"/>
    <n v="0.99"/>
    <s v="Normal"/>
    <n v="2024"/>
    <s v="April"/>
  </r>
  <r>
    <n v="516"/>
    <x v="212"/>
    <x v="0"/>
    <s v="East"/>
    <s v="Standard"/>
    <d v="2022-09-16T00:00:00"/>
    <d v="2023-01-11T00:00:00"/>
    <x v="248"/>
    <n v="3176"/>
    <n v="577.01"/>
    <s v="Pending"/>
    <n v="3"/>
    <d v="2023-01-11T00:00:00"/>
    <n v="0"/>
    <n v="303"/>
    <n v="0.91"/>
    <s v="Normal"/>
    <n v="2023"/>
    <s v="January"/>
  </r>
  <r>
    <n v="518"/>
    <x v="46"/>
    <x v="1"/>
    <s v="North"/>
    <s v="Premium"/>
    <d v="2022-06-09T00:00:00"/>
    <d v="2022-10-09T00:00:00"/>
    <x v="249"/>
    <n v="1133"/>
    <n v="717"/>
    <s v="NA"/>
    <n v="4"/>
    <d v="2022-10-09T00:00:00"/>
    <n v="1"/>
    <n v="304"/>
    <n v="0.39"/>
    <s v="Normal"/>
    <n v="2022"/>
    <s v="October"/>
  </r>
  <r>
    <n v="521"/>
    <x v="213"/>
    <x v="3"/>
    <s v="East"/>
    <s v="Standard"/>
    <d v="2022-06-30T00:00:00"/>
    <d v="2023-12-12T00:00:00"/>
    <x v="250"/>
    <n v="279"/>
    <n v="577.01"/>
    <s v="Paid"/>
    <n v="17"/>
    <d v="2023-12-12T00:00:00"/>
    <n v="0"/>
    <n v="305"/>
    <n v="0.09"/>
    <s v="Normal"/>
    <n v="2023"/>
    <s v="December"/>
  </r>
  <r>
    <n v="523"/>
    <x v="136"/>
    <x v="3"/>
    <s v="West"/>
    <s v="Basic"/>
    <d v="2022-08-28T00:00:00"/>
    <d v="2024-01-24T00:00:00"/>
    <x v="251"/>
    <n v="4012.75"/>
    <n v="6521"/>
    <s v="Paid"/>
    <n v="16"/>
    <d v="2024-01-24T00:00:00"/>
    <n v="1"/>
    <n v="306"/>
    <n v="1.04"/>
    <s v="Outlier"/>
    <n v="2024"/>
    <s v="January"/>
  </r>
  <r>
    <n v="525"/>
    <x v="214"/>
    <x v="3"/>
    <s v="West"/>
    <s v="Standard"/>
    <d v="2022-10-12T00:00:00"/>
    <d v="2023-07-06T00:00:00"/>
    <x v="252"/>
    <n v="3600"/>
    <n v="491"/>
    <s v="NA"/>
    <n v="8"/>
    <d v="2023-07-06T00:00:00"/>
    <n v="0"/>
    <n v="307"/>
    <n v="0.12"/>
    <s v="Normal"/>
    <n v="2023"/>
    <s v="July"/>
  </r>
  <r>
    <n v="526"/>
    <x v="215"/>
    <x v="1"/>
    <s v="West"/>
    <s v="Premium"/>
    <d v="2022-01-27T00:00:00"/>
    <d v="2022-09-25T00:00:00"/>
    <x v="253"/>
    <n v="4012.75"/>
    <n v="2835"/>
    <s v="Pending"/>
    <n v="7"/>
    <d v="2022-09-25T00:00:00"/>
    <n v="1"/>
    <n v="308"/>
    <n v="1.38"/>
    <s v="Outlier"/>
    <n v="2022"/>
    <s v="September"/>
  </r>
  <r>
    <n v="528"/>
    <x v="65"/>
    <x v="3"/>
    <s v="East"/>
    <s v="Standard"/>
    <d v="2022-12-15T00:00:00"/>
    <d v="2023-10-15T00:00:00"/>
    <x v="254"/>
    <n v="3725"/>
    <n v="5649"/>
    <s v="Pending"/>
    <n v="10"/>
    <d v="2023-10-15T00:00:00"/>
    <n v="0"/>
    <n v="309"/>
    <n v="0.6"/>
    <s v="Normal"/>
    <n v="2023"/>
    <s v="October"/>
  </r>
  <r>
    <n v="529"/>
    <x v="216"/>
    <x v="3"/>
    <s v="North"/>
    <s v="Basic"/>
    <d v="2022-08-23T00:00:00"/>
    <d v="2023-12-10T00:00:00"/>
    <x v="17"/>
    <n v="7730"/>
    <n v="-8420"/>
    <s v="Paid"/>
    <n v="15"/>
    <d v="2023-12-10T00:00:00"/>
    <n v="0"/>
    <n v="310"/>
    <n v="-1.69"/>
    <s v="Outlier"/>
    <n v="2023"/>
    <s v="December"/>
  </r>
  <r>
    <n v="532"/>
    <x v="100"/>
    <x v="2"/>
    <s v="South"/>
    <s v="Standard"/>
    <d v="2022-02-28T00:00:00"/>
    <d v="2022-10-03T00:00:00"/>
    <x v="255"/>
    <n v="4664"/>
    <n v="1857"/>
    <s v="Overdue"/>
    <n v="7"/>
    <d v="2022-10-03T00:00:00"/>
    <n v="1"/>
    <n v="311"/>
    <n v="0.28000000000000003"/>
    <s v="Normal"/>
    <n v="2022"/>
    <s v="October"/>
  </r>
  <r>
    <n v="534"/>
    <x v="217"/>
    <x v="3"/>
    <s v="South"/>
    <s v="Premium"/>
    <d v="2022-07-04T00:00:00"/>
    <d v="2023-09-11T00:00:00"/>
    <x v="256"/>
    <n v="3196"/>
    <n v="577.01"/>
    <s v="Pending"/>
    <n v="14"/>
    <d v="2023-09-11T00:00:00"/>
    <n v="1"/>
    <n v="312"/>
    <n v="0.1"/>
    <s v="Normal"/>
    <n v="2023"/>
    <s v="September"/>
  </r>
  <r>
    <n v="535"/>
    <x v="218"/>
    <x v="3"/>
    <s v="East"/>
    <s v="Standard"/>
    <d v="2022-03-12T00:00:00"/>
    <d v="2022-06-19T00:00:00"/>
    <x v="17"/>
    <n v="6264"/>
    <n v="-8054"/>
    <s v="Pending"/>
    <n v="3"/>
    <d v="2022-06-19T00:00:00"/>
    <n v="0"/>
    <n v="313"/>
    <n v="-1.62"/>
    <s v="Outlier"/>
    <n v="2022"/>
    <s v="June"/>
  </r>
  <r>
    <n v="537"/>
    <x v="139"/>
    <x v="1"/>
    <s v="North"/>
    <s v="Standard"/>
    <d v="2022-07-24T00:00:00"/>
    <d v="2024-02-20T00:00:00"/>
    <x v="17"/>
    <n v="758"/>
    <n v="-1727"/>
    <s v="NA"/>
    <n v="18"/>
    <d v="2024-02-20T00:00:00"/>
    <n v="1"/>
    <n v="314"/>
    <n v="-0.35"/>
    <s v="Normal"/>
    <n v="2024"/>
    <s v="February"/>
  </r>
  <r>
    <n v="539"/>
    <x v="210"/>
    <x v="3"/>
    <s v="South"/>
    <s v="Premium"/>
    <d v="2022-05-12T00:00:00"/>
    <d v="2023-07-11T00:00:00"/>
    <x v="257"/>
    <n v="3100"/>
    <n v="783"/>
    <s v="Paid"/>
    <n v="13"/>
    <d v="2023-07-11T00:00:00"/>
    <n v="1"/>
    <n v="315"/>
    <n v="0.2"/>
    <s v="Normal"/>
    <n v="2023"/>
    <s v="July"/>
  </r>
  <r>
    <n v="542"/>
    <x v="219"/>
    <x v="4"/>
    <s v="East"/>
    <s v="Standard"/>
    <d v="2022-01-07T00:00:00"/>
    <d v="2022-09-21T00:00:00"/>
    <x v="17"/>
    <n v="7857"/>
    <n v="-8726"/>
    <s v="Paid"/>
    <n v="8"/>
    <d v="2022-09-21T00:00:00"/>
    <n v="1"/>
    <n v="316"/>
    <n v="-1.76"/>
    <s v="Outlier"/>
    <n v="2022"/>
    <s v="September"/>
  </r>
  <r>
    <n v="548"/>
    <x v="220"/>
    <x v="1"/>
    <s v="South"/>
    <s v="Basic"/>
    <d v="2022-02-05T00:00:00"/>
    <d v="2023-05-02T00:00:00"/>
    <x v="258"/>
    <n v="1929"/>
    <n v="1317"/>
    <s v="Paid"/>
    <n v="14"/>
    <d v="2023-05-02T00:00:00"/>
    <n v="0"/>
    <n v="317"/>
    <n v="0.41"/>
    <s v="Normal"/>
    <n v="2023"/>
    <s v="May"/>
  </r>
  <r>
    <n v="549"/>
    <x v="62"/>
    <x v="3"/>
    <s v="East"/>
    <s v="Premium"/>
    <d v="2022-02-21T00:00:00"/>
    <d v="2023-05-27T00:00:00"/>
    <x v="17"/>
    <n v="7413"/>
    <n v="577.01"/>
    <s v="NA"/>
    <n v="15"/>
    <d v="2023-05-27T00:00:00"/>
    <n v="1"/>
    <n v="318"/>
    <n v="0.12"/>
    <s v="Normal"/>
    <n v="2023"/>
    <s v="May"/>
  </r>
  <r>
    <n v="555"/>
    <x v="89"/>
    <x v="1"/>
    <s v="South"/>
    <s v="Standard"/>
    <d v="2022-03-16T00:00:00"/>
    <d v="2022-06-12T00:00:00"/>
    <x v="259"/>
    <n v="4012.75"/>
    <n v="577.01"/>
    <s v="Pending"/>
    <n v="2"/>
    <d v="2022-06-12T00:00:00"/>
    <n v="0"/>
    <n v="319"/>
    <n v="7.0000000000000007E-2"/>
    <s v="Normal"/>
    <n v="2022"/>
    <s v="June"/>
  </r>
  <r>
    <n v="557"/>
    <x v="221"/>
    <x v="1"/>
    <s v="North"/>
    <s v="Standard"/>
    <d v="2022-07-12T00:00:00"/>
    <d v="2023-09-17T00:00:00"/>
    <x v="260"/>
    <n v="2078"/>
    <n v="-432"/>
    <s v="NA"/>
    <n v="14"/>
    <d v="2023-09-17T00:00:00"/>
    <n v="0"/>
    <n v="320"/>
    <n v="-0.26"/>
    <s v="Normal"/>
    <n v="2023"/>
    <s v="September"/>
  </r>
  <r>
    <n v="559"/>
    <x v="178"/>
    <x v="4"/>
    <s v="North"/>
    <s v="Premium"/>
    <d v="2022-04-03T00:00:00"/>
    <d v="2022-06-19T00:00:00"/>
    <x v="261"/>
    <n v="2678"/>
    <n v="5514"/>
    <s v="Pending"/>
    <n v="2"/>
    <d v="2022-06-19T00:00:00"/>
    <n v="0"/>
    <n v="321"/>
    <n v="0.67"/>
    <s v="Normal"/>
    <n v="2022"/>
    <s v="June"/>
  </r>
  <r>
    <n v="562"/>
    <x v="13"/>
    <x v="0"/>
    <s v="East"/>
    <s v="Basic"/>
    <d v="2022-11-24T00:00:00"/>
    <d v="2024-01-16T00:00:00"/>
    <x v="17"/>
    <n v="4012.75"/>
    <n v="-375"/>
    <s v="Paid"/>
    <n v="13"/>
    <d v="2024-01-16T00:00:00"/>
    <n v="1"/>
    <n v="322"/>
    <n v="-0.08"/>
    <s v="Normal"/>
    <n v="2024"/>
    <s v="January"/>
  </r>
  <r>
    <n v="565"/>
    <x v="222"/>
    <x v="1"/>
    <s v="North"/>
    <s v="Basic"/>
    <d v="2022-10-16T00:00:00"/>
    <d v="2023-11-09T00:00:00"/>
    <x v="262"/>
    <n v="5002"/>
    <n v="2798"/>
    <s v="NA"/>
    <n v="12"/>
    <d v="2023-11-09T00:00:00"/>
    <n v="1"/>
    <n v="323"/>
    <n v="0.36"/>
    <s v="Normal"/>
    <n v="2023"/>
    <s v="November"/>
  </r>
  <r>
    <n v="566"/>
    <x v="223"/>
    <x v="1"/>
    <s v="East"/>
    <s v="Basic"/>
    <d v="2022-05-10T00:00:00"/>
    <d v="2022-06-10T00:00:00"/>
    <x v="17"/>
    <n v="7087"/>
    <n v="-7679"/>
    <s v="Overdue"/>
    <n v="1"/>
    <d v="2022-06-10T00:00:00"/>
    <n v="0"/>
    <n v="324"/>
    <n v="-1.55"/>
    <s v="Outlier"/>
    <n v="2022"/>
    <s v="June"/>
  </r>
  <r>
    <n v="567"/>
    <x v="36"/>
    <x v="1"/>
    <s v="East"/>
    <s v="Premium"/>
    <d v="2022-09-08T00:00:00"/>
    <d v="2023-02-24T00:00:00"/>
    <x v="17"/>
    <n v="6799"/>
    <n v="-7262"/>
    <s v="NA"/>
    <n v="5"/>
    <d v="2023-02-24T00:00:00"/>
    <n v="1"/>
    <n v="325"/>
    <n v="-1.46"/>
    <s v="Outlier"/>
    <n v="2023"/>
    <s v="February"/>
  </r>
  <r>
    <n v="568"/>
    <x v="224"/>
    <x v="4"/>
    <s v="West"/>
    <s v="Basic"/>
    <d v="2022-12-16T00:00:00"/>
    <d v="2024-02-20T00:00:00"/>
    <x v="263"/>
    <n v="6970"/>
    <n v="-4423"/>
    <s v="NA"/>
    <n v="14"/>
    <d v="2024-02-20T00:00:00"/>
    <n v="0"/>
    <n v="326"/>
    <n v="-1.74"/>
    <s v="Outlier"/>
    <n v="2024"/>
    <s v="February"/>
  </r>
  <r>
    <n v="570"/>
    <x v="7"/>
    <x v="4"/>
    <s v="West"/>
    <s v="Premium"/>
    <d v="2022-12-31T00:00:00"/>
    <d v="2023-12-06T00:00:00"/>
    <x v="17"/>
    <n v="223"/>
    <n v="-1194"/>
    <s v="Paid"/>
    <n v="11"/>
    <d v="2023-12-06T00:00:00"/>
    <n v="0"/>
    <n v="327"/>
    <n v="-0.24"/>
    <s v="Normal"/>
    <n v="2023"/>
    <s v="December"/>
  </r>
  <r>
    <n v="572"/>
    <x v="225"/>
    <x v="4"/>
    <s v="North"/>
    <s v="Premium"/>
    <d v="2022-05-23T00:00:00"/>
    <d v="2023-08-02T00:00:00"/>
    <x v="264"/>
    <n v="2930"/>
    <n v="4116"/>
    <s v="NA"/>
    <n v="14"/>
    <d v="2023-08-02T00:00:00"/>
    <n v="0"/>
    <n v="328"/>
    <n v="0.57999999999999996"/>
    <s v="Normal"/>
    <n v="2023"/>
    <s v="August"/>
  </r>
  <r>
    <n v="574"/>
    <x v="226"/>
    <x v="4"/>
    <s v="North"/>
    <s v="Premium"/>
    <d v="2022-03-15T00:00:00"/>
    <d v="2023-03-18T00:00:00"/>
    <x v="265"/>
    <n v="4886"/>
    <n v="577.01"/>
    <s v="Pending"/>
    <n v="12"/>
    <d v="2023-03-18T00:00:00"/>
    <n v="1"/>
    <n v="329"/>
    <n v="0.21"/>
    <s v="Normal"/>
    <n v="2023"/>
    <s v="March"/>
  </r>
  <r>
    <n v="575"/>
    <x v="143"/>
    <x v="3"/>
    <s v="West"/>
    <s v="Basic"/>
    <d v="2022-03-25T00:00:00"/>
    <d v="2023-09-09T00:00:00"/>
    <x v="266"/>
    <n v="2024"/>
    <n v="577.01"/>
    <s v="Overdue"/>
    <n v="17"/>
    <d v="2023-09-09T00:00:00"/>
    <n v="0"/>
    <n v="330"/>
    <n v="0.09"/>
    <s v="Normal"/>
    <n v="2023"/>
    <s v="September"/>
  </r>
  <r>
    <n v="577"/>
    <x v="205"/>
    <x v="2"/>
    <s v="West"/>
    <s v="Standard"/>
    <d v="2022-08-17T00:00:00"/>
    <d v="2023-03-25T00:00:00"/>
    <x v="267"/>
    <n v="3014"/>
    <n v="4965"/>
    <s v="Overdue"/>
    <n v="7"/>
    <d v="2023-03-25T00:00:00"/>
    <n v="0"/>
    <n v="331"/>
    <n v="0.62"/>
    <s v="Normal"/>
    <n v="2023"/>
    <s v="March"/>
  </r>
  <r>
    <n v="580"/>
    <x v="227"/>
    <x v="1"/>
    <s v="West"/>
    <s v="Standard"/>
    <d v="2022-09-22T00:00:00"/>
    <d v="2023-09-29T00:00:00"/>
    <x v="268"/>
    <n v="411"/>
    <n v="3165"/>
    <s v="NA"/>
    <n v="12"/>
    <d v="2023-09-29T00:00:00"/>
    <n v="1"/>
    <n v="332"/>
    <n v="0.89"/>
    <s v="Normal"/>
    <n v="2023"/>
    <s v="September"/>
  </r>
  <r>
    <n v="581"/>
    <x v="228"/>
    <x v="4"/>
    <s v="South"/>
    <s v="Basic"/>
    <d v="2022-05-22T00:00:00"/>
    <d v="2023-07-01T00:00:00"/>
    <x v="269"/>
    <n v="4012.75"/>
    <n v="577.01"/>
    <s v="NA"/>
    <n v="13"/>
    <d v="2023-07-01T00:00:00"/>
    <n v="1"/>
    <n v="333"/>
    <n v="7.0000000000000007E-2"/>
    <s v="Normal"/>
    <n v="2023"/>
    <s v="July"/>
  </r>
  <r>
    <n v="582"/>
    <x v="170"/>
    <x v="1"/>
    <s v="South"/>
    <s v="Standard"/>
    <d v="2022-12-09T00:00:00"/>
    <d v="2024-03-27T00:00:00"/>
    <x v="270"/>
    <n v="4419"/>
    <n v="848"/>
    <s v="Paid"/>
    <n v="15"/>
    <d v="2024-03-27T00:00:00"/>
    <n v="0"/>
    <n v="334"/>
    <n v="0.16"/>
    <s v="Normal"/>
    <n v="2024"/>
    <s v="March"/>
  </r>
  <r>
    <n v="584"/>
    <x v="121"/>
    <x v="0"/>
    <s v="East"/>
    <s v="Standard"/>
    <d v="2022-04-02T00:00:00"/>
    <d v="2023-05-03T00:00:00"/>
    <x v="271"/>
    <n v="2672"/>
    <n v="6332"/>
    <s v="Paid"/>
    <n v="13"/>
    <d v="2023-05-03T00:00:00"/>
    <n v="0"/>
    <n v="335"/>
    <n v="0.7"/>
    <s v="Normal"/>
    <n v="2023"/>
    <s v="May"/>
  </r>
  <r>
    <n v="586"/>
    <x v="106"/>
    <x v="1"/>
    <s v="West"/>
    <s v="Basic"/>
    <d v="2022-10-05T00:00:00"/>
    <d v="2024-05-11T00:00:00"/>
    <x v="272"/>
    <n v="6010"/>
    <n v="-622"/>
    <s v="Pending"/>
    <n v="19"/>
    <d v="2024-05-11T00:00:00"/>
    <n v="1"/>
    <n v="336"/>
    <n v="-0.12"/>
    <s v="Normal"/>
    <n v="2024"/>
    <s v="May"/>
  </r>
  <r>
    <n v="588"/>
    <x v="112"/>
    <x v="2"/>
    <s v="East"/>
    <s v="Standard"/>
    <d v="2022-11-06T00:00:00"/>
    <d v="2022-12-15T00:00:00"/>
    <x v="273"/>
    <n v="215"/>
    <n v="4694"/>
    <s v="Pending"/>
    <n v="1"/>
    <d v="2022-12-15T00:00:00"/>
    <n v="0"/>
    <n v="337"/>
    <n v="0.96"/>
    <s v="Normal"/>
    <n v="2022"/>
    <s v="December"/>
  </r>
  <r>
    <n v="593"/>
    <x v="57"/>
    <x v="2"/>
    <s v="East"/>
    <s v="Standard"/>
    <d v="2022-03-22T00:00:00"/>
    <d v="2023-02-23T00:00:00"/>
    <x v="274"/>
    <n v="6132"/>
    <n v="577.01"/>
    <s v="Paid"/>
    <n v="11"/>
    <d v="2023-02-23T00:00:00"/>
    <n v="0"/>
    <n v="338"/>
    <n v="7.0000000000000007E-2"/>
    <s v="Normal"/>
    <n v="2023"/>
    <s v="February"/>
  </r>
  <r>
    <n v="594"/>
    <x v="229"/>
    <x v="2"/>
    <s v="East"/>
    <s v="Premium"/>
    <d v="2022-01-28T00:00:00"/>
    <d v="2023-04-23T00:00:00"/>
    <x v="275"/>
    <n v="5887"/>
    <n v="-4635"/>
    <s v="Pending"/>
    <n v="14"/>
    <d v="2023-04-23T00:00:00"/>
    <n v="0"/>
    <n v="339"/>
    <n v="-3.7"/>
    <s v="Outlier"/>
    <n v="2023"/>
    <s v="April"/>
  </r>
  <r>
    <n v="595"/>
    <x v="130"/>
    <x v="1"/>
    <s v="West"/>
    <s v="Premium"/>
    <d v="2022-11-19T00:00:00"/>
    <d v="2023-05-31T00:00:00"/>
    <x v="276"/>
    <n v="6075"/>
    <n v="-1644"/>
    <s v="Pending"/>
    <n v="6"/>
    <d v="2023-05-31T00:00:00"/>
    <n v="1"/>
    <n v="340"/>
    <n v="-0.37"/>
    <s v="Normal"/>
    <n v="2023"/>
    <s v="May"/>
  </r>
  <r>
    <n v="596"/>
    <x v="2"/>
    <x v="0"/>
    <s v="South"/>
    <s v="Standard"/>
    <d v="2022-02-19T00:00:00"/>
    <d v="2023-10-09T00:00:00"/>
    <x v="277"/>
    <n v="2283"/>
    <n v="1712"/>
    <s v="Paid"/>
    <n v="19"/>
    <d v="2023-10-09T00:00:00"/>
    <n v="1"/>
    <n v="341"/>
    <n v="0.43"/>
    <s v="Normal"/>
    <n v="2023"/>
    <s v="October"/>
  </r>
  <r>
    <n v="598"/>
    <x v="46"/>
    <x v="3"/>
    <s v="North"/>
    <s v="Standard"/>
    <d v="2022-07-12T00:00:00"/>
    <d v="2023-01-05T00:00:00"/>
    <x v="278"/>
    <n v="4603"/>
    <n v="-1713"/>
    <s v="NA"/>
    <n v="5"/>
    <d v="2023-01-05T00:00:00"/>
    <n v="0"/>
    <n v="342"/>
    <n v="-0.59"/>
    <s v="Normal"/>
    <n v="2023"/>
    <s v="January"/>
  </r>
  <r>
    <n v="600"/>
    <x v="179"/>
    <x v="4"/>
    <s v="North"/>
    <s v="Premium"/>
    <d v="2022-05-05T00:00:00"/>
    <d v="2023-12-11T00:00:00"/>
    <x v="279"/>
    <n v="4736"/>
    <n v="1491"/>
    <s v="Overdue"/>
    <n v="19"/>
    <d v="2023-12-11T00:00:00"/>
    <n v="0"/>
    <n v="343"/>
    <n v="0.24"/>
    <s v="Normal"/>
    <n v="2023"/>
    <s v="December"/>
  </r>
  <r>
    <n v="601"/>
    <x v="167"/>
    <x v="4"/>
    <s v="South"/>
    <s v="Standard"/>
    <d v="2022-09-03T00:00:00"/>
    <d v="2023-01-03T00:00:00"/>
    <x v="280"/>
    <n v="4012.75"/>
    <n v="187"/>
    <s v="Paid"/>
    <n v="4"/>
    <d v="2023-01-03T00:00:00"/>
    <n v="0"/>
    <n v="344"/>
    <n v="3.4"/>
    <s v="Outlier"/>
    <n v="2023"/>
    <s v="January"/>
  </r>
  <r>
    <n v="603"/>
    <x v="137"/>
    <x v="1"/>
    <s v="West"/>
    <s v="Basic"/>
    <d v="2022-02-02T00:00:00"/>
    <d v="2022-03-24T00:00:00"/>
    <x v="281"/>
    <n v="7263"/>
    <n v="1190"/>
    <s v="NA"/>
    <n v="1"/>
    <d v="2022-03-24T00:00:00"/>
    <n v="1"/>
    <n v="345"/>
    <n v="0.14000000000000001"/>
    <s v="Normal"/>
    <n v="2022"/>
    <s v="March"/>
  </r>
  <r>
    <n v="606"/>
    <x v="230"/>
    <x v="1"/>
    <s v="East"/>
    <s v="Basic"/>
    <d v="2022-07-04T00:00:00"/>
    <d v="2023-09-06T00:00:00"/>
    <x v="282"/>
    <n v="3302"/>
    <n v="-1266"/>
    <s v="Pending"/>
    <n v="14"/>
    <d v="2023-09-06T00:00:00"/>
    <n v="1"/>
    <n v="346"/>
    <n v="-0.62"/>
    <s v="Normal"/>
    <n v="2023"/>
    <s v="September"/>
  </r>
  <r>
    <n v="607"/>
    <x v="58"/>
    <x v="2"/>
    <s v="South"/>
    <s v="Standard"/>
    <d v="2022-11-16T00:00:00"/>
    <d v="2024-06-17T00:00:00"/>
    <x v="283"/>
    <n v="1993"/>
    <n v="4749"/>
    <s v="Pending"/>
    <n v="19"/>
    <d v="2024-06-17T00:00:00"/>
    <n v="0"/>
    <n v="347"/>
    <n v="0.7"/>
    <s v="Normal"/>
    <n v="2024"/>
    <s v="June"/>
  </r>
  <r>
    <n v="611"/>
    <x v="231"/>
    <x v="0"/>
    <s v="East"/>
    <s v="Premium"/>
    <d v="2022-03-08T00:00:00"/>
    <d v="2022-10-30T00:00:00"/>
    <x v="17"/>
    <n v="3175"/>
    <n v="-3454"/>
    <s v="Pending"/>
    <n v="7"/>
    <d v="2022-10-30T00:00:00"/>
    <n v="1"/>
    <n v="348"/>
    <n v="-0.7"/>
    <s v="Normal"/>
    <n v="2022"/>
    <s v="October"/>
  </r>
  <r>
    <n v="612"/>
    <x v="68"/>
    <x v="4"/>
    <s v="South"/>
    <s v="Standard"/>
    <d v="2022-08-21T00:00:00"/>
    <d v="2024-04-06T00:00:00"/>
    <x v="284"/>
    <n v="1532"/>
    <n v="3647"/>
    <s v="Overdue"/>
    <n v="19"/>
    <d v="2024-04-06T00:00:00"/>
    <n v="1"/>
    <n v="349"/>
    <n v="0.7"/>
    <s v="Normal"/>
    <n v="2024"/>
    <s v="April"/>
  </r>
  <r>
    <n v="613"/>
    <x v="232"/>
    <x v="2"/>
    <s v="North"/>
    <s v="Premium"/>
    <d v="2022-04-20T00:00:00"/>
    <d v="2023-04-12T00:00:00"/>
    <x v="285"/>
    <n v="6791"/>
    <n v="549"/>
    <s v="Pending"/>
    <n v="11"/>
    <d v="2023-04-12T00:00:00"/>
    <n v="0"/>
    <n v="350"/>
    <n v="7.0000000000000007E-2"/>
    <s v="Normal"/>
    <n v="2023"/>
    <s v="April"/>
  </r>
  <r>
    <n v="614"/>
    <x v="148"/>
    <x v="4"/>
    <s v="East"/>
    <s v="Premium"/>
    <d v="2022-05-29T00:00:00"/>
    <d v="2023-03-02T00:00:00"/>
    <x v="286"/>
    <n v="2398"/>
    <n v="-1095"/>
    <s v="Pending"/>
    <n v="9"/>
    <d v="2023-03-02T00:00:00"/>
    <n v="1"/>
    <n v="351"/>
    <n v="-0.84"/>
    <s v="Normal"/>
    <n v="2023"/>
    <s v="March"/>
  </r>
  <r>
    <n v="615"/>
    <x v="23"/>
    <x v="0"/>
    <s v="West"/>
    <s v="Standard"/>
    <d v="2022-03-25T00:00:00"/>
    <d v="2023-05-27T00:00:00"/>
    <x v="17"/>
    <n v="4342"/>
    <n v="-4508"/>
    <s v="Pending"/>
    <n v="14"/>
    <d v="2023-05-27T00:00:00"/>
    <n v="1"/>
    <n v="352"/>
    <n v="-0.91"/>
    <s v="Normal"/>
    <n v="2023"/>
    <s v="May"/>
  </r>
  <r>
    <n v="616"/>
    <x v="233"/>
    <x v="3"/>
    <s v="West"/>
    <s v="Basic"/>
    <d v="2022-02-06T00:00:00"/>
    <d v="2022-08-20T00:00:00"/>
    <x v="287"/>
    <n v="7268"/>
    <n v="-4360"/>
    <s v="Pending"/>
    <n v="6"/>
    <d v="2022-08-20T00:00:00"/>
    <n v="0"/>
    <n v="353"/>
    <n v="-1.5"/>
    <s v="Outlier"/>
    <n v="2022"/>
    <s v="August"/>
  </r>
  <r>
    <n v="617"/>
    <x v="193"/>
    <x v="3"/>
    <s v="South"/>
    <s v="Premium"/>
    <d v="2022-08-31T00:00:00"/>
    <d v="2023-08-29T00:00:00"/>
    <x v="288"/>
    <n v="1946"/>
    <n v="3647"/>
    <s v="NA"/>
    <n v="11"/>
    <d v="2023-08-29T00:00:00"/>
    <n v="0"/>
    <n v="354"/>
    <n v="0.65"/>
    <s v="Normal"/>
    <n v="2023"/>
    <s v="August"/>
  </r>
  <r>
    <n v="618"/>
    <x v="192"/>
    <x v="3"/>
    <s v="South"/>
    <s v="Standard"/>
    <d v="2022-05-16T00:00:00"/>
    <d v="2023-04-04T00:00:00"/>
    <x v="289"/>
    <n v="7479"/>
    <n v="894"/>
    <s v="Pending"/>
    <n v="10"/>
    <d v="2023-04-04T00:00:00"/>
    <n v="1"/>
    <n v="355"/>
    <n v="0.11"/>
    <s v="Normal"/>
    <n v="2023"/>
    <s v="April"/>
  </r>
  <r>
    <n v="619"/>
    <x v="106"/>
    <x v="4"/>
    <s v="South"/>
    <s v="Standard"/>
    <d v="2022-05-03T00:00:00"/>
    <d v="2023-07-29T00:00:00"/>
    <x v="290"/>
    <n v="1669"/>
    <n v="6497"/>
    <s v="NA"/>
    <n v="14"/>
    <d v="2023-07-29T00:00:00"/>
    <n v="0"/>
    <n v="356"/>
    <n v="0.8"/>
    <s v="Normal"/>
    <n v="2023"/>
    <s v="July"/>
  </r>
  <r>
    <n v="620"/>
    <x v="148"/>
    <x v="0"/>
    <s v="South"/>
    <s v="Basic"/>
    <d v="2022-12-18T00:00:00"/>
    <d v="2023-03-15T00:00:00"/>
    <x v="17"/>
    <n v="3869"/>
    <n v="-5169"/>
    <s v="Pending"/>
    <n v="2"/>
    <d v="2023-03-15T00:00:00"/>
    <n v="1"/>
    <n v="357"/>
    <n v="-1.04"/>
    <s v="Outlier"/>
    <n v="2023"/>
    <s v="March"/>
  </r>
  <r>
    <n v="624"/>
    <x v="70"/>
    <x v="0"/>
    <s v="East"/>
    <s v="Basic"/>
    <d v="2022-01-27T00:00:00"/>
    <d v="2022-12-18T00:00:00"/>
    <x v="291"/>
    <n v="6753"/>
    <n v="-5230"/>
    <s v="Paid"/>
    <n v="10"/>
    <d v="2022-12-18T00:00:00"/>
    <n v="1"/>
    <n v="358"/>
    <n v="-3.43"/>
    <s v="Outlier"/>
    <n v="2022"/>
    <s v="December"/>
  </r>
  <r>
    <n v="626"/>
    <x v="80"/>
    <x v="0"/>
    <s v="North"/>
    <s v="Basic"/>
    <d v="2022-06-09T00:00:00"/>
    <d v="2022-08-27T00:00:00"/>
    <x v="292"/>
    <n v="1015"/>
    <n v="7026"/>
    <s v="Overdue"/>
    <n v="2"/>
    <d v="2022-08-27T00:00:00"/>
    <n v="1"/>
    <n v="359"/>
    <n v="0.87"/>
    <s v="Normal"/>
    <n v="2022"/>
    <s v="August"/>
  </r>
  <r>
    <n v="628"/>
    <x v="234"/>
    <x v="2"/>
    <s v="North"/>
    <s v="Standard"/>
    <d v="2022-05-31T00:00:00"/>
    <d v="2023-01-01T00:00:00"/>
    <x v="293"/>
    <n v="6046"/>
    <n v="-645"/>
    <s v="Overdue"/>
    <n v="7"/>
    <d v="2023-01-01T00:00:00"/>
    <n v="1"/>
    <n v="360"/>
    <n v="-0.12"/>
    <s v="Normal"/>
    <n v="2023"/>
    <s v="January"/>
  </r>
  <r>
    <n v="629"/>
    <x v="70"/>
    <x v="1"/>
    <s v="East"/>
    <s v="Premium"/>
    <d v="2022-11-19T00:00:00"/>
    <d v="2024-03-29T00:00:00"/>
    <x v="17"/>
    <n v="6756"/>
    <n v="-6776"/>
    <s v="Paid"/>
    <n v="16"/>
    <d v="2024-03-29T00:00:00"/>
    <n v="1"/>
    <n v="361"/>
    <n v="-1.36"/>
    <s v="Outlier"/>
    <n v="2024"/>
    <s v="March"/>
  </r>
  <r>
    <n v="630"/>
    <x v="235"/>
    <x v="4"/>
    <s v="South"/>
    <s v="Basic"/>
    <d v="2022-10-08T00:00:00"/>
    <d v="2024-01-26T00:00:00"/>
    <x v="17"/>
    <n v="699"/>
    <n v="-2647"/>
    <s v="NA"/>
    <n v="15"/>
    <d v="2024-01-26T00:00:00"/>
    <n v="1"/>
    <n v="362"/>
    <n v="-0.53"/>
    <s v="Normal"/>
    <n v="2024"/>
    <s v="January"/>
  </r>
  <r>
    <n v="631"/>
    <x v="236"/>
    <x v="0"/>
    <s v="North"/>
    <s v="Basic"/>
    <d v="2022-06-25T00:00:00"/>
    <d v="2023-08-12T00:00:00"/>
    <x v="294"/>
    <n v="4012.75"/>
    <n v="3932"/>
    <s v="Pending"/>
    <n v="13"/>
    <d v="2023-08-12T00:00:00"/>
    <n v="0"/>
    <n v="363"/>
    <n v="1.1000000000000001"/>
    <s v="Outlier"/>
    <n v="2023"/>
    <s v="August"/>
  </r>
  <r>
    <n v="634"/>
    <x v="147"/>
    <x v="4"/>
    <s v="West"/>
    <s v="Premium"/>
    <d v="2022-07-03T00:00:00"/>
    <d v="2023-04-17T00:00:00"/>
    <x v="17"/>
    <n v="4012.75"/>
    <n v="-879"/>
    <s v="NA"/>
    <n v="9"/>
    <d v="2023-04-17T00:00:00"/>
    <n v="1"/>
    <n v="364"/>
    <n v="-0.18"/>
    <s v="Normal"/>
    <n v="2023"/>
    <s v="April"/>
  </r>
  <r>
    <n v="636"/>
    <x v="237"/>
    <x v="3"/>
    <s v="West"/>
    <s v="Standard"/>
    <d v="2022-02-15T00:00:00"/>
    <d v="2023-03-31T00:00:00"/>
    <x v="295"/>
    <n v="6111"/>
    <n v="-6106"/>
    <s v="Overdue"/>
    <n v="13"/>
    <d v="2023-03-31T00:00:00"/>
    <n v="1"/>
    <n v="365"/>
    <n v="-1221.2"/>
    <s v="Outlier"/>
    <n v="2023"/>
    <s v="March"/>
  </r>
  <r>
    <n v="637"/>
    <x v="238"/>
    <x v="1"/>
    <s v="East"/>
    <s v="Premium"/>
    <d v="2022-07-16T00:00:00"/>
    <d v="2023-01-06T00:00:00"/>
    <x v="296"/>
    <n v="6537"/>
    <n v="-3529"/>
    <s v="NA"/>
    <n v="5"/>
    <d v="2023-01-06T00:00:00"/>
    <n v="1"/>
    <n v="366"/>
    <n v="-1.17"/>
    <s v="Outlier"/>
    <n v="2023"/>
    <s v="January"/>
  </r>
  <r>
    <n v="639"/>
    <x v="239"/>
    <x v="3"/>
    <s v="North"/>
    <s v="Premium"/>
    <d v="2022-02-06T00:00:00"/>
    <d v="2022-06-03T00:00:00"/>
    <x v="297"/>
    <n v="6498"/>
    <n v="1999"/>
    <s v="NA"/>
    <n v="3"/>
    <d v="2022-06-03T00:00:00"/>
    <n v="0"/>
    <n v="367"/>
    <n v="0.24"/>
    <s v="Normal"/>
    <n v="2022"/>
    <s v="June"/>
  </r>
  <r>
    <n v="640"/>
    <x v="240"/>
    <x v="4"/>
    <s v="North"/>
    <s v="Standard"/>
    <d v="2022-03-28T00:00:00"/>
    <d v="2023-05-25T00:00:00"/>
    <x v="298"/>
    <n v="6593"/>
    <n v="-3078"/>
    <s v="Pending"/>
    <n v="13"/>
    <d v="2023-05-25T00:00:00"/>
    <n v="0"/>
    <n v="368"/>
    <n v="-0.88"/>
    <s v="Normal"/>
    <n v="2023"/>
    <s v="May"/>
  </r>
  <r>
    <n v="641"/>
    <x v="234"/>
    <x v="3"/>
    <s v="West"/>
    <s v="Basic"/>
    <d v="2022-04-20T00:00:00"/>
    <d v="2022-08-23T00:00:00"/>
    <x v="299"/>
    <n v="7391"/>
    <n v="577.01"/>
    <s v="Paid"/>
    <n v="4"/>
    <d v="2022-08-23T00:00:00"/>
    <n v="1"/>
    <n v="369"/>
    <n v="0.22"/>
    <s v="Normal"/>
    <n v="2022"/>
    <s v="August"/>
  </r>
  <r>
    <n v="642"/>
    <x v="241"/>
    <x v="1"/>
    <s v="South"/>
    <s v="Basic"/>
    <d v="2022-02-28T00:00:00"/>
    <d v="2023-08-16T00:00:00"/>
    <x v="213"/>
    <n v="3742"/>
    <n v="-267"/>
    <s v="Overdue"/>
    <n v="17"/>
    <d v="2023-08-16T00:00:00"/>
    <n v="0"/>
    <n v="370"/>
    <n v="-0.08"/>
    <s v="Normal"/>
    <n v="2023"/>
    <s v="August"/>
  </r>
  <r>
    <n v="645"/>
    <x v="242"/>
    <x v="4"/>
    <s v="North"/>
    <s v="Standard"/>
    <d v="2022-08-06T00:00:00"/>
    <d v="2023-09-06T00:00:00"/>
    <x v="17"/>
    <n v="271"/>
    <n v="-691"/>
    <s v="Overdue"/>
    <n v="13"/>
    <d v="2023-09-06T00:00:00"/>
    <n v="0"/>
    <n v="371"/>
    <n v="-0.14000000000000001"/>
    <s v="Normal"/>
    <n v="2023"/>
    <s v="September"/>
  </r>
  <r>
    <n v="646"/>
    <x v="146"/>
    <x v="0"/>
    <s v="West"/>
    <s v="Standard"/>
    <d v="2022-05-03T00:00:00"/>
    <d v="2022-07-17T00:00:00"/>
    <x v="72"/>
    <n v="1204"/>
    <n v="577.01"/>
    <s v="Paid"/>
    <n v="2"/>
    <d v="2022-07-17T00:00:00"/>
    <n v="0"/>
    <n v="372"/>
    <n v="7.0000000000000007E-2"/>
    <s v="Normal"/>
    <n v="2022"/>
    <s v="July"/>
  </r>
  <r>
    <n v="647"/>
    <x v="63"/>
    <x v="1"/>
    <s v="South"/>
    <s v="Standard"/>
    <d v="2022-12-06T00:00:00"/>
    <d v="2024-07-14T00:00:00"/>
    <x v="300"/>
    <n v="7473"/>
    <n v="-5037"/>
    <s v="NA"/>
    <n v="19"/>
    <d v="2024-07-14T00:00:00"/>
    <n v="1"/>
    <n v="373"/>
    <n v="-2.0699999999999998"/>
    <s v="Outlier"/>
    <n v="2024"/>
    <s v="July"/>
  </r>
  <r>
    <n v="648"/>
    <x v="243"/>
    <x v="3"/>
    <s v="East"/>
    <s v="Standard"/>
    <d v="2022-11-06T00:00:00"/>
    <d v="2024-06-16T00:00:00"/>
    <x v="301"/>
    <n v="4447"/>
    <n v="-3200"/>
    <s v="Paid"/>
    <n v="19"/>
    <d v="2024-06-16T00:00:00"/>
    <n v="0"/>
    <n v="374"/>
    <n v="-2.57"/>
    <s v="Outlier"/>
    <n v="2024"/>
    <s v="June"/>
  </r>
  <r>
    <n v="649"/>
    <x v="244"/>
    <x v="2"/>
    <s v="North"/>
    <s v="Basic"/>
    <d v="2022-04-07T00:00:00"/>
    <d v="2022-08-22T00:00:00"/>
    <x v="302"/>
    <n v="2779"/>
    <n v="1192"/>
    <s v="NA"/>
    <n v="4"/>
    <d v="2022-08-22T00:00:00"/>
    <n v="0"/>
    <n v="375"/>
    <n v="0.3"/>
    <s v="Normal"/>
    <n v="2022"/>
    <s v="August"/>
  </r>
  <r>
    <n v="650"/>
    <x v="232"/>
    <x v="4"/>
    <s v="North"/>
    <s v="Premium"/>
    <d v="2022-06-16T00:00:00"/>
    <d v="2023-09-13T00:00:00"/>
    <x v="303"/>
    <n v="5453"/>
    <n v="2008"/>
    <s v="Paid"/>
    <n v="14"/>
    <d v="2023-09-13T00:00:00"/>
    <n v="0"/>
    <n v="376"/>
    <n v="0.27"/>
    <s v="Normal"/>
    <n v="2023"/>
    <s v="September"/>
  </r>
  <r>
    <n v="653"/>
    <x v="136"/>
    <x v="3"/>
    <s v="North"/>
    <s v="Standard"/>
    <d v="2022-12-12T00:00:00"/>
    <d v="2023-04-01T00:00:00"/>
    <x v="304"/>
    <n v="630"/>
    <n v="8267"/>
    <s v="Overdue"/>
    <n v="3"/>
    <d v="2023-04-01T00:00:00"/>
    <n v="1"/>
    <n v="377"/>
    <n v="0.93"/>
    <s v="Normal"/>
    <n v="2023"/>
    <s v="April"/>
  </r>
  <r>
    <n v="656"/>
    <x v="245"/>
    <x v="0"/>
    <s v="East"/>
    <s v="Basic"/>
    <d v="2022-05-01T00:00:00"/>
    <d v="2023-05-16T00:00:00"/>
    <x v="305"/>
    <n v="3374"/>
    <n v="-2378"/>
    <s v="Paid"/>
    <n v="12"/>
    <d v="2023-05-16T00:00:00"/>
    <n v="0"/>
    <n v="378"/>
    <n v="-2.39"/>
    <s v="Outlier"/>
    <n v="2023"/>
    <s v="May"/>
  </r>
  <r>
    <n v="657"/>
    <x v="246"/>
    <x v="2"/>
    <s v="South"/>
    <s v="Premium"/>
    <d v="2022-05-13T00:00:00"/>
    <d v="2022-10-18T00:00:00"/>
    <x v="306"/>
    <n v="4599"/>
    <n v="577"/>
    <s v="Overdue"/>
    <n v="5"/>
    <d v="2022-10-18T00:00:00"/>
    <n v="0"/>
    <n v="379"/>
    <n v="0.11"/>
    <s v="Normal"/>
    <n v="2022"/>
    <s v="October"/>
  </r>
  <r>
    <n v="659"/>
    <x v="247"/>
    <x v="1"/>
    <s v="West"/>
    <s v="Basic"/>
    <d v="2022-02-28T00:00:00"/>
    <d v="2023-08-11T00:00:00"/>
    <x v="307"/>
    <n v="6977"/>
    <n v="1357"/>
    <s v="NA"/>
    <n v="17"/>
    <d v="2023-08-11T00:00:00"/>
    <n v="0"/>
    <n v="380"/>
    <n v="0.16"/>
    <s v="Normal"/>
    <n v="2023"/>
    <s v="August"/>
  </r>
  <r>
    <n v="660"/>
    <x v="122"/>
    <x v="1"/>
    <s v="South"/>
    <s v="Basic"/>
    <d v="2022-07-25T00:00:00"/>
    <d v="2023-06-24T00:00:00"/>
    <x v="308"/>
    <n v="7386"/>
    <n v="-2645"/>
    <s v="NA"/>
    <n v="10"/>
    <d v="2023-06-24T00:00:00"/>
    <n v="0"/>
    <n v="381"/>
    <n v="-0.56000000000000005"/>
    <s v="Normal"/>
    <n v="2023"/>
    <s v="June"/>
  </r>
  <r>
    <n v="661"/>
    <x v="237"/>
    <x v="4"/>
    <s v="North"/>
    <s v="Premium"/>
    <d v="2022-10-07T00:00:00"/>
    <d v="2024-03-10T00:00:00"/>
    <x v="309"/>
    <n v="2452"/>
    <n v="522"/>
    <s v="NA"/>
    <n v="17"/>
    <d v="2024-03-10T00:00:00"/>
    <n v="1"/>
    <n v="382"/>
    <n v="0.18"/>
    <s v="Normal"/>
    <n v="2024"/>
    <s v="March"/>
  </r>
  <r>
    <n v="662"/>
    <x v="106"/>
    <x v="0"/>
    <s v="North"/>
    <s v="Premium"/>
    <d v="2022-10-04T00:00:00"/>
    <d v="2023-08-31T00:00:00"/>
    <x v="310"/>
    <n v="7330"/>
    <n v="-2622"/>
    <s v="NA"/>
    <n v="10"/>
    <d v="2023-08-31T00:00:00"/>
    <n v="1"/>
    <n v="383"/>
    <n v="-0.56000000000000005"/>
    <s v="Normal"/>
    <n v="2023"/>
    <s v="August"/>
  </r>
  <r>
    <n v="665"/>
    <x v="248"/>
    <x v="2"/>
    <s v="North"/>
    <s v="Standard"/>
    <d v="2022-01-29T00:00:00"/>
    <d v="2022-11-19T00:00:00"/>
    <x v="311"/>
    <n v="4101"/>
    <n v="-3513"/>
    <s v="Overdue"/>
    <n v="9"/>
    <d v="2022-11-19T00:00:00"/>
    <n v="1"/>
    <n v="384"/>
    <n v="-5.97"/>
    <s v="Outlier"/>
    <n v="2022"/>
    <s v="November"/>
  </r>
  <r>
    <n v="667"/>
    <x v="25"/>
    <x v="1"/>
    <s v="East"/>
    <s v="Basic"/>
    <d v="2022-11-11T00:00:00"/>
    <d v="2024-03-12T00:00:00"/>
    <x v="251"/>
    <n v="1309"/>
    <n v="577.01"/>
    <s v="Pending"/>
    <n v="16"/>
    <d v="2024-03-12T00:00:00"/>
    <n v="1"/>
    <n v="385"/>
    <n v="0.09"/>
    <s v="Normal"/>
    <n v="2024"/>
    <s v="March"/>
  </r>
  <r>
    <n v="669"/>
    <x v="62"/>
    <x v="3"/>
    <s v="North"/>
    <s v="Standard"/>
    <d v="2022-04-14T00:00:00"/>
    <d v="2022-12-20T00:00:00"/>
    <x v="312"/>
    <n v="4653"/>
    <n v="2544"/>
    <s v="Paid"/>
    <n v="8"/>
    <d v="2022-12-20T00:00:00"/>
    <n v="0"/>
    <n v="386"/>
    <n v="0.35"/>
    <s v="Normal"/>
    <n v="2022"/>
    <s v="December"/>
  </r>
  <r>
    <n v="673"/>
    <x v="61"/>
    <x v="0"/>
    <s v="West"/>
    <s v="Standard"/>
    <d v="2022-03-25T00:00:00"/>
    <d v="2023-01-12T00:00:00"/>
    <x v="313"/>
    <n v="3736"/>
    <n v="-1742"/>
    <s v="Paid"/>
    <n v="9"/>
    <d v="2023-01-12T00:00:00"/>
    <n v="0"/>
    <n v="387"/>
    <n v="-0.87"/>
    <s v="Normal"/>
    <n v="2023"/>
    <s v="January"/>
  </r>
  <r>
    <n v="674"/>
    <x v="249"/>
    <x v="4"/>
    <s v="East"/>
    <s v="Basic"/>
    <d v="2022-04-04T00:00:00"/>
    <d v="2023-09-11T00:00:00"/>
    <x v="314"/>
    <n v="5736"/>
    <n v="1320"/>
    <s v="Overdue"/>
    <n v="17"/>
    <d v="2023-09-11T00:00:00"/>
    <n v="0"/>
    <n v="388"/>
    <n v="0.19"/>
    <s v="Normal"/>
    <n v="2023"/>
    <s v="September"/>
  </r>
  <r>
    <n v="675"/>
    <x v="250"/>
    <x v="0"/>
    <s v="North"/>
    <s v="Standard"/>
    <d v="2022-08-28T00:00:00"/>
    <d v="2023-01-17T00:00:00"/>
    <x v="315"/>
    <n v="2271"/>
    <n v="577.01"/>
    <s v="Paid"/>
    <n v="4"/>
    <d v="2023-01-17T00:00:00"/>
    <n v="1"/>
    <n v="389"/>
    <n v="0.09"/>
    <s v="Normal"/>
    <n v="2023"/>
    <s v="January"/>
  </r>
  <r>
    <n v="676"/>
    <x v="251"/>
    <x v="0"/>
    <s v="West"/>
    <s v="Premium"/>
    <d v="2022-02-02T00:00:00"/>
    <d v="2023-02-11T00:00:00"/>
    <x v="316"/>
    <n v="1120"/>
    <n v="8623"/>
    <s v="Pending"/>
    <n v="12"/>
    <d v="2023-02-11T00:00:00"/>
    <n v="1"/>
    <n v="390"/>
    <n v="0.89"/>
    <s v="Normal"/>
    <n v="2023"/>
    <s v="February"/>
  </r>
  <r>
    <n v="679"/>
    <x v="156"/>
    <x v="0"/>
    <s v="South"/>
    <s v="Premium"/>
    <d v="2022-02-24T00:00:00"/>
    <d v="2023-04-09T00:00:00"/>
    <x v="317"/>
    <n v="5262"/>
    <n v="577.01"/>
    <s v="NA"/>
    <n v="13"/>
    <d v="2023-04-09T00:00:00"/>
    <n v="0"/>
    <n v="391"/>
    <n v="0.06"/>
    <s v="Normal"/>
    <n v="2023"/>
    <s v="April"/>
  </r>
  <r>
    <n v="681"/>
    <x v="210"/>
    <x v="1"/>
    <s v="North"/>
    <s v="Standard"/>
    <d v="2022-09-16T00:00:00"/>
    <d v="2024-04-30T00:00:00"/>
    <x v="318"/>
    <n v="7228"/>
    <n v="-331"/>
    <s v="Pending"/>
    <n v="19"/>
    <d v="2024-04-30T00:00:00"/>
    <n v="0"/>
    <n v="392"/>
    <n v="-0.05"/>
    <s v="Normal"/>
    <n v="2024"/>
    <s v="April"/>
  </r>
  <r>
    <n v="682"/>
    <x v="169"/>
    <x v="0"/>
    <s v="East"/>
    <s v="Premium"/>
    <d v="2022-04-27T00:00:00"/>
    <d v="2022-11-08T00:00:00"/>
    <x v="319"/>
    <n v="4012.75"/>
    <n v="10240"/>
    <s v="Pending"/>
    <n v="6"/>
    <d v="2022-11-08T00:00:00"/>
    <n v="1"/>
    <n v="393"/>
    <n v="1.03"/>
    <s v="Outlier"/>
    <n v="2022"/>
    <s v="November"/>
  </r>
  <r>
    <n v="684"/>
    <x v="22"/>
    <x v="0"/>
    <s v="North"/>
    <s v="Basic"/>
    <d v="2022-02-08T00:00:00"/>
    <d v="2022-11-25T00:00:00"/>
    <x v="320"/>
    <n v="4367"/>
    <n v="-670"/>
    <s v="Overdue"/>
    <n v="9"/>
    <d v="2022-11-25T00:00:00"/>
    <n v="0"/>
    <n v="394"/>
    <n v="-0.18"/>
    <s v="Normal"/>
    <n v="2022"/>
    <s v="November"/>
  </r>
  <r>
    <n v="686"/>
    <x v="252"/>
    <x v="3"/>
    <s v="North"/>
    <s v="Premium"/>
    <d v="2022-07-18T00:00:00"/>
    <d v="2024-01-14T00:00:00"/>
    <x v="321"/>
    <n v="4634"/>
    <n v="-748"/>
    <s v="Overdue"/>
    <n v="17"/>
    <d v="2024-01-14T00:00:00"/>
    <n v="0"/>
    <n v="395"/>
    <n v="-0.19"/>
    <s v="Normal"/>
    <n v="2024"/>
    <s v="January"/>
  </r>
  <r>
    <n v="690"/>
    <x v="253"/>
    <x v="4"/>
    <s v="East"/>
    <s v="Premium"/>
    <d v="2022-07-11T00:00:00"/>
    <d v="2022-12-26T00:00:00"/>
    <x v="322"/>
    <n v="5290"/>
    <n v="-3788"/>
    <s v="Pending"/>
    <n v="5"/>
    <d v="2022-12-26T00:00:00"/>
    <n v="0"/>
    <n v="396"/>
    <n v="-2.52"/>
    <s v="Outlier"/>
    <n v="2022"/>
    <s v="December"/>
  </r>
  <r>
    <n v="691"/>
    <x v="254"/>
    <x v="1"/>
    <s v="West"/>
    <s v="Premium"/>
    <d v="2022-02-22T00:00:00"/>
    <d v="2023-07-05T00:00:00"/>
    <x v="323"/>
    <n v="4890"/>
    <n v="4225"/>
    <s v="Overdue"/>
    <n v="16"/>
    <d v="2023-07-05T00:00:00"/>
    <n v="1"/>
    <n v="397"/>
    <n v="0.46"/>
    <s v="Normal"/>
    <n v="2023"/>
    <s v="July"/>
  </r>
  <r>
    <n v="692"/>
    <x v="195"/>
    <x v="2"/>
    <s v="South"/>
    <s v="Basic"/>
    <d v="2022-08-18T00:00:00"/>
    <d v="2022-11-13T00:00:00"/>
    <x v="324"/>
    <n v="4012.75"/>
    <n v="3253"/>
    <s v="Paid"/>
    <n v="2"/>
    <d v="2022-11-13T00:00:00"/>
    <n v="0"/>
    <n v="398"/>
    <n v="1.33"/>
    <s v="Outlier"/>
    <n v="2022"/>
    <s v="November"/>
  </r>
  <r>
    <n v="694"/>
    <x v="255"/>
    <x v="1"/>
    <s v="West"/>
    <s v="Premium"/>
    <d v="2022-03-19T00:00:00"/>
    <d v="2023-05-23T00:00:00"/>
    <x v="43"/>
    <n v="6323"/>
    <n v="577.01"/>
    <s v="NA"/>
    <n v="14"/>
    <d v="2023-05-23T00:00:00"/>
    <n v="1"/>
    <n v="399"/>
    <n v="0.17"/>
    <s v="Normal"/>
    <n v="2023"/>
    <s v="May"/>
  </r>
  <r>
    <n v="697"/>
    <x v="137"/>
    <x v="3"/>
    <s v="North"/>
    <s v="Basic"/>
    <d v="2022-01-13T00:00:00"/>
    <d v="2023-03-20T00:00:00"/>
    <x v="325"/>
    <n v="132"/>
    <n v="6245"/>
    <s v="Pending"/>
    <n v="14"/>
    <d v="2023-03-20T00:00:00"/>
    <n v="1"/>
    <n v="400"/>
    <n v="0.98"/>
    <s v="Normal"/>
    <n v="2023"/>
    <s v="March"/>
  </r>
  <r>
    <n v="700"/>
    <x v="87"/>
    <x v="1"/>
    <s v="West"/>
    <s v="Basic"/>
    <d v="2022-01-24T00:00:00"/>
    <d v="2023-04-19T00:00:00"/>
    <x v="17"/>
    <n v="1664"/>
    <n v="-2646"/>
    <s v="Pending"/>
    <n v="14"/>
    <d v="2023-04-19T00:00:00"/>
    <n v="0"/>
    <n v="401"/>
    <n v="-0.53"/>
    <s v="Normal"/>
    <n v="2023"/>
    <s v="April"/>
  </r>
  <r>
    <n v="702"/>
    <x v="40"/>
    <x v="2"/>
    <s v="North"/>
    <s v="Premium"/>
    <d v="2022-09-17T00:00:00"/>
    <d v="2023-10-28T00:00:00"/>
    <x v="326"/>
    <n v="1972"/>
    <n v="-702"/>
    <s v="Overdue"/>
    <n v="13"/>
    <d v="2023-10-28T00:00:00"/>
    <n v="0"/>
    <n v="402"/>
    <n v="-0.55000000000000004"/>
    <s v="Normal"/>
    <n v="2023"/>
    <s v="October"/>
  </r>
  <r>
    <n v="704"/>
    <x v="256"/>
    <x v="3"/>
    <s v="East"/>
    <s v="Standard"/>
    <d v="2022-05-14T00:00:00"/>
    <d v="2022-07-15T00:00:00"/>
    <x v="327"/>
    <n v="2594"/>
    <n v="577.01"/>
    <s v="Pending"/>
    <n v="2"/>
    <d v="2022-07-15T00:00:00"/>
    <n v="0"/>
    <n v="403"/>
    <n v="0.06"/>
    <s v="Normal"/>
    <n v="2022"/>
    <s v="July"/>
  </r>
  <r>
    <n v="706"/>
    <x v="134"/>
    <x v="1"/>
    <s v="North"/>
    <s v="Standard"/>
    <d v="2022-08-12T00:00:00"/>
    <d v="2023-11-14T00:00:00"/>
    <x v="328"/>
    <n v="6774"/>
    <n v="-5569"/>
    <s v="Paid"/>
    <n v="15"/>
    <d v="2023-11-14T00:00:00"/>
    <n v="1"/>
    <n v="404"/>
    <n v="-4.62"/>
    <s v="Outlier"/>
    <n v="2023"/>
    <s v="November"/>
  </r>
  <r>
    <n v="707"/>
    <x v="84"/>
    <x v="0"/>
    <s v="South"/>
    <s v="Standard"/>
    <d v="2022-04-10T00:00:00"/>
    <d v="2023-01-17T00:00:00"/>
    <x v="17"/>
    <n v="103"/>
    <n v="-394"/>
    <s v="Overdue"/>
    <n v="9"/>
    <d v="2023-01-17T00:00:00"/>
    <n v="0"/>
    <n v="405"/>
    <n v="-0.08"/>
    <s v="Normal"/>
    <n v="2023"/>
    <s v="January"/>
  </r>
  <r>
    <n v="708"/>
    <x v="35"/>
    <x v="2"/>
    <s v="West"/>
    <s v="Basic"/>
    <d v="2022-01-27T00:00:00"/>
    <d v="2023-01-16T00:00:00"/>
    <x v="329"/>
    <n v="513"/>
    <n v="3693"/>
    <s v="NA"/>
    <n v="11"/>
    <d v="2023-01-16T00:00:00"/>
    <n v="0"/>
    <n v="406"/>
    <n v="0.88"/>
    <s v="Normal"/>
    <n v="2023"/>
    <s v="January"/>
  </r>
  <r>
    <n v="709"/>
    <x v="248"/>
    <x v="1"/>
    <s v="North"/>
    <s v="Standard"/>
    <d v="2023-01-01T00:00:00"/>
    <d v="2023-12-15T00:00:00"/>
    <x v="330"/>
    <n v="7524"/>
    <n v="577.01"/>
    <s v="Overdue"/>
    <n v="11"/>
    <d v="2023-12-15T00:00:00"/>
    <n v="0"/>
    <n v="407"/>
    <n v="5.5"/>
    <s v="Outlier"/>
    <n v="2023"/>
    <s v="December"/>
  </r>
  <r>
    <n v="711"/>
    <x v="232"/>
    <x v="1"/>
    <s v="North"/>
    <s v="Standard"/>
    <d v="2022-09-22T00:00:00"/>
    <d v="2024-04-03T00:00:00"/>
    <x v="331"/>
    <n v="4451"/>
    <n v="2184"/>
    <s v="Overdue"/>
    <n v="18"/>
    <d v="2024-04-03T00:00:00"/>
    <n v="0"/>
    <n v="408"/>
    <n v="0.33"/>
    <s v="Normal"/>
    <n v="2024"/>
    <s v="April"/>
  </r>
  <r>
    <n v="712"/>
    <x v="191"/>
    <x v="0"/>
    <s v="East"/>
    <s v="Premium"/>
    <d v="2022-08-12T00:00:00"/>
    <d v="2023-06-23T00:00:00"/>
    <x v="332"/>
    <n v="3280"/>
    <n v="997"/>
    <s v="NA"/>
    <n v="10"/>
    <d v="2023-06-23T00:00:00"/>
    <n v="1"/>
    <n v="409"/>
    <n v="0.23"/>
    <s v="Normal"/>
    <n v="2023"/>
    <s v="June"/>
  </r>
  <r>
    <n v="713"/>
    <x v="140"/>
    <x v="4"/>
    <s v="West"/>
    <s v="Standard"/>
    <d v="2022-04-23T00:00:00"/>
    <d v="2022-06-09T00:00:00"/>
    <x v="17"/>
    <n v="4012.75"/>
    <n v="577.01"/>
    <s v="Pending"/>
    <n v="1"/>
    <d v="2022-06-09T00:00:00"/>
    <n v="0"/>
    <n v="410"/>
    <n v="0.12"/>
    <s v="Normal"/>
    <n v="2022"/>
    <s v="June"/>
  </r>
  <r>
    <n v="714"/>
    <x v="243"/>
    <x v="3"/>
    <s v="South"/>
    <s v="Premium"/>
    <d v="2022-05-31T00:00:00"/>
    <d v="2023-07-13T00:00:00"/>
    <x v="333"/>
    <n v="1821"/>
    <n v="13"/>
    <s v="Pending"/>
    <n v="13"/>
    <d v="2023-07-13T00:00:00"/>
    <n v="0"/>
    <n v="411"/>
    <n v="0.01"/>
    <s v="Normal"/>
    <n v="2023"/>
    <s v="July"/>
  </r>
  <r>
    <n v="715"/>
    <x v="253"/>
    <x v="2"/>
    <s v="East"/>
    <s v="Premium"/>
    <d v="2022-12-24T00:00:00"/>
    <d v="2023-11-21T00:00:00"/>
    <x v="334"/>
    <n v="5666"/>
    <n v="2025"/>
    <s v="Paid"/>
    <n v="10"/>
    <d v="2023-11-21T00:00:00"/>
    <n v="0"/>
    <n v="412"/>
    <n v="0.26"/>
    <s v="Normal"/>
    <n v="2023"/>
    <s v="November"/>
  </r>
  <r>
    <n v="717"/>
    <x v="27"/>
    <x v="4"/>
    <s v="East"/>
    <s v="Premium"/>
    <d v="2022-05-03T00:00:00"/>
    <d v="2022-08-12T00:00:00"/>
    <x v="335"/>
    <n v="4506"/>
    <n v="-974"/>
    <s v="Paid"/>
    <n v="3"/>
    <d v="2022-08-12T00:00:00"/>
    <n v="1"/>
    <n v="413"/>
    <n v="-0.28000000000000003"/>
    <s v="Normal"/>
    <n v="2022"/>
    <s v="August"/>
  </r>
  <r>
    <n v="718"/>
    <x v="161"/>
    <x v="4"/>
    <s v="South"/>
    <s v="Premium"/>
    <d v="2022-03-27T00:00:00"/>
    <d v="2022-11-14T00:00:00"/>
    <x v="336"/>
    <n v="5932"/>
    <n v="467"/>
    <s v="Overdue"/>
    <n v="7"/>
    <d v="2022-11-14T00:00:00"/>
    <n v="0"/>
    <n v="414"/>
    <n v="7.0000000000000007E-2"/>
    <s v="Normal"/>
    <n v="2022"/>
    <s v="November"/>
  </r>
  <r>
    <n v="719"/>
    <x v="257"/>
    <x v="4"/>
    <s v="North"/>
    <s v="Basic"/>
    <d v="2022-07-12T00:00:00"/>
    <d v="2023-08-17T00:00:00"/>
    <x v="337"/>
    <n v="4012.75"/>
    <n v="6295"/>
    <s v="Pending"/>
    <n v="13"/>
    <d v="2023-08-17T00:00:00"/>
    <n v="1"/>
    <n v="415"/>
    <n v="1.1299999999999999"/>
    <s v="Outlier"/>
    <n v="2023"/>
    <s v="August"/>
  </r>
  <r>
    <n v="720"/>
    <x v="114"/>
    <x v="4"/>
    <s v="West"/>
    <s v="Standard"/>
    <d v="2022-12-31T00:00:00"/>
    <d v="2024-04-12T00:00:00"/>
    <x v="338"/>
    <n v="5869"/>
    <n v="590"/>
    <s v="Paid"/>
    <n v="15"/>
    <d v="2024-04-12T00:00:00"/>
    <n v="0"/>
    <n v="416"/>
    <n v="0.09"/>
    <s v="Normal"/>
    <n v="2024"/>
    <s v="April"/>
  </r>
  <r>
    <n v="722"/>
    <x v="56"/>
    <x v="4"/>
    <s v="East"/>
    <s v="Standard"/>
    <d v="2022-09-01T00:00:00"/>
    <d v="2022-11-17T00:00:00"/>
    <x v="339"/>
    <n v="5727"/>
    <n v="-1114"/>
    <s v="Overdue"/>
    <n v="2"/>
    <d v="2022-11-17T00:00:00"/>
    <n v="0"/>
    <n v="417"/>
    <n v="-0.24"/>
    <s v="Normal"/>
    <n v="2022"/>
    <s v="November"/>
  </r>
  <r>
    <n v="723"/>
    <x v="258"/>
    <x v="0"/>
    <s v="South"/>
    <s v="Basic"/>
    <d v="2022-03-02T00:00:00"/>
    <d v="2022-12-21T00:00:00"/>
    <x v="340"/>
    <n v="4652"/>
    <n v="-2465"/>
    <s v="NA"/>
    <n v="9"/>
    <d v="2022-12-21T00:00:00"/>
    <n v="1"/>
    <n v="418"/>
    <n v="-1.1299999999999999"/>
    <s v="Outlier"/>
    <n v="2022"/>
    <s v="December"/>
  </r>
  <r>
    <n v="724"/>
    <x v="135"/>
    <x v="4"/>
    <s v="South"/>
    <s v="Standard"/>
    <d v="2022-01-27T00:00:00"/>
    <d v="2022-09-03T00:00:00"/>
    <x v="341"/>
    <n v="1864"/>
    <n v="4101"/>
    <s v="NA"/>
    <n v="7"/>
    <d v="2022-09-03T00:00:00"/>
    <n v="1"/>
    <n v="419"/>
    <n v="0.69"/>
    <s v="Normal"/>
    <n v="2022"/>
    <s v="September"/>
  </r>
  <r>
    <n v="725"/>
    <x v="41"/>
    <x v="3"/>
    <s v="North"/>
    <s v="Premium"/>
    <d v="2022-02-18T00:00:00"/>
    <d v="2023-08-23T00:00:00"/>
    <x v="342"/>
    <n v="3139"/>
    <n v="-3042"/>
    <s v="NA"/>
    <n v="18"/>
    <d v="2023-08-23T00:00:00"/>
    <n v="1"/>
    <n v="420"/>
    <n v="-31.36"/>
    <s v="Outlier"/>
    <n v="2023"/>
    <s v="August"/>
  </r>
  <r>
    <n v="728"/>
    <x v="51"/>
    <x v="2"/>
    <s v="South"/>
    <s v="Premium"/>
    <d v="2022-01-17T00:00:00"/>
    <d v="2023-08-16T00:00:00"/>
    <x v="343"/>
    <n v="2312"/>
    <n v="-1206"/>
    <s v="Paid"/>
    <n v="18"/>
    <d v="2023-08-16T00:00:00"/>
    <n v="0"/>
    <n v="421"/>
    <n v="-1.0900000000000001"/>
    <s v="Outlier"/>
    <n v="2023"/>
    <s v="August"/>
  </r>
  <r>
    <n v="729"/>
    <x v="30"/>
    <x v="0"/>
    <s v="West"/>
    <s v="Premium"/>
    <d v="2022-10-01T00:00:00"/>
    <d v="2022-12-19T00:00:00"/>
    <x v="283"/>
    <n v="4012.75"/>
    <n v="6825"/>
    <s v="Overdue"/>
    <n v="2"/>
    <d v="2022-12-19T00:00:00"/>
    <n v="0"/>
    <n v="422"/>
    <n v="1.01"/>
    <s v="Outlier"/>
    <n v="2022"/>
    <s v="December"/>
  </r>
  <r>
    <n v="733"/>
    <x v="259"/>
    <x v="4"/>
    <s v="East"/>
    <s v="Basic"/>
    <d v="2022-10-08T00:00:00"/>
    <d v="2024-02-02T00:00:00"/>
    <x v="344"/>
    <n v="3276"/>
    <n v="103"/>
    <s v="Overdue"/>
    <n v="15"/>
    <d v="2024-02-02T00:00:00"/>
    <n v="1"/>
    <n v="423"/>
    <n v="0.03"/>
    <s v="Normal"/>
    <n v="2024"/>
    <s v="February"/>
  </r>
  <r>
    <n v="734"/>
    <x v="218"/>
    <x v="1"/>
    <s v="North"/>
    <s v="Premium"/>
    <d v="2022-07-09T00:00:00"/>
    <d v="2023-09-03T00:00:00"/>
    <x v="345"/>
    <n v="4890"/>
    <n v="-2808"/>
    <s v="NA"/>
    <n v="13"/>
    <d v="2023-09-03T00:00:00"/>
    <n v="1"/>
    <n v="424"/>
    <n v="-1.35"/>
    <s v="Outlier"/>
    <n v="2023"/>
    <s v="September"/>
  </r>
  <r>
    <n v="735"/>
    <x v="180"/>
    <x v="3"/>
    <s v="East"/>
    <s v="Standard"/>
    <d v="2022-11-19T00:00:00"/>
    <d v="2023-10-04T00:00:00"/>
    <x v="188"/>
    <n v="1636"/>
    <n v="823"/>
    <s v="Pending"/>
    <n v="10"/>
    <d v="2023-10-04T00:00:00"/>
    <n v="1"/>
    <n v="425"/>
    <n v="0.33"/>
    <s v="Normal"/>
    <n v="2023"/>
    <s v="October"/>
  </r>
  <r>
    <n v="738"/>
    <x v="51"/>
    <x v="0"/>
    <s v="East"/>
    <s v="Premium"/>
    <d v="2022-03-08T00:00:00"/>
    <d v="2022-05-11T00:00:00"/>
    <x v="346"/>
    <n v="1503"/>
    <n v="329"/>
    <s v="NA"/>
    <n v="2"/>
    <d v="2022-05-11T00:00:00"/>
    <n v="1"/>
    <n v="426"/>
    <n v="0.18"/>
    <s v="Normal"/>
    <n v="2022"/>
    <s v="May"/>
  </r>
  <r>
    <n v="739"/>
    <x v="260"/>
    <x v="2"/>
    <s v="South"/>
    <s v="Standard"/>
    <d v="2022-11-29T00:00:00"/>
    <d v="2024-06-12T00:00:00"/>
    <x v="347"/>
    <n v="7099"/>
    <n v="-3921"/>
    <s v="Pending"/>
    <n v="18"/>
    <d v="2024-06-12T00:00:00"/>
    <n v="1"/>
    <n v="427"/>
    <n v="-1.23"/>
    <s v="Outlier"/>
    <n v="2024"/>
    <s v="June"/>
  </r>
  <r>
    <n v="741"/>
    <x v="261"/>
    <x v="1"/>
    <s v="West"/>
    <s v="Basic"/>
    <d v="2022-01-23T00:00:00"/>
    <d v="2023-02-26T00:00:00"/>
    <x v="348"/>
    <n v="3613"/>
    <n v="-24"/>
    <s v="Paid"/>
    <n v="13"/>
    <d v="2023-02-26T00:00:00"/>
    <n v="1"/>
    <n v="428"/>
    <n v="-0.01"/>
    <s v="Normal"/>
    <n v="2023"/>
    <s v="February"/>
  </r>
  <r>
    <n v="742"/>
    <x v="10"/>
    <x v="4"/>
    <s v="East"/>
    <s v="Basic"/>
    <d v="2022-06-21T00:00:00"/>
    <d v="2022-10-13T00:00:00"/>
    <x v="17"/>
    <n v="1736"/>
    <n v="-3572"/>
    <s v="NA"/>
    <n v="3"/>
    <d v="2022-10-13T00:00:00"/>
    <n v="0"/>
    <n v="429"/>
    <n v="-0.72"/>
    <s v="Normal"/>
    <n v="2022"/>
    <s v="October"/>
  </r>
  <r>
    <n v="744"/>
    <x v="149"/>
    <x v="2"/>
    <s v="East"/>
    <s v="Standard"/>
    <d v="2022-07-24T00:00:00"/>
    <d v="2023-04-05T00:00:00"/>
    <x v="349"/>
    <n v="464"/>
    <n v="778"/>
    <s v="NA"/>
    <n v="8"/>
    <d v="2023-04-05T00:00:00"/>
    <n v="1"/>
    <n v="430"/>
    <n v="0.63"/>
    <s v="Normal"/>
    <n v="2023"/>
    <s v="April"/>
  </r>
  <r>
    <n v="747"/>
    <x v="133"/>
    <x v="4"/>
    <s v="North"/>
    <s v="Basic"/>
    <d v="2022-05-28T00:00:00"/>
    <d v="2022-08-08T00:00:00"/>
    <x v="17"/>
    <n v="7509"/>
    <n v="-8200"/>
    <s v="Overdue"/>
    <n v="2"/>
    <d v="2022-08-08T00:00:00"/>
    <n v="1"/>
    <n v="431"/>
    <n v="-1.65"/>
    <s v="Outlier"/>
    <n v="2022"/>
    <s v="August"/>
  </r>
  <r>
    <n v="748"/>
    <x v="262"/>
    <x v="2"/>
    <s v="North"/>
    <s v="Basic"/>
    <d v="2022-04-09T00:00:00"/>
    <d v="2023-08-15T00:00:00"/>
    <x v="350"/>
    <n v="2158"/>
    <n v="-409"/>
    <s v="NA"/>
    <n v="16"/>
    <d v="2023-08-15T00:00:00"/>
    <n v="1"/>
    <n v="432"/>
    <n v="-0.23"/>
    <s v="Normal"/>
    <n v="2023"/>
    <s v="August"/>
  </r>
  <r>
    <n v="749"/>
    <x v="263"/>
    <x v="1"/>
    <s v="East"/>
    <s v="Premium"/>
    <d v="2022-10-21T00:00:00"/>
    <d v="2024-06-05T00:00:00"/>
    <x v="351"/>
    <n v="6531"/>
    <n v="1630"/>
    <s v="NA"/>
    <n v="19"/>
    <d v="2024-06-05T00:00:00"/>
    <n v="0"/>
    <n v="433"/>
    <n v="0.2"/>
    <s v="Normal"/>
    <n v="2024"/>
    <s v="June"/>
  </r>
  <r>
    <n v="751"/>
    <x v="132"/>
    <x v="0"/>
    <s v="West"/>
    <s v="Basic"/>
    <d v="2022-04-05T00:00:00"/>
    <d v="2023-04-25T00:00:00"/>
    <x v="352"/>
    <n v="5308"/>
    <n v="577.01"/>
    <s v="Pending"/>
    <n v="12"/>
    <d v="2023-04-25T00:00:00"/>
    <n v="0"/>
    <n v="434"/>
    <n v="0.09"/>
    <s v="Normal"/>
    <n v="2023"/>
    <s v="April"/>
  </r>
  <r>
    <n v="752"/>
    <x v="137"/>
    <x v="0"/>
    <s v="West"/>
    <s v="Premium"/>
    <d v="2022-02-21T00:00:00"/>
    <d v="2023-06-20T00:00:00"/>
    <x v="353"/>
    <n v="2271"/>
    <n v="6109"/>
    <s v="NA"/>
    <n v="15"/>
    <d v="2023-06-20T00:00:00"/>
    <n v="0"/>
    <n v="435"/>
    <n v="0.73"/>
    <s v="Normal"/>
    <n v="2023"/>
    <s v="June"/>
  </r>
  <r>
    <n v="753"/>
    <x v="25"/>
    <x v="0"/>
    <s v="East"/>
    <s v="Premium"/>
    <d v="2022-05-29T00:00:00"/>
    <d v="2023-07-07T00:00:00"/>
    <x v="259"/>
    <n v="6096"/>
    <n v="2706"/>
    <s v="Pending"/>
    <n v="13"/>
    <d v="2023-07-07T00:00:00"/>
    <n v="0"/>
    <n v="436"/>
    <n v="0.31"/>
    <s v="Normal"/>
    <n v="2023"/>
    <s v="July"/>
  </r>
  <r>
    <n v="754"/>
    <x v="264"/>
    <x v="0"/>
    <s v="North"/>
    <s v="Premium"/>
    <d v="2022-07-17T00:00:00"/>
    <d v="2023-06-05T00:00:00"/>
    <x v="354"/>
    <n v="6121"/>
    <n v="-1493"/>
    <s v="Overdue"/>
    <n v="10"/>
    <d v="2023-06-05T00:00:00"/>
    <n v="1"/>
    <n v="437"/>
    <n v="-0.32"/>
    <s v="Normal"/>
    <n v="2023"/>
    <s v="June"/>
  </r>
  <r>
    <n v="756"/>
    <x v="110"/>
    <x v="3"/>
    <s v="West"/>
    <s v="Standard"/>
    <d v="2022-02-15T00:00:00"/>
    <d v="2022-08-27T00:00:00"/>
    <x v="355"/>
    <n v="1665"/>
    <n v="577.01"/>
    <s v="Pending"/>
    <n v="6"/>
    <d v="2022-08-27T00:00:00"/>
    <n v="1"/>
    <n v="438"/>
    <n v="0.06"/>
    <s v="Normal"/>
    <n v="2022"/>
    <s v="August"/>
  </r>
  <r>
    <n v="757"/>
    <x v="27"/>
    <x v="4"/>
    <s v="West"/>
    <s v="Standard"/>
    <d v="2022-07-08T00:00:00"/>
    <d v="2023-01-06T00:00:00"/>
    <x v="17"/>
    <n v="1772"/>
    <n v="-2069"/>
    <s v="NA"/>
    <n v="5"/>
    <d v="2023-01-06T00:00:00"/>
    <n v="0"/>
    <n v="439"/>
    <n v="-0.42"/>
    <s v="Normal"/>
    <n v="2023"/>
    <s v="January"/>
  </r>
  <r>
    <n v="758"/>
    <x v="265"/>
    <x v="0"/>
    <s v="West"/>
    <s v="Basic"/>
    <d v="2022-09-29T00:00:00"/>
    <d v="2022-10-29T00:00:00"/>
    <x v="356"/>
    <n v="5893"/>
    <n v="979"/>
    <s v="Overdue"/>
    <n v="1"/>
    <d v="2022-10-29T00:00:00"/>
    <n v="0"/>
    <n v="440"/>
    <n v="0.14000000000000001"/>
    <s v="Normal"/>
    <n v="2022"/>
    <s v="October"/>
  </r>
  <r>
    <n v="760"/>
    <x v="160"/>
    <x v="1"/>
    <s v="North"/>
    <s v="Basic"/>
    <d v="2022-11-21T00:00:00"/>
    <d v="2024-01-31T00:00:00"/>
    <x v="357"/>
    <n v="7136"/>
    <n v="-5068"/>
    <s v="Paid"/>
    <n v="14"/>
    <d v="2024-01-31T00:00:00"/>
    <n v="0"/>
    <n v="441"/>
    <n v="-2.4500000000000002"/>
    <s v="Outlier"/>
    <n v="2024"/>
    <s v="January"/>
  </r>
  <r>
    <n v="762"/>
    <x v="138"/>
    <x v="1"/>
    <s v="West"/>
    <s v="Premium"/>
    <d v="2022-09-07T00:00:00"/>
    <d v="2022-12-25T00:00:00"/>
    <x v="358"/>
    <n v="1605"/>
    <n v="577.01"/>
    <s v="Pending"/>
    <n v="3"/>
    <d v="2022-12-25T00:00:00"/>
    <n v="1"/>
    <n v="442"/>
    <n v="0.14000000000000001"/>
    <s v="Normal"/>
    <n v="2022"/>
    <s v="December"/>
  </r>
  <r>
    <n v="763"/>
    <x v="257"/>
    <x v="4"/>
    <s v="North"/>
    <s v="Standard"/>
    <d v="2022-08-15T00:00:00"/>
    <d v="2022-12-21T00:00:00"/>
    <x v="359"/>
    <n v="1946"/>
    <n v="577.01"/>
    <s v="Pending"/>
    <n v="4"/>
    <d v="2022-12-21T00:00:00"/>
    <n v="0"/>
    <n v="443"/>
    <n v="0.08"/>
    <s v="Normal"/>
    <n v="2022"/>
    <s v="December"/>
  </r>
  <r>
    <n v="765"/>
    <x v="40"/>
    <x v="0"/>
    <s v="West"/>
    <s v="Basic"/>
    <d v="2022-10-03T00:00:00"/>
    <d v="2024-02-27T00:00:00"/>
    <x v="360"/>
    <n v="5759"/>
    <n v="-1080"/>
    <s v="Paid"/>
    <n v="16"/>
    <d v="2024-02-27T00:00:00"/>
    <n v="0"/>
    <n v="444"/>
    <n v="-0.23"/>
    <s v="Normal"/>
    <n v="2024"/>
    <s v="February"/>
  </r>
  <r>
    <n v="767"/>
    <x v="11"/>
    <x v="3"/>
    <s v="South"/>
    <s v="Premium"/>
    <d v="2022-02-19T00:00:00"/>
    <d v="2022-05-25T00:00:00"/>
    <x v="361"/>
    <n v="2369"/>
    <n v="3841"/>
    <s v="Overdue"/>
    <n v="3"/>
    <d v="2022-05-25T00:00:00"/>
    <n v="0"/>
    <n v="445"/>
    <n v="0.62"/>
    <s v="Normal"/>
    <n v="2022"/>
    <s v="May"/>
  </r>
  <r>
    <n v="770"/>
    <x v="159"/>
    <x v="3"/>
    <s v="South"/>
    <s v="Basic"/>
    <d v="2022-06-11T00:00:00"/>
    <d v="2023-08-18T00:00:00"/>
    <x v="362"/>
    <n v="963"/>
    <n v="-208"/>
    <s v="NA"/>
    <n v="14"/>
    <d v="2023-08-18T00:00:00"/>
    <n v="1"/>
    <n v="446"/>
    <n v="-0.28000000000000003"/>
    <s v="Normal"/>
    <n v="2023"/>
    <s v="August"/>
  </r>
  <r>
    <n v="773"/>
    <x v="266"/>
    <x v="0"/>
    <s v="South"/>
    <s v="Premium"/>
    <d v="2022-05-13T00:00:00"/>
    <d v="2022-09-29T00:00:00"/>
    <x v="17"/>
    <n v="5617"/>
    <n v="-6709"/>
    <s v="Paid"/>
    <n v="4"/>
    <d v="2022-09-29T00:00:00"/>
    <n v="0"/>
    <n v="447"/>
    <n v="-1.35"/>
    <s v="Outlier"/>
    <n v="2022"/>
    <s v="September"/>
  </r>
  <r>
    <n v="776"/>
    <x v="137"/>
    <x v="3"/>
    <s v="East"/>
    <s v="Basic"/>
    <d v="2022-03-07T00:00:00"/>
    <d v="2023-04-09T00:00:00"/>
    <x v="363"/>
    <n v="7567"/>
    <n v="-2481"/>
    <s v="Pending"/>
    <n v="13"/>
    <d v="2023-04-09T00:00:00"/>
    <n v="1"/>
    <n v="448"/>
    <n v="-0.49"/>
    <s v="Normal"/>
    <n v="2023"/>
    <s v="April"/>
  </r>
  <r>
    <n v="777"/>
    <x v="198"/>
    <x v="0"/>
    <s v="East"/>
    <s v="Premium"/>
    <d v="2022-09-23T00:00:00"/>
    <d v="2023-11-03T00:00:00"/>
    <x v="17"/>
    <n v="5550"/>
    <n v="-6225"/>
    <s v="Paid"/>
    <n v="13"/>
    <d v="2023-11-03T00:00:00"/>
    <n v="1"/>
    <n v="449"/>
    <n v="-1.25"/>
    <s v="Outlier"/>
    <n v="2023"/>
    <s v="November"/>
  </r>
  <r>
    <n v="778"/>
    <x v="102"/>
    <x v="0"/>
    <s v="East"/>
    <s v="Premium"/>
    <d v="2022-06-18T00:00:00"/>
    <d v="2023-10-24T00:00:00"/>
    <x v="364"/>
    <n v="1974"/>
    <n v="1113"/>
    <s v="Pending"/>
    <n v="16"/>
    <d v="2023-10-24T00:00:00"/>
    <n v="1"/>
    <n v="450"/>
    <n v="0.36"/>
    <s v="Normal"/>
    <n v="2023"/>
    <s v="October"/>
  </r>
  <r>
    <n v="780"/>
    <x v="267"/>
    <x v="4"/>
    <s v="North"/>
    <s v="Standard"/>
    <d v="2022-06-27T00:00:00"/>
    <d v="2022-11-12T00:00:00"/>
    <x v="17"/>
    <n v="1160"/>
    <n v="-2139"/>
    <s v="Pending"/>
    <n v="4"/>
    <d v="2022-11-12T00:00:00"/>
    <n v="0"/>
    <n v="451"/>
    <n v="-0.43"/>
    <s v="Normal"/>
    <n v="2022"/>
    <s v="November"/>
  </r>
  <r>
    <n v="781"/>
    <x v="268"/>
    <x v="2"/>
    <s v="South"/>
    <s v="Standard"/>
    <d v="2022-07-09T00:00:00"/>
    <d v="2023-01-12T00:00:00"/>
    <x v="365"/>
    <n v="1704"/>
    <n v="-1292"/>
    <s v="Pending"/>
    <n v="6"/>
    <d v="2023-01-12T00:00:00"/>
    <n v="1"/>
    <n v="452"/>
    <n v="-3.14"/>
    <s v="Outlier"/>
    <n v="2023"/>
    <s v="January"/>
  </r>
  <r>
    <n v="782"/>
    <x v="192"/>
    <x v="0"/>
    <s v="West"/>
    <s v="Standard"/>
    <d v="2022-06-16T00:00:00"/>
    <d v="2023-03-03T00:00:00"/>
    <x v="366"/>
    <n v="3525"/>
    <n v="-597"/>
    <s v="NA"/>
    <n v="8"/>
    <d v="2023-03-03T00:00:00"/>
    <n v="0"/>
    <n v="453"/>
    <n v="-0.2"/>
    <s v="Normal"/>
    <n v="2023"/>
    <s v="March"/>
  </r>
  <r>
    <n v="783"/>
    <x v="269"/>
    <x v="1"/>
    <s v="South"/>
    <s v="Premium"/>
    <d v="2023-01-01T00:00:00"/>
    <d v="2024-04-27T00:00:00"/>
    <x v="367"/>
    <n v="3270"/>
    <n v="-2472"/>
    <s v="Overdue"/>
    <n v="15"/>
    <d v="2024-04-27T00:00:00"/>
    <n v="0"/>
    <n v="454"/>
    <n v="-3.1"/>
    <s v="Outlier"/>
    <n v="2024"/>
    <s v="April"/>
  </r>
  <r>
    <n v="784"/>
    <x v="208"/>
    <x v="2"/>
    <s v="West"/>
    <s v="Premium"/>
    <d v="2022-06-02T00:00:00"/>
    <d v="2023-10-18T00:00:00"/>
    <x v="368"/>
    <n v="842"/>
    <n v="5303"/>
    <s v="Paid"/>
    <n v="16"/>
    <d v="2023-10-18T00:00:00"/>
    <n v="0"/>
    <n v="455"/>
    <n v="0.86"/>
    <s v="Normal"/>
    <n v="2023"/>
    <s v="October"/>
  </r>
  <r>
    <n v="786"/>
    <x v="270"/>
    <x v="3"/>
    <s v="North"/>
    <s v="Standard"/>
    <d v="2022-10-19T00:00:00"/>
    <d v="2024-01-25T00:00:00"/>
    <x v="17"/>
    <n v="3621"/>
    <n v="-5479"/>
    <s v="Paid"/>
    <n v="15"/>
    <d v="2024-01-25T00:00:00"/>
    <n v="1"/>
    <n v="456"/>
    <n v="-1.1000000000000001"/>
    <s v="Outlier"/>
    <n v="2024"/>
    <s v="January"/>
  </r>
  <r>
    <n v="787"/>
    <x v="271"/>
    <x v="0"/>
    <s v="East"/>
    <s v="Premium"/>
    <d v="2022-11-01T00:00:00"/>
    <d v="2023-12-09T00:00:00"/>
    <x v="369"/>
    <n v="3261"/>
    <n v="577.01"/>
    <s v="Pending"/>
    <n v="13"/>
    <d v="2023-12-09T00:00:00"/>
    <n v="0"/>
    <n v="457"/>
    <n v="0.1"/>
    <s v="Normal"/>
    <n v="2023"/>
    <s v="December"/>
  </r>
  <r>
    <n v="791"/>
    <x v="247"/>
    <x v="1"/>
    <s v="East"/>
    <s v="Premium"/>
    <d v="2022-09-19T00:00:00"/>
    <d v="2023-05-22T00:00:00"/>
    <x v="370"/>
    <n v="1806"/>
    <n v="-928"/>
    <s v="Pending"/>
    <n v="8"/>
    <d v="2023-05-22T00:00:00"/>
    <n v="0"/>
    <n v="458"/>
    <n v="-1.06"/>
    <s v="Outlier"/>
    <n v="2023"/>
    <s v="May"/>
  </r>
  <r>
    <n v="794"/>
    <x v="272"/>
    <x v="2"/>
    <s v="East"/>
    <s v="Premium"/>
    <d v="2022-08-02T00:00:00"/>
    <d v="2023-09-12T00:00:00"/>
    <x v="371"/>
    <n v="4222"/>
    <n v="2444"/>
    <s v="Pending"/>
    <n v="13"/>
    <d v="2023-09-12T00:00:00"/>
    <n v="0"/>
    <n v="459"/>
    <n v="0.37"/>
    <s v="Normal"/>
    <n v="2023"/>
    <s v="September"/>
  </r>
  <r>
    <n v="796"/>
    <x v="273"/>
    <x v="2"/>
    <s v="North"/>
    <s v="Basic"/>
    <d v="2022-01-29T00:00:00"/>
    <d v="2022-05-22T00:00:00"/>
    <x v="372"/>
    <n v="6861"/>
    <n v="-5899"/>
    <s v="Pending"/>
    <n v="3"/>
    <d v="2022-05-22T00:00:00"/>
    <n v="0"/>
    <n v="460"/>
    <n v="-6.13"/>
    <s v="Outlier"/>
    <n v="2022"/>
    <s v="May"/>
  </r>
  <r>
    <n v="800"/>
    <x v="10"/>
    <x v="1"/>
    <s v="North"/>
    <s v="Premium"/>
    <d v="2022-01-08T00:00:00"/>
    <d v="2022-04-09T00:00:00"/>
    <x v="373"/>
    <n v="2540"/>
    <n v="5937"/>
    <s v="NA"/>
    <n v="3"/>
    <d v="2022-04-09T00:00:00"/>
    <n v="1"/>
    <n v="461"/>
    <n v="0.7"/>
    <s v="Normal"/>
    <n v="2022"/>
    <s v="April"/>
  </r>
  <r>
    <n v="802"/>
    <x v="274"/>
    <x v="3"/>
    <s v="North"/>
    <s v="Standard"/>
    <d v="2022-09-06T00:00:00"/>
    <d v="2023-03-04T00:00:00"/>
    <x v="17"/>
    <n v="6092"/>
    <n v="-6854"/>
    <s v="NA"/>
    <n v="5"/>
    <d v="2023-03-04T00:00:00"/>
    <n v="0"/>
    <n v="462"/>
    <n v="-1.38"/>
    <s v="Outlier"/>
    <n v="2023"/>
    <s v="March"/>
  </r>
  <r>
    <n v="803"/>
    <x v="37"/>
    <x v="1"/>
    <s v="North"/>
    <s v="Standard"/>
    <d v="2022-12-30T00:00:00"/>
    <d v="2023-05-25T00:00:00"/>
    <x v="374"/>
    <n v="6422"/>
    <n v="919"/>
    <s v="Overdue"/>
    <n v="4"/>
    <d v="2023-05-25T00:00:00"/>
    <n v="0"/>
    <n v="463"/>
    <n v="0.13"/>
    <s v="Normal"/>
    <n v="2023"/>
    <s v="May"/>
  </r>
  <r>
    <n v="805"/>
    <x v="101"/>
    <x v="2"/>
    <s v="South"/>
    <s v="Standard"/>
    <d v="2022-03-07T00:00:00"/>
    <d v="2022-06-01T00:00:00"/>
    <x v="375"/>
    <n v="878"/>
    <n v="4554"/>
    <s v="Overdue"/>
    <n v="2"/>
    <d v="2022-06-01T00:00:00"/>
    <n v="1"/>
    <n v="464"/>
    <n v="0.84"/>
    <s v="Normal"/>
    <n v="2022"/>
    <s v="June"/>
  </r>
  <r>
    <n v="806"/>
    <x v="133"/>
    <x v="4"/>
    <s v="North"/>
    <s v="Basic"/>
    <d v="2022-11-11T00:00:00"/>
    <d v="2023-05-31T00:00:00"/>
    <x v="376"/>
    <n v="3973"/>
    <n v="577.01"/>
    <s v="NA"/>
    <n v="6"/>
    <d v="2023-05-31T00:00:00"/>
    <n v="0"/>
    <n v="465"/>
    <n v="0.83"/>
    <s v="Normal"/>
    <n v="2023"/>
    <s v="May"/>
  </r>
  <r>
    <n v="807"/>
    <x v="126"/>
    <x v="2"/>
    <s v="North"/>
    <s v="Basic"/>
    <d v="2022-10-24T00:00:00"/>
    <d v="2023-02-11T00:00:00"/>
    <x v="377"/>
    <n v="7472"/>
    <n v="-474"/>
    <s v="Overdue"/>
    <n v="3"/>
    <d v="2023-02-11T00:00:00"/>
    <n v="0"/>
    <n v="466"/>
    <n v="-7.0000000000000007E-2"/>
    <s v="Normal"/>
    <n v="2023"/>
    <s v="February"/>
  </r>
  <r>
    <n v="809"/>
    <x v="234"/>
    <x v="0"/>
    <s v="East"/>
    <s v="Basic"/>
    <d v="2022-06-08T00:00:00"/>
    <d v="2023-04-03T00:00:00"/>
    <x v="378"/>
    <n v="4696"/>
    <n v="-3451"/>
    <s v="NA"/>
    <n v="9"/>
    <d v="2023-04-03T00:00:00"/>
    <n v="0"/>
    <n v="467"/>
    <n v="-2.77"/>
    <s v="Outlier"/>
    <n v="2023"/>
    <s v="April"/>
  </r>
  <r>
    <n v="810"/>
    <x v="188"/>
    <x v="1"/>
    <s v="East"/>
    <s v="Premium"/>
    <d v="2022-05-26T00:00:00"/>
    <d v="2022-10-14T00:00:00"/>
    <x v="17"/>
    <n v="151"/>
    <n v="-498"/>
    <s v="Paid"/>
    <n v="4"/>
    <d v="2022-10-14T00:00:00"/>
    <n v="0"/>
    <n v="468"/>
    <n v="-0.1"/>
    <s v="Normal"/>
    <n v="2022"/>
    <s v="October"/>
  </r>
  <r>
    <n v="813"/>
    <x v="94"/>
    <x v="1"/>
    <s v="West"/>
    <s v="Standard"/>
    <d v="2022-11-02T00:00:00"/>
    <d v="2023-10-12T00:00:00"/>
    <x v="116"/>
    <n v="4162"/>
    <n v="-2428"/>
    <s v="Pending"/>
    <n v="11"/>
    <d v="2023-10-12T00:00:00"/>
    <n v="1"/>
    <n v="469"/>
    <n v="-1.4"/>
    <s v="Outlier"/>
    <n v="2023"/>
    <s v="October"/>
  </r>
  <r>
    <n v="816"/>
    <x v="59"/>
    <x v="1"/>
    <s v="East"/>
    <s v="Basic"/>
    <d v="2022-09-14T00:00:00"/>
    <d v="2023-06-08T00:00:00"/>
    <x v="379"/>
    <n v="7215"/>
    <n v="-5675"/>
    <s v="Paid"/>
    <n v="8"/>
    <d v="2023-06-08T00:00:00"/>
    <n v="0"/>
    <n v="470"/>
    <n v="-3.69"/>
    <s v="Outlier"/>
    <n v="2023"/>
    <s v="June"/>
  </r>
  <r>
    <n v="822"/>
    <x v="52"/>
    <x v="4"/>
    <s v="North"/>
    <s v="Standard"/>
    <d v="2022-11-02T00:00:00"/>
    <d v="2023-06-03T00:00:00"/>
    <x v="380"/>
    <n v="5873"/>
    <n v="3933"/>
    <s v="NA"/>
    <n v="7"/>
    <d v="2023-06-03T00:00:00"/>
    <n v="1"/>
    <n v="471"/>
    <n v="0.4"/>
    <s v="Normal"/>
    <n v="2023"/>
    <s v="June"/>
  </r>
  <r>
    <n v="825"/>
    <x v="204"/>
    <x v="0"/>
    <s v="West"/>
    <s v="Basic"/>
    <d v="2022-05-02T00:00:00"/>
    <d v="2023-12-02T00:00:00"/>
    <x v="381"/>
    <n v="3336"/>
    <n v="3950"/>
    <s v="Paid"/>
    <n v="19"/>
    <d v="2023-12-02T00:00:00"/>
    <n v="1"/>
    <n v="472"/>
    <n v="0.54"/>
    <s v="Normal"/>
    <n v="2023"/>
    <s v="December"/>
  </r>
  <r>
    <n v="828"/>
    <x v="275"/>
    <x v="1"/>
    <s v="North"/>
    <s v="Standard"/>
    <d v="2022-05-26T00:00:00"/>
    <d v="2022-10-21T00:00:00"/>
    <x v="382"/>
    <n v="6172"/>
    <n v="941"/>
    <s v="Pending"/>
    <n v="4"/>
    <d v="2022-10-21T00:00:00"/>
    <n v="0"/>
    <n v="473"/>
    <n v="0.13"/>
    <s v="Normal"/>
    <n v="2022"/>
    <s v="October"/>
  </r>
  <r>
    <n v="829"/>
    <x v="276"/>
    <x v="1"/>
    <s v="West"/>
    <s v="Basic"/>
    <d v="2022-03-04T00:00:00"/>
    <d v="2022-09-23T00:00:00"/>
    <x v="383"/>
    <n v="4012.75"/>
    <n v="8094"/>
    <s v="Paid"/>
    <n v="6"/>
    <d v="2022-09-23T00:00:00"/>
    <n v="1"/>
    <n v="474"/>
    <n v="1"/>
    <s v="Outlier"/>
    <n v="2022"/>
    <s v="September"/>
  </r>
  <r>
    <n v="831"/>
    <x v="147"/>
    <x v="2"/>
    <s v="East"/>
    <s v="Standard"/>
    <d v="2022-03-04T00:00:00"/>
    <d v="2022-10-06T00:00:00"/>
    <x v="384"/>
    <n v="3760"/>
    <n v="-2822"/>
    <s v="Paid"/>
    <n v="7"/>
    <d v="2022-10-06T00:00:00"/>
    <n v="0"/>
    <n v="475"/>
    <n v="-3.01"/>
    <s v="Outlier"/>
    <n v="2022"/>
    <s v="October"/>
  </r>
  <r>
    <n v="832"/>
    <x v="171"/>
    <x v="0"/>
    <s v="East"/>
    <s v="Basic"/>
    <d v="2022-02-02T00:00:00"/>
    <d v="2022-06-19T00:00:00"/>
    <x v="385"/>
    <n v="5130"/>
    <n v="-4795"/>
    <s v="Paid"/>
    <n v="4"/>
    <d v="2022-06-19T00:00:00"/>
    <n v="1"/>
    <n v="476"/>
    <n v="-14.31"/>
    <s v="Outlier"/>
    <n v="2022"/>
    <s v="June"/>
  </r>
  <r>
    <n v="834"/>
    <x v="175"/>
    <x v="3"/>
    <s v="South"/>
    <s v="Premium"/>
    <d v="2022-11-05T00:00:00"/>
    <d v="2024-01-25T00:00:00"/>
    <x v="386"/>
    <n v="7154"/>
    <n v="-7084"/>
    <s v="Overdue"/>
    <n v="14"/>
    <d v="2024-01-25T00:00:00"/>
    <n v="1"/>
    <n v="477"/>
    <n v="-101.2"/>
    <s v="Outlier"/>
    <n v="2024"/>
    <s v="January"/>
  </r>
  <r>
    <n v="835"/>
    <x v="277"/>
    <x v="0"/>
    <s v="East"/>
    <s v="Premium"/>
    <d v="2022-01-22T00:00:00"/>
    <d v="2023-01-06T00:00:00"/>
    <x v="387"/>
    <n v="2806"/>
    <n v="577.01"/>
    <s v="NA"/>
    <n v="11"/>
    <d v="2023-01-06T00:00:00"/>
    <n v="1"/>
    <n v="478"/>
    <n v="0.08"/>
    <s v="Normal"/>
    <n v="2023"/>
    <s v="January"/>
  </r>
  <r>
    <n v="836"/>
    <x v="57"/>
    <x v="1"/>
    <s v="West"/>
    <s v="Standard"/>
    <d v="2022-08-07T00:00:00"/>
    <d v="2023-08-23T00:00:00"/>
    <x v="388"/>
    <n v="6311"/>
    <n v="3362"/>
    <s v="Overdue"/>
    <n v="12"/>
    <d v="2023-08-23T00:00:00"/>
    <n v="1"/>
    <n v="479"/>
    <n v="0.35"/>
    <s v="Normal"/>
    <n v="2023"/>
    <s v="August"/>
  </r>
  <r>
    <n v="837"/>
    <x v="278"/>
    <x v="3"/>
    <s v="South"/>
    <s v="Premium"/>
    <d v="2022-01-28T00:00:00"/>
    <d v="2023-07-11T00:00:00"/>
    <x v="17"/>
    <n v="7185"/>
    <n v="-8708"/>
    <s v="Paid"/>
    <n v="17"/>
    <d v="2023-07-11T00:00:00"/>
    <n v="1"/>
    <n v="480"/>
    <n v="-1.75"/>
    <s v="Outlier"/>
    <n v="2023"/>
    <s v="July"/>
  </r>
  <r>
    <n v="838"/>
    <x v="279"/>
    <x v="4"/>
    <s v="East"/>
    <s v="Basic"/>
    <d v="2022-08-29T00:00:00"/>
    <d v="2023-03-30T00:00:00"/>
    <x v="389"/>
    <n v="4554"/>
    <n v="549"/>
    <s v="Paid"/>
    <n v="7"/>
    <d v="2023-03-30T00:00:00"/>
    <n v="1"/>
    <n v="481"/>
    <n v="0.11"/>
    <s v="Normal"/>
    <n v="2023"/>
    <s v="March"/>
  </r>
  <r>
    <n v="839"/>
    <x v="280"/>
    <x v="1"/>
    <s v="West"/>
    <s v="Premium"/>
    <d v="2022-05-31T00:00:00"/>
    <d v="2023-01-16T00:00:00"/>
    <x v="17"/>
    <n v="1918"/>
    <n v="-2469"/>
    <s v="Pending"/>
    <n v="7"/>
    <d v="2023-01-16T00:00:00"/>
    <n v="1"/>
    <n v="482"/>
    <n v="-0.5"/>
    <s v="Normal"/>
    <n v="2023"/>
    <s v="January"/>
  </r>
  <r>
    <n v="840"/>
    <x v="91"/>
    <x v="1"/>
    <s v="East"/>
    <s v="Premium"/>
    <d v="2022-02-23T00:00:00"/>
    <d v="2023-04-30T00:00:00"/>
    <x v="390"/>
    <n v="4880"/>
    <n v="-1891"/>
    <s v="Paid"/>
    <n v="14"/>
    <d v="2023-04-30T00:00:00"/>
    <n v="1"/>
    <n v="483"/>
    <n v="-0.63"/>
    <s v="Normal"/>
    <n v="2023"/>
    <s v="April"/>
  </r>
  <r>
    <n v="841"/>
    <x v="171"/>
    <x v="0"/>
    <s v="West"/>
    <s v="Premium"/>
    <d v="2022-04-24T00:00:00"/>
    <d v="2023-06-02T00:00:00"/>
    <x v="391"/>
    <n v="5168"/>
    <n v="3145"/>
    <s v="Pending"/>
    <n v="13"/>
    <d v="2023-06-02T00:00:00"/>
    <n v="1"/>
    <n v="484"/>
    <n v="0.38"/>
    <s v="Normal"/>
    <n v="2023"/>
    <s v="June"/>
  </r>
  <r>
    <n v="842"/>
    <x v="281"/>
    <x v="3"/>
    <s v="West"/>
    <s v="Standard"/>
    <d v="2022-05-28T00:00:00"/>
    <d v="2023-07-09T00:00:00"/>
    <x v="392"/>
    <n v="7950"/>
    <n v="-4629"/>
    <s v="Overdue"/>
    <n v="13"/>
    <d v="2023-07-09T00:00:00"/>
    <n v="0"/>
    <n v="485"/>
    <n v="-1.39"/>
    <s v="Outlier"/>
    <n v="2023"/>
    <s v="July"/>
  </r>
  <r>
    <n v="844"/>
    <x v="246"/>
    <x v="2"/>
    <s v="North"/>
    <s v="Premium"/>
    <d v="2022-06-13T00:00:00"/>
    <d v="2023-03-16T00:00:00"/>
    <x v="393"/>
    <n v="4622"/>
    <n v="102"/>
    <s v="Overdue"/>
    <n v="9"/>
    <d v="2023-03-16T00:00:00"/>
    <n v="1"/>
    <n v="486"/>
    <n v="0.02"/>
    <s v="Normal"/>
    <n v="2023"/>
    <s v="March"/>
  </r>
  <r>
    <n v="845"/>
    <x v="282"/>
    <x v="3"/>
    <s v="North"/>
    <s v="Standard"/>
    <d v="2022-05-17T00:00:00"/>
    <d v="2022-07-07T00:00:00"/>
    <x v="394"/>
    <n v="6854"/>
    <n v="577.01"/>
    <s v="Overdue"/>
    <n v="1"/>
    <d v="2022-07-07T00:00:00"/>
    <n v="0"/>
    <n v="487"/>
    <n v="0.08"/>
    <s v="Normal"/>
    <n v="2022"/>
    <s v="July"/>
  </r>
  <r>
    <n v="846"/>
    <x v="244"/>
    <x v="3"/>
    <s v="North"/>
    <s v="Standard"/>
    <d v="2022-09-07T00:00:00"/>
    <d v="2022-10-12T00:00:00"/>
    <x v="395"/>
    <n v="5896"/>
    <n v="3297"/>
    <s v="Overdue"/>
    <n v="1"/>
    <d v="2022-10-12T00:00:00"/>
    <n v="0"/>
    <n v="488"/>
    <n v="0.36"/>
    <s v="Normal"/>
    <n v="2022"/>
    <s v="October"/>
  </r>
  <r>
    <n v="847"/>
    <x v="283"/>
    <x v="3"/>
    <s v="West"/>
    <s v="Standard"/>
    <d v="2022-12-16T00:00:00"/>
    <d v="2023-07-22T00:00:00"/>
    <x v="396"/>
    <n v="6696"/>
    <n v="-1172"/>
    <s v="Overdue"/>
    <n v="7"/>
    <d v="2023-07-22T00:00:00"/>
    <n v="0"/>
    <n v="489"/>
    <n v="-0.21"/>
    <s v="Normal"/>
    <n v="2023"/>
    <s v="July"/>
  </r>
  <r>
    <n v="848"/>
    <x v="284"/>
    <x v="4"/>
    <s v="North"/>
    <s v="Standard"/>
    <d v="2022-07-19T00:00:00"/>
    <d v="2023-05-06T00:00:00"/>
    <x v="397"/>
    <n v="4012.75"/>
    <n v="3690"/>
    <s v="Paid"/>
    <n v="9"/>
    <d v="2023-05-06T00:00:00"/>
    <n v="0"/>
    <n v="490"/>
    <n v="1.02"/>
    <s v="Outlier"/>
    <n v="2023"/>
    <s v="May"/>
  </r>
  <r>
    <n v="849"/>
    <x v="116"/>
    <x v="0"/>
    <s v="East"/>
    <s v="Premium"/>
    <d v="2022-12-06T00:00:00"/>
    <d v="2023-12-23T00:00:00"/>
    <x v="398"/>
    <n v="4012.75"/>
    <n v="1839"/>
    <s v="Overdue"/>
    <n v="12"/>
    <d v="2023-12-23T00:00:00"/>
    <n v="0"/>
    <n v="491"/>
    <n v="1.17"/>
    <s v="Outlier"/>
    <n v="2023"/>
    <s v="December"/>
  </r>
  <r>
    <n v="850"/>
    <x v="100"/>
    <x v="4"/>
    <s v="South"/>
    <s v="Standard"/>
    <d v="2022-08-26T00:00:00"/>
    <d v="2022-11-28T00:00:00"/>
    <x v="399"/>
    <n v="4550"/>
    <n v="-721"/>
    <s v="Paid"/>
    <n v="3"/>
    <d v="2022-11-28T00:00:00"/>
    <n v="1"/>
    <n v="492"/>
    <n v="-0.19"/>
    <s v="Normal"/>
    <n v="2022"/>
    <s v="November"/>
  </r>
  <r>
    <n v="852"/>
    <x v="227"/>
    <x v="3"/>
    <s v="East"/>
    <s v="Basic"/>
    <d v="2022-07-22T00:00:00"/>
    <d v="2022-09-23T00:00:00"/>
    <x v="17"/>
    <n v="7118"/>
    <n v="577.01"/>
    <s v="Pending"/>
    <n v="2"/>
    <d v="2022-09-23T00:00:00"/>
    <n v="1"/>
    <n v="493"/>
    <n v="0.12"/>
    <s v="Normal"/>
    <n v="2022"/>
    <s v="September"/>
  </r>
  <r>
    <n v="853"/>
    <x v="285"/>
    <x v="1"/>
    <s v="North"/>
    <s v="Premium"/>
    <d v="2022-03-16T00:00:00"/>
    <d v="2022-06-04T00:00:00"/>
    <x v="400"/>
    <n v="474"/>
    <n v="7262"/>
    <s v="NA"/>
    <n v="2"/>
    <d v="2022-06-04T00:00:00"/>
    <n v="0"/>
    <n v="494"/>
    <n v="0.94"/>
    <s v="Normal"/>
    <n v="2022"/>
    <s v="June"/>
  </r>
  <r>
    <n v="857"/>
    <x v="252"/>
    <x v="0"/>
    <s v="South"/>
    <s v="Basic"/>
    <d v="2022-10-17T00:00:00"/>
    <d v="2022-12-23T00:00:00"/>
    <x v="401"/>
    <n v="451"/>
    <n v="577.01"/>
    <s v="Pending"/>
    <n v="2"/>
    <d v="2022-12-23T00:00:00"/>
    <n v="0"/>
    <n v="495"/>
    <n v="0.11"/>
    <s v="Normal"/>
    <n v="2022"/>
    <s v="December"/>
  </r>
  <r>
    <n v="858"/>
    <x v="286"/>
    <x v="3"/>
    <s v="South"/>
    <s v="Standard"/>
    <d v="2022-02-14T00:00:00"/>
    <d v="2023-02-25T00:00:00"/>
    <x v="402"/>
    <n v="6832"/>
    <n v="3035"/>
    <s v="Pending"/>
    <n v="12"/>
    <d v="2023-02-25T00:00:00"/>
    <n v="1"/>
    <n v="496"/>
    <n v="0.31"/>
    <s v="Normal"/>
    <n v="2023"/>
    <s v="February"/>
  </r>
  <r>
    <n v="859"/>
    <x v="96"/>
    <x v="3"/>
    <s v="West"/>
    <s v="Premium"/>
    <d v="2022-02-10T00:00:00"/>
    <d v="2022-11-30T00:00:00"/>
    <x v="403"/>
    <n v="186"/>
    <n v="4717"/>
    <s v="Overdue"/>
    <n v="9"/>
    <d v="2022-11-30T00:00:00"/>
    <n v="0"/>
    <n v="497"/>
    <n v="0.96"/>
    <s v="Normal"/>
    <n v="2022"/>
    <s v="November"/>
  </r>
  <r>
    <n v="860"/>
    <x v="287"/>
    <x v="3"/>
    <s v="South"/>
    <s v="Basic"/>
    <d v="2022-01-27T00:00:00"/>
    <d v="2022-07-15T00:00:00"/>
    <x v="404"/>
    <n v="36"/>
    <n v="577.01"/>
    <s v="Paid"/>
    <n v="5"/>
    <d v="2022-07-15T00:00:00"/>
    <n v="1"/>
    <n v="498"/>
    <n v="0.06"/>
    <s v="Normal"/>
    <n v="2022"/>
    <s v="July"/>
  </r>
  <r>
    <n v="861"/>
    <x v="288"/>
    <x v="2"/>
    <s v="West"/>
    <s v="Standard"/>
    <d v="2022-12-01T00:00:00"/>
    <d v="2024-04-17T00:00:00"/>
    <x v="405"/>
    <n v="5687"/>
    <n v="-4574"/>
    <s v="Pending"/>
    <n v="16"/>
    <d v="2024-04-17T00:00:00"/>
    <n v="1"/>
    <n v="499"/>
    <n v="-4.1100000000000003"/>
    <s v="Outlier"/>
    <n v="2024"/>
    <s v="April"/>
  </r>
  <r>
    <n v="862"/>
    <x v="140"/>
    <x v="2"/>
    <s v="South"/>
    <s v="Basic"/>
    <d v="2022-01-28T00:00:00"/>
    <d v="2023-09-11T00:00:00"/>
    <x v="406"/>
    <n v="6182"/>
    <n v="-2444"/>
    <s v="Pending"/>
    <n v="19"/>
    <d v="2023-09-11T00:00:00"/>
    <n v="0"/>
    <n v="500"/>
    <n v="-0.65"/>
    <s v="Normal"/>
    <n v="2023"/>
    <s v="September"/>
  </r>
  <r>
    <n v="866"/>
    <x v="206"/>
    <x v="0"/>
    <s v="North"/>
    <s v="Basic"/>
    <d v="2022-01-09T00:00:00"/>
    <d v="2022-03-15T00:00:00"/>
    <x v="407"/>
    <n v="4012.75"/>
    <n v="3979"/>
    <s v="Paid"/>
    <n v="2"/>
    <d v="2022-03-15T00:00:00"/>
    <n v="0"/>
    <n v="501"/>
    <n v="1.1200000000000001"/>
    <s v="Outlier"/>
    <n v="2022"/>
    <s v="March"/>
  </r>
  <r>
    <n v="867"/>
    <x v="289"/>
    <x v="0"/>
    <s v="North"/>
    <s v="Premium"/>
    <d v="2022-01-19T00:00:00"/>
    <d v="2023-01-05T00:00:00"/>
    <x v="408"/>
    <n v="737"/>
    <n v="388"/>
    <s v="Paid"/>
    <n v="11"/>
    <d v="2023-01-05T00:00:00"/>
    <n v="1"/>
    <n v="502"/>
    <n v="0.34"/>
    <s v="Normal"/>
    <n v="2023"/>
    <s v="January"/>
  </r>
  <r>
    <n v="868"/>
    <x v="7"/>
    <x v="4"/>
    <s v="East"/>
    <s v="Standard"/>
    <d v="2022-08-30T00:00:00"/>
    <d v="2023-06-13T00:00:00"/>
    <x v="17"/>
    <n v="4012.75"/>
    <n v="357"/>
    <s v="Paid"/>
    <n v="9"/>
    <d v="2023-06-13T00:00:00"/>
    <n v="1"/>
    <n v="503"/>
    <n v="7.0000000000000007E-2"/>
    <s v="Normal"/>
    <n v="2023"/>
    <s v="June"/>
  </r>
  <r>
    <n v="870"/>
    <x v="222"/>
    <x v="0"/>
    <s v="North"/>
    <s v="Basic"/>
    <d v="2022-02-23T00:00:00"/>
    <d v="2023-09-27T00:00:00"/>
    <x v="17"/>
    <n v="6028"/>
    <n v="-7734"/>
    <s v="Overdue"/>
    <n v="19"/>
    <d v="2023-09-27T00:00:00"/>
    <n v="0"/>
    <n v="504"/>
    <n v="-1.56"/>
    <s v="Outlier"/>
    <n v="2023"/>
    <s v="September"/>
  </r>
  <r>
    <n v="872"/>
    <x v="290"/>
    <x v="4"/>
    <s v="North"/>
    <s v="Premium"/>
    <d v="2022-05-23T00:00:00"/>
    <d v="2022-08-14T00:00:00"/>
    <x v="409"/>
    <n v="6320"/>
    <n v="-749"/>
    <s v="Pending"/>
    <n v="2"/>
    <d v="2022-08-14T00:00:00"/>
    <n v="0"/>
    <n v="505"/>
    <n v="-0.13"/>
    <s v="Normal"/>
    <n v="2022"/>
    <s v="August"/>
  </r>
  <r>
    <n v="873"/>
    <x v="47"/>
    <x v="2"/>
    <s v="West"/>
    <s v="Basic"/>
    <d v="2022-12-03T00:00:00"/>
    <d v="2023-10-20T00:00:00"/>
    <x v="17"/>
    <n v="3504"/>
    <n v="-4215"/>
    <s v="NA"/>
    <n v="10"/>
    <d v="2023-10-20T00:00:00"/>
    <n v="0"/>
    <n v="506"/>
    <n v="-0.85"/>
    <s v="Normal"/>
    <n v="2023"/>
    <s v="October"/>
  </r>
  <r>
    <n v="874"/>
    <x v="280"/>
    <x v="3"/>
    <s v="East"/>
    <s v="Premium"/>
    <d v="2022-07-12T00:00:00"/>
    <d v="2023-08-11T00:00:00"/>
    <x v="410"/>
    <n v="7840"/>
    <n v="-1212"/>
    <s v="Pending"/>
    <n v="12"/>
    <d v="2023-08-11T00:00:00"/>
    <n v="0"/>
    <n v="507"/>
    <n v="-0.18"/>
    <s v="Normal"/>
    <n v="2023"/>
    <s v="August"/>
  </r>
  <r>
    <n v="875"/>
    <x v="140"/>
    <x v="4"/>
    <s v="West"/>
    <s v="Premium"/>
    <d v="2022-03-23T00:00:00"/>
    <d v="2023-08-19T00:00:00"/>
    <x v="411"/>
    <n v="5255"/>
    <n v="1177"/>
    <s v="Pending"/>
    <n v="16"/>
    <d v="2023-08-19T00:00:00"/>
    <n v="0"/>
    <n v="508"/>
    <n v="0.18"/>
    <s v="Normal"/>
    <n v="2023"/>
    <s v="August"/>
  </r>
  <r>
    <n v="878"/>
    <x v="264"/>
    <x v="2"/>
    <s v="South"/>
    <s v="Basic"/>
    <d v="2022-10-25T00:00:00"/>
    <d v="2023-06-03T00:00:00"/>
    <x v="412"/>
    <n v="2798"/>
    <n v="1679"/>
    <s v="Paid"/>
    <n v="7"/>
    <d v="2023-06-03T00:00:00"/>
    <n v="1"/>
    <n v="509"/>
    <n v="0.38"/>
    <s v="Normal"/>
    <n v="2023"/>
    <s v="June"/>
  </r>
  <r>
    <n v="879"/>
    <x v="221"/>
    <x v="0"/>
    <s v="North"/>
    <s v="Basic"/>
    <d v="2022-10-21T00:00:00"/>
    <d v="2024-04-20T00:00:00"/>
    <x v="413"/>
    <n v="2566"/>
    <n v="3103"/>
    <s v="NA"/>
    <n v="17"/>
    <d v="2024-04-20T00:00:00"/>
    <n v="1"/>
    <n v="510"/>
    <n v="0.55000000000000004"/>
    <s v="Normal"/>
    <n v="2024"/>
    <s v="April"/>
  </r>
  <r>
    <n v="880"/>
    <x v="291"/>
    <x v="1"/>
    <s v="South"/>
    <s v="Basic"/>
    <d v="2022-02-21T00:00:00"/>
    <d v="2023-01-07T00:00:00"/>
    <x v="414"/>
    <n v="5151"/>
    <n v="-1109"/>
    <s v="Paid"/>
    <n v="10"/>
    <d v="2023-01-07T00:00:00"/>
    <n v="1"/>
    <n v="511"/>
    <n v="-0.27"/>
    <s v="Normal"/>
    <n v="2023"/>
    <s v="January"/>
  </r>
  <r>
    <n v="881"/>
    <x v="258"/>
    <x v="2"/>
    <s v="West"/>
    <s v="Premium"/>
    <d v="2022-01-07T00:00:00"/>
    <d v="2022-06-29T00:00:00"/>
    <x v="415"/>
    <n v="3880"/>
    <n v="-1238"/>
    <s v="Paid"/>
    <n v="5"/>
    <d v="2022-06-29T00:00:00"/>
    <n v="1"/>
    <n v="512"/>
    <n v="-0.47"/>
    <s v="Normal"/>
    <n v="2022"/>
    <s v="June"/>
  </r>
  <r>
    <n v="882"/>
    <x v="279"/>
    <x v="2"/>
    <s v="East"/>
    <s v="Standard"/>
    <d v="2022-02-06T00:00:00"/>
    <d v="2023-02-21T00:00:00"/>
    <x v="416"/>
    <n v="7782"/>
    <n v="-1871"/>
    <s v="Pending"/>
    <n v="12"/>
    <d v="2023-02-21T00:00:00"/>
    <n v="0"/>
    <n v="513"/>
    <n v="-0.32"/>
    <s v="Normal"/>
    <n v="2023"/>
    <s v="February"/>
  </r>
  <r>
    <n v="885"/>
    <x v="105"/>
    <x v="3"/>
    <s v="East"/>
    <s v="Standard"/>
    <d v="2022-03-06T00:00:00"/>
    <d v="2023-03-24T00:00:00"/>
    <x v="417"/>
    <n v="5642"/>
    <n v="-308"/>
    <s v="NA"/>
    <n v="12"/>
    <d v="2023-03-24T00:00:00"/>
    <n v="0"/>
    <n v="514"/>
    <n v="-0.06"/>
    <s v="Normal"/>
    <n v="2023"/>
    <s v="March"/>
  </r>
  <r>
    <n v="887"/>
    <x v="109"/>
    <x v="4"/>
    <s v="North"/>
    <s v="Premium"/>
    <d v="2022-10-19T00:00:00"/>
    <d v="2023-06-15T00:00:00"/>
    <x v="418"/>
    <n v="6529"/>
    <n v="110"/>
    <s v="NA"/>
    <n v="7"/>
    <d v="2023-06-15T00:00:00"/>
    <n v="0"/>
    <n v="515"/>
    <n v="0.02"/>
    <s v="Normal"/>
    <n v="2023"/>
    <s v="June"/>
  </r>
  <r>
    <n v="890"/>
    <x v="205"/>
    <x v="0"/>
    <s v="South"/>
    <s v="Standard"/>
    <d v="2022-10-01T00:00:00"/>
    <d v="2023-07-01T00:00:00"/>
    <x v="419"/>
    <n v="581"/>
    <n v="1618"/>
    <s v="Paid"/>
    <n v="9"/>
    <d v="2023-07-01T00:00:00"/>
    <n v="1"/>
    <n v="516"/>
    <n v="0.74"/>
    <s v="Normal"/>
    <n v="2023"/>
    <s v="July"/>
  </r>
  <r>
    <n v="891"/>
    <x v="224"/>
    <x v="3"/>
    <s v="North"/>
    <s v="Basic"/>
    <d v="2022-05-01T00:00:00"/>
    <d v="2023-09-23T00:00:00"/>
    <x v="420"/>
    <n v="5507"/>
    <n v="-3450"/>
    <s v="Paid"/>
    <n v="16"/>
    <d v="2023-09-23T00:00:00"/>
    <n v="1"/>
    <n v="517"/>
    <n v="-1.68"/>
    <s v="Outlier"/>
    <n v="2023"/>
    <s v="September"/>
  </r>
  <r>
    <n v="892"/>
    <x v="177"/>
    <x v="4"/>
    <s v="East"/>
    <s v="Standard"/>
    <d v="2022-11-09T00:00:00"/>
    <d v="2023-02-14T00:00:00"/>
    <x v="421"/>
    <n v="3024"/>
    <n v="2772"/>
    <s v="Overdue"/>
    <n v="3"/>
    <d v="2023-02-14T00:00:00"/>
    <n v="1"/>
    <n v="518"/>
    <n v="0.48"/>
    <s v="Normal"/>
    <n v="2023"/>
    <s v="February"/>
  </r>
  <r>
    <n v="893"/>
    <x v="124"/>
    <x v="3"/>
    <s v="West"/>
    <s v="Standard"/>
    <d v="2022-10-20T00:00:00"/>
    <d v="2024-05-25T00:00:00"/>
    <x v="17"/>
    <n v="7668"/>
    <n v="-9393"/>
    <s v="Pending"/>
    <n v="19"/>
    <d v="2024-05-25T00:00:00"/>
    <n v="0"/>
    <n v="519"/>
    <n v="-1.89"/>
    <s v="Outlier"/>
    <n v="2024"/>
    <s v="May"/>
  </r>
  <r>
    <n v="895"/>
    <x v="91"/>
    <x v="1"/>
    <s v="East"/>
    <s v="Standard"/>
    <d v="2022-09-08T00:00:00"/>
    <d v="2023-06-26T00:00:00"/>
    <x v="17"/>
    <n v="6411"/>
    <n v="-8135"/>
    <s v="Paid"/>
    <n v="9"/>
    <d v="2023-06-26T00:00:00"/>
    <n v="1"/>
    <n v="520"/>
    <n v="-1.64"/>
    <s v="Outlier"/>
    <n v="2023"/>
    <s v="June"/>
  </r>
  <r>
    <n v="896"/>
    <x v="292"/>
    <x v="2"/>
    <s v="West"/>
    <s v="Standard"/>
    <d v="2022-07-27T00:00:00"/>
    <d v="2022-11-23T00:00:00"/>
    <x v="422"/>
    <n v="6381"/>
    <n v="-612"/>
    <s v="Pending"/>
    <n v="3"/>
    <d v="2022-11-23T00:00:00"/>
    <n v="0"/>
    <n v="521"/>
    <n v="-0.11"/>
    <s v="Normal"/>
    <n v="2022"/>
    <s v="November"/>
  </r>
  <r>
    <n v="897"/>
    <x v="293"/>
    <x v="3"/>
    <s v="South"/>
    <s v="Basic"/>
    <d v="2022-11-06T00:00:00"/>
    <d v="2023-07-01T00:00:00"/>
    <x v="17"/>
    <n v="5449"/>
    <n v="-5567"/>
    <s v="Paid"/>
    <n v="7"/>
    <d v="2023-07-01T00:00:00"/>
    <n v="0"/>
    <n v="522"/>
    <n v="-1.1200000000000001"/>
    <s v="Outlier"/>
    <n v="2023"/>
    <s v="July"/>
  </r>
  <r>
    <n v="899"/>
    <x v="170"/>
    <x v="2"/>
    <s v="South"/>
    <s v="Basic"/>
    <d v="2022-07-08T00:00:00"/>
    <d v="2023-02-23T00:00:00"/>
    <x v="423"/>
    <n v="2336"/>
    <n v="-1028"/>
    <s v="Pending"/>
    <n v="7"/>
    <d v="2023-02-23T00:00:00"/>
    <n v="1"/>
    <n v="523"/>
    <n v="-0.79"/>
    <s v="Normal"/>
    <n v="2023"/>
    <s v="February"/>
  </r>
  <r>
    <n v="900"/>
    <x v="43"/>
    <x v="4"/>
    <s v="West"/>
    <s v="Premium"/>
    <d v="2022-08-20T00:00:00"/>
    <d v="2023-02-15T00:00:00"/>
    <x v="424"/>
    <n v="4283"/>
    <n v="1545"/>
    <s v="NA"/>
    <n v="5"/>
    <d v="2023-02-15T00:00:00"/>
    <n v="1"/>
    <n v="524"/>
    <n v="0.27"/>
    <s v="Normal"/>
    <n v="2023"/>
    <s v="February"/>
  </r>
  <r>
    <n v="903"/>
    <x v="219"/>
    <x v="2"/>
    <s v="South"/>
    <s v="Basic"/>
    <d v="2022-12-04T00:00:00"/>
    <d v="2023-10-18T00:00:00"/>
    <x v="425"/>
    <n v="2321"/>
    <n v="-888"/>
    <s v="Pending"/>
    <n v="10"/>
    <d v="2023-10-18T00:00:00"/>
    <n v="0"/>
    <n v="525"/>
    <n v="-0.62"/>
    <s v="Normal"/>
    <n v="2023"/>
    <s v="October"/>
  </r>
  <r>
    <n v="904"/>
    <x v="134"/>
    <x v="2"/>
    <s v="North"/>
    <s v="Standard"/>
    <d v="2022-10-12T00:00:00"/>
    <d v="2024-01-27T00:00:00"/>
    <x v="426"/>
    <n v="3377"/>
    <n v="1489"/>
    <s v="Paid"/>
    <n v="15"/>
    <d v="2024-01-27T00:00:00"/>
    <n v="0"/>
    <n v="526"/>
    <n v="0.31"/>
    <s v="Normal"/>
    <n v="2024"/>
    <s v="January"/>
  </r>
  <r>
    <n v="906"/>
    <x v="270"/>
    <x v="3"/>
    <s v="West"/>
    <s v="Premium"/>
    <d v="2022-05-10T00:00:00"/>
    <d v="2022-07-07T00:00:00"/>
    <x v="427"/>
    <n v="5567"/>
    <n v="2260"/>
    <s v="NA"/>
    <n v="1"/>
    <d v="2022-07-07T00:00:00"/>
    <n v="0"/>
    <n v="527"/>
    <n v="0.28999999999999998"/>
    <s v="Normal"/>
    <n v="2022"/>
    <s v="July"/>
  </r>
  <r>
    <n v="912"/>
    <x v="294"/>
    <x v="4"/>
    <s v="East"/>
    <s v="Premium"/>
    <d v="2022-08-06T00:00:00"/>
    <d v="2024-02-14T00:00:00"/>
    <x v="428"/>
    <n v="5518"/>
    <n v="1856"/>
    <s v="Pending"/>
    <n v="18"/>
    <d v="2024-02-14T00:00:00"/>
    <n v="0"/>
    <n v="528"/>
    <n v="0.25"/>
    <s v="Normal"/>
    <n v="2024"/>
    <s v="February"/>
  </r>
  <r>
    <n v="913"/>
    <x v="227"/>
    <x v="4"/>
    <s v="West"/>
    <s v="Basic"/>
    <d v="2022-11-08T00:00:00"/>
    <d v="2023-04-09T00:00:00"/>
    <x v="429"/>
    <n v="6397"/>
    <n v="-5364"/>
    <s v="NA"/>
    <n v="5"/>
    <d v="2023-04-09T00:00:00"/>
    <n v="0"/>
    <n v="529"/>
    <n v="-5.19"/>
    <s v="Outlier"/>
    <n v="2023"/>
    <s v="April"/>
  </r>
  <r>
    <n v="915"/>
    <x v="186"/>
    <x v="2"/>
    <s v="West"/>
    <s v="Basic"/>
    <d v="2022-09-21T00:00:00"/>
    <d v="2023-04-22T00:00:00"/>
    <x v="17"/>
    <n v="7064"/>
    <n v="-7193"/>
    <s v="NA"/>
    <n v="7"/>
    <d v="2023-04-22T00:00:00"/>
    <n v="0"/>
    <n v="530"/>
    <n v="-1.45"/>
    <s v="Outlier"/>
    <n v="2023"/>
    <s v="April"/>
  </r>
  <r>
    <n v="917"/>
    <x v="27"/>
    <x v="1"/>
    <s v="West"/>
    <s v="Basic"/>
    <d v="2022-03-16T00:00:00"/>
    <d v="2022-04-27T00:00:00"/>
    <x v="430"/>
    <n v="3224"/>
    <n v="1477"/>
    <s v="Overdue"/>
    <n v="1"/>
    <d v="2022-04-27T00:00:00"/>
    <n v="1"/>
    <n v="531"/>
    <n v="0.31"/>
    <s v="Normal"/>
    <n v="2022"/>
    <s v="April"/>
  </r>
  <r>
    <n v="919"/>
    <x v="239"/>
    <x v="1"/>
    <s v="West"/>
    <s v="Basic"/>
    <d v="2022-12-20T00:00:00"/>
    <d v="2024-08-03T00:00:00"/>
    <x v="431"/>
    <n v="2461"/>
    <n v="-12"/>
    <s v="NA"/>
    <n v="19"/>
    <d v="2024-08-03T00:00:00"/>
    <n v="1"/>
    <n v="532"/>
    <n v="0"/>
    <s v="Normal"/>
    <n v="2024"/>
    <s v="August"/>
  </r>
  <r>
    <n v="920"/>
    <x v="35"/>
    <x v="1"/>
    <s v="East"/>
    <s v="Premium"/>
    <d v="2022-05-02T00:00:00"/>
    <d v="2022-09-09T00:00:00"/>
    <x v="432"/>
    <n v="484"/>
    <n v="4714"/>
    <s v="Overdue"/>
    <n v="4"/>
    <d v="2022-09-09T00:00:00"/>
    <n v="1"/>
    <n v="533"/>
    <n v="0.91"/>
    <s v="Normal"/>
    <n v="2022"/>
    <s v="September"/>
  </r>
  <r>
    <n v="921"/>
    <x v="295"/>
    <x v="4"/>
    <s v="North"/>
    <s v="Premium"/>
    <d v="2022-03-12T00:00:00"/>
    <d v="2022-11-04T00:00:00"/>
    <x v="433"/>
    <n v="3382"/>
    <n v="141"/>
    <s v="Pending"/>
    <n v="7"/>
    <d v="2022-11-04T00:00:00"/>
    <n v="1"/>
    <n v="534"/>
    <n v="0.04"/>
    <s v="Normal"/>
    <n v="2022"/>
    <s v="November"/>
  </r>
  <r>
    <n v="923"/>
    <x v="217"/>
    <x v="1"/>
    <s v="West"/>
    <s v="Basic"/>
    <d v="2022-12-11T00:00:00"/>
    <d v="2024-06-21T00:00:00"/>
    <x v="434"/>
    <n v="1297"/>
    <n v="-1119"/>
    <s v="Overdue"/>
    <n v="18"/>
    <d v="2024-06-21T00:00:00"/>
    <n v="0"/>
    <n v="535"/>
    <n v="-6.29"/>
    <s v="Outlier"/>
    <n v="2024"/>
    <s v="June"/>
  </r>
  <r>
    <n v="924"/>
    <x v="141"/>
    <x v="0"/>
    <s v="West"/>
    <s v="Standard"/>
    <d v="2022-04-21T00:00:00"/>
    <d v="2023-04-14T00:00:00"/>
    <x v="435"/>
    <n v="2149"/>
    <n v="3362"/>
    <s v="Pending"/>
    <n v="11"/>
    <d v="2023-04-14T00:00:00"/>
    <n v="1"/>
    <n v="536"/>
    <n v="0.61"/>
    <s v="Normal"/>
    <n v="2023"/>
    <s v="April"/>
  </r>
  <r>
    <n v="925"/>
    <x v="142"/>
    <x v="0"/>
    <s v="South"/>
    <s v="Premium"/>
    <d v="2022-05-17T00:00:00"/>
    <d v="2023-06-12T00:00:00"/>
    <x v="17"/>
    <n v="3623"/>
    <n v="-4785"/>
    <s v="Paid"/>
    <n v="12"/>
    <d v="2023-06-12T00:00:00"/>
    <n v="0"/>
    <n v="537"/>
    <n v="-0.96"/>
    <s v="Normal"/>
    <n v="2023"/>
    <s v="June"/>
  </r>
  <r>
    <n v="926"/>
    <x v="296"/>
    <x v="3"/>
    <s v="East"/>
    <s v="Standard"/>
    <d v="2022-05-27T00:00:00"/>
    <d v="2023-06-21T00:00:00"/>
    <x v="436"/>
    <n v="2494"/>
    <n v="-505"/>
    <s v="Paid"/>
    <n v="12"/>
    <d v="2023-06-21T00:00:00"/>
    <n v="0"/>
    <n v="538"/>
    <n v="-0.25"/>
    <s v="Normal"/>
    <n v="2023"/>
    <s v="June"/>
  </r>
  <r>
    <n v="927"/>
    <x v="18"/>
    <x v="2"/>
    <s v="East"/>
    <s v="Basic"/>
    <d v="2022-10-12T00:00:00"/>
    <d v="2024-02-20T00:00:00"/>
    <x v="437"/>
    <n v="5008"/>
    <n v="2029"/>
    <s v="Paid"/>
    <n v="16"/>
    <d v="2024-02-20T00:00:00"/>
    <n v="0"/>
    <n v="539"/>
    <n v="0.28999999999999998"/>
    <s v="Normal"/>
    <n v="2024"/>
    <s v="February"/>
  </r>
  <r>
    <n v="928"/>
    <x v="285"/>
    <x v="3"/>
    <s v="West"/>
    <s v="Premium"/>
    <d v="2022-07-17T00:00:00"/>
    <d v="2022-12-14T00:00:00"/>
    <x v="17"/>
    <n v="6961"/>
    <n v="-8619"/>
    <s v="Overdue"/>
    <n v="4"/>
    <d v="2022-12-14T00:00:00"/>
    <n v="1"/>
    <n v="540"/>
    <n v="-1.73"/>
    <s v="Outlier"/>
    <n v="2022"/>
    <s v="December"/>
  </r>
  <r>
    <n v="929"/>
    <x v="230"/>
    <x v="2"/>
    <s v="East"/>
    <s v="Basic"/>
    <d v="2022-12-02T00:00:00"/>
    <d v="2024-07-19T00:00:00"/>
    <x v="438"/>
    <n v="3372"/>
    <n v="1278"/>
    <s v="Pending"/>
    <n v="19"/>
    <d v="2024-07-19T00:00:00"/>
    <n v="0"/>
    <n v="541"/>
    <n v="0.27"/>
    <s v="Normal"/>
    <n v="2024"/>
    <s v="July"/>
  </r>
  <r>
    <n v="930"/>
    <x v="297"/>
    <x v="3"/>
    <s v="South"/>
    <s v="Standard"/>
    <d v="2022-12-22T00:00:00"/>
    <d v="2024-01-19T00:00:00"/>
    <x v="439"/>
    <n v="4012.75"/>
    <n v="5350"/>
    <s v="Paid"/>
    <n v="12"/>
    <d v="2024-01-19T00:00:00"/>
    <n v="1"/>
    <n v="542"/>
    <n v="1.08"/>
    <s v="Outlier"/>
    <n v="2024"/>
    <s v="January"/>
  </r>
  <r>
    <n v="932"/>
    <x v="298"/>
    <x v="3"/>
    <s v="East"/>
    <s v="Basic"/>
    <d v="2022-08-06T00:00:00"/>
    <d v="2022-09-06T00:00:00"/>
    <x v="17"/>
    <n v="6661"/>
    <n v="-8429"/>
    <s v="NA"/>
    <n v="1"/>
    <d v="2022-09-06T00:00:00"/>
    <n v="1"/>
    <n v="543"/>
    <n v="-1.7"/>
    <s v="Outlier"/>
    <n v="2022"/>
    <s v="September"/>
  </r>
  <r>
    <n v="933"/>
    <x v="243"/>
    <x v="0"/>
    <s v="North"/>
    <s v="Standard"/>
    <d v="2022-12-22T00:00:00"/>
    <d v="2023-07-07T00:00:00"/>
    <x v="440"/>
    <n v="4012.75"/>
    <n v="4690"/>
    <s v="NA"/>
    <n v="6"/>
    <d v="2023-07-07T00:00:00"/>
    <n v="0"/>
    <n v="544"/>
    <n v="1.25"/>
    <s v="Outlier"/>
    <n v="2023"/>
    <s v="July"/>
  </r>
  <r>
    <n v="934"/>
    <x v="274"/>
    <x v="2"/>
    <s v="West"/>
    <s v="Basic"/>
    <d v="2022-05-06T00:00:00"/>
    <d v="2023-11-28T00:00:00"/>
    <x v="441"/>
    <n v="4012.75"/>
    <n v="8765"/>
    <s v="Pending"/>
    <n v="18"/>
    <d v="2023-11-28T00:00:00"/>
    <n v="1"/>
    <n v="545"/>
    <n v="1.1100000000000001"/>
    <s v="Outlier"/>
    <n v="2023"/>
    <s v="November"/>
  </r>
  <r>
    <n v="935"/>
    <x v="180"/>
    <x v="3"/>
    <s v="South"/>
    <s v="Standard"/>
    <d v="2022-01-27T00:00:00"/>
    <d v="2022-08-20T00:00:00"/>
    <x v="442"/>
    <n v="1046"/>
    <n v="7658"/>
    <s v="Pending"/>
    <n v="6"/>
    <d v="2022-08-20T00:00:00"/>
    <n v="0"/>
    <n v="546"/>
    <n v="0.88"/>
    <s v="Normal"/>
    <n v="2022"/>
    <s v="August"/>
  </r>
  <r>
    <n v="937"/>
    <x v="174"/>
    <x v="4"/>
    <s v="East"/>
    <s v="Basic"/>
    <d v="2022-06-12T00:00:00"/>
    <d v="2023-01-01T00:00:00"/>
    <x v="17"/>
    <n v="1981"/>
    <n v="-2241"/>
    <s v="NA"/>
    <n v="6"/>
    <d v="2023-01-01T00:00:00"/>
    <n v="1"/>
    <n v="547"/>
    <n v="-0.45"/>
    <s v="Normal"/>
    <n v="2023"/>
    <s v="January"/>
  </r>
  <r>
    <n v="939"/>
    <x v="33"/>
    <x v="2"/>
    <s v="West"/>
    <s v="Premium"/>
    <d v="2022-11-27T00:00:00"/>
    <d v="2023-01-02T00:00:00"/>
    <x v="443"/>
    <n v="3798"/>
    <n v="-93"/>
    <s v="Pending"/>
    <n v="1"/>
    <d v="2023-01-02T00:00:00"/>
    <n v="0"/>
    <n v="548"/>
    <n v="-0.03"/>
    <s v="Normal"/>
    <n v="2023"/>
    <s v="January"/>
  </r>
  <r>
    <n v="940"/>
    <x v="238"/>
    <x v="2"/>
    <s v="West"/>
    <s v="Basic"/>
    <d v="2022-03-03T00:00:00"/>
    <d v="2023-07-01T00:00:00"/>
    <x v="444"/>
    <n v="5828"/>
    <n v="-662"/>
    <s v="Overdue"/>
    <n v="15"/>
    <d v="2023-07-01T00:00:00"/>
    <n v="1"/>
    <n v="549"/>
    <n v="-0.13"/>
    <s v="Normal"/>
    <n v="2023"/>
    <s v="July"/>
  </r>
  <r>
    <n v="943"/>
    <x v="74"/>
    <x v="1"/>
    <s v="West"/>
    <s v="Premium"/>
    <d v="2022-07-10T00:00:00"/>
    <d v="2023-08-07T00:00:00"/>
    <x v="445"/>
    <n v="5125"/>
    <n v="730"/>
    <s v="NA"/>
    <n v="12"/>
    <d v="2023-08-07T00:00:00"/>
    <n v="1"/>
    <n v="550"/>
    <n v="0.12"/>
    <s v="Normal"/>
    <n v="2023"/>
    <s v="August"/>
  </r>
  <r>
    <n v="944"/>
    <x v="199"/>
    <x v="0"/>
    <s v="West"/>
    <s v="Standard"/>
    <d v="2022-06-10T00:00:00"/>
    <d v="2023-12-17T00:00:00"/>
    <x v="446"/>
    <n v="2052"/>
    <n v="-899"/>
    <s v="Overdue"/>
    <n v="18"/>
    <d v="2023-12-17T00:00:00"/>
    <n v="0"/>
    <n v="551"/>
    <n v="-0.78"/>
    <s v="Normal"/>
    <n v="2023"/>
    <s v="December"/>
  </r>
  <r>
    <n v="945"/>
    <x v="299"/>
    <x v="1"/>
    <s v="East"/>
    <s v="Basic"/>
    <d v="2022-09-19T00:00:00"/>
    <d v="2024-04-01T00:00:00"/>
    <x v="447"/>
    <n v="1180"/>
    <n v="7312"/>
    <s v="Pending"/>
    <n v="18"/>
    <d v="2024-04-01T00:00:00"/>
    <n v="1"/>
    <n v="552"/>
    <n v="0.86"/>
    <s v="Normal"/>
    <n v="2024"/>
    <s v="April"/>
  </r>
  <r>
    <n v="947"/>
    <x v="300"/>
    <x v="0"/>
    <s v="West"/>
    <s v="Standard"/>
    <d v="2022-03-06T00:00:00"/>
    <d v="2023-05-22T00:00:00"/>
    <x v="448"/>
    <n v="6942"/>
    <n v="1933"/>
    <s v="Paid"/>
    <n v="14"/>
    <d v="2023-05-22T00:00:00"/>
    <n v="1"/>
    <n v="553"/>
    <n v="0.22"/>
    <s v="Normal"/>
    <n v="2023"/>
    <s v="May"/>
  </r>
  <r>
    <n v="948"/>
    <x v="301"/>
    <x v="1"/>
    <s v="North"/>
    <s v="Premium"/>
    <d v="2022-05-20T00:00:00"/>
    <d v="2022-08-12T00:00:00"/>
    <x v="449"/>
    <n v="6911"/>
    <n v="-302"/>
    <s v="Pending"/>
    <n v="2"/>
    <d v="2022-08-12T00:00:00"/>
    <n v="1"/>
    <n v="554"/>
    <n v="-0.05"/>
    <s v="Normal"/>
    <n v="2022"/>
    <s v="August"/>
  </r>
  <r>
    <n v="949"/>
    <x v="173"/>
    <x v="2"/>
    <s v="South"/>
    <s v="Standard"/>
    <d v="2022-07-22T00:00:00"/>
    <d v="2023-07-31T00:00:00"/>
    <x v="450"/>
    <n v="7050"/>
    <n v="1001"/>
    <s v="NA"/>
    <n v="12"/>
    <d v="2023-07-31T00:00:00"/>
    <n v="0"/>
    <n v="555"/>
    <n v="0.12"/>
    <s v="Normal"/>
    <n v="2023"/>
    <s v="July"/>
  </r>
  <r>
    <n v="950"/>
    <x v="302"/>
    <x v="2"/>
    <s v="West"/>
    <s v="Premium"/>
    <d v="2022-08-23T00:00:00"/>
    <d v="2023-05-10T00:00:00"/>
    <x v="451"/>
    <n v="858"/>
    <n v="4828"/>
    <s v="Pending"/>
    <n v="8"/>
    <d v="2023-05-10T00:00:00"/>
    <n v="1"/>
    <n v="556"/>
    <n v="0.85"/>
    <s v="Normal"/>
    <n v="2023"/>
    <s v="May"/>
  </r>
  <r>
    <n v="952"/>
    <x v="34"/>
    <x v="3"/>
    <s v="West"/>
    <s v="Standard"/>
    <d v="2022-02-09T00:00:00"/>
    <d v="2023-05-18T00:00:00"/>
    <x v="452"/>
    <n v="4956"/>
    <n v="1143"/>
    <s v="Pending"/>
    <n v="15"/>
    <d v="2023-05-18T00:00:00"/>
    <n v="0"/>
    <n v="557"/>
    <n v="0.19"/>
    <s v="Normal"/>
    <n v="2023"/>
    <s v="May"/>
  </r>
  <r>
    <n v="953"/>
    <x v="117"/>
    <x v="3"/>
    <s v="East"/>
    <s v="Premium"/>
    <d v="2022-05-14T00:00:00"/>
    <d v="2022-06-17T00:00:00"/>
    <x v="453"/>
    <n v="2559"/>
    <n v="2152"/>
    <s v="Pending"/>
    <n v="1"/>
    <d v="2022-06-17T00:00:00"/>
    <n v="1"/>
    <n v="558"/>
    <n v="0.46"/>
    <s v="Normal"/>
    <n v="2022"/>
    <s v="June"/>
  </r>
  <r>
    <n v="955"/>
    <x v="28"/>
    <x v="0"/>
    <s v="North"/>
    <s v="Premium"/>
    <d v="2022-07-07T00:00:00"/>
    <d v="2023-01-14T00:00:00"/>
    <x v="454"/>
    <n v="4012.75"/>
    <n v="577.01"/>
    <s v="Paid"/>
    <n v="6"/>
    <d v="2023-01-14T00:00:00"/>
    <n v="0"/>
    <n v="559"/>
    <n v="0.1"/>
    <s v="Normal"/>
    <n v="2023"/>
    <s v="January"/>
  </r>
  <r>
    <n v="957"/>
    <x v="303"/>
    <x v="0"/>
    <s v="North"/>
    <s v="Standard"/>
    <d v="2022-10-02T00:00:00"/>
    <d v="2023-02-17T00:00:00"/>
    <x v="17"/>
    <n v="1241"/>
    <n v="-2801"/>
    <s v="Paid"/>
    <n v="4"/>
    <d v="2023-02-17T00:00:00"/>
    <n v="0"/>
    <n v="560"/>
    <n v="-0.56000000000000005"/>
    <s v="Normal"/>
    <n v="2023"/>
    <s v="February"/>
  </r>
  <r>
    <n v="960"/>
    <x v="304"/>
    <x v="4"/>
    <s v="North"/>
    <s v="Standard"/>
    <d v="2022-06-30T00:00:00"/>
    <d v="2023-04-08T00:00:00"/>
    <x v="455"/>
    <n v="6122"/>
    <n v="2538"/>
    <s v="Pending"/>
    <n v="9"/>
    <d v="2023-04-08T00:00:00"/>
    <n v="1"/>
    <n v="561"/>
    <n v="0.28999999999999998"/>
    <s v="Normal"/>
    <n v="2023"/>
    <s v="April"/>
  </r>
  <r>
    <n v="961"/>
    <x v="225"/>
    <x v="0"/>
    <s v="South"/>
    <s v="Premium"/>
    <d v="2022-09-17T00:00:00"/>
    <d v="2023-04-17T00:00:00"/>
    <x v="456"/>
    <n v="2070"/>
    <n v="577.01"/>
    <s v="Pending"/>
    <n v="7"/>
    <d v="2023-04-17T00:00:00"/>
    <n v="0"/>
    <n v="562"/>
    <n v="0.16"/>
    <s v="Normal"/>
    <n v="2023"/>
    <s v="April"/>
  </r>
  <r>
    <n v="963"/>
    <x v="193"/>
    <x v="0"/>
    <s v="East"/>
    <s v="Premium"/>
    <d v="2022-08-02T00:00:00"/>
    <d v="2023-03-30T00:00:00"/>
    <x v="457"/>
    <n v="212"/>
    <n v="3784"/>
    <s v="Paid"/>
    <n v="7"/>
    <d v="2023-03-30T00:00:00"/>
    <n v="0"/>
    <n v="563"/>
    <n v="0.95"/>
    <s v="Normal"/>
    <n v="2023"/>
    <s v="March"/>
  </r>
  <r>
    <n v="964"/>
    <x v="305"/>
    <x v="0"/>
    <s v="North"/>
    <s v="Premium"/>
    <d v="2022-11-14T00:00:00"/>
    <d v="2023-04-17T00:00:00"/>
    <x v="458"/>
    <n v="2247"/>
    <n v="577.01"/>
    <s v="Overdue"/>
    <n v="5"/>
    <d v="2023-04-17T00:00:00"/>
    <n v="0"/>
    <n v="564"/>
    <n v="7.0000000000000007E-2"/>
    <s v="Normal"/>
    <n v="2023"/>
    <s v="April"/>
  </r>
  <r>
    <n v="965"/>
    <x v="230"/>
    <x v="0"/>
    <s v="West"/>
    <s v="Basic"/>
    <d v="2022-02-13T00:00:00"/>
    <d v="2023-01-28T00:00:00"/>
    <x v="459"/>
    <n v="4058"/>
    <n v="-2924"/>
    <s v="Pending"/>
    <n v="11"/>
    <d v="2023-01-28T00:00:00"/>
    <n v="0"/>
    <n v="565"/>
    <n v="-2.58"/>
    <s v="Outlier"/>
    <n v="2023"/>
    <s v="January"/>
  </r>
  <r>
    <n v="966"/>
    <x v="157"/>
    <x v="1"/>
    <s v="South"/>
    <s v="Basic"/>
    <d v="2022-02-05T00:00:00"/>
    <d v="2022-06-30T00:00:00"/>
    <x v="460"/>
    <n v="1387"/>
    <n v="5508"/>
    <s v="Paid"/>
    <n v="4"/>
    <d v="2022-06-30T00:00:00"/>
    <n v="1"/>
    <n v="566"/>
    <n v="0.8"/>
    <s v="Normal"/>
    <n v="2022"/>
    <s v="June"/>
  </r>
  <r>
    <n v="969"/>
    <x v="108"/>
    <x v="4"/>
    <s v="East"/>
    <s v="Basic"/>
    <d v="2022-03-17T00:00:00"/>
    <d v="2023-04-11T00:00:00"/>
    <x v="17"/>
    <n v="4872"/>
    <n v="-5077"/>
    <s v="Pending"/>
    <n v="12"/>
    <d v="2023-04-11T00:00:00"/>
    <n v="0"/>
    <n v="567"/>
    <n v="-1.02"/>
    <s v="Outlier"/>
    <n v="2023"/>
    <s v="April"/>
  </r>
  <r>
    <n v="970"/>
    <x v="306"/>
    <x v="4"/>
    <s v="North"/>
    <s v="Premium"/>
    <d v="2022-05-06T00:00:00"/>
    <d v="2023-02-03T00:00:00"/>
    <x v="461"/>
    <n v="5105"/>
    <n v="1413"/>
    <s v="Pending"/>
    <n v="8"/>
    <d v="2023-02-03T00:00:00"/>
    <n v="1"/>
    <n v="568"/>
    <n v="0.22"/>
    <s v="Normal"/>
    <n v="2023"/>
    <s v="February"/>
  </r>
  <r>
    <n v="971"/>
    <x v="252"/>
    <x v="4"/>
    <s v="East"/>
    <s v="Standard"/>
    <d v="2022-04-14T00:00:00"/>
    <d v="2023-10-22T00:00:00"/>
    <x v="462"/>
    <n v="950"/>
    <n v="3198"/>
    <s v="NA"/>
    <n v="18"/>
    <d v="2023-10-22T00:00:00"/>
    <n v="0"/>
    <n v="569"/>
    <n v="0.77"/>
    <s v="Normal"/>
    <n v="2023"/>
    <s v="October"/>
  </r>
  <r>
    <n v="972"/>
    <x v="307"/>
    <x v="3"/>
    <s v="West"/>
    <s v="Basic"/>
    <d v="2022-05-19T00:00:00"/>
    <d v="2023-09-23T00:00:00"/>
    <x v="463"/>
    <n v="5547"/>
    <n v="-264"/>
    <s v="Paid"/>
    <n v="16"/>
    <d v="2023-09-23T00:00:00"/>
    <n v="0"/>
    <n v="570"/>
    <n v="-0.05"/>
    <s v="Normal"/>
    <n v="2023"/>
    <s v="September"/>
  </r>
  <r>
    <n v="973"/>
    <x v="45"/>
    <x v="2"/>
    <s v="East"/>
    <s v="Standard"/>
    <d v="2022-10-28T00:00:00"/>
    <d v="2024-02-18T00:00:00"/>
    <x v="279"/>
    <n v="7613"/>
    <n v="-1386"/>
    <s v="NA"/>
    <n v="15"/>
    <d v="2024-02-18T00:00:00"/>
    <n v="0"/>
    <n v="571"/>
    <n v="-0.22"/>
    <s v="Normal"/>
    <n v="2024"/>
    <s v="February"/>
  </r>
  <r>
    <n v="975"/>
    <x v="6"/>
    <x v="3"/>
    <s v="West"/>
    <s v="Premium"/>
    <d v="2022-10-25T00:00:00"/>
    <d v="2023-06-22T00:00:00"/>
    <x v="464"/>
    <n v="4012.75"/>
    <n v="2890"/>
    <s v="NA"/>
    <n v="7"/>
    <d v="2023-06-22T00:00:00"/>
    <n v="0"/>
    <n v="572"/>
    <n v="1.33"/>
    <s v="Outlier"/>
    <n v="2023"/>
    <s v="June"/>
  </r>
  <r>
    <n v="976"/>
    <x v="145"/>
    <x v="0"/>
    <s v="West"/>
    <s v="Premium"/>
    <d v="2022-09-15T00:00:00"/>
    <d v="2022-11-22T00:00:00"/>
    <x v="465"/>
    <n v="4825"/>
    <n v="2752"/>
    <s v="NA"/>
    <n v="2"/>
    <d v="2022-11-22T00:00:00"/>
    <n v="0"/>
    <n v="573"/>
    <n v="0.36"/>
    <s v="Normal"/>
    <n v="2022"/>
    <s v="November"/>
  </r>
  <r>
    <n v="977"/>
    <x v="0"/>
    <x v="2"/>
    <s v="North"/>
    <s v="Premium"/>
    <d v="2022-07-29T00:00:00"/>
    <d v="2023-07-14T00:00:00"/>
    <x v="466"/>
    <n v="3694"/>
    <n v="-623"/>
    <s v="Pending"/>
    <n v="11"/>
    <d v="2023-07-14T00:00:00"/>
    <n v="1"/>
    <n v="574"/>
    <n v="-0.2"/>
    <s v="Normal"/>
    <n v="2023"/>
    <s v="July"/>
  </r>
  <r>
    <n v="978"/>
    <x v="290"/>
    <x v="1"/>
    <s v="South"/>
    <s v="Basic"/>
    <d v="2022-07-24T00:00:00"/>
    <d v="2023-11-19T00:00:00"/>
    <x v="467"/>
    <n v="826"/>
    <n v="3233"/>
    <s v="NA"/>
    <n v="15"/>
    <d v="2023-11-19T00:00:00"/>
    <n v="1"/>
    <n v="575"/>
    <n v="0.8"/>
    <s v="Normal"/>
    <n v="2023"/>
    <s v="November"/>
  </r>
  <r>
    <n v="979"/>
    <x v="202"/>
    <x v="0"/>
    <s v="West"/>
    <s v="Basic"/>
    <d v="2022-12-22T00:00:00"/>
    <d v="2023-05-06T00:00:00"/>
    <x v="468"/>
    <n v="5068"/>
    <n v="2138"/>
    <s v="Pending"/>
    <n v="4"/>
    <d v="2023-05-06T00:00:00"/>
    <n v="0"/>
    <n v="576"/>
    <n v="0.3"/>
    <s v="Normal"/>
    <n v="2023"/>
    <s v="May"/>
  </r>
  <r>
    <n v="982"/>
    <x v="179"/>
    <x v="3"/>
    <s v="East"/>
    <s v="Premium"/>
    <d v="2022-05-01T00:00:00"/>
    <d v="2022-05-31T00:00:00"/>
    <x v="469"/>
    <n v="7212"/>
    <n v="-1118"/>
    <s v="Paid"/>
    <n v="0"/>
    <d v="2022-05-31T00:00:00"/>
    <n v="0"/>
    <n v="577"/>
    <n v="-0.18"/>
    <s v="Normal"/>
    <n v="2022"/>
    <s v="May"/>
  </r>
  <r>
    <n v="983"/>
    <x v="219"/>
    <x v="4"/>
    <s v="North"/>
    <s v="Basic"/>
    <d v="2022-08-13T00:00:00"/>
    <d v="2022-12-04T00:00:00"/>
    <x v="470"/>
    <n v="7431"/>
    <n v="-4488"/>
    <s v="NA"/>
    <n v="3"/>
    <d v="2022-12-04T00:00:00"/>
    <n v="0"/>
    <n v="578"/>
    <n v="-1.52"/>
    <s v="Outlier"/>
    <n v="2022"/>
    <s v="December"/>
  </r>
  <r>
    <n v="984"/>
    <x v="10"/>
    <x v="3"/>
    <s v="North"/>
    <s v="Standard"/>
    <d v="2022-10-07T00:00:00"/>
    <d v="2023-11-20T00:00:00"/>
    <x v="17"/>
    <n v="7598"/>
    <n v="-8458"/>
    <s v="NA"/>
    <n v="13"/>
    <d v="2023-11-20T00:00:00"/>
    <n v="1"/>
    <n v="579"/>
    <n v="-1.7"/>
    <s v="Outlier"/>
    <n v="2023"/>
    <s v="November"/>
  </r>
  <r>
    <n v="987"/>
    <x v="175"/>
    <x v="1"/>
    <s v="South"/>
    <s v="Standard"/>
    <d v="2022-09-27T00:00:00"/>
    <d v="2024-01-28T00:00:00"/>
    <x v="471"/>
    <n v="4012.75"/>
    <n v="5723"/>
    <s v="Overdue"/>
    <n v="16"/>
    <d v="2024-01-28T00:00:00"/>
    <n v="1"/>
    <n v="580"/>
    <n v="1.02"/>
    <s v="Outlier"/>
    <n v="2024"/>
    <s v="January"/>
  </r>
  <r>
    <n v="988"/>
    <x v="270"/>
    <x v="1"/>
    <s v="West"/>
    <s v="Basic"/>
    <d v="2022-07-05T00:00:00"/>
    <d v="2023-05-02T00:00:00"/>
    <x v="441"/>
    <n v="1066"/>
    <n v="6795"/>
    <s v="Pending"/>
    <n v="9"/>
    <d v="2023-05-02T00:00:00"/>
    <n v="1"/>
    <n v="581"/>
    <n v="0.86"/>
    <s v="Normal"/>
    <n v="2023"/>
    <s v="May"/>
  </r>
  <r>
    <n v="990"/>
    <x v="308"/>
    <x v="3"/>
    <s v="West"/>
    <s v="Basic"/>
    <d v="2022-05-19T00:00:00"/>
    <d v="2023-06-13T00:00:00"/>
    <x v="472"/>
    <n v="4968"/>
    <n v="577.01"/>
    <s v="NA"/>
    <n v="12"/>
    <d v="2023-06-13T00:00:00"/>
    <n v="0"/>
    <n v="582"/>
    <n v="0.18"/>
    <s v="Normal"/>
    <n v="2023"/>
    <s v="June"/>
  </r>
  <r>
    <n v="992"/>
    <x v="145"/>
    <x v="1"/>
    <s v="South"/>
    <s v="Standard"/>
    <d v="2022-01-25T00:00:00"/>
    <d v="2022-03-29T00:00:00"/>
    <x v="473"/>
    <n v="2488"/>
    <n v="6537"/>
    <s v="Overdue"/>
    <n v="2"/>
    <d v="2022-03-29T00:00:00"/>
    <n v="1"/>
    <n v="583"/>
    <n v="0.72"/>
    <s v="Normal"/>
    <n v="2022"/>
    <s v="March"/>
  </r>
  <r>
    <n v="994"/>
    <x v="14"/>
    <x v="3"/>
    <s v="South"/>
    <s v="Basic"/>
    <d v="2022-10-20T00:00:00"/>
    <d v="2024-06-02T00:00:00"/>
    <x v="474"/>
    <n v="7895"/>
    <n v="-4177"/>
    <s v="Pending"/>
    <n v="19"/>
    <d v="2024-06-02T00:00:00"/>
    <n v="0"/>
    <n v="584"/>
    <n v="-1.1200000000000001"/>
    <s v="Outlier"/>
    <n v="2024"/>
    <s v="June"/>
  </r>
  <r>
    <n v="996"/>
    <x v="267"/>
    <x v="0"/>
    <s v="East"/>
    <s v="Premium"/>
    <d v="2022-08-09T00:00:00"/>
    <d v="2022-09-14T00:00:00"/>
    <x v="475"/>
    <n v="2749"/>
    <n v="6810"/>
    <s v="Pending"/>
    <n v="1"/>
    <d v="2022-09-14T00:00:00"/>
    <n v="1"/>
    <n v="585"/>
    <n v="0.71"/>
    <s v="Normal"/>
    <n v="2022"/>
    <s v="September"/>
  </r>
  <r>
    <n v="1000"/>
    <x v="112"/>
    <x v="4"/>
    <s v="West"/>
    <s v="Standard"/>
    <d v="2022-08-15T00:00:00"/>
    <d v="2023-06-17T00:00:00"/>
    <x v="476"/>
    <n v="6121"/>
    <n v="3683"/>
    <s v="NA"/>
    <n v="10"/>
    <d v="2023-06-17T00:00:00"/>
    <n v="0"/>
    <n v="586"/>
    <n v="0.38"/>
    <s v="Normal"/>
    <n v="2023"/>
    <s v="June"/>
  </r>
  <r>
    <n v="1001"/>
    <x v="309"/>
    <x v="2"/>
    <s v="South"/>
    <s v="Premium"/>
    <d v="2022-09-17T00:00:00"/>
    <d v="2023-06-24T00:00:00"/>
    <x v="17"/>
    <n v="7614"/>
    <n v="-8362"/>
    <s v="NA"/>
    <n v="9"/>
    <d v="2023-06-24T00:00:00"/>
    <n v="1"/>
    <n v="587"/>
    <n v="-1.68"/>
    <s v="Outlier"/>
    <n v="2023"/>
    <s v="June"/>
  </r>
  <r>
    <n v="1002"/>
    <x v="162"/>
    <x v="2"/>
    <s v="North"/>
    <s v="Premium"/>
    <d v="2022-03-28T00:00:00"/>
    <d v="2023-11-11T00:00:00"/>
    <x v="477"/>
    <n v="564"/>
    <n v="3291"/>
    <s v="NA"/>
    <n v="19"/>
    <d v="2023-11-11T00:00:00"/>
    <n v="0"/>
    <n v="588"/>
    <n v="0.85"/>
    <s v="Normal"/>
    <n v="2023"/>
    <s v="November"/>
  </r>
  <r>
    <n v="1004"/>
    <x v="258"/>
    <x v="3"/>
    <s v="East"/>
    <s v="Standard"/>
    <d v="2022-02-10T00:00:00"/>
    <d v="2022-09-13T00:00:00"/>
    <x v="478"/>
    <n v="5507"/>
    <n v="577.01"/>
    <s v="NA"/>
    <n v="7"/>
    <d v="2022-09-13T00:00:00"/>
    <n v="1"/>
    <n v="589"/>
    <n v="0.08"/>
    <s v="Normal"/>
    <n v="2022"/>
    <s v="September"/>
  </r>
  <r>
    <n v="1005"/>
    <x v="310"/>
    <x v="3"/>
    <s v="South"/>
    <s v="Basic"/>
    <d v="2022-11-19T00:00:00"/>
    <d v="2023-04-07T00:00:00"/>
    <x v="479"/>
    <n v="7545"/>
    <n v="1846"/>
    <s v="NA"/>
    <n v="4"/>
    <d v="2023-04-07T00:00:00"/>
    <n v="1"/>
    <n v="590"/>
    <n v="0.2"/>
    <s v="Normal"/>
    <n v="2023"/>
    <s v="April"/>
  </r>
  <r>
    <n v="1006"/>
    <x v="115"/>
    <x v="3"/>
    <s v="North"/>
    <s v="Standard"/>
    <d v="2022-08-24T00:00:00"/>
    <d v="2022-10-26T00:00:00"/>
    <x v="17"/>
    <n v="2019"/>
    <n v="-3830"/>
    <s v="Overdue"/>
    <n v="2"/>
    <d v="2022-10-26T00:00:00"/>
    <n v="0"/>
    <n v="591"/>
    <n v="-0.77"/>
    <s v="Normal"/>
    <n v="2022"/>
    <s v="October"/>
  </r>
  <r>
    <n v="1007"/>
    <x v="226"/>
    <x v="2"/>
    <s v="West"/>
    <s v="Basic"/>
    <d v="2022-12-06T00:00:00"/>
    <d v="2023-06-28T00:00:00"/>
    <x v="480"/>
    <n v="5082"/>
    <n v="-1507"/>
    <s v="Paid"/>
    <n v="6"/>
    <d v="2023-06-28T00:00:00"/>
    <n v="1"/>
    <n v="592"/>
    <n v="-0.42"/>
    <s v="Normal"/>
    <n v="2023"/>
    <s v="June"/>
  </r>
  <r>
    <n v="1008"/>
    <x v="311"/>
    <x v="4"/>
    <s v="West"/>
    <s v="Standard"/>
    <d v="2022-07-13T00:00:00"/>
    <d v="2023-01-20T00:00:00"/>
    <x v="481"/>
    <n v="1509"/>
    <n v="2762"/>
    <s v="Pending"/>
    <n v="6"/>
    <d v="2023-01-20T00:00:00"/>
    <n v="0"/>
    <n v="593"/>
    <n v="0.65"/>
    <s v="Normal"/>
    <n v="2023"/>
    <s v="January"/>
  </r>
  <r>
    <n v="1009"/>
    <x v="205"/>
    <x v="3"/>
    <s v="West"/>
    <s v="Standard"/>
    <d v="2022-01-11T00:00:00"/>
    <d v="2022-02-13T00:00:00"/>
    <x v="482"/>
    <n v="5978"/>
    <n v="-4698"/>
    <s v="Pending"/>
    <n v="1"/>
    <d v="2022-02-13T00:00:00"/>
    <n v="0"/>
    <n v="594"/>
    <n v="-3.67"/>
    <s v="Outlier"/>
    <n v="2022"/>
    <s v="February"/>
  </r>
  <r>
    <n v="1010"/>
    <x v="111"/>
    <x v="0"/>
    <s v="West"/>
    <s v="Basic"/>
    <d v="2022-10-28T00:00:00"/>
    <d v="2023-06-27T00:00:00"/>
    <x v="483"/>
    <n v="3401"/>
    <n v="4928"/>
    <s v="Paid"/>
    <n v="7"/>
    <d v="2023-06-27T00:00:00"/>
    <n v="1"/>
    <n v="595"/>
    <n v="0.59"/>
    <s v="Normal"/>
    <n v="2023"/>
    <s v="June"/>
  </r>
  <r>
    <n v="1012"/>
    <x v="208"/>
    <x v="2"/>
    <s v="South"/>
    <s v="Basic"/>
    <d v="2022-04-11T00:00:00"/>
    <d v="2022-10-03T00:00:00"/>
    <x v="484"/>
    <n v="3388"/>
    <n v="1322"/>
    <s v="NA"/>
    <n v="5"/>
    <d v="2022-10-03T00:00:00"/>
    <n v="1"/>
    <n v="596"/>
    <n v="0.28000000000000003"/>
    <s v="Normal"/>
    <n v="2022"/>
    <s v="October"/>
  </r>
  <r>
    <n v="1013"/>
    <x v="221"/>
    <x v="3"/>
    <s v="South"/>
    <s v="Standard"/>
    <d v="2022-11-10T00:00:00"/>
    <d v="2023-05-05T00:00:00"/>
    <x v="485"/>
    <n v="6669"/>
    <n v="-2067"/>
    <s v="Paid"/>
    <n v="5"/>
    <d v="2023-05-05T00:00:00"/>
    <n v="0"/>
    <n v="597"/>
    <n v="-0.45"/>
    <s v="Normal"/>
    <n v="2023"/>
    <s v="May"/>
  </r>
  <r>
    <n v="1014"/>
    <x v="102"/>
    <x v="4"/>
    <s v="South"/>
    <s v="Basic"/>
    <d v="2022-09-02T00:00:00"/>
    <d v="2024-03-21T00:00:00"/>
    <x v="17"/>
    <n v="2846"/>
    <n v="-4159"/>
    <s v="Overdue"/>
    <n v="18"/>
    <d v="2024-03-21T00:00:00"/>
    <n v="1"/>
    <n v="598"/>
    <n v="-0.84"/>
    <s v="Normal"/>
    <n v="2024"/>
    <s v="March"/>
  </r>
  <r>
    <n v="1016"/>
    <x v="8"/>
    <x v="4"/>
    <s v="East"/>
    <s v="Standard"/>
    <d v="2022-10-10T00:00:00"/>
    <d v="2023-12-05T00:00:00"/>
    <x v="17"/>
    <n v="7236"/>
    <n v="-8676"/>
    <s v="NA"/>
    <n v="13"/>
    <d v="2023-12-05T00:00:00"/>
    <n v="1"/>
    <n v="599"/>
    <n v="-1.75"/>
    <s v="Outlier"/>
    <n v="2023"/>
    <s v="December"/>
  </r>
  <r>
    <n v="1017"/>
    <x v="106"/>
    <x v="2"/>
    <s v="South"/>
    <s v="Basic"/>
    <d v="2022-01-05T00:00:00"/>
    <d v="2022-02-08T00:00:00"/>
    <x v="486"/>
    <n v="633"/>
    <n v="5557"/>
    <s v="Pending"/>
    <n v="1"/>
    <d v="2022-02-08T00:00:00"/>
    <n v="0"/>
    <n v="600"/>
    <n v="0.9"/>
    <s v="Normal"/>
    <n v="2022"/>
    <s v="February"/>
  </r>
  <r>
    <n v="1019"/>
    <x v="312"/>
    <x v="2"/>
    <s v="East"/>
    <s v="Premium"/>
    <d v="2022-05-12T00:00:00"/>
    <d v="2023-05-06T00:00:00"/>
    <x v="487"/>
    <n v="2019"/>
    <n v="3773"/>
    <s v="Pending"/>
    <n v="11"/>
    <d v="2023-05-06T00:00:00"/>
    <n v="0"/>
    <n v="601"/>
    <n v="0.65"/>
    <s v="Normal"/>
    <n v="2023"/>
    <s v="May"/>
  </r>
  <r>
    <n v="1020"/>
    <x v="266"/>
    <x v="1"/>
    <s v="North"/>
    <s v="Standard"/>
    <d v="2022-08-18T00:00:00"/>
    <d v="2024-02-02T00:00:00"/>
    <x v="488"/>
    <n v="4012.75"/>
    <n v="6922"/>
    <s v="Overdue"/>
    <n v="17"/>
    <d v="2024-02-02T00:00:00"/>
    <n v="0"/>
    <n v="602"/>
    <n v="1.02"/>
    <s v="Outlier"/>
    <n v="2024"/>
    <s v="February"/>
  </r>
  <r>
    <n v="1021"/>
    <x v="81"/>
    <x v="4"/>
    <s v="South"/>
    <s v="Premium"/>
    <d v="2022-01-19T00:00:00"/>
    <d v="2022-05-12T00:00:00"/>
    <x v="489"/>
    <n v="3256"/>
    <n v="6566"/>
    <s v="Overdue"/>
    <n v="3"/>
    <d v="2022-05-12T00:00:00"/>
    <n v="1"/>
    <n v="603"/>
    <n v="0.67"/>
    <s v="Normal"/>
    <n v="2022"/>
    <s v="May"/>
  </r>
  <r>
    <n v="1022"/>
    <x v="139"/>
    <x v="0"/>
    <s v="West"/>
    <s v="Basic"/>
    <d v="2022-02-08T00:00:00"/>
    <d v="2023-04-30T00:00:00"/>
    <x v="490"/>
    <n v="7617"/>
    <n v="-2129"/>
    <s v="Overdue"/>
    <n v="14"/>
    <d v="2023-04-30T00:00:00"/>
    <n v="1"/>
    <n v="604"/>
    <n v="-0.39"/>
    <s v="Normal"/>
    <n v="2023"/>
    <s v="April"/>
  </r>
  <r>
    <n v="1025"/>
    <x v="108"/>
    <x v="3"/>
    <s v="East"/>
    <s v="Premium"/>
    <d v="2022-09-07T00:00:00"/>
    <d v="2024-02-14T00:00:00"/>
    <x v="491"/>
    <n v="1804"/>
    <n v="3782"/>
    <s v="Pending"/>
    <n v="17"/>
    <d v="2024-02-14T00:00:00"/>
    <n v="0"/>
    <n v="605"/>
    <n v="0.68"/>
    <s v="Normal"/>
    <n v="2024"/>
    <s v="February"/>
  </r>
  <r>
    <n v="1026"/>
    <x v="313"/>
    <x v="4"/>
    <s v="North"/>
    <s v="Basic"/>
    <d v="2022-02-12T00:00:00"/>
    <d v="2022-10-29T00:00:00"/>
    <x v="17"/>
    <n v="7792"/>
    <n v="-8707"/>
    <s v="Paid"/>
    <n v="8"/>
    <d v="2022-10-29T00:00:00"/>
    <n v="1"/>
    <n v="606"/>
    <n v="-1.75"/>
    <s v="Outlier"/>
    <n v="2022"/>
    <s v="October"/>
  </r>
  <r>
    <n v="1028"/>
    <x v="261"/>
    <x v="0"/>
    <s v="North"/>
    <s v="Premium"/>
    <d v="2022-03-16T00:00:00"/>
    <d v="2022-12-14T00:00:00"/>
    <x v="492"/>
    <n v="1841"/>
    <n v="-835"/>
    <s v="Pending"/>
    <n v="8"/>
    <d v="2022-12-14T00:00:00"/>
    <n v="0"/>
    <n v="607"/>
    <n v="-0.83"/>
    <s v="Normal"/>
    <n v="2022"/>
    <s v="December"/>
  </r>
  <r>
    <n v="1029"/>
    <x v="314"/>
    <x v="4"/>
    <s v="North"/>
    <s v="Standard"/>
    <d v="2022-09-20T00:00:00"/>
    <d v="2023-03-31T00:00:00"/>
    <x v="493"/>
    <n v="2575"/>
    <n v="3276"/>
    <s v="Overdue"/>
    <n v="6"/>
    <d v="2023-03-31T00:00:00"/>
    <n v="1"/>
    <n v="608"/>
    <n v="0.56000000000000005"/>
    <s v="Normal"/>
    <n v="2023"/>
    <s v="March"/>
  </r>
  <r>
    <n v="1030"/>
    <x v="240"/>
    <x v="1"/>
    <s v="South"/>
    <s v="Basic"/>
    <d v="2022-09-26T00:00:00"/>
    <d v="2024-01-02T00:00:00"/>
    <x v="494"/>
    <n v="4012.75"/>
    <n v="1933"/>
    <s v="Pending"/>
    <n v="15"/>
    <d v="2024-01-02T00:00:00"/>
    <n v="1"/>
    <n v="609"/>
    <n v="1.33"/>
    <s v="Outlier"/>
    <n v="2024"/>
    <s v="January"/>
  </r>
  <r>
    <n v="1031"/>
    <x v="242"/>
    <x v="0"/>
    <s v="East"/>
    <s v="Basic"/>
    <d v="2022-12-25T00:00:00"/>
    <d v="2023-03-13T00:00:00"/>
    <x v="495"/>
    <n v="2617"/>
    <n v="219"/>
    <s v="Paid"/>
    <n v="2"/>
    <d v="2023-03-13T00:00:00"/>
    <n v="1"/>
    <n v="610"/>
    <n v="0.08"/>
    <s v="Normal"/>
    <n v="2023"/>
    <s v="March"/>
  </r>
  <r>
    <n v="1032"/>
    <x v="264"/>
    <x v="3"/>
    <s v="West"/>
    <s v="Premium"/>
    <d v="2022-05-02T00:00:00"/>
    <d v="2023-07-13T00:00:00"/>
    <x v="496"/>
    <n v="2255"/>
    <n v="2371"/>
    <s v="Paid"/>
    <n v="14"/>
    <d v="2023-07-13T00:00:00"/>
    <n v="1"/>
    <n v="611"/>
    <n v="0.51"/>
    <s v="Normal"/>
    <n v="2023"/>
    <s v="July"/>
  </r>
  <r>
    <n v="1033"/>
    <x v="315"/>
    <x v="1"/>
    <s v="West"/>
    <s v="Standard"/>
    <d v="2022-09-20T00:00:00"/>
    <d v="2024-02-05T00:00:00"/>
    <x v="497"/>
    <n v="5199"/>
    <n v="-391"/>
    <s v="NA"/>
    <n v="16"/>
    <d v="2024-02-05T00:00:00"/>
    <n v="0"/>
    <n v="612"/>
    <n v="-0.08"/>
    <s v="Normal"/>
    <n v="2024"/>
    <s v="February"/>
  </r>
  <r>
    <n v="1036"/>
    <x v="316"/>
    <x v="4"/>
    <s v="North"/>
    <s v="Standard"/>
    <d v="2022-09-09T00:00:00"/>
    <d v="2024-03-04T00:00:00"/>
    <x v="64"/>
    <n v="6372"/>
    <n v="577.01"/>
    <s v="Pending"/>
    <n v="17"/>
    <d v="2024-03-04T00:00:00"/>
    <n v="0"/>
    <n v="613"/>
    <n v="1.41"/>
    <s v="Outlier"/>
    <n v="2024"/>
    <s v="March"/>
  </r>
  <r>
    <n v="1037"/>
    <x v="317"/>
    <x v="4"/>
    <s v="East"/>
    <s v="Standard"/>
    <d v="2022-10-06T00:00:00"/>
    <d v="2023-08-06T00:00:00"/>
    <x v="17"/>
    <n v="3047"/>
    <n v="-4714"/>
    <s v="Pending"/>
    <n v="10"/>
    <d v="2023-08-06T00:00:00"/>
    <n v="1"/>
    <n v="614"/>
    <n v="-0.95"/>
    <s v="Normal"/>
    <n v="2023"/>
    <s v="August"/>
  </r>
  <r>
    <n v="1040"/>
    <x v="318"/>
    <x v="2"/>
    <s v="West"/>
    <s v="Basic"/>
    <d v="2022-03-24T00:00:00"/>
    <d v="2023-08-21T00:00:00"/>
    <x v="498"/>
    <n v="4012.75"/>
    <n v="2106"/>
    <s v="Overdue"/>
    <n v="16"/>
    <d v="2023-08-21T00:00:00"/>
    <n v="1"/>
    <n v="615"/>
    <n v="1.3"/>
    <s v="Outlier"/>
    <n v="2023"/>
    <s v="August"/>
  </r>
  <r>
    <n v="1041"/>
    <x v="319"/>
    <x v="2"/>
    <s v="North"/>
    <s v="Basic"/>
    <d v="2022-09-24T00:00:00"/>
    <d v="2023-09-26T00:00:00"/>
    <x v="499"/>
    <n v="1566"/>
    <n v="-1334"/>
    <s v="Overdue"/>
    <n v="12"/>
    <d v="2023-09-26T00:00:00"/>
    <n v="1"/>
    <n v="616"/>
    <n v="-5.75"/>
    <s v="Outlier"/>
    <n v="2023"/>
    <s v="September"/>
  </r>
  <r>
    <n v="1043"/>
    <x v="320"/>
    <x v="0"/>
    <s v="South"/>
    <s v="Standard"/>
    <d v="2022-08-01T00:00:00"/>
    <d v="2023-07-16T00:00:00"/>
    <x v="500"/>
    <n v="3219"/>
    <n v="5362"/>
    <s v="Pending"/>
    <n v="11"/>
    <d v="2023-07-16T00:00:00"/>
    <n v="0"/>
    <n v="617"/>
    <n v="0.62"/>
    <s v="Normal"/>
    <n v="2023"/>
    <s v="July"/>
  </r>
  <r>
    <n v="1044"/>
    <x v="127"/>
    <x v="0"/>
    <s v="East"/>
    <s v="Basic"/>
    <d v="2022-09-26T00:00:00"/>
    <d v="2023-03-20T00:00:00"/>
    <x v="501"/>
    <n v="4012.75"/>
    <n v="2360"/>
    <s v="NA"/>
    <n v="5"/>
    <d v="2023-03-20T00:00:00"/>
    <n v="0"/>
    <n v="618"/>
    <n v="1.05"/>
    <s v="Outlier"/>
    <n v="2023"/>
    <s v="March"/>
  </r>
  <r>
    <n v="1047"/>
    <x v="62"/>
    <x v="4"/>
    <s v="East"/>
    <s v="Basic"/>
    <d v="2022-01-11T00:00:00"/>
    <d v="2022-03-12T00:00:00"/>
    <x v="17"/>
    <n v="4140"/>
    <n v="-4636"/>
    <s v="Overdue"/>
    <n v="2"/>
    <d v="2022-03-12T00:00:00"/>
    <n v="1"/>
    <n v="619"/>
    <n v="-0.93"/>
    <s v="Normal"/>
    <n v="2022"/>
    <s v="March"/>
  </r>
  <r>
    <n v="1049"/>
    <x v="203"/>
    <x v="2"/>
    <s v="West"/>
    <s v="Premium"/>
    <d v="2022-01-17T00:00:00"/>
    <d v="2023-08-01T00:00:00"/>
    <x v="502"/>
    <n v="4012.75"/>
    <n v="1837"/>
    <s v="Pending"/>
    <n v="18"/>
    <d v="2023-08-01T00:00:00"/>
    <n v="1"/>
    <n v="620"/>
    <n v="1.78"/>
    <s v="Outlier"/>
    <n v="2023"/>
    <s v="August"/>
  </r>
  <r>
    <n v="1050"/>
    <x v="140"/>
    <x v="1"/>
    <s v="South"/>
    <s v="Basic"/>
    <d v="2022-08-16T00:00:00"/>
    <d v="2023-10-07T00:00:00"/>
    <x v="503"/>
    <n v="669"/>
    <n v="4131"/>
    <s v="Overdue"/>
    <n v="13"/>
    <d v="2023-10-07T00:00:00"/>
    <n v="1"/>
    <n v="621"/>
    <n v="0.86"/>
    <s v="Normal"/>
    <n v="2023"/>
    <s v="October"/>
  </r>
  <r>
    <n v="1051"/>
    <x v="306"/>
    <x v="3"/>
    <s v="West"/>
    <s v="Premium"/>
    <d v="2022-10-02T00:00:00"/>
    <d v="2023-05-28T00:00:00"/>
    <x v="17"/>
    <n v="5271"/>
    <n v="-6858"/>
    <s v="Overdue"/>
    <n v="7"/>
    <d v="2023-05-28T00:00:00"/>
    <n v="1"/>
    <n v="622"/>
    <n v="-1.38"/>
    <s v="Outlier"/>
    <n v="2023"/>
    <s v="May"/>
  </r>
  <r>
    <n v="1054"/>
    <x v="25"/>
    <x v="3"/>
    <s v="South"/>
    <s v="Basic"/>
    <d v="2022-07-02T00:00:00"/>
    <d v="2023-12-09T00:00:00"/>
    <x v="504"/>
    <n v="2598"/>
    <n v="-2502"/>
    <s v="NA"/>
    <n v="17"/>
    <d v="2023-12-09T00:00:00"/>
    <n v="1"/>
    <n v="623"/>
    <n v="-26.06"/>
    <s v="Outlier"/>
    <n v="2023"/>
    <s v="December"/>
  </r>
  <r>
    <n v="1056"/>
    <x v="32"/>
    <x v="0"/>
    <s v="East"/>
    <s v="Premium"/>
    <d v="2022-04-28T00:00:00"/>
    <d v="2023-06-24T00:00:00"/>
    <x v="505"/>
    <n v="4671"/>
    <n v="2509"/>
    <s v="Paid"/>
    <n v="13"/>
    <d v="2023-06-24T00:00:00"/>
    <n v="1"/>
    <n v="624"/>
    <n v="0.35"/>
    <s v="Normal"/>
    <n v="2023"/>
    <s v="June"/>
  </r>
  <r>
    <n v="1057"/>
    <x v="177"/>
    <x v="1"/>
    <s v="East"/>
    <s v="Standard"/>
    <d v="2022-01-27T00:00:00"/>
    <d v="2023-09-04T00:00:00"/>
    <x v="506"/>
    <n v="807"/>
    <n v="-215"/>
    <s v="Overdue"/>
    <n v="19"/>
    <d v="2023-09-04T00:00:00"/>
    <n v="1"/>
    <n v="625"/>
    <n v="-0.36"/>
    <s v="Normal"/>
    <n v="2023"/>
    <s v="September"/>
  </r>
  <r>
    <n v="1059"/>
    <x v="120"/>
    <x v="4"/>
    <s v="West"/>
    <s v="Premium"/>
    <d v="2022-06-25T00:00:00"/>
    <d v="2023-09-27T00:00:00"/>
    <x v="507"/>
    <n v="4012.75"/>
    <n v="4484"/>
    <s v="NA"/>
    <n v="15"/>
    <d v="2023-09-27T00:00:00"/>
    <n v="1"/>
    <n v="626"/>
    <n v="1.23"/>
    <s v="Outlier"/>
    <n v="2023"/>
    <s v="September"/>
  </r>
  <r>
    <n v="1061"/>
    <x v="222"/>
    <x v="1"/>
    <s v="East"/>
    <s v="Basic"/>
    <d v="2022-05-23T00:00:00"/>
    <d v="2023-06-05T00:00:00"/>
    <x v="508"/>
    <n v="3289"/>
    <n v="4142"/>
    <s v="Pending"/>
    <n v="12"/>
    <d v="2023-06-05T00:00:00"/>
    <n v="1"/>
    <n v="627"/>
    <n v="0.56000000000000005"/>
    <s v="Normal"/>
    <n v="2023"/>
    <s v="June"/>
  </r>
  <r>
    <n v="1062"/>
    <x v="222"/>
    <x v="2"/>
    <s v="East"/>
    <s v="Standard"/>
    <d v="2022-08-18T00:00:00"/>
    <d v="2022-10-08T00:00:00"/>
    <x v="509"/>
    <n v="4012.75"/>
    <n v="5218"/>
    <s v="Paid"/>
    <n v="1"/>
    <d v="2022-10-08T00:00:00"/>
    <n v="0"/>
    <n v="628"/>
    <n v="1.02"/>
    <s v="Outlier"/>
    <n v="2022"/>
    <s v="October"/>
  </r>
  <r>
    <n v="1063"/>
    <x v="66"/>
    <x v="1"/>
    <s v="West"/>
    <s v="Standard"/>
    <d v="2022-05-23T00:00:00"/>
    <d v="2022-07-24T00:00:00"/>
    <x v="510"/>
    <n v="2778"/>
    <n v="-2359"/>
    <s v="Overdue"/>
    <n v="2"/>
    <d v="2022-07-24T00:00:00"/>
    <n v="0"/>
    <n v="629"/>
    <n v="-5.63"/>
    <s v="Outlier"/>
    <n v="2022"/>
    <s v="July"/>
  </r>
  <r>
    <n v="1064"/>
    <x v="321"/>
    <x v="0"/>
    <s v="East"/>
    <s v="Standard"/>
    <d v="2022-11-22T00:00:00"/>
    <d v="2023-12-23T00:00:00"/>
    <x v="511"/>
    <n v="3871"/>
    <n v="200"/>
    <s v="Pending"/>
    <n v="13"/>
    <d v="2023-12-23T00:00:00"/>
    <n v="0"/>
    <n v="630"/>
    <n v="0.05"/>
    <s v="Normal"/>
    <n v="2023"/>
    <s v="December"/>
  </r>
  <r>
    <n v="1065"/>
    <x v="179"/>
    <x v="2"/>
    <s v="South"/>
    <s v="Basic"/>
    <d v="2022-09-18T00:00:00"/>
    <d v="2023-08-10T00:00:00"/>
    <x v="512"/>
    <n v="6655"/>
    <n v="-6127"/>
    <s v="Pending"/>
    <n v="10"/>
    <d v="2023-08-10T00:00:00"/>
    <n v="1"/>
    <n v="631"/>
    <n v="-11.6"/>
    <s v="Outlier"/>
    <n v="2023"/>
    <s v="August"/>
  </r>
  <r>
    <n v="1068"/>
    <x v="79"/>
    <x v="2"/>
    <s v="South"/>
    <s v="Standard"/>
    <d v="2022-01-11T00:00:00"/>
    <d v="2023-07-01T00:00:00"/>
    <x v="17"/>
    <n v="4012.75"/>
    <n v="577.01"/>
    <s v="Pending"/>
    <n v="17"/>
    <d v="2023-07-01T00:00:00"/>
    <n v="0"/>
    <n v="632"/>
    <n v="0.12"/>
    <s v="Normal"/>
    <n v="2023"/>
    <s v="July"/>
  </r>
  <r>
    <n v="1069"/>
    <x v="182"/>
    <x v="1"/>
    <s v="South"/>
    <s v="Basic"/>
    <d v="2022-10-06T00:00:00"/>
    <d v="2023-08-08T00:00:00"/>
    <x v="17"/>
    <n v="3198"/>
    <n v="-4438"/>
    <s v="Overdue"/>
    <n v="10"/>
    <d v="2023-08-08T00:00:00"/>
    <n v="1"/>
    <n v="633"/>
    <n v="-0.89"/>
    <s v="Normal"/>
    <n v="2023"/>
    <s v="August"/>
  </r>
  <r>
    <n v="1070"/>
    <x v="322"/>
    <x v="3"/>
    <s v="West"/>
    <s v="Premium"/>
    <d v="2022-02-08T00:00:00"/>
    <d v="2023-04-22T00:00:00"/>
    <x v="513"/>
    <n v="6119"/>
    <n v="-3202"/>
    <s v="Paid"/>
    <n v="14"/>
    <d v="2023-04-22T00:00:00"/>
    <n v="0"/>
    <n v="634"/>
    <n v="-1.1000000000000001"/>
    <s v="Outlier"/>
    <n v="2023"/>
    <s v="April"/>
  </r>
  <r>
    <n v="1071"/>
    <x v="62"/>
    <x v="2"/>
    <s v="West"/>
    <s v="Basic"/>
    <d v="2022-05-10T00:00:00"/>
    <d v="2022-07-24T00:00:00"/>
    <x v="514"/>
    <n v="6262"/>
    <n v="577.01"/>
    <s v="NA"/>
    <n v="2"/>
    <d v="2022-07-24T00:00:00"/>
    <n v="1"/>
    <n v="635"/>
    <n v="0.12"/>
    <s v="Normal"/>
    <n v="2022"/>
    <s v="July"/>
  </r>
  <r>
    <n v="1073"/>
    <x v="204"/>
    <x v="4"/>
    <s v="East"/>
    <s v="Standard"/>
    <d v="2022-04-07T00:00:00"/>
    <d v="2023-07-25T00:00:00"/>
    <x v="515"/>
    <n v="4265"/>
    <n v="-3995"/>
    <s v="Paid"/>
    <n v="15"/>
    <d v="2023-07-25T00:00:00"/>
    <n v="0"/>
    <n v="636"/>
    <n v="-14.8"/>
    <s v="Outlier"/>
    <n v="2023"/>
    <s v="July"/>
  </r>
  <r>
    <n v="1075"/>
    <x v="50"/>
    <x v="0"/>
    <s v="East"/>
    <s v="Basic"/>
    <d v="2022-08-15T00:00:00"/>
    <d v="2023-06-25T00:00:00"/>
    <x v="516"/>
    <n v="2270"/>
    <n v="-921"/>
    <s v="Paid"/>
    <n v="10"/>
    <d v="2023-06-25T00:00:00"/>
    <n v="1"/>
    <n v="637"/>
    <n v="-0.68"/>
    <s v="Normal"/>
    <n v="2023"/>
    <s v="June"/>
  </r>
  <r>
    <n v="1076"/>
    <x v="216"/>
    <x v="3"/>
    <s v="South"/>
    <s v="Premium"/>
    <d v="2022-06-08T00:00:00"/>
    <d v="2024-01-10T00:00:00"/>
    <x v="517"/>
    <n v="6489"/>
    <n v="-4239"/>
    <s v="Overdue"/>
    <n v="19"/>
    <d v="2024-01-10T00:00:00"/>
    <n v="1"/>
    <n v="638"/>
    <n v="-1.88"/>
    <s v="Outlier"/>
    <n v="2024"/>
    <s v="January"/>
  </r>
  <r>
    <n v="1077"/>
    <x v="93"/>
    <x v="4"/>
    <s v="South"/>
    <s v="Premium"/>
    <d v="2022-12-02T00:00:00"/>
    <d v="2024-06-16T00:00:00"/>
    <x v="518"/>
    <n v="1823"/>
    <n v="2335"/>
    <s v="Paid"/>
    <n v="18"/>
    <d v="2024-06-16T00:00:00"/>
    <n v="0"/>
    <n v="639"/>
    <n v="0.56000000000000005"/>
    <s v="Normal"/>
    <n v="2024"/>
    <s v="June"/>
  </r>
  <r>
    <n v="1079"/>
    <x v="123"/>
    <x v="3"/>
    <s v="East"/>
    <s v="Premium"/>
    <d v="2022-01-16T00:00:00"/>
    <d v="2022-03-21T00:00:00"/>
    <x v="519"/>
    <n v="4627"/>
    <n v="-1410"/>
    <s v="Paid"/>
    <n v="2"/>
    <d v="2022-03-21T00:00:00"/>
    <n v="1"/>
    <n v="640"/>
    <n v="-0.44"/>
    <s v="Normal"/>
    <n v="2022"/>
    <s v="March"/>
  </r>
  <r>
    <n v="1080"/>
    <x v="167"/>
    <x v="2"/>
    <s v="East"/>
    <s v="Basic"/>
    <d v="2022-08-26T00:00:00"/>
    <d v="2022-12-20T00:00:00"/>
    <x v="520"/>
    <n v="3310"/>
    <n v="4346"/>
    <s v="NA"/>
    <n v="3"/>
    <d v="2022-12-20T00:00:00"/>
    <n v="0"/>
    <n v="641"/>
    <n v="0.56999999999999995"/>
    <s v="Normal"/>
    <n v="2022"/>
    <s v="December"/>
  </r>
  <r>
    <n v="1081"/>
    <x v="323"/>
    <x v="2"/>
    <s v="North"/>
    <s v="Premium"/>
    <d v="2022-05-05T00:00:00"/>
    <d v="2023-07-12T00:00:00"/>
    <x v="521"/>
    <n v="6871"/>
    <n v="-1577"/>
    <s v="Paid"/>
    <n v="14"/>
    <d v="2023-07-12T00:00:00"/>
    <n v="1"/>
    <n v="642"/>
    <n v="-0.3"/>
    <s v="Normal"/>
    <n v="2023"/>
    <s v="July"/>
  </r>
  <r>
    <n v="1082"/>
    <x v="324"/>
    <x v="2"/>
    <s v="West"/>
    <s v="Premium"/>
    <d v="2022-09-24T00:00:00"/>
    <d v="2023-04-12T00:00:00"/>
    <x v="522"/>
    <n v="2115"/>
    <n v="5387"/>
    <s v="Overdue"/>
    <n v="6"/>
    <d v="2023-04-12T00:00:00"/>
    <n v="0"/>
    <n v="643"/>
    <n v="0.72"/>
    <s v="Normal"/>
    <n v="2023"/>
    <s v="April"/>
  </r>
  <r>
    <n v="1083"/>
    <x v="325"/>
    <x v="1"/>
    <s v="East"/>
    <s v="Premium"/>
    <d v="2022-10-04T00:00:00"/>
    <d v="2023-04-29T00:00:00"/>
    <x v="523"/>
    <n v="1592"/>
    <n v="-186"/>
    <s v="Pending"/>
    <n v="6"/>
    <d v="2023-04-29T00:00:00"/>
    <n v="0"/>
    <n v="644"/>
    <n v="-0.13"/>
    <s v="Normal"/>
    <n v="2023"/>
    <s v="April"/>
  </r>
  <r>
    <n v="1084"/>
    <x v="132"/>
    <x v="2"/>
    <s v="North"/>
    <s v="Premium"/>
    <d v="2022-12-11T00:00:00"/>
    <d v="2023-01-15T00:00:00"/>
    <x v="17"/>
    <n v="7513"/>
    <n v="-8218"/>
    <s v="NA"/>
    <n v="1"/>
    <d v="2023-01-15T00:00:00"/>
    <n v="0"/>
    <n v="645"/>
    <n v="-1.65"/>
    <s v="Outlier"/>
    <n v="2023"/>
    <s v="January"/>
  </r>
  <r>
    <n v="1085"/>
    <x v="121"/>
    <x v="3"/>
    <s v="East"/>
    <s v="Standard"/>
    <d v="2022-03-26T00:00:00"/>
    <d v="2023-03-08T00:00:00"/>
    <x v="524"/>
    <n v="4456"/>
    <n v="4022"/>
    <s v="Paid"/>
    <n v="11"/>
    <d v="2023-03-08T00:00:00"/>
    <n v="1"/>
    <n v="646"/>
    <n v="0.47"/>
    <s v="Normal"/>
    <n v="2023"/>
    <s v="March"/>
  </r>
  <r>
    <n v="1086"/>
    <x v="183"/>
    <x v="1"/>
    <s v="West"/>
    <s v="Premium"/>
    <d v="2022-08-12T00:00:00"/>
    <d v="2023-04-15T00:00:00"/>
    <x v="468"/>
    <n v="524"/>
    <n v="6682"/>
    <s v="Pending"/>
    <n v="8"/>
    <d v="2023-04-15T00:00:00"/>
    <n v="1"/>
    <n v="647"/>
    <n v="0.93"/>
    <s v="Normal"/>
    <n v="2023"/>
    <s v="April"/>
  </r>
  <r>
    <n v="1088"/>
    <x v="326"/>
    <x v="1"/>
    <s v="West"/>
    <s v="Premium"/>
    <d v="2022-02-05T00:00:00"/>
    <d v="2022-06-30T00:00:00"/>
    <x v="525"/>
    <n v="7985"/>
    <n v="-248"/>
    <s v="Overdue"/>
    <n v="4"/>
    <d v="2022-06-30T00:00:00"/>
    <n v="1"/>
    <n v="648"/>
    <n v="-0.03"/>
    <s v="Normal"/>
    <n v="2022"/>
    <s v="June"/>
  </r>
  <r>
    <n v="1089"/>
    <x v="209"/>
    <x v="3"/>
    <s v="North"/>
    <s v="Premium"/>
    <d v="2022-03-21T00:00:00"/>
    <d v="2022-11-17T00:00:00"/>
    <x v="17"/>
    <n v="4743"/>
    <n v="-5994"/>
    <s v="Paid"/>
    <n v="7"/>
    <d v="2022-11-17T00:00:00"/>
    <n v="1"/>
    <n v="649"/>
    <n v="-1.21"/>
    <s v="Outlier"/>
    <n v="2022"/>
    <s v="November"/>
  </r>
  <r>
    <n v="1094"/>
    <x v="270"/>
    <x v="2"/>
    <s v="South"/>
    <s v="Premium"/>
    <d v="2022-09-11T00:00:00"/>
    <d v="2024-02-28T00:00:00"/>
    <x v="526"/>
    <n v="5011"/>
    <n v="-2913"/>
    <s v="Paid"/>
    <n v="17"/>
    <d v="2024-02-28T00:00:00"/>
    <n v="0"/>
    <n v="650"/>
    <n v="-1.39"/>
    <s v="Outlier"/>
    <n v="2024"/>
    <s v="February"/>
  </r>
  <r>
    <n v="1095"/>
    <x v="327"/>
    <x v="1"/>
    <s v="North"/>
    <s v="Standard"/>
    <d v="2022-05-15T00:00:00"/>
    <d v="2022-07-18T00:00:00"/>
    <x v="527"/>
    <n v="7692"/>
    <n v="2087"/>
    <s v="NA"/>
    <n v="2"/>
    <d v="2022-07-18T00:00:00"/>
    <n v="0"/>
    <n v="651"/>
    <n v="0.21"/>
    <s v="Normal"/>
    <n v="2022"/>
    <s v="July"/>
  </r>
  <r>
    <n v="1097"/>
    <x v="328"/>
    <x v="2"/>
    <s v="West"/>
    <s v="Premium"/>
    <d v="2022-04-18T00:00:00"/>
    <d v="2023-06-11T00:00:00"/>
    <x v="17"/>
    <n v="1602"/>
    <n v="-2465"/>
    <s v="Paid"/>
    <n v="13"/>
    <d v="2023-06-11T00:00:00"/>
    <n v="0"/>
    <n v="652"/>
    <n v="-0.5"/>
    <s v="Normal"/>
    <n v="2023"/>
    <s v="June"/>
  </r>
  <r>
    <n v="1099"/>
    <x v="4"/>
    <x v="1"/>
    <s v="East"/>
    <s v="Basic"/>
    <d v="2022-11-15T00:00:00"/>
    <d v="2024-02-25T00:00:00"/>
    <x v="528"/>
    <n v="7492"/>
    <n v="-5181"/>
    <s v="Overdue"/>
    <n v="15"/>
    <d v="2024-02-25T00:00:00"/>
    <n v="0"/>
    <n v="653"/>
    <n v="-2.2400000000000002"/>
    <s v="Outlier"/>
    <n v="2024"/>
    <s v="February"/>
  </r>
  <r>
    <n v="1100"/>
    <x v="211"/>
    <x v="2"/>
    <s v="East"/>
    <s v="Standard"/>
    <d v="2022-09-12T00:00:00"/>
    <d v="2023-01-02T00:00:00"/>
    <x v="529"/>
    <n v="5031"/>
    <n v="-1640"/>
    <s v="Pending"/>
    <n v="3"/>
    <d v="2023-01-02T00:00:00"/>
    <n v="1"/>
    <n v="654"/>
    <n v="-0.48"/>
    <s v="Normal"/>
    <n v="2023"/>
    <s v="January"/>
  </r>
  <r>
    <n v="1101"/>
    <x v="296"/>
    <x v="0"/>
    <s v="South"/>
    <s v="Standard"/>
    <d v="2022-10-26T00:00:00"/>
    <d v="2023-03-11T00:00:00"/>
    <x v="530"/>
    <n v="3866"/>
    <n v="2811"/>
    <s v="NA"/>
    <n v="4"/>
    <d v="2023-03-11T00:00:00"/>
    <n v="1"/>
    <n v="655"/>
    <n v="0.42"/>
    <s v="Normal"/>
    <n v="2023"/>
    <s v="March"/>
  </r>
  <r>
    <n v="1103"/>
    <x v="323"/>
    <x v="0"/>
    <s v="West"/>
    <s v="Premium"/>
    <d v="2022-02-23T00:00:00"/>
    <d v="2022-07-30T00:00:00"/>
    <x v="531"/>
    <n v="4672"/>
    <n v="-79"/>
    <s v="Paid"/>
    <n v="5"/>
    <d v="2022-07-30T00:00:00"/>
    <n v="0"/>
    <n v="656"/>
    <n v="-0.02"/>
    <s v="Normal"/>
    <n v="2022"/>
    <s v="July"/>
  </r>
  <r>
    <n v="1104"/>
    <x v="38"/>
    <x v="1"/>
    <s v="East"/>
    <s v="Basic"/>
    <d v="2022-02-16T00:00:00"/>
    <d v="2022-12-09T00:00:00"/>
    <x v="532"/>
    <n v="5136"/>
    <n v="3194"/>
    <s v="Overdue"/>
    <n v="9"/>
    <d v="2022-12-09T00:00:00"/>
    <n v="0"/>
    <n v="657"/>
    <n v="0.38"/>
    <s v="Normal"/>
    <n v="2022"/>
    <s v="December"/>
  </r>
  <r>
    <n v="1105"/>
    <x v="313"/>
    <x v="0"/>
    <s v="South"/>
    <s v="Premium"/>
    <d v="2022-08-28T00:00:00"/>
    <d v="2024-01-30T00:00:00"/>
    <x v="533"/>
    <n v="3093"/>
    <n v="-2329"/>
    <s v="Pending"/>
    <n v="17"/>
    <d v="2024-01-30T00:00:00"/>
    <n v="0"/>
    <n v="658"/>
    <n v="-3.05"/>
    <s v="Outlier"/>
    <n v="2024"/>
    <s v="January"/>
  </r>
  <r>
    <n v="1106"/>
    <x v="329"/>
    <x v="2"/>
    <s v="North"/>
    <s v="Standard"/>
    <d v="2022-12-06T00:00:00"/>
    <d v="2023-04-17T00:00:00"/>
    <x v="17"/>
    <n v="7518"/>
    <n v="-9018"/>
    <s v="NA"/>
    <n v="4"/>
    <d v="2023-04-17T00:00:00"/>
    <n v="1"/>
    <n v="659"/>
    <n v="-1.82"/>
    <s v="Outlier"/>
    <n v="2023"/>
    <s v="April"/>
  </r>
  <r>
    <n v="1107"/>
    <x v="330"/>
    <x v="3"/>
    <s v="West"/>
    <s v="Standard"/>
    <d v="2022-01-08T00:00:00"/>
    <d v="2023-07-10T00:00:00"/>
    <x v="534"/>
    <n v="932"/>
    <n v="6202"/>
    <s v="Paid"/>
    <n v="18"/>
    <d v="2023-07-10T00:00:00"/>
    <n v="1"/>
    <n v="660"/>
    <n v="0.87"/>
    <s v="Normal"/>
    <n v="2023"/>
    <s v="July"/>
  </r>
  <r>
    <n v="1108"/>
    <x v="213"/>
    <x v="2"/>
    <s v="North"/>
    <s v="Standard"/>
    <d v="2022-06-14T00:00:00"/>
    <d v="2023-08-06T00:00:00"/>
    <x v="535"/>
    <n v="4650"/>
    <n v="-4145"/>
    <s v="Paid"/>
    <n v="13"/>
    <d v="2023-08-06T00:00:00"/>
    <n v="0"/>
    <n v="661"/>
    <n v="-8.2100000000000009"/>
    <s v="Outlier"/>
    <n v="2023"/>
    <s v="August"/>
  </r>
  <r>
    <n v="1109"/>
    <x v="58"/>
    <x v="1"/>
    <s v="East"/>
    <s v="Standard"/>
    <d v="2022-02-09T00:00:00"/>
    <d v="2023-03-04T00:00:00"/>
    <x v="536"/>
    <n v="1433"/>
    <n v="3292"/>
    <s v="Overdue"/>
    <n v="12"/>
    <d v="2023-03-04T00:00:00"/>
    <n v="1"/>
    <n v="662"/>
    <n v="0.7"/>
    <s v="Normal"/>
    <n v="2023"/>
    <s v="March"/>
  </r>
  <r>
    <n v="1110"/>
    <x v="120"/>
    <x v="2"/>
    <s v="South"/>
    <s v="Basic"/>
    <d v="2022-11-01T00:00:00"/>
    <d v="2023-01-12T00:00:00"/>
    <x v="537"/>
    <n v="7667"/>
    <n v="-1602"/>
    <s v="Overdue"/>
    <n v="2"/>
    <d v="2023-01-12T00:00:00"/>
    <n v="1"/>
    <n v="663"/>
    <n v="-0.26"/>
    <s v="Normal"/>
    <n v="2023"/>
    <s v="January"/>
  </r>
  <r>
    <n v="1111"/>
    <x v="121"/>
    <x v="0"/>
    <s v="South"/>
    <s v="Premium"/>
    <d v="2022-06-10T00:00:00"/>
    <d v="2023-06-14T00:00:00"/>
    <x v="538"/>
    <n v="4959"/>
    <n v="4087"/>
    <s v="Paid"/>
    <n v="12"/>
    <d v="2023-06-14T00:00:00"/>
    <n v="0"/>
    <n v="664"/>
    <n v="0.45"/>
    <s v="Normal"/>
    <n v="2023"/>
    <s v="June"/>
  </r>
  <r>
    <n v="1114"/>
    <x v="180"/>
    <x v="4"/>
    <s v="North"/>
    <s v="Premium"/>
    <d v="2022-01-28T00:00:00"/>
    <d v="2023-05-12T00:00:00"/>
    <x v="539"/>
    <n v="860"/>
    <n v="7524"/>
    <s v="Paid"/>
    <n v="15"/>
    <d v="2023-05-12T00:00:00"/>
    <n v="0"/>
    <n v="665"/>
    <n v="0.9"/>
    <s v="Normal"/>
    <n v="2023"/>
    <s v="May"/>
  </r>
  <r>
    <n v="1116"/>
    <x v="207"/>
    <x v="2"/>
    <s v="West"/>
    <s v="Premium"/>
    <d v="2022-06-16T00:00:00"/>
    <d v="2022-07-27T00:00:00"/>
    <x v="17"/>
    <n v="403"/>
    <n v="-1414"/>
    <s v="Overdue"/>
    <n v="1"/>
    <d v="2022-07-27T00:00:00"/>
    <n v="1"/>
    <n v="666"/>
    <n v="-0.28000000000000003"/>
    <s v="Normal"/>
    <n v="2022"/>
    <s v="July"/>
  </r>
  <r>
    <n v="1118"/>
    <x v="122"/>
    <x v="3"/>
    <s v="South"/>
    <s v="Basic"/>
    <d v="2022-12-22T00:00:00"/>
    <d v="2023-04-30T00:00:00"/>
    <x v="540"/>
    <n v="5813"/>
    <n v="-1126"/>
    <s v="NA"/>
    <n v="4"/>
    <d v="2023-04-30T00:00:00"/>
    <n v="1"/>
    <n v="667"/>
    <n v="-0.24"/>
    <s v="Normal"/>
    <n v="2023"/>
    <s v="April"/>
  </r>
  <r>
    <n v="1120"/>
    <x v="250"/>
    <x v="1"/>
    <s v="East"/>
    <s v="Premium"/>
    <d v="2022-04-02T00:00:00"/>
    <d v="2023-02-25T00:00:00"/>
    <x v="541"/>
    <n v="7885"/>
    <n v="577.01"/>
    <s v="Overdue"/>
    <n v="10"/>
    <d v="2023-02-25T00:00:00"/>
    <n v="0"/>
    <n v="668"/>
    <n v="0.16"/>
    <s v="Normal"/>
    <n v="2023"/>
    <s v="February"/>
  </r>
  <r>
    <n v="1121"/>
    <x v="38"/>
    <x v="0"/>
    <s v="West"/>
    <s v="Basic"/>
    <d v="2022-10-31T00:00:00"/>
    <d v="2024-02-06T00:00:00"/>
    <x v="242"/>
    <n v="4012.75"/>
    <n v="5936"/>
    <s v="NA"/>
    <n v="15"/>
    <d v="2024-02-06T00:00:00"/>
    <n v="1"/>
    <n v="669"/>
    <n v="1.1599999999999999"/>
    <s v="Outlier"/>
    <n v="2024"/>
    <s v="February"/>
  </r>
  <r>
    <n v="1123"/>
    <x v="186"/>
    <x v="2"/>
    <s v="North"/>
    <s v="Standard"/>
    <d v="2022-07-10T00:00:00"/>
    <d v="2024-02-11T00:00:00"/>
    <x v="542"/>
    <n v="7086"/>
    <n v="577.01"/>
    <s v="NA"/>
    <n v="19"/>
    <d v="2024-02-11T00:00:00"/>
    <n v="0"/>
    <n v="670"/>
    <n v="0.09"/>
    <s v="Normal"/>
    <n v="2024"/>
    <s v="February"/>
  </r>
  <r>
    <n v="1126"/>
    <x v="73"/>
    <x v="3"/>
    <s v="West"/>
    <s v="Premium"/>
    <d v="2022-10-18T00:00:00"/>
    <d v="2024-05-29T00:00:00"/>
    <x v="459"/>
    <n v="19"/>
    <n v="577.01"/>
    <s v="Pending"/>
    <n v="19"/>
    <d v="2024-05-29T00:00:00"/>
    <n v="0"/>
    <n v="671"/>
    <n v="0.51"/>
    <s v="Normal"/>
    <n v="2024"/>
    <s v="May"/>
  </r>
  <r>
    <n v="1129"/>
    <x v="149"/>
    <x v="4"/>
    <s v="South"/>
    <s v="Standard"/>
    <d v="2022-08-23T00:00:00"/>
    <d v="2023-07-19T00:00:00"/>
    <x v="543"/>
    <n v="7711"/>
    <n v="577.01"/>
    <s v="NA"/>
    <n v="10"/>
    <d v="2023-07-19T00:00:00"/>
    <n v="0"/>
    <n v="672"/>
    <n v="0.09"/>
    <s v="Normal"/>
    <n v="2023"/>
    <s v="July"/>
  </r>
  <r>
    <n v="1132"/>
    <x v="204"/>
    <x v="4"/>
    <s v="North"/>
    <s v="Premium"/>
    <d v="2022-06-01T00:00:00"/>
    <d v="2022-07-10T00:00:00"/>
    <x v="544"/>
    <n v="6547"/>
    <n v="-893"/>
    <s v="NA"/>
    <n v="1"/>
    <d v="2022-07-10T00:00:00"/>
    <n v="0"/>
    <n v="673"/>
    <n v="-0.16"/>
    <s v="Normal"/>
    <n v="2022"/>
    <s v="July"/>
  </r>
  <r>
    <n v="1134"/>
    <x v="318"/>
    <x v="3"/>
    <s v="South"/>
    <s v="Standard"/>
    <d v="2022-03-14T00:00:00"/>
    <d v="2023-02-22T00:00:00"/>
    <x v="17"/>
    <n v="4089"/>
    <n v="-4253"/>
    <s v="Paid"/>
    <n v="11"/>
    <d v="2023-02-22T00:00:00"/>
    <n v="1"/>
    <n v="674"/>
    <n v="-0.86"/>
    <s v="Normal"/>
    <n v="2023"/>
    <s v="February"/>
  </r>
  <r>
    <n v="1135"/>
    <x v="81"/>
    <x v="3"/>
    <s v="South"/>
    <s v="Basic"/>
    <d v="2022-09-08T00:00:00"/>
    <d v="2023-02-20T00:00:00"/>
    <x v="545"/>
    <n v="5065"/>
    <n v="577.01"/>
    <s v="Paid"/>
    <n v="5"/>
    <d v="2023-02-20T00:00:00"/>
    <n v="1"/>
    <n v="675"/>
    <n v="0.11"/>
    <s v="Normal"/>
    <n v="2023"/>
    <s v="February"/>
  </r>
  <r>
    <n v="1136"/>
    <x v="6"/>
    <x v="4"/>
    <s v="South"/>
    <s v="Standard"/>
    <d v="2022-01-27T00:00:00"/>
    <d v="2022-05-03T00:00:00"/>
    <x v="111"/>
    <n v="5934"/>
    <n v="-5569"/>
    <s v="Paid"/>
    <n v="3"/>
    <d v="2022-05-03T00:00:00"/>
    <n v="1"/>
    <n v="676"/>
    <n v="-15.26"/>
    <s v="Outlier"/>
    <n v="2022"/>
    <s v="May"/>
  </r>
  <r>
    <n v="1138"/>
    <x v="331"/>
    <x v="2"/>
    <s v="North"/>
    <s v="Basic"/>
    <d v="2022-01-24T00:00:00"/>
    <d v="2022-09-08T00:00:00"/>
    <x v="546"/>
    <n v="1956"/>
    <n v="2497"/>
    <s v="NA"/>
    <n v="7"/>
    <d v="2022-09-08T00:00:00"/>
    <n v="1"/>
    <n v="677"/>
    <n v="0.56000000000000005"/>
    <s v="Normal"/>
    <n v="2022"/>
    <s v="September"/>
  </r>
  <r>
    <n v="1140"/>
    <x v="86"/>
    <x v="2"/>
    <s v="East"/>
    <s v="Premium"/>
    <d v="2022-09-26T00:00:00"/>
    <d v="2024-01-30T00:00:00"/>
    <x v="547"/>
    <n v="722"/>
    <n v="7492"/>
    <s v="NA"/>
    <n v="16"/>
    <d v="2024-01-30T00:00:00"/>
    <n v="0"/>
    <n v="678"/>
    <n v="0.91"/>
    <s v="Normal"/>
    <n v="2024"/>
    <s v="January"/>
  </r>
  <r>
    <n v="1141"/>
    <x v="332"/>
    <x v="3"/>
    <s v="South"/>
    <s v="Standard"/>
    <d v="2022-11-25T00:00:00"/>
    <d v="2023-12-07T00:00:00"/>
    <x v="17"/>
    <n v="4012.75"/>
    <n v="-1685"/>
    <s v="NA"/>
    <n v="12"/>
    <d v="2023-12-07T00:00:00"/>
    <n v="0"/>
    <n v="679"/>
    <n v="-0.34"/>
    <s v="Normal"/>
    <n v="2023"/>
    <s v="December"/>
  </r>
  <r>
    <n v="1145"/>
    <x v="333"/>
    <x v="0"/>
    <s v="East"/>
    <s v="Standard"/>
    <d v="2022-12-22T00:00:00"/>
    <d v="2023-05-31T00:00:00"/>
    <x v="548"/>
    <n v="6389"/>
    <n v="-2306"/>
    <s v="Paid"/>
    <n v="5"/>
    <d v="2023-05-31T00:00:00"/>
    <n v="1"/>
    <n v="680"/>
    <n v="-0.56000000000000005"/>
    <s v="Normal"/>
    <n v="2023"/>
    <s v="May"/>
  </r>
  <r>
    <n v="1147"/>
    <x v="334"/>
    <x v="2"/>
    <s v="North"/>
    <s v="Premium"/>
    <d v="2022-01-03T00:00:00"/>
    <d v="2023-06-23T00:00:00"/>
    <x v="23"/>
    <n v="6690"/>
    <n v="-4368"/>
    <s v="Pending"/>
    <n v="17"/>
    <d v="2023-06-23T00:00:00"/>
    <n v="1"/>
    <n v="681"/>
    <n v="-1.88"/>
    <s v="Outlier"/>
    <n v="2023"/>
    <s v="June"/>
  </r>
  <r>
    <n v="1151"/>
    <x v="14"/>
    <x v="1"/>
    <s v="West"/>
    <s v="Standard"/>
    <d v="2022-10-09T00:00:00"/>
    <d v="2023-09-02T00:00:00"/>
    <x v="17"/>
    <n v="2656"/>
    <n v="-3873"/>
    <s v="Pending"/>
    <n v="10"/>
    <d v="2023-09-02T00:00:00"/>
    <n v="1"/>
    <n v="682"/>
    <n v="-0.78"/>
    <s v="Normal"/>
    <n v="2023"/>
    <s v="September"/>
  </r>
  <r>
    <n v="1152"/>
    <x v="335"/>
    <x v="2"/>
    <s v="East"/>
    <s v="Basic"/>
    <d v="2022-07-06T00:00:00"/>
    <d v="2022-08-28T00:00:00"/>
    <x v="549"/>
    <n v="4012.75"/>
    <n v="7039"/>
    <s v="Paid"/>
    <n v="1"/>
    <d v="2022-08-28T00:00:00"/>
    <n v="1"/>
    <n v="683"/>
    <n v="1.1200000000000001"/>
    <s v="Outlier"/>
    <n v="2022"/>
    <s v="August"/>
  </r>
  <r>
    <n v="1153"/>
    <x v="43"/>
    <x v="3"/>
    <s v="South"/>
    <s v="Standard"/>
    <d v="2022-12-16T00:00:00"/>
    <d v="2023-05-18T00:00:00"/>
    <x v="17"/>
    <n v="3508"/>
    <n v="-4658"/>
    <s v="NA"/>
    <n v="5"/>
    <d v="2023-05-18T00:00:00"/>
    <n v="1"/>
    <n v="684"/>
    <n v="-0.94"/>
    <s v="Normal"/>
    <n v="2023"/>
    <s v="May"/>
  </r>
  <r>
    <n v="1154"/>
    <x v="321"/>
    <x v="2"/>
    <s v="West"/>
    <s v="Premium"/>
    <d v="2022-05-07T00:00:00"/>
    <d v="2023-11-19T00:00:00"/>
    <x v="550"/>
    <n v="1635"/>
    <n v="3772"/>
    <s v="Pending"/>
    <n v="18"/>
    <d v="2023-11-19T00:00:00"/>
    <n v="0"/>
    <n v="685"/>
    <n v="0.7"/>
    <s v="Normal"/>
    <n v="2023"/>
    <s v="November"/>
  </r>
  <r>
    <n v="1158"/>
    <x v="278"/>
    <x v="0"/>
    <s v="North"/>
    <s v="Premium"/>
    <d v="2022-02-16T00:00:00"/>
    <d v="2023-08-06T00:00:00"/>
    <x v="17"/>
    <n v="4080"/>
    <n v="-5437"/>
    <s v="NA"/>
    <n v="17"/>
    <d v="2023-08-06T00:00:00"/>
    <n v="1"/>
    <n v="686"/>
    <n v="-1.0900000000000001"/>
    <s v="Outlier"/>
    <n v="2023"/>
    <s v="August"/>
  </r>
  <r>
    <n v="1160"/>
    <x v="336"/>
    <x v="2"/>
    <s v="North"/>
    <s v="Basic"/>
    <d v="2023-01-01T00:00:00"/>
    <d v="2024-01-22T00:00:00"/>
    <x v="551"/>
    <n v="3110"/>
    <n v="233"/>
    <s v="Pending"/>
    <n v="12"/>
    <d v="2024-01-22T00:00:00"/>
    <n v="1"/>
    <n v="687"/>
    <n v="7.0000000000000007E-2"/>
    <s v="Normal"/>
    <n v="2024"/>
    <s v="January"/>
  </r>
  <r>
    <n v="1161"/>
    <x v="149"/>
    <x v="4"/>
    <s v="North"/>
    <s v="Standard"/>
    <d v="2022-08-20T00:00:00"/>
    <d v="2023-04-19T00:00:00"/>
    <x v="552"/>
    <n v="6444"/>
    <n v="-76"/>
    <s v="NA"/>
    <n v="7"/>
    <d v="2023-04-19T00:00:00"/>
    <n v="1"/>
    <n v="688"/>
    <n v="-0.01"/>
    <s v="Normal"/>
    <n v="2023"/>
    <s v="April"/>
  </r>
  <r>
    <n v="1166"/>
    <x v="337"/>
    <x v="0"/>
    <s v="North"/>
    <s v="Basic"/>
    <d v="2022-03-16T00:00:00"/>
    <d v="2022-12-27T00:00:00"/>
    <x v="553"/>
    <n v="3741"/>
    <n v="-2812"/>
    <s v="Paid"/>
    <n v="9"/>
    <d v="2022-12-27T00:00:00"/>
    <n v="1"/>
    <n v="689"/>
    <n v="-3.03"/>
    <s v="Outlier"/>
    <n v="2022"/>
    <s v="December"/>
  </r>
  <r>
    <n v="1168"/>
    <x v="220"/>
    <x v="0"/>
    <s v="East"/>
    <s v="Basic"/>
    <d v="2022-10-14T00:00:00"/>
    <d v="2023-11-08T00:00:00"/>
    <x v="554"/>
    <n v="951"/>
    <n v="939"/>
    <s v="Pending"/>
    <n v="12"/>
    <d v="2023-11-08T00:00:00"/>
    <n v="1"/>
    <n v="690"/>
    <n v="0.5"/>
    <s v="Normal"/>
    <n v="2023"/>
    <s v="November"/>
  </r>
  <r>
    <n v="1169"/>
    <x v="171"/>
    <x v="0"/>
    <s v="West"/>
    <s v="Standard"/>
    <d v="2022-08-07T00:00:00"/>
    <d v="2023-04-30T00:00:00"/>
    <x v="555"/>
    <n v="3967"/>
    <n v="1389"/>
    <s v="Overdue"/>
    <n v="8"/>
    <d v="2023-04-30T00:00:00"/>
    <n v="1"/>
    <n v="691"/>
    <n v="0.26"/>
    <s v="Normal"/>
    <n v="2023"/>
    <s v="April"/>
  </r>
  <r>
    <n v="1170"/>
    <x v="5"/>
    <x v="2"/>
    <s v="West"/>
    <s v="Standard"/>
    <d v="2023-01-01T00:00:00"/>
    <d v="2023-12-06T00:00:00"/>
    <x v="556"/>
    <n v="4012.75"/>
    <n v="9061"/>
    <s v="Paid"/>
    <n v="11"/>
    <d v="2023-12-06T00:00:00"/>
    <n v="1"/>
    <n v="692"/>
    <n v="1.05"/>
    <s v="Outlier"/>
    <n v="2023"/>
    <s v="December"/>
  </r>
  <r>
    <n v="1173"/>
    <x v="338"/>
    <x v="1"/>
    <s v="West"/>
    <s v="Premium"/>
    <d v="2022-02-11T00:00:00"/>
    <d v="2022-09-07T00:00:00"/>
    <x v="557"/>
    <n v="4012.75"/>
    <n v="10692"/>
    <s v="Overdue"/>
    <n v="6"/>
    <d v="2022-09-07T00:00:00"/>
    <n v="0"/>
    <n v="693"/>
    <n v="1.1000000000000001"/>
    <s v="Outlier"/>
    <n v="2022"/>
    <s v="September"/>
  </r>
  <r>
    <n v="1176"/>
    <x v="162"/>
    <x v="3"/>
    <s v="South"/>
    <s v="Standard"/>
    <d v="2022-07-29T00:00:00"/>
    <d v="2023-01-31T00:00:00"/>
    <x v="17"/>
    <n v="2671"/>
    <n v="-3397"/>
    <s v="NA"/>
    <n v="6"/>
    <d v="2023-01-31T00:00:00"/>
    <n v="0"/>
    <n v="694"/>
    <n v="-0.68"/>
    <s v="Normal"/>
    <n v="2023"/>
    <s v="January"/>
  </r>
  <r>
    <n v="1178"/>
    <x v="301"/>
    <x v="3"/>
    <s v="East"/>
    <s v="Basic"/>
    <d v="2022-09-10T00:00:00"/>
    <d v="2023-08-06T00:00:00"/>
    <x v="558"/>
    <n v="4012.75"/>
    <n v="5717"/>
    <s v="NA"/>
    <n v="10"/>
    <d v="2023-08-06T00:00:00"/>
    <n v="1"/>
    <n v="695"/>
    <n v="1.1100000000000001"/>
    <s v="Outlier"/>
    <n v="2023"/>
    <s v="August"/>
  </r>
  <r>
    <n v="1179"/>
    <x v="339"/>
    <x v="4"/>
    <s v="East"/>
    <s v="Standard"/>
    <d v="2022-05-31T00:00:00"/>
    <d v="2022-08-30T00:00:00"/>
    <x v="559"/>
    <n v="2163"/>
    <n v="7577"/>
    <s v="Pending"/>
    <n v="2"/>
    <d v="2022-08-30T00:00:00"/>
    <n v="1"/>
    <n v="696"/>
    <n v="0.78"/>
    <s v="Normal"/>
    <n v="2022"/>
    <s v="August"/>
  </r>
  <r>
    <n v="1180"/>
    <x v="62"/>
    <x v="4"/>
    <s v="East"/>
    <s v="Premium"/>
    <d v="2022-03-29T00:00:00"/>
    <d v="2023-11-12T00:00:00"/>
    <x v="560"/>
    <n v="757"/>
    <n v="4781"/>
    <s v="Paid"/>
    <n v="19"/>
    <d v="2023-11-12T00:00:00"/>
    <n v="1"/>
    <n v="697"/>
    <n v="0.86"/>
    <s v="Normal"/>
    <n v="2023"/>
    <s v="November"/>
  </r>
  <r>
    <n v="1181"/>
    <x v="273"/>
    <x v="2"/>
    <s v="West"/>
    <s v="Premium"/>
    <d v="2022-11-16T00:00:00"/>
    <d v="2023-10-24T00:00:00"/>
    <x v="561"/>
    <n v="4012.75"/>
    <n v="388"/>
    <s v="NA"/>
    <n v="11"/>
    <d v="2023-10-24T00:00:00"/>
    <n v="1"/>
    <n v="698"/>
    <n v="1.26"/>
    <s v="Outlier"/>
    <n v="2023"/>
    <s v="October"/>
  </r>
  <r>
    <n v="1182"/>
    <x v="255"/>
    <x v="1"/>
    <s v="North"/>
    <s v="Basic"/>
    <d v="2022-01-25T00:00:00"/>
    <d v="2023-05-16T00:00:00"/>
    <x v="562"/>
    <n v="7257"/>
    <n v="-4300"/>
    <s v="NA"/>
    <n v="15"/>
    <d v="2023-05-16T00:00:00"/>
    <n v="1"/>
    <n v="699"/>
    <n v="-1.45"/>
    <s v="Outlier"/>
    <n v="2023"/>
    <s v="May"/>
  </r>
  <r>
    <n v="1183"/>
    <x v="267"/>
    <x v="4"/>
    <s v="South"/>
    <s v="Basic"/>
    <d v="2022-05-23T00:00:00"/>
    <d v="2023-02-13T00:00:00"/>
    <x v="563"/>
    <n v="3616"/>
    <n v="-1201"/>
    <s v="Paid"/>
    <n v="8"/>
    <d v="2023-02-13T00:00:00"/>
    <n v="1"/>
    <n v="700"/>
    <n v="-0.5"/>
    <s v="Normal"/>
    <n v="2023"/>
    <s v="February"/>
  </r>
  <r>
    <n v="1185"/>
    <x v="256"/>
    <x v="2"/>
    <s v="North"/>
    <s v="Basic"/>
    <d v="2022-03-23T00:00:00"/>
    <d v="2023-02-08T00:00:00"/>
    <x v="564"/>
    <n v="4738"/>
    <n v="577.01"/>
    <s v="Paid"/>
    <n v="10"/>
    <d v="2023-02-08T00:00:00"/>
    <n v="1"/>
    <n v="701"/>
    <n v="0.1"/>
    <s v="Normal"/>
    <n v="2023"/>
    <s v="February"/>
  </r>
  <r>
    <n v="1186"/>
    <x v="182"/>
    <x v="2"/>
    <s v="West"/>
    <s v="Basic"/>
    <d v="2022-11-28T00:00:00"/>
    <d v="2023-11-23T00:00:00"/>
    <x v="565"/>
    <n v="733"/>
    <n v="7372"/>
    <s v="Paid"/>
    <n v="11"/>
    <d v="2023-11-23T00:00:00"/>
    <n v="1"/>
    <n v="702"/>
    <n v="0.91"/>
    <s v="Normal"/>
    <n v="2023"/>
    <s v="November"/>
  </r>
  <r>
    <n v="1188"/>
    <x v="240"/>
    <x v="4"/>
    <s v="North"/>
    <s v="Basic"/>
    <d v="2022-12-07T00:00:00"/>
    <d v="2023-03-04T00:00:00"/>
    <x v="566"/>
    <n v="3185"/>
    <n v="6241"/>
    <s v="Pending"/>
    <n v="2"/>
    <d v="2023-03-04T00:00:00"/>
    <n v="0"/>
    <n v="703"/>
    <n v="0.66"/>
    <s v="Normal"/>
    <n v="2023"/>
    <s v="March"/>
  </r>
  <r>
    <n v="1189"/>
    <x v="258"/>
    <x v="2"/>
    <s v="West"/>
    <s v="Basic"/>
    <d v="2022-01-13T00:00:00"/>
    <d v="2022-07-24T00:00:00"/>
    <x v="567"/>
    <n v="4012.75"/>
    <n v="3920"/>
    <s v="Overdue"/>
    <n v="6"/>
    <d v="2022-07-24T00:00:00"/>
    <n v="1"/>
    <n v="704"/>
    <n v="1.33"/>
    <s v="Outlier"/>
    <n v="2022"/>
    <s v="July"/>
  </r>
  <r>
    <n v="1190"/>
    <x v="11"/>
    <x v="3"/>
    <s v="North"/>
    <s v="Standard"/>
    <d v="2022-11-06T00:00:00"/>
    <d v="2024-05-26T00:00:00"/>
    <x v="568"/>
    <n v="4012.75"/>
    <n v="9541"/>
    <s v="NA"/>
    <n v="18"/>
    <d v="2024-05-26T00:00:00"/>
    <n v="0"/>
    <n v="705"/>
    <n v="1.02"/>
    <s v="Outlier"/>
    <n v="2024"/>
    <s v="May"/>
  </r>
  <r>
    <n v="1194"/>
    <x v="100"/>
    <x v="0"/>
    <s v="South"/>
    <s v="Basic"/>
    <d v="2022-02-02T00:00:00"/>
    <d v="2022-04-09T00:00:00"/>
    <x v="569"/>
    <n v="7988"/>
    <n v="-891"/>
    <s v="Paid"/>
    <n v="2"/>
    <d v="2022-04-09T00:00:00"/>
    <n v="1"/>
    <n v="706"/>
    <n v="-0.13"/>
    <s v="Normal"/>
    <n v="2022"/>
    <s v="April"/>
  </r>
  <r>
    <n v="1196"/>
    <x v="236"/>
    <x v="1"/>
    <s v="West"/>
    <s v="Standard"/>
    <d v="2022-09-29T00:00:00"/>
    <d v="2023-02-19T00:00:00"/>
    <x v="570"/>
    <n v="3098"/>
    <n v="3683"/>
    <s v="Paid"/>
    <n v="4"/>
    <d v="2023-02-19T00:00:00"/>
    <n v="1"/>
    <n v="707"/>
    <n v="0.54"/>
    <s v="Normal"/>
    <n v="2023"/>
    <s v="February"/>
  </r>
  <r>
    <n v="1197"/>
    <x v="206"/>
    <x v="1"/>
    <s v="West"/>
    <s v="Premium"/>
    <d v="2022-02-17T00:00:00"/>
    <d v="2022-05-13T00:00:00"/>
    <x v="571"/>
    <n v="6645"/>
    <n v="2237"/>
    <s v="Overdue"/>
    <n v="2"/>
    <d v="2022-05-13T00:00:00"/>
    <n v="1"/>
    <n v="708"/>
    <n v="0.25"/>
    <s v="Normal"/>
    <n v="2022"/>
    <s v="May"/>
  </r>
  <r>
    <n v="1198"/>
    <x v="189"/>
    <x v="3"/>
    <s v="East"/>
    <s v="Premium"/>
    <d v="2022-06-14T00:00:00"/>
    <d v="2023-04-17T00:00:00"/>
    <x v="572"/>
    <n v="4076"/>
    <n v="-3065"/>
    <s v="Overdue"/>
    <n v="10"/>
    <d v="2023-04-17T00:00:00"/>
    <n v="0"/>
    <n v="709"/>
    <n v="-3.03"/>
    <s v="Outlier"/>
    <n v="2023"/>
    <s v="April"/>
  </r>
  <r>
    <n v="1201"/>
    <x v="340"/>
    <x v="0"/>
    <s v="West"/>
    <s v="Premium"/>
    <d v="2022-07-02T00:00:00"/>
    <d v="2023-05-02T00:00:00"/>
    <x v="573"/>
    <n v="29"/>
    <n v="577.01"/>
    <s v="Pending"/>
    <n v="10"/>
    <d v="2023-05-02T00:00:00"/>
    <n v="0"/>
    <n v="710"/>
    <n v="3.32"/>
    <s v="Outlier"/>
    <n v="2023"/>
    <s v="May"/>
  </r>
  <r>
    <n v="1204"/>
    <x v="336"/>
    <x v="1"/>
    <s v="East"/>
    <s v="Premium"/>
    <d v="2022-06-13T00:00:00"/>
    <d v="2023-07-21T00:00:00"/>
    <x v="574"/>
    <n v="4012.75"/>
    <n v="3391"/>
    <s v="NA"/>
    <n v="13"/>
    <d v="2023-07-21T00:00:00"/>
    <n v="0"/>
    <n v="711"/>
    <n v="1.25"/>
    <s v="Outlier"/>
    <n v="2023"/>
    <s v="July"/>
  </r>
  <r>
    <n v="1208"/>
    <x v="53"/>
    <x v="2"/>
    <s v="South"/>
    <s v="Standard"/>
    <d v="2022-07-31T00:00:00"/>
    <d v="2022-09-18T00:00:00"/>
    <x v="575"/>
    <n v="2311"/>
    <n v="5092"/>
    <s v="Pending"/>
    <n v="1"/>
    <d v="2022-09-18T00:00:00"/>
    <n v="1"/>
    <n v="712"/>
    <n v="0.69"/>
    <s v="Normal"/>
    <n v="2022"/>
    <s v="September"/>
  </r>
  <r>
    <n v="1211"/>
    <x v="250"/>
    <x v="2"/>
    <s v="North"/>
    <s v="Basic"/>
    <d v="2022-01-28T00:00:00"/>
    <d v="2022-10-12T00:00:00"/>
    <x v="576"/>
    <n v="5822"/>
    <n v="3844"/>
    <s v="Paid"/>
    <n v="8"/>
    <d v="2022-10-12T00:00:00"/>
    <n v="0"/>
    <n v="713"/>
    <n v="0.4"/>
    <s v="Normal"/>
    <n v="2022"/>
    <s v="October"/>
  </r>
  <r>
    <n v="1212"/>
    <x v="318"/>
    <x v="3"/>
    <s v="South"/>
    <s v="Basic"/>
    <d v="2022-03-11T00:00:00"/>
    <d v="2023-04-01T00:00:00"/>
    <x v="17"/>
    <n v="3490"/>
    <n v="-5359"/>
    <s v="Paid"/>
    <n v="12"/>
    <d v="2023-04-01T00:00:00"/>
    <n v="1"/>
    <n v="714"/>
    <n v="-1.08"/>
    <s v="Outlier"/>
    <n v="2023"/>
    <s v="April"/>
  </r>
  <r>
    <n v="1214"/>
    <x v="291"/>
    <x v="4"/>
    <s v="West"/>
    <s v="Basic"/>
    <d v="2022-09-30T00:00:00"/>
    <d v="2023-12-07T00:00:00"/>
    <x v="577"/>
    <n v="7416"/>
    <n v="-4784"/>
    <s v="Pending"/>
    <n v="14"/>
    <d v="2023-12-07T00:00:00"/>
    <n v="0"/>
    <n v="715"/>
    <n v="-1.82"/>
    <s v="Outlier"/>
    <n v="2023"/>
    <s v="December"/>
  </r>
  <r>
    <n v="1215"/>
    <x v="341"/>
    <x v="4"/>
    <s v="South"/>
    <s v="Premium"/>
    <d v="2022-02-22T00:00:00"/>
    <d v="2023-03-26T00:00:00"/>
    <x v="578"/>
    <n v="4012.75"/>
    <n v="4819"/>
    <s v="NA"/>
    <n v="13"/>
    <d v="2023-03-26T00:00:00"/>
    <n v="1"/>
    <n v="716"/>
    <n v="1.04"/>
    <s v="Outlier"/>
    <n v="2023"/>
    <s v="March"/>
  </r>
  <r>
    <n v="1217"/>
    <x v="342"/>
    <x v="1"/>
    <s v="South"/>
    <s v="Standard"/>
    <d v="2022-09-15T00:00:00"/>
    <d v="2023-08-13T00:00:00"/>
    <x v="579"/>
    <n v="6710"/>
    <n v="1037"/>
    <s v="Paid"/>
    <n v="10"/>
    <d v="2023-08-13T00:00:00"/>
    <n v="1"/>
    <n v="717"/>
    <n v="0.13"/>
    <s v="Normal"/>
    <n v="2023"/>
    <s v="August"/>
  </r>
  <r>
    <n v="1218"/>
    <x v="271"/>
    <x v="3"/>
    <s v="South"/>
    <s v="Standard"/>
    <d v="2022-06-20T00:00:00"/>
    <d v="2023-10-10T00:00:00"/>
    <x v="580"/>
    <n v="1933"/>
    <n v="7852"/>
    <s v="Paid"/>
    <n v="15"/>
    <d v="2023-10-10T00:00:00"/>
    <n v="0"/>
    <n v="718"/>
    <n v="0.8"/>
    <s v="Normal"/>
    <n v="2023"/>
    <s v="October"/>
  </r>
  <r>
    <n v="1219"/>
    <x v="231"/>
    <x v="3"/>
    <s v="North"/>
    <s v="Standard"/>
    <d v="2022-10-03T00:00:00"/>
    <d v="2024-02-03T00:00:00"/>
    <x v="17"/>
    <n v="127"/>
    <n v="-1967"/>
    <s v="Overdue"/>
    <n v="16"/>
    <d v="2024-02-03T00:00:00"/>
    <n v="1"/>
    <n v="719"/>
    <n v="-0.4"/>
    <s v="Normal"/>
    <n v="2024"/>
    <s v="February"/>
  </r>
  <r>
    <n v="1220"/>
    <x v="191"/>
    <x v="4"/>
    <s v="West"/>
    <s v="Standard"/>
    <d v="2022-02-07T00:00:00"/>
    <d v="2023-02-25T00:00:00"/>
    <x v="581"/>
    <n v="2224"/>
    <n v="2512"/>
    <s v="Overdue"/>
    <n v="12"/>
    <d v="2023-02-25T00:00:00"/>
    <n v="1"/>
    <n v="720"/>
    <n v="0.53"/>
    <s v="Normal"/>
    <n v="2023"/>
    <s v="February"/>
  </r>
  <r>
    <n v="1221"/>
    <x v="168"/>
    <x v="0"/>
    <s v="South"/>
    <s v="Basic"/>
    <d v="2022-12-17T00:00:00"/>
    <d v="2024-06-09T00:00:00"/>
    <x v="435"/>
    <n v="3453"/>
    <n v="2058"/>
    <s v="Paid"/>
    <n v="17"/>
    <d v="2024-06-09T00:00:00"/>
    <n v="1"/>
    <n v="721"/>
    <n v="0.37"/>
    <s v="Normal"/>
    <n v="2024"/>
    <s v="June"/>
  </r>
  <r>
    <n v="1224"/>
    <x v="32"/>
    <x v="3"/>
    <s v="East"/>
    <s v="Basic"/>
    <d v="2022-03-31T00:00:00"/>
    <d v="2023-05-02T00:00:00"/>
    <x v="582"/>
    <n v="4012.75"/>
    <n v="729"/>
    <s v="Pending"/>
    <n v="13"/>
    <d v="2023-05-02T00:00:00"/>
    <n v="1"/>
    <n v="722"/>
    <n v="1.42"/>
    <s v="Outlier"/>
    <n v="2023"/>
    <s v="May"/>
  </r>
  <r>
    <n v="1225"/>
    <x v="74"/>
    <x v="4"/>
    <s v="South"/>
    <s v="Basic"/>
    <d v="2022-11-15T00:00:00"/>
    <d v="2023-07-20T00:00:00"/>
    <x v="583"/>
    <n v="6495"/>
    <n v="577.01"/>
    <s v="Paid"/>
    <n v="8"/>
    <d v="2023-07-20T00:00:00"/>
    <n v="0"/>
    <n v="723"/>
    <n v="0.12"/>
    <s v="Normal"/>
    <n v="2023"/>
    <s v="July"/>
  </r>
  <r>
    <n v="1227"/>
    <x v="138"/>
    <x v="2"/>
    <s v="North"/>
    <s v="Basic"/>
    <d v="2022-06-01T00:00:00"/>
    <d v="2023-10-08T00:00:00"/>
    <x v="584"/>
    <n v="4770"/>
    <n v="-385"/>
    <s v="Overdue"/>
    <n v="16"/>
    <d v="2023-10-08T00:00:00"/>
    <n v="0"/>
    <n v="724"/>
    <n v="-0.09"/>
    <s v="Normal"/>
    <n v="2023"/>
    <s v="October"/>
  </r>
  <r>
    <n v="1228"/>
    <x v="262"/>
    <x v="1"/>
    <s v="West"/>
    <s v="Premium"/>
    <d v="2022-06-20T00:00:00"/>
    <d v="2023-09-05T00:00:00"/>
    <x v="585"/>
    <n v="5332"/>
    <n v="3122"/>
    <s v="Paid"/>
    <n v="14"/>
    <d v="2023-09-05T00:00:00"/>
    <n v="1"/>
    <n v="725"/>
    <n v="0.37"/>
    <s v="Normal"/>
    <n v="2023"/>
    <s v="September"/>
  </r>
  <r>
    <n v="1229"/>
    <x v="302"/>
    <x v="1"/>
    <s v="East"/>
    <s v="Basic"/>
    <d v="2022-01-29T00:00:00"/>
    <d v="2023-01-21T00:00:00"/>
    <x v="17"/>
    <n v="2588"/>
    <n v="-2850"/>
    <s v="Pending"/>
    <n v="11"/>
    <d v="2023-01-21T00:00:00"/>
    <n v="0"/>
    <n v="726"/>
    <n v="-0.56999999999999995"/>
    <s v="Normal"/>
    <n v="2023"/>
    <s v="January"/>
  </r>
  <r>
    <n v="1230"/>
    <x v="14"/>
    <x v="1"/>
    <s v="West"/>
    <s v="Premium"/>
    <d v="2022-08-25T00:00:00"/>
    <d v="2023-03-31T00:00:00"/>
    <x v="586"/>
    <n v="561"/>
    <n v="5481"/>
    <s v="NA"/>
    <n v="7"/>
    <d v="2023-03-31T00:00:00"/>
    <n v="1"/>
    <n v="727"/>
    <n v="0.91"/>
    <s v="Normal"/>
    <n v="2023"/>
    <s v="March"/>
  </r>
  <r>
    <n v="1231"/>
    <x v="143"/>
    <x v="4"/>
    <s v="North"/>
    <s v="Premium"/>
    <d v="2022-12-02T00:00:00"/>
    <d v="2023-06-16T00:00:00"/>
    <x v="587"/>
    <n v="7278"/>
    <n v="2269"/>
    <s v="Paid"/>
    <n v="6"/>
    <d v="2023-06-16T00:00:00"/>
    <n v="1"/>
    <n v="728"/>
    <n v="0.24"/>
    <s v="Normal"/>
    <n v="2023"/>
    <s v="June"/>
  </r>
  <r>
    <n v="1234"/>
    <x v="186"/>
    <x v="0"/>
    <s v="South"/>
    <s v="Basic"/>
    <d v="2022-04-22T00:00:00"/>
    <d v="2022-09-05T00:00:00"/>
    <x v="17"/>
    <n v="6616"/>
    <n v="-7326"/>
    <s v="Paid"/>
    <n v="4"/>
    <d v="2022-09-05T00:00:00"/>
    <n v="1"/>
    <n v="729"/>
    <n v="-1.47"/>
    <s v="Outlier"/>
    <n v="2022"/>
    <s v="September"/>
  </r>
  <r>
    <n v="1236"/>
    <x v="233"/>
    <x v="2"/>
    <s v="East"/>
    <s v="Standard"/>
    <d v="2022-12-08T00:00:00"/>
    <d v="2023-10-08T00:00:00"/>
    <x v="588"/>
    <n v="514"/>
    <n v="-275"/>
    <s v="Overdue"/>
    <n v="10"/>
    <d v="2023-10-08T00:00:00"/>
    <n v="0"/>
    <n v="730"/>
    <n v="-1.1499999999999999"/>
    <s v="Outlier"/>
    <n v="2023"/>
    <s v="October"/>
  </r>
  <r>
    <n v="1238"/>
    <x v="317"/>
    <x v="2"/>
    <s v="West"/>
    <s v="Premium"/>
    <d v="2022-01-13T00:00:00"/>
    <d v="2022-09-18T00:00:00"/>
    <x v="589"/>
    <n v="650"/>
    <n v="4742"/>
    <s v="Overdue"/>
    <n v="8"/>
    <d v="2022-09-18T00:00:00"/>
    <n v="0"/>
    <n v="731"/>
    <n v="0.88"/>
    <s v="Normal"/>
    <n v="2022"/>
    <s v="September"/>
  </r>
  <r>
    <n v="1240"/>
    <x v="4"/>
    <x v="1"/>
    <s v="East"/>
    <s v="Standard"/>
    <d v="2022-10-15T00:00:00"/>
    <d v="2024-06-02T00:00:00"/>
    <x v="590"/>
    <n v="3144"/>
    <n v="6147"/>
    <s v="Paid"/>
    <n v="19"/>
    <d v="2024-06-02T00:00:00"/>
    <n v="0"/>
    <n v="732"/>
    <n v="0.66"/>
    <s v="Normal"/>
    <n v="2024"/>
    <s v="June"/>
  </r>
  <r>
    <n v="1241"/>
    <x v="122"/>
    <x v="0"/>
    <s v="West"/>
    <s v="Standard"/>
    <d v="2022-10-22T00:00:00"/>
    <d v="2023-12-31T00:00:00"/>
    <x v="280"/>
    <n v="4725"/>
    <n v="-4670"/>
    <s v="Paid"/>
    <n v="14"/>
    <d v="2023-12-31T00:00:00"/>
    <n v="0"/>
    <n v="733"/>
    <n v="-84.91"/>
    <s v="Outlier"/>
    <n v="2023"/>
    <s v="December"/>
  </r>
  <r>
    <n v="1242"/>
    <x v="94"/>
    <x v="1"/>
    <s v="North"/>
    <s v="Premium"/>
    <d v="2022-10-06T00:00:00"/>
    <d v="2023-02-20T00:00:00"/>
    <x v="591"/>
    <n v="3615"/>
    <n v="717"/>
    <s v="NA"/>
    <n v="4"/>
    <d v="2023-02-20T00:00:00"/>
    <n v="0"/>
    <n v="734"/>
    <n v="0.17"/>
    <s v="Normal"/>
    <n v="2023"/>
    <s v="February"/>
  </r>
  <r>
    <n v="1243"/>
    <x v="343"/>
    <x v="0"/>
    <s v="South"/>
    <s v="Basic"/>
    <d v="2022-05-22T00:00:00"/>
    <d v="2023-02-15T00:00:00"/>
    <x v="17"/>
    <n v="135"/>
    <n v="-155"/>
    <s v="Paid"/>
    <n v="8"/>
    <d v="2023-02-15T00:00:00"/>
    <n v="1"/>
    <n v="735"/>
    <n v="-0.03"/>
    <s v="Normal"/>
    <n v="2023"/>
    <s v="February"/>
  </r>
  <r>
    <n v="1244"/>
    <x v="344"/>
    <x v="1"/>
    <s v="South"/>
    <s v="Standard"/>
    <d v="2022-06-19T00:00:00"/>
    <d v="2023-06-15T00:00:00"/>
    <x v="592"/>
    <n v="1207"/>
    <n v="577.01"/>
    <s v="Overdue"/>
    <n v="11"/>
    <d v="2023-06-15T00:00:00"/>
    <n v="1"/>
    <n v="736"/>
    <n v="0.43"/>
    <s v="Normal"/>
    <n v="2023"/>
    <s v="June"/>
  </r>
  <r>
    <n v="1246"/>
    <x v="196"/>
    <x v="0"/>
    <s v="West"/>
    <s v="Premium"/>
    <d v="2022-08-23T00:00:00"/>
    <d v="2023-04-16T00:00:00"/>
    <x v="593"/>
    <n v="7732"/>
    <n v="-6767"/>
    <s v="Overdue"/>
    <n v="7"/>
    <d v="2023-04-16T00:00:00"/>
    <n v="1"/>
    <n v="737"/>
    <n v="-7.01"/>
    <s v="Outlier"/>
    <n v="2023"/>
    <s v="April"/>
  </r>
  <r>
    <n v="1247"/>
    <x v="345"/>
    <x v="4"/>
    <s v="North"/>
    <s v="Standard"/>
    <d v="2022-02-25T00:00:00"/>
    <d v="2023-07-13T00:00:00"/>
    <x v="594"/>
    <n v="5333"/>
    <n v="-1695"/>
    <s v="Pending"/>
    <n v="16"/>
    <d v="2023-07-13T00:00:00"/>
    <n v="1"/>
    <n v="738"/>
    <n v="-0.47"/>
    <s v="Normal"/>
    <n v="2023"/>
    <s v="July"/>
  </r>
  <r>
    <n v="1248"/>
    <x v="55"/>
    <x v="0"/>
    <s v="South"/>
    <s v="Premium"/>
    <d v="2022-12-08T00:00:00"/>
    <d v="2024-06-01T00:00:00"/>
    <x v="17"/>
    <n v="3082"/>
    <n v="-3726"/>
    <s v="Overdue"/>
    <n v="17"/>
    <d v="2024-06-01T00:00:00"/>
    <n v="1"/>
    <n v="739"/>
    <n v="-0.75"/>
    <s v="Normal"/>
    <n v="2024"/>
    <s v="June"/>
  </r>
  <r>
    <n v="1252"/>
    <x v="19"/>
    <x v="1"/>
    <s v="East"/>
    <s v="Basic"/>
    <d v="2022-03-28T00:00:00"/>
    <d v="2023-03-27T00:00:00"/>
    <x v="595"/>
    <n v="893"/>
    <n v="-681"/>
    <s v="Paid"/>
    <n v="11"/>
    <d v="2023-03-27T00:00:00"/>
    <n v="0"/>
    <n v="740"/>
    <n v="-3.21"/>
    <s v="Outlier"/>
    <n v="2023"/>
    <s v="March"/>
  </r>
  <r>
    <n v="1253"/>
    <x v="183"/>
    <x v="2"/>
    <s v="West"/>
    <s v="Basic"/>
    <d v="2022-10-23T00:00:00"/>
    <d v="2023-01-21T00:00:00"/>
    <x v="596"/>
    <n v="7305"/>
    <n v="671"/>
    <s v="Paid"/>
    <n v="2"/>
    <d v="2023-01-21T00:00:00"/>
    <n v="0"/>
    <n v="741"/>
    <n v="0.08"/>
    <s v="Normal"/>
    <n v="2023"/>
    <s v="January"/>
  </r>
  <r>
    <n v="1255"/>
    <x v="306"/>
    <x v="2"/>
    <s v="West"/>
    <s v="Premium"/>
    <d v="2022-12-01T00:00:00"/>
    <d v="2024-07-10T00:00:00"/>
    <x v="597"/>
    <n v="7068"/>
    <n v="2680"/>
    <s v="Paid"/>
    <n v="19"/>
    <d v="2024-07-10T00:00:00"/>
    <n v="1"/>
    <n v="742"/>
    <n v="0.27"/>
    <s v="Normal"/>
    <n v="2024"/>
    <s v="July"/>
  </r>
  <r>
    <n v="1258"/>
    <x v="290"/>
    <x v="1"/>
    <s v="North"/>
    <s v="Premium"/>
    <d v="2022-04-15T00:00:00"/>
    <d v="2022-08-22T00:00:00"/>
    <x v="598"/>
    <n v="6714"/>
    <n v="455"/>
    <s v="Pending"/>
    <n v="4"/>
    <d v="2022-08-22T00:00:00"/>
    <n v="1"/>
    <n v="743"/>
    <n v="0.06"/>
    <s v="Normal"/>
    <n v="2022"/>
    <s v="August"/>
  </r>
  <r>
    <n v="1259"/>
    <x v="346"/>
    <x v="3"/>
    <s v="West"/>
    <s v="Standard"/>
    <d v="2022-06-08T00:00:00"/>
    <d v="2023-02-11T00:00:00"/>
    <x v="599"/>
    <n v="554"/>
    <n v="3283"/>
    <s v="Paid"/>
    <n v="8"/>
    <d v="2023-02-11T00:00:00"/>
    <n v="0"/>
    <n v="744"/>
    <n v="0.86"/>
    <s v="Normal"/>
    <n v="2023"/>
    <s v="February"/>
  </r>
  <r>
    <n v="1260"/>
    <x v="347"/>
    <x v="4"/>
    <s v="West"/>
    <s v="Standard"/>
    <d v="2022-03-31T00:00:00"/>
    <d v="2023-08-14T00:00:00"/>
    <x v="600"/>
    <n v="6540"/>
    <n v="318"/>
    <s v="Pending"/>
    <n v="16"/>
    <d v="2023-08-14T00:00:00"/>
    <n v="1"/>
    <n v="745"/>
    <n v="0.05"/>
    <s v="Normal"/>
    <n v="2023"/>
    <s v="August"/>
  </r>
  <r>
    <n v="1263"/>
    <x v="50"/>
    <x v="3"/>
    <s v="South"/>
    <s v="Standard"/>
    <d v="2022-12-22T00:00:00"/>
    <d v="2024-03-21T00:00:00"/>
    <x v="601"/>
    <n v="4903"/>
    <n v="-338"/>
    <s v="NA"/>
    <n v="14"/>
    <d v="2024-03-21T00:00:00"/>
    <n v="1"/>
    <n v="746"/>
    <n v="-7.0000000000000007E-2"/>
    <s v="Normal"/>
    <n v="2024"/>
    <s v="March"/>
  </r>
  <r>
    <n v="1265"/>
    <x v="241"/>
    <x v="4"/>
    <s v="South"/>
    <s v="Basic"/>
    <d v="2022-07-22T00:00:00"/>
    <d v="2023-10-23T00:00:00"/>
    <x v="602"/>
    <n v="4848"/>
    <n v="2717"/>
    <s v="Pending"/>
    <n v="15"/>
    <d v="2023-10-23T00:00:00"/>
    <n v="0"/>
    <n v="747"/>
    <n v="0.36"/>
    <s v="Normal"/>
    <n v="2023"/>
    <s v="October"/>
  </r>
  <r>
    <n v="1268"/>
    <x v="348"/>
    <x v="1"/>
    <s v="South"/>
    <s v="Basic"/>
    <d v="2022-01-10T00:00:00"/>
    <d v="2022-05-21T00:00:00"/>
    <x v="603"/>
    <n v="4573"/>
    <n v="-3278"/>
    <s v="Paid"/>
    <n v="4"/>
    <d v="2022-05-21T00:00:00"/>
    <n v="0"/>
    <n v="748"/>
    <n v="-2.5299999999999998"/>
    <s v="Outlier"/>
    <n v="2022"/>
    <s v="May"/>
  </r>
  <r>
    <n v="1269"/>
    <x v="187"/>
    <x v="1"/>
    <s v="East"/>
    <s v="Basic"/>
    <d v="2022-09-27T00:00:00"/>
    <d v="2023-11-29T00:00:00"/>
    <x v="17"/>
    <n v="5371"/>
    <n v="-6333"/>
    <s v="Paid"/>
    <n v="14"/>
    <d v="2023-11-29T00:00:00"/>
    <n v="0"/>
    <n v="749"/>
    <n v="-1.27"/>
    <s v="Outlier"/>
    <n v="2023"/>
    <s v="November"/>
  </r>
  <r>
    <n v="1270"/>
    <x v="112"/>
    <x v="4"/>
    <s v="West"/>
    <s v="Standard"/>
    <d v="2022-09-21T00:00:00"/>
    <d v="2023-01-17T00:00:00"/>
    <x v="522"/>
    <n v="6992"/>
    <n v="510"/>
    <s v="NA"/>
    <n v="3"/>
    <d v="2023-01-17T00:00:00"/>
    <n v="0"/>
    <n v="750"/>
    <n v="7.0000000000000007E-2"/>
    <s v="Normal"/>
    <n v="2023"/>
    <s v="January"/>
  </r>
  <r>
    <n v="1271"/>
    <x v="161"/>
    <x v="2"/>
    <s v="East"/>
    <s v="Basic"/>
    <d v="2022-01-21T00:00:00"/>
    <d v="2023-03-09T00:00:00"/>
    <x v="604"/>
    <n v="6721"/>
    <n v="-366"/>
    <s v="Overdue"/>
    <n v="13"/>
    <d v="2023-03-09T00:00:00"/>
    <n v="0"/>
    <n v="751"/>
    <n v="-0.06"/>
    <s v="Normal"/>
    <n v="2023"/>
    <s v="March"/>
  </r>
  <r>
    <n v="1273"/>
    <x v="105"/>
    <x v="0"/>
    <s v="North"/>
    <s v="Basic"/>
    <d v="2022-07-23T00:00:00"/>
    <d v="2023-01-19T00:00:00"/>
    <x v="605"/>
    <n v="3160"/>
    <n v="-2403"/>
    <s v="NA"/>
    <n v="5"/>
    <d v="2023-01-19T00:00:00"/>
    <n v="1"/>
    <n v="752"/>
    <n v="-3.17"/>
    <s v="Outlier"/>
    <n v="2023"/>
    <s v="January"/>
  </r>
  <r>
    <n v="1274"/>
    <x v="337"/>
    <x v="0"/>
    <s v="South"/>
    <s v="Standard"/>
    <d v="2022-11-07T00:00:00"/>
    <d v="2023-01-02T00:00:00"/>
    <x v="120"/>
    <n v="772"/>
    <n v="577.01"/>
    <s v="NA"/>
    <n v="1"/>
    <d v="2023-01-02T00:00:00"/>
    <n v="0"/>
    <n v="753"/>
    <n v="0.23"/>
    <s v="Normal"/>
    <n v="2023"/>
    <s v="January"/>
  </r>
  <r>
    <n v="1279"/>
    <x v="138"/>
    <x v="2"/>
    <s v="North"/>
    <s v="Premium"/>
    <d v="2022-11-05T00:00:00"/>
    <d v="2024-05-06T00:00:00"/>
    <x v="606"/>
    <n v="5118"/>
    <n v="-3770"/>
    <s v="Overdue"/>
    <n v="18"/>
    <d v="2024-05-06T00:00:00"/>
    <n v="1"/>
    <n v="754"/>
    <n v="-2.8"/>
    <s v="Outlier"/>
    <n v="2024"/>
    <s v="May"/>
  </r>
  <r>
    <n v="1280"/>
    <x v="133"/>
    <x v="0"/>
    <s v="East"/>
    <s v="Premium"/>
    <d v="2022-07-09T00:00:00"/>
    <d v="2023-06-25T00:00:00"/>
    <x v="607"/>
    <n v="4343"/>
    <n v="-1482"/>
    <s v="Pending"/>
    <n v="11"/>
    <d v="2023-06-25T00:00:00"/>
    <n v="1"/>
    <n v="755"/>
    <n v="-0.52"/>
    <s v="Normal"/>
    <n v="2023"/>
    <s v="June"/>
  </r>
  <r>
    <n v="1283"/>
    <x v="190"/>
    <x v="0"/>
    <s v="North"/>
    <s v="Standard"/>
    <d v="2022-08-28T00:00:00"/>
    <d v="2022-12-28T00:00:00"/>
    <x v="17"/>
    <n v="7467"/>
    <n v="-7574"/>
    <s v="NA"/>
    <n v="4"/>
    <d v="2022-12-28T00:00:00"/>
    <n v="0"/>
    <n v="756"/>
    <n v="-1.52"/>
    <s v="Outlier"/>
    <n v="2022"/>
    <s v="December"/>
  </r>
  <r>
    <n v="1284"/>
    <x v="319"/>
    <x v="3"/>
    <s v="South"/>
    <s v="Standard"/>
    <d v="2022-11-19T00:00:00"/>
    <d v="2023-11-28T00:00:00"/>
    <x v="608"/>
    <n v="4436"/>
    <n v="-1290"/>
    <s v="Overdue"/>
    <n v="12"/>
    <d v="2023-11-28T00:00:00"/>
    <n v="1"/>
    <n v="757"/>
    <n v="-0.41"/>
    <s v="Normal"/>
    <n v="2023"/>
    <s v="November"/>
  </r>
  <r>
    <n v="1289"/>
    <x v="122"/>
    <x v="4"/>
    <s v="South"/>
    <s v="Standard"/>
    <d v="2022-07-07T00:00:00"/>
    <d v="2023-09-26T00:00:00"/>
    <x v="609"/>
    <n v="6061"/>
    <n v="-1957"/>
    <s v="NA"/>
    <n v="14"/>
    <d v="2023-09-26T00:00:00"/>
    <n v="1"/>
    <n v="758"/>
    <n v="-0.48"/>
    <s v="Normal"/>
    <n v="2023"/>
    <s v="September"/>
  </r>
  <r>
    <n v="1291"/>
    <x v="335"/>
    <x v="2"/>
    <s v="West"/>
    <s v="Basic"/>
    <d v="2022-11-08T00:00:00"/>
    <d v="2023-10-23T00:00:00"/>
    <x v="17"/>
    <n v="3724"/>
    <n v="-3744"/>
    <s v="Overdue"/>
    <n v="11"/>
    <d v="2023-10-23T00:00:00"/>
    <n v="0"/>
    <n v="759"/>
    <n v="-0.75"/>
    <s v="Normal"/>
    <n v="2023"/>
    <s v="October"/>
  </r>
  <r>
    <n v="1293"/>
    <x v="349"/>
    <x v="2"/>
    <s v="North"/>
    <s v="Basic"/>
    <d v="2022-10-03T00:00:00"/>
    <d v="2024-01-17T00:00:00"/>
    <x v="610"/>
    <n v="4012.75"/>
    <n v="2693"/>
    <s v="Overdue"/>
    <n v="15"/>
    <d v="2024-01-17T00:00:00"/>
    <n v="1"/>
    <n v="760"/>
    <n v="1.28"/>
    <s v="Outlier"/>
    <n v="2024"/>
    <s v="January"/>
  </r>
  <r>
    <n v="1296"/>
    <x v="321"/>
    <x v="4"/>
    <s v="North"/>
    <s v="Standard"/>
    <d v="2022-05-07T00:00:00"/>
    <d v="2023-02-21T00:00:00"/>
    <x v="611"/>
    <n v="7017"/>
    <n v="-262"/>
    <s v="Overdue"/>
    <n v="9"/>
    <d v="2023-02-21T00:00:00"/>
    <n v="1"/>
    <n v="761"/>
    <n v="-0.04"/>
    <s v="Normal"/>
    <n v="2023"/>
    <s v="February"/>
  </r>
  <r>
    <n v="1300"/>
    <x v="36"/>
    <x v="2"/>
    <s v="West"/>
    <s v="Premium"/>
    <d v="2022-01-28T00:00:00"/>
    <d v="2023-08-15T00:00:00"/>
    <x v="612"/>
    <n v="311"/>
    <n v="5779"/>
    <s v="NA"/>
    <n v="18"/>
    <d v="2023-08-15T00:00:00"/>
    <n v="0"/>
    <n v="762"/>
    <n v="0.95"/>
    <s v="Normal"/>
    <n v="2023"/>
    <s v="August"/>
  </r>
  <r>
    <n v="1303"/>
    <x v="172"/>
    <x v="0"/>
    <s v="North"/>
    <s v="Premium"/>
    <d v="2022-09-08T00:00:00"/>
    <d v="2024-02-18T00:00:00"/>
    <x v="613"/>
    <n v="1948"/>
    <n v="6188"/>
    <s v="Pending"/>
    <n v="17"/>
    <d v="2024-02-18T00:00:00"/>
    <n v="1"/>
    <n v="763"/>
    <n v="0.76"/>
    <s v="Normal"/>
    <n v="2024"/>
    <s v="February"/>
  </r>
  <r>
    <n v="1304"/>
    <x v="150"/>
    <x v="3"/>
    <s v="West"/>
    <s v="Premium"/>
    <d v="2022-09-29T00:00:00"/>
    <d v="2023-07-18T00:00:00"/>
    <x v="614"/>
    <n v="7338"/>
    <n v="-1907"/>
    <s v="NA"/>
    <n v="9"/>
    <d v="2023-07-18T00:00:00"/>
    <n v="1"/>
    <n v="764"/>
    <n v="-0.35"/>
    <s v="Normal"/>
    <n v="2023"/>
    <s v="July"/>
  </r>
  <r>
    <n v="1305"/>
    <x v="31"/>
    <x v="2"/>
    <s v="North"/>
    <s v="Standard"/>
    <d v="2022-12-18T00:00:00"/>
    <d v="2023-09-20T00:00:00"/>
    <x v="615"/>
    <n v="7914"/>
    <n v="994"/>
    <s v="Pending"/>
    <n v="9"/>
    <d v="2023-09-20T00:00:00"/>
    <n v="0"/>
    <n v="765"/>
    <n v="0.11"/>
    <s v="Normal"/>
    <n v="2023"/>
    <s v="September"/>
  </r>
  <r>
    <n v="1306"/>
    <x v="103"/>
    <x v="0"/>
    <s v="North"/>
    <s v="Basic"/>
    <d v="2022-09-13T00:00:00"/>
    <d v="2024-03-24T00:00:00"/>
    <x v="616"/>
    <n v="2173"/>
    <n v="2864"/>
    <s v="Pending"/>
    <n v="18"/>
    <d v="2024-03-24T00:00:00"/>
    <n v="0"/>
    <n v="766"/>
    <n v="0.56999999999999995"/>
    <s v="Normal"/>
    <n v="2024"/>
    <s v="March"/>
  </r>
  <r>
    <n v="1307"/>
    <x v="296"/>
    <x v="1"/>
    <s v="South"/>
    <s v="Premium"/>
    <d v="2022-07-02T00:00:00"/>
    <d v="2024-01-16T00:00:00"/>
    <x v="617"/>
    <n v="1777"/>
    <n v="2893"/>
    <s v="Paid"/>
    <n v="18"/>
    <d v="2024-01-16T00:00:00"/>
    <n v="0"/>
    <n v="767"/>
    <n v="0.62"/>
    <s v="Normal"/>
    <n v="2024"/>
    <s v="January"/>
  </r>
  <r>
    <n v="1308"/>
    <x v="171"/>
    <x v="2"/>
    <s v="South"/>
    <s v="Basic"/>
    <d v="2022-12-05T00:00:00"/>
    <d v="2024-04-17T00:00:00"/>
    <x v="618"/>
    <n v="2035"/>
    <n v="7094"/>
    <s v="Pending"/>
    <n v="16"/>
    <d v="2024-04-17T00:00:00"/>
    <n v="1"/>
    <n v="768"/>
    <n v="0.78"/>
    <s v="Normal"/>
    <n v="2024"/>
    <s v="April"/>
  </r>
  <r>
    <n v="1309"/>
    <x v="335"/>
    <x v="2"/>
    <s v="West"/>
    <s v="Premium"/>
    <d v="2022-02-10T00:00:00"/>
    <d v="2022-10-17T00:00:00"/>
    <x v="619"/>
    <n v="7368"/>
    <n v="-2924"/>
    <s v="Pending"/>
    <n v="8"/>
    <d v="2022-10-17T00:00:00"/>
    <n v="0"/>
    <n v="769"/>
    <n v="-0.66"/>
    <s v="Normal"/>
    <n v="2022"/>
    <s v="October"/>
  </r>
  <r>
    <n v="1310"/>
    <x v="350"/>
    <x v="1"/>
    <s v="North"/>
    <s v="Basic"/>
    <d v="2022-03-10T00:00:00"/>
    <d v="2022-05-10T00:00:00"/>
    <x v="620"/>
    <n v="2301"/>
    <n v="-92"/>
    <s v="Paid"/>
    <n v="2"/>
    <d v="2022-05-10T00:00:00"/>
    <n v="0"/>
    <n v="770"/>
    <n v="-0.04"/>
    <s v="Normal"/>
    <n v="2022"/>
    <s v="May"/>
  </r>
  <r>
    <n v="1311"/>
    <x v="145"/>
    <x v="1"/>
    <s v="West"/>
    <s v="Premium"/>
    <d v="2022-01-26T00:00:00"/>
    <d v="2023-03-29T00:00:00"/>
    <x v="17"/>
    <n v="5742"/>
    <n v="-6556"/>
    <s v="Paid"/>
    <n v="14"/>
    <d v="2023-03-29T00:00:00"/>
    <n v="0"/>
    <n v="771"/>
    <n v="-1.32"/>
    <s v="Outlier"/>
    <n v="2023"/>
    <s v="March"/>
  </r>
  <r>
    <n v="1312"/>
    <x v="243"/>
    <x v="0"/>
    <s v="East"/>
    <s v="Basic"/>
    <d v="2022-02-28T00:00:00"/>
    <d v="2022-05-26T00:00:00"/>
    <x v="621"/>
    <n v="2259"/>
    <n v="-2248"/>
    <s v="Overdue"/>
    <n v="2"/>
    <d v="2022-05-26T00:00:00"/>
    <n v="1"/>
    <n v="772"/>
    <n v="-204.36"/>
    <s v="Outlier"/>
    <n v="2022"/>
    <s v="May"/>
  </r>
  <r>
    <n v="1313"/>
    <x v="293"/>
    <x v="1"/>
    <s v="North"/>
    <s v="Premium"/>
    <d v="2022-11-02T00:00:00"/>
    <d v="2023-03-01T00:00:00"/>
    <x v="622"/>
    <n v="3555"/>
    <n v="1992"/>
    <s v="NA"/>
    <n v="3"/>
    <d v="2023-03-01T00:00:00"/>
    <n v="1"/>
    <n v="773"/>
    <n v="0.36"/>
    <s v="Normal"/>
    <n v="2023"/>
    <s v="March"/>
  </r>
  <r>
    <n v="1316"/>
    <x v="351"/>
    <x v="3"/>
    <s v="North"/>
    <s v="Premium"/>
    <d v="2022-09-27T00:00:00"/>
    <d v="2023-09-02T00:00:00"/>
    <x v="356"/>
    <n v="4012.75"/>
    <n v="6992"/>
    <s v="Pending"/>
    <n v="11"/>
    <d v="2023-09-02T00:00:00"/>
    <n v="1"/>
    <n v="774"/>
    <n v="1.02"/>
    <s v="Outlier"/>
    <n v="2023"/>
    <s v="September"/>
  </r>
  <r>
    <n v="1318"/>
    <x v="222"/>
    <x v="0"/>
    <s v="South"/>
    <s v="Basic"/>
    <d v="2022-06-24T00:00:00"/>
    <d v="2023-11-28T00:00:00"/>
    <x v="623"/>
    <n v="2061"/>
    <n v="1552"/>
    <s v="Paid"/>
    <n v="17"/>
    <d v="2023-11-28T00:00:00"/>
    <n v="0"/>
    <n v="775"/>
    <n v="0.43"/>
    <s v="Normal"/>
    <n v="2023"/>
    <s v="November"/>
  </r>
  <r>
    <n v="1319"/>
    <x v="156"/>
    <x v="3"/>
    <s v="West"/>
    <s v="Standard"/>
    <d v="2022-08-21T00:00:00"/>
    <d v="2023-08-29T00:00:00"/>
    <x v="624"/>
    <n v="939"/>
    <n v="6071"/>
    <s v="Pending"/>
    <n v="12"/>
    <d v="2023-08-29T00:00:00"/>
    <n v="0"/>
    <n v="776"/>
    <n v="0.87"/>
    <s v="Normal"/>
    <n v="2023"/>
    <s v="August"/>
  </r>
  <r>
    <n v="1321"/>
    <x v="327"/>
    <x v="1"/>
    <s v="East"/>
    <s v="Premium"/>
    <d v="2022-11-14T00:00:00"/>
    <d v="2023-04-16T00:00:00"/>
    <x v="400"/>
    <n v="3547"/>
    <n v="4189"/>
    <s v="NA"/>
    <n v="5"/>
    <d v="2023-04-16T00:00:00"/>
    <n v="1"/>
    <n v="777"/>
    <n v="0.54"/>
    <s v="Normal"/>
    <n v="2023"/>
    <s v="April"/>
  </r>
  <r>
    <n v="1323"/>
    <x v="320"/>
    <x v="4"/>
    <s v="North"/>
    <s v="Premium"/>
    <d v="2022-11-28T00:00:00"/>
    <d v="2024-05-01T00:00:00"/>
    <x v="17"/>
    <n v="7813"/>
    <n v="-8634"/>
    <s v="NA"/>
    <n v="17"/>
    <d v="2024-05-01T00:00:00"/>
    <n v="0"/>
    <n v="778"/>
    <n v="-1.74"/>
    <s v="Outlier"/>
    <n v="2024"/>
    <s v="May"/>
  </r>
  <r>
    <n v="1327"/>
    <x v="277"/>
    <x v="2"/>
    <s v="North"/>
    <s v="Basic"/>
    <d v="2022-04-29T00:00:00"/>
    <d v="2023-10-27T00:00:00"/>
    <x v="625"/>
    <n v="4012.75"/>
    <n v="3841"/>
    <s v="NA"/>
    <n v="17"/>
    <d v="2023-10-27T00:00:00"/>
    <n v="0"/>
    <n v="779"/>
    <n v="1.1599999999999999"/>
    <s v="Outlier"/>
    <n v="2023"/>
    <s v="October"/>
  </r>
  <r>
    <n v="1329"/>
    <x v="222"/>
    <x v="2"/>
    <s v="North"/>
    <s v="Premium"/>
    <d v="2022-09-26T00:00:00"/>
    <d v="2024-03-06T00:00:00"/>
    <x v="626"/>
    <n v="7714"/>
    <n v="-3403"/>
    <s v="NA"/>
    <n v="17"/>
    <d v="2024-03-06T00:00:00"/>
    <n v="0"/>
    <n v="780"/>
    <n v="-0.79"/>
    <s v="Normal"/>
    <n v="2024"/>
    <s v="March"/>
  </r>
  <r>
    <n v="1330"/>
    <x v="303"/>
    <x v="2"/>
    <s v="South"/>
    <s v="Basic"/>
    <d v="2022-08-08T00:00:00"/>
    <d v="2023-07-19T00:00:00"/>
    <x v="627"/>
    <n v="7651"/>
    <n v="-378"/>
    <s v="Paid"/>
    <n v="11"/>
    <d v="2023-07-19T00:00:00"/>
    <n v="1"/>
    <n v="781"/>
    <n v="-0.05"/>
    <s v="Normal"/>
    <n v="2023"/>
    <s v="July"/>
  </r>
  <r>
    <n v="1331"/>
    <x v="299"/>
    <x v="4"/>
    <s v="West"/>
    <s v="Basic"/>
    <d v="2022-06-13T00:00:00"/>
    <d v="2023-03-14T00:00:00"/>
    <x v="628"/>
    <n v="4012.75"/>
    <n v="6078"/>
    <s v="Pending"/>
    <n v="9"/>
    <d v="2023-03-14T00:00:00"/>
    <n v="0"/>
    <n v="782"/>
    <n v="1.03"/>
    <s v="Outlier"/>
    <n v="2023"/>
    <s v="March"/>
  </r>
  <r>
    <n v="1332"/>
    <x v="97"/>
    <x v="3"/>
    <s v="West"/>
    <s v="Premium"/>
    <d v="2022-05-18T00:00:00"/>
    <d v="2023-08-10T00:00:00"/>
    <x v="629"/>
    <n v="495"/>
    <n v="2152"/>
    <s v="Pending"/>
    <n v="14"/>
    <d v="2023-08-10T00:00:00"/>
    <n v="0"/>
    <n v="783"/>
    <n v="0.81"/>
    <s v="Normal"/>
    <n v="2023"/>
    <s v="August"/>
  </r>
  <r>
    <n v="1333"/>
    <x v="344"/>
    <x v="2"/>
    <s v="East"/>
    <s v="Basic"/>
    <d v="2022-02-20T00:00:00"/>
    <d v="2023-08-26T00:00:00"/>
    <x v="630"/>
    <n v="4403"/>
    <n v="1439"/>
    <s v="Paid"/>
    <n v="18"/>
    <d v="2023-08-26T00:00:00"/>
    <n v="0"/>
    <n v="784"/>
    <n v="0.25"/>
    <s v="Normal"/>
    <n v="2023"/>
    <s v="August"/>
  </r>
  <r>
    <n v="1334"/>
    <x v="191"/>
    <x v="3"/>
    <s v="North"/>
    <s v="Premium"/>
    <d v="2022-12-04T00:00:00"/>
    <d v="2023-03-05T00:00:00"/>
    <x v="631"/>
    <n v="4012.75"/>
    <n v="4860"/>
    <s v="Paid"/>
    <n v="3"/>
    <d v="2023-03-05T00:00:00"/>
    <n v="1"/>
    <n v="785"/>
    <n v="1.01"/>
    <s v="Outlier"/>
    <n v="2023"/>
    <s v="March"/>
  </r>
  <r>
    <n v="1335"/>
    <x v="209"/>
    <x v="4"/>
    <s v="North"/>
    <s v="Basic"/>
    <d v="2022-05-21T00:00:00"/>
    <d v="2022-09-24T00:00:00"/>
    <x v="17"/>
    <n v="6265"/>
    <n v="-6307"/>
    <s v="Overdue"/>
    <n v="4"/>
    <d v="2022-09-24T00:00:00"/>
    <n v="1"/>
    <n v="786"/>
    <n v="-1.27"/>
    <s v="Outlier"/>
    <n v="2022"/>
    <s v="September"/>
  </r>
  <r>
    <n v="1338"/>
    <x v="69"/>
    <x v="0"/>
    <s v="South"/>
    <s v="Basic"/>
    <d v="2022-02-26T00:00:00"/>
    <d v="2023-08-15T00:00:00"/>
    <x v="17"/>
    <n v="3263"/>
    <n v="577.01"/>
    <s v="Overdue"/>
    <n v="17"/>
    <d v="2023-08-15T00:00:00"/>
    <n v="0"/>
    <n v="787"/>
    <n v="0.12"/>
    <s v="Normal"/>
    <n v="2023"/>
    <s v="August"/>
  </r>
  <r>
    <n v="1339"/>
    <x v="221"/>
    <x v="2"/>
    <s v="South"/>
    <s v="Basic"/>
    <d v="2022-10-29T00:00:00"/>
    <d v="2024-01-04T00:00:00"/>
    <x v="17"/>
    <n v="4012.75"/>
    <n v="-804"/>
    <s v="NA"/>
    <n v="14"/>
    <d v="2024-01-04T00:00:00"/>
    <n v="1"/>
    <n v="788"/>
    <n v="-0.16"/>
    <s v="Normal"/>
    <n v="2024"/>
    <s v="January"/>
  </r>
  <r>
    <n v="1341"/>
    <x v="352"/>
    <x v="2"/>
    <s v="West"/>
    <s v="Basic"/>
    <d v="2022-08-21T00:00:00"/>
    <d v="2024-01-05T00:00:00"/>
    <x v="632"/>
    <n v="6088"/>
    <n v="577.01"/>
    <s v="NA"/>
    <n v="16"/>
    <d v="2024-01-05T00:00:00"/>
    <n v="0"/>
    <n v="789"/>
    <n v="7.0000000000000007E-2"/>
    <s v="Normal"/>
    <n v="2024"/>
    <s v="January"/>
  </r>
  <r>
    <n v="1342"/>
    <x v="267"/>
    <x v="3"/>
    <s v="South"/>
    <s v="Premium"/>
    <d v="2022-04-27T00:00:00"/>
    <d v="2022-07-13T00:00:00"/>
    <x v="633"/>
    <n v="4012.75"/>
    <n v="1830"/>
    <s v="Pending"/>
    <n v="2"/>
    <d v="2022-07-13T00:00:00"/>
    <n v="1"/>
    <n v="790"/>
    <n v="1.0900000000000001"/>
    <s v="Outlier"/>
    <n v="2022"/>
    <s v="July"/>
  </r>
  <r>
    <n v="1344"/>
    <x v="198"/>
    <x v="2"/>
    <s v="West"/>
    <s v="Premium"/>
    <d v="2022-04-10T00:00:00"/>
    <d v="2022-10-07T00:00:00"/>
    <x v="634"/>
    <n v="1657"/>
    <n v="4262"/>
    <s v="Pending"/>
    <n v="5"/>
    <d v="2022-10-07T00:00:00"/>
    <n v="0"/>
    <n v="791"/>
    <n v="0.72"/>
    <s v="Normal"/>
    <n v="2022"/>
    <s v="October"/>
  </r>
  <r>
    <n v="1345"/>
    <x v="141"/>
    <x v="1"/>
    <s v="North"/>
    <s v="Premium"/>
    <d v="2022-11-24T00:00:00"/>
    <d v="2023-03-30T00:00:00"/>
    <x v="266"/>
    <n v="3541"/>
    <n v="2560"/>
    <s v="Paid"/>
    <n v="4"/>
    <d v="2023-03-30T00:00:00"/>
    <n v="1"/>
    <n v="792"/>
    <n v="0.42"/>
    <s v="Normal"/>
    <n v="2023"/>
    <s v="March"/>
  </r>
  <r>
    <n v="1346"/>
    <x v="294"/>
    <x v="2"/>
    <s v="West"/>
    <s v="Premium"/>
    <d v="2022-09-19T00:00:00"/>
    <d v="2022-12-04T00:00:00"/>
    <x v="635"/>
    <n v="2916"/>
    <n v="577.01"/>
    <s v="Overdue"/>
    <n v="2"/>
    <d v="2022-12-04T00:00:00"/>
    <n v="1"/>
    <n v="793"/>
    <n v="7.0000000000000007E-2"/>
    <s v="Normal"/>
    <n v="2022"/>
    <s v="December"/>
  </r>
  <r>
    <n v="1347"/>
    <x v="238"/>
    <x v="0"/>
    <s v="North"/>
    <s v="Premium"/>
    <d v="2022-07-31T00:00:00"/>
    <d v="2022-09-08T00:00:00"/>
    <x v="636"/>
    <n v="2699"/>
    <n v="7181"/>
    <s v="NA"/>
    <n v="1"/>
    <d v="2022-09-08T00:00:00"/>
    <n v="1"/>
    <n v="794"/>
    <n v="0.73"/>
    <s v="Normal"/>
    <n v="2022"/>
    <s v="September"/>
  </r>
  <r>
    <n v="1348"/>
    <x v="206"/>
    <x v="3"/>
    <s v="South"/>
    <s v="Standard"/>
    <d v="2022-01-22T00:00:00"/>
    <d v="2023-02-04T00:00:00"/>
    <x v="17"/>
    <n v="5845"/>
    <n v="-6821"/>
    <s v="Paid"/>
    <n v="12"/>
    <d v="2023-02-04T00:00:00"/>
    <n v="0"/>
    <n v="795"/>
    <n v="-1.37"/>
    <s v="Outlier"/>
    <n v="2023"/>
    <s v="February"/>
  </r>
  <r>
    <n v="1349"/>
    <x v="283"/>
    <x v="1"/>
    <s v="South"/>
    <s v="Premium"/>
    <d v="2022-05-26T00:00:00"/>
    <d v="2023-05-23T00:00:00"/>
    <x v="637"/>
    <n v="496"/>
    <n v="4511"/>
    <s v="NA"/>
    <n v="11"/>
    <d v="2023-05-23T00:00:00"/>
    <n v="0"/>
    <n v="796"/>
    <n v="0.9"/>
    <s v="Normal"/>
    <n v="2023"/>
    <s v="May"/>
  </r>
  <r>
    <n v="1350"/>
    <x v="92"/>
    <x v="2"/>
    <s v="West"/>
    <s v="Standard"/>
    <d v="2022-05-31T00:00:00"/>
    <d v="2023-08-02T00:00:00"/>
    <x v="17"/>
    <n v="7094"/>
    <n v="-8611"/>
    <s v="Pending"/>
    <n v="14"/>
    <d v="2023-08-02T00:00:00"/>
    <n v="0"/>
    <n v="797"/>
    <n v="-1.73"/>
    <s v="Outlier"/>
    <n v="2023"/>
    <s v="August"/>
  </r>
  <r>
    <n v="1352"/>
    <x v="353"/>
    <x v="0"/>
    <s v="North"/>
    <s v="Standard"/>
    <d v="2022-07-31T00:00:00"/>
    <d v="2023-03-05T00:00:00"/>
    <x v="638"/>
    <n v="6076"/>
    <n v="577.01"/>
    <s v="NA"/>
    <n v="7"/>
    <d v="2023-03-05T00:00:00"/>
    <n v="1"/>
    <n v="798"/>
    <n v="1.0900000000000001"/>
    <s v="Outlier"/>
    <n v="2023"/>
    <s v="March"/>
  </r>
  <r>
    <n v="1353"/>
    <x v="312"/>
    <x v="4"/>
    <s v="South"/>
    <s v="Standard"/>
    <d v="2022-01-12T00:00:00"/>
    <d v="2022-08-12T00:00:00"/>
    <x v="639"/>
    <n v="3401"/>
    <n v="715"/>
    <s v="Paid"/>
    <n v="7"/>
    <d v="2022-08-12T00:00:00"/>
    <n v="1"/>
    <n v="799"/>
    <n v="0.17"/>
    <s v="Normal"/>
    <n v="2022"/>
    <s v="August"/>
  </r>
  <r>
    <n v="1354"/>
    <x v="301"/>
    <x v="4"/>
    <s v="South"/>
    <s v="Basic"/>
    <d v="2022-04-12T00:00:00"/>
    <d v="2023-05-17T00:00:00"/>
    <x v="640"/>
    <n v="6725"/>
    <n v="-1101"/>
    <s v="Overdue"/>
    <n v="13"/>
    <d v="2023-05-17T00:00:00"/>
    <n v="0"/>
    <n v="800"/>
    <n v="-0.2"/>
    <s v="Normal"/>
    <n v="2023"/>
    <s v="May"/>
  </r>
  <r>
    <n v="1355"/>
    <x v="354"/>
    <x v="2"/>
    <s v="South"/>
    <s v="Standard"/>
    <d v="2022-10-09T00:00:00"/>
    <d v="2024-01-13T00:00:00"/>
    <x v="641"/>
    <n v="5441"/>
    <n v="2832"/>
    <s v="NA"/>
    <n v="15"/>
    <d v="2024-01-13T00:00:00"/>
    <n v="0"/>
    <n v="801"/>
    <n v="0.34"/>
    <s v="Normal"/>
    <n v="2024"/>
    <s v="January"/>
  </r>
  <r>
    <n v="1356"/>
    <x v="348"/>
    <x v="4"/>
    <s v="North"/>
    <s v="Standard"/>
    <d v="2022-12-19T00:00:00"/>
    <d v="2024-04-15T00:00:00"/>
    <x v="642"/>
    <n v="1487"/>
    <n v="-408"/>
    <s v="Pending"/>
    <n v="15"/>
    <d v="2024-04-15T00:00:00"/>
    <n v="1"/>
    <n v="802"/>
    <n v="-0.38"/>
    <s v="Normal"/>
    <n v="2024"/>
    <s v="April"/>
  </r>
  <r>
    <n v="1358"/>
    <x v="165"/>
    <x v="1"/>
    <s v="East"/>
    <s v="Basic"/>
    <d v="2022-11-09T00:00:00"/>
    <d v="2023-05-01T00:00:00"/>
    <x v="643"/>
    <n v="6895"/>
    <n v="590"/>
    <s v="NA"/>
    <n v="5"/>
    <d v="2023-05-01T00:00:00"/>
    <n v="0"/>
    <n v="803"/>
    <n v="0.08"/>
    <s v="Normal"/>
    <n v="2023"/>
    <s v="May"/>
  </r>
  <r>
    <n v="1359"/>
    <x v="217"/>
    <x v="4"/>
    <s v="South"/>
    <s v="Standard"/>
    <d v="2022-02-06T00:00:00"/>
    <d v="2023-08-31T00:00:00"/>
    <x v="644"/>
    <n v="1970"/>
    <n v="4438"/>
    <s v="NA"/>
    <n v="18"/>
    <d v="2023-08-31T00:00:00"/>
    <n v="1"/>
    <n v="804"/>
    <n v="0.69"/>
    <s v="Normal"/>
    <n v="2023"/>
    <s v="August"/>
  </r>
  <r>
    <n v="1360"/>
    <x v="3"/>
    <x v="0"/>
    <s v="South"/>
    <s v="Premium"/>
    <d v="2022-03-25T00:00:00"/>
    <d v="2023-03-19T00:00:00"/>
    <x v="645"/>
    <n v="348"/>
    <n v="7484"/>
    <s v="Overdue"/>
    <n v="11"/>
    <d v="2023-03-19T00:00:00"/>
    <n v="1"/>
    <n v="805"/>
    <n v="0.96"/>
    <s v="Normal"/>
    <n v="2023"/>
    <s v="March"/>
  </r>
  <r>
    <n v="1361"/>
    <x v="87"/>
    <x v="1"/>
    <s v="North"/>
    <s v="Basic"/>
    <d v="2022-10-06T00:00:00"/>
    <d v="2023-03-12T00:00:00"/>
    <x v="17"/>
    <n v="4321"/>
    <n v="-4365"/>
    <s v="Paid"/>
    <n v="5"/>
    <d v="2023-03-12T00:00:00"/>
    <n v="1"/>
    <n v="806"/>
    <n v="-0.88"/>
    <s v="Normal"/>
    <n v="2023"/>
    <s v="March"/>
  </r>
  <r>
    <n v="1362"/>
    <x v="204"/>
    <x v="0"/>
    <s v="West"/>
    <s v="Standard"/>
    <d v="2022-09-26T00:00:00"/>
    <d v="2024-02-19T00:00:00"/>
    <x v="646"/>
    <n v="3344"/>
    <n v="-2392"/>
    <s v="Pending"/>
    <n v="16"/>
    <d v="2024-02-19T00:00:00"/>
    <n v="0"/>
    <n v="807"/>
    <n v="-2.5099999999999998"/>
    <s v="Outlier"/>
    <n v="2024"/>
    <s v="February"/>
  </r>
  <r>
    <n v="1363"/>
    <x v="353"/>
    <x v="1"/>
    <s v="South"/>
    <s v="Standard"/>
    <d v="2022-10-09T00:00:00"/>
    <d v="2023-02-26T00:00:00"/>
    <x v="647"/>
    <n v="4012.75"/>
    <n v="6877"/>
    <s v="NA"/>
    <n v="4"/>
    <d v="2023-02-26T00:00:00"/>
    <n v="1"/>
    <n v="808"/>
    <n v="1.04"/>
    <s v="Outlier"/>
    <n v="2023"/>
    <s v="February"/>
  </r>
  <r>
    <n v="1364"/>
    <x v="91"/>
    <x v="2"/>
    <s v="East"/>
    <s v="Basic"/>
    <d v="2022-01-01T00:00:00"/>
    <d v="2022-02-21T00:00:00"/>
    <x v="648"/>
    <n v="2280"/>
    <n v="5674"/>
    <s v="Overdue"/>
    <n v="1"/>
    <d v="2022-02-21T00:00:00"/>
    <n v="0"/>
    <n v="809"/>
    <n v="0.71"/>
    <s v="Normal"/>
    <n v="2022"/>
    <s v="February"/>
  </r>
  <r>
    <n v="1365"/>
    <x v="274"/>
    <x v="1"/>
    <s v="East"/>
    <s v="Basic"/>
    <d v="2022-07-13T00:00:00"/>
    <d v="2022-12-08T00:00:00"/>
    <x v="649"/>
    <n v="654"/>
    <n v="3161"/>
    <s v="Overdue"/>
    <n v="4"/>
    <d v="2022-12-08T00:00:00"/>
    <n v="1"/>
    <n v="810"/>
    <n v="0.83"/>
    <s v="Normal"/>
    <n v="2022"/>
    <s v="December"/>
  </r>
  <r>
    <n v="1366"/>
    <x v="129"/>
    <x v="3"/>
    <s v="North"/>
    <s v="Standard"/>
    <d v="2022-04-03T00:00:00"/>
    <d v="2022-06-07T00:00:00"/>
    <x v="17"/>
    <n v="6524"/>
    <n v="-7925"/>
    <s v="Pending"/>
    <n v="2"/>
    <d v="2022-06-07T00:00:00"/>
    <n v="0"/>
    <n v="811"/>
    <n v="-1.6"/>
    <s v="Outlier"/>
    <n v="2022"/>
    <s v="June"/>
  </r>
  <r>
    <n v="1370"/>
    <x v="293"/>
    <x v="3"/>
    <s v="South"/>
    <s v="Premium"/>
    <d v="2022-02-19T00:00:00"/>
    <d v="2023-08-02T00:00:00"/>
    <x v="650"/>
    <n v="5433"/>
    <n v="-2134"/>
    <s v="Overdue"/>
    <n v="17"/>
    <d v="2023-08-02T00:00:00"/>
    <n v="1"/>
    <n v="812"/>
    <n v="-0.65"/>
    <s v="Normal"/>
    <n v="2023"/>
    <s v="August"/>
  </r>
  <r>
    <n v="1372"/>
    <x v="304"/>
    <x v="2"/>
    <s v="East"/>
    <s v="Basic"/>
    <d v="2022-07-10T00:00:00"/>
    <d v="2023-01-07T00:00:00"/>
    <x v="17"/>
    <n v="3751"/>
    <n v="-4323"/>
    <s v="NA"/>
    <n v="5"/>
    <d v="2023-01-07T00:00:00"/>
    <n v="0"/>
    <n v="813"/>
    <n v="-0.87"/>
    <s v="Normal"/>
    <n v="2023"/>
    <s v="January"/>
  </r>
  <r>
    <n v="1373"/>
    <x v="184"/>
    <x v="0"/>
    <s v="South"/>
    <s v="Premium"/>
    <d v="2022-08-02T00:00:00"/>
    <d v="2023-12-14T00:00:00"/>
    <x v="651"/>
    <n v="7314"/>
    <n v="-4401"/>
    <s v="Pending"/>
    <n v="16"/>
    <d v="2023-12-14T00:00:00"/>
    <n v="0"/>
    <n v="814"/>
    <n v="-1.51"/>
    <s v="Outlier"/>
    <n v="2023"/>
    <s v="December"/>
  </r>
  <r>
    <n v="1374"/>
    <x v="354"/>
    <x v="2"/>
    <s v="South"/>
    <s v="Standard"/>
    <d v="2022-04-17T00:00:00"/>
    <d v="2022-08-02T00:00:00"/>
    <x v="652"/>
    <n v="119"/>
    <n v="8140"/>
    <s v="Pending"/>
    <n v="3"/>
    <d v="2022-08-02T00:00:00"/>
    <n v="0"/>
    <n v="815"/>
    <n v="0.99"/>
    <s v="Normal"/>
    <n v="2022"/>
    <s v="August"/>
  </r>
  <r>
    <n v="1375"/>
    <x v="109"/>
    <x v="3"/>
    <s v="West"/>
    <s v="Standard"/>
    <d v="2022-03-08T00:00:00"/>
    <d v="2023-07-07T00:00:00"/>
    <x v="653"/>
    <n v="2020"/>
    <n v="4268"/>
    <s v="NA"/>
    <n v="15"/>
    <d v="2023-07-07T00:00:00"/>
    <n v="1"/>
    <n v="816"/>
    <n v="0.68"/>
    <s v="Normal"/>
    <n v="2023"/>
    <s v="July"/>
  </r>
  <r>
    <n v="1377"/>
    <x v="355"/>
    <x v="2"/>
    <s v="East"/>
    <s v="Standard"/>
    <d v="2022-04-06T00:00:00"/>
    <d v="2023-10-08T00:00:00"/>
    <x v="654"/>
    <n v="2297"/>
    <n v="6539"/>
    <s v="Pending"/>
    <n v="18"/>
    <d v="2023-10-08T00:00:00"/>
    <n v="1"/>
    <n v="817"/>
    <n v="0.74"/>
    <s v="Normal"/>
    <n v="2023"/>
    <s v="October"/>
  </r>
  <r>
    <n v="1378"/>
    <x v="356"/>
    <x v="4"/>
    <s v="North"/>
    <s v="Standard"/>
    <d v="2022-08-30T00:00:00"/>
    <d v="2024-03-23T00:00:00"/>
    <x v="655"/>
    <n v="3040"/>
    <n v="4735"/>
    <s v="Pending"/>
    <n v="18"/>
    <d v="2024-03-23T00:00:00"/>
    <n v="1"/>
    <n v="818"/>
    <n v="0.61"/>
    <s v="Normal"/>
    <n v="2024"/>
    <s v="March"/>
  </r>
  <r>
    <n v="1379"/>
    <x v="123"/>
    <x v="2"/>
    <s v="East"/>
    <s v="Basic"/>
    <d v="2022-12-17T00:00:00"/>
    <d v="2024-08-08T00:00:00"/>
    <x v="656"/>
    <n v="3051"/>
    <n v="2090"/>
    <s v="Overdue"/>
    <n v="19"/>
    <d v="2024-08-08T00:00:00"/>
    <n v="0"/>
    <n v="819"/>
    <n v="0.41"/>
    <s v="Normal"/>
    <n v="2024"/>
    <s v="August"/>
  </r>
  <r>
    <n v="1380"/>
    <x v="126"/>
    <x v="1"/>
    <s v="South"/>
    <s v="Premium"/>
    <d v="2022-07-27T00:00:00"/>
    <d v="2023-04-12T00:00:00"/>
    <x v="657"/>
    <n v="2331"/>
    <n v="3531"/>
    <s v="Pending"/>
    <n v="8"/>
    <d v="2023-04-12T00:00:00"/>
    <n v="1"/>
    <n v="820"/>
    <n v="0.6"/>
    <s v="Normal"/>
    <n v="2023"/>
    <s v="April"/>
  </r>
  <r>
    <n v="1381"/>
    <x v="213"/>
    <x v="3"/>
    <s v="South"/>
    <s v="Basic"/>
    <d v="2022-07-28T00:00:00"/>
    <d v="2023-12-08T00:00:00"/>
    <x v="658"/>
    <n v="5604"/>
    <n v="-3235"/>
    <s v="Paid"/>
    <n v="16"/>
    <d v="2023-12-08T00:00:00"/>
    <n v="1"/>
    <n v="821"/>
    <n v="-1.37"/>
    <s v="Outlier"/>
    <n v="2023"/>
    <s v="December"/>
  </r>
  <r>
    <n v="1382"/>
    <x v="297"/>
    <x v="1"/>
    <s v="West"/>
    <s v="Standard"/>
    <d v="2022-06-08T00:00:00"/>
    <d v="2024-01-13T00:00:00"/>
    <x v="659"/>
    <n v="2117"/>
    <n v="-2114"/>
    <s v="Overdue"/>
    <n v="19"/>
    <d v="2024-01-13T00:00:00"/>
    <n v="1"/>
    <n v="822"/>
    <n v="-704.67"/>
    <s v="Outlier"/>
    <n v="2024"/>
    <s v="January"/>
  </r>
  <r>
    <n v="1383"/>
    <x v="264"/>
    <x v="4"/>
    <s v="West"/>
    <s v="Standard"/>
    <d v="2022-10-02T00:00:00"/>
    <d v="2023-11-11T00:00:00"/>
    <x v="660"/>
    <n v="1424"/>
    <n v="7521"/>
    <s v="Paid"/>
    <n v="13"/>
    <d v="2023-11-11T00:00:00"/>
    <n v="0"/>
    <n v="823"/>
    <n v="0.84"/>
    <s v="Normal"/>
    <n v="2023"/>
    <s v="November"/>
  </r>
  <r>
    <n v="1387"/>
    <x v="180"/>
    <x v="3"/>
    <s v="South"/>
    <s v="Basic"/>
    <d v="2022-10-20T00:00:00"/>
    <d v="2023-06-04T00:00:00"/>
    <x v="17"/>
    <n v="7947"/>
    <n v="577.01"/>
    <s v="Paid"/>
    <n v="7"/>
    <d v="2023-06-04T00:00:00"/>
    <n v="1"/>
    <n v="824"/>
    <n v="0.12"/>
    <s v="Normal"/>
    <n v="2023"/>
    <s v="June"/>
  </r>
  <r>
    <n v="1389"/>
    <x v="223"/>
    <x v="4"/>
    <s v="West"/>
    <s v="Basic"/>
    <d v="2022-08-19T00:00:00"/>
    <d v="2023-02-16T00:00:00"/>
    <x v="661"/>
    <n v="6363"/>
    <n v="-5320"/>
    <s v="Paid"/>
    <n v="5"/>
    <d v="2023-02-16T00:00:00"/>
    <n v="1"/>
    <n v="825"/>
    <n v="-5.0999999999999996"/>
    <s v="Outlier"/>
    <n v="2023"/>
    <s v="February"/>
  </r>
  <r>
    <n v="1390"/>
    <x v="274"/>
    <x v="0"/>
    <s v="North"/>
    <s v="Basic"/>
    <d v="2022-02-02T00:00:00"/>
    <d v="2022-08-11T00:00:00"/>
    <x v="17"/>
    <n v="730"/>
    <n v="-1369"/>
    <s v="Overdue"/>
    <n v="6"/>
    <d v="2022-08-11T00:00:00"/>
    <n v="0"/>
    <n v="826"/>
    <n v="-0.28000000000000003"/>
    <s v="Normal"/>
    <n v="2022"/>
    <s v="August"/>
  </r>
  <r>
    <n v="1391"/>
    <x v="140"/>
    <x v="2"/>
    <s v="South"/>
    <s v="Standard"/>
    <d v="2022-11-04T00:00:00"/>
    <d v="2023-06-09T00:00:00"/>
    <x v="17"/>
    <n v="6595"/>
    <n v="-7505"/>
    <s v="NA"/>
    <n v="7"/>
    <d v="2023-06-09T00:00:00"/>
    <n v="0"/>
    <n v="827"/>
    <n v="-1.51"/>
    <s v="Outlier"/>
    <n v="2023"/>
    <s v="June"/>
  </r>
  <r>
    <n v="1392"/>
    <x v="357"/>
    <x v="4"/>
    <s v="West"/>
    <s v="Premium"/>
    <d v="2022-04-10T00:00:00"/>
    <d v="2023-02-05T00:00:00"/>
    <x v="662"/>
    <n v="1520"/>
    <n v="301"/>
    <s v="Pending"/>
    <n v="9"/>
    <d v="2023-02-05T00:00:00"/>
    <n v="1"/>
    <n v="828"/>
    <n v="0.17"/>
    <s v="Normal"/>
    <n v="2023"/>
    <s v="February"/>
  </r>
  <r>
    <n v="1393"/>
    <x v="171"/>
    <x v="2"/>
    <s v="West"/>
    <s v="Standard"/>
    <d v="2022-08-28T00:00:00"/>
    <d v="2024-02-27T00:00:00"/>
    <x v="663"/>
    <n v="4423"/>
    <n v="-1027"/>
    <s v="Paid"/>
    <n v="17"/>
    <d v="2024-02-27T00:00:00"/>
    <n v="0"/>
    <n v="829"/>
    <n v="-0.3"/>
    <s v="Normal"/>
    <n v="2024"/>
    <s v="February"/>
  </r>
  <r>
    <n v="1395"/>
    <x v="143"/>
    <x v="4"/>
    <s v="South"/>
    <s v="Premium"/>
    <d v="2022-11-04T00:00:00"/>
    <d v="2023-12-04T00:00:00"/>
    <x v="664"/>
    <n v="4012.75"/>
    <n v="967"/>
    <s v="Paid"/>
    <n v="13"/>
    <d v="2023-12-04T00:00:00"/>
    <n v="1"/>
    <n v="830"/>
    <n v="3.73"/>
    <s v="Outlier"/>
    <n v="2023"/>
    <s v="December"/>
  </r>
  <r>
    <n v="1396"/>
    <x v="212"/>
    <x v="3"/>
    <s v="South"/>
    <s v="Standard"/>
    <d v="2022-10-24T00:00:00"/>
    <d v="2023-03-16T00:00:00"/>
    <x v="665"/>
    <n v="218"/>
    <n v="2827"/>
    <s v="Overdue"/>
    <n v="4"/>
    <d v="2023-03-16T00:00:00"/>
    <n v="0"/>
    <n v="831"/>
    <n v="0.93"/>
    <s v="Normal"/>
    <n v="2023"/>
    <s v="March"/>
  </r>
  <r>
    <n v="1399"/>
    <x v="245"/>
    <x v="4"/>
    <s v="North"/>
    <s v="Premium"/>
    <d v="2022-07-04T00:00:00"/>
    <d v="2022-10-05T00:00:00"/>
    <x v="666"/>
    <n v="1726"/>
    <n v="3355"/>
    <s v="NA"/>
    <n v="3"/>
    <d v="2022-10-05T00:00:00"/>
    <n v="0"/>
    <n v="832"/>
    <n v="0.66"/>
    <s v="Normal"/>
    <n v="2022"/>
    <s v="October"/>
  </r>
  <r>
    <n v="1401"/>
    <x v="267"/>
    <x v="0"/>
    <s v="South"/>
    <s v="Basic"/>
    <d v="2022-04-18T00:00:00"/>
    <d v="2022-08-06T00:00:00"/>
    <x v="667"/>
    <n v="2649"/>
    <n v="914"/>
    <s v="Paid"/>
    <n v="3"/>
    <d v="2022-08-06T00:00:00"/>
    <n v="1"/>
    <n v="833"/>
    <n v="0.26"/>
    <s v="Normal"/>
    <n v="2022"/>
    <s v="August"/>
  </r>
  <r>
    <n v="1402"/>
    <x v="141"/>
    <x v="2"/>
    <s v="East"/>
    <s v="Premium"/>
    <d v="2022-01-31T00:00:00"/>
    <d v="2022-07-01T00:00:00"/>
    <x v="17"/>
    <n v="1787"/>
    <n v="-2414"/>
    <s v="Overdue"/>
    <n v="5"/>
    <d v="2022-07-01T00:00:00"/>
    <n v="1"/>
    <n v="834"/>
    <n v="-0.49"/>
    <s v="Normal"/>
    <n v="2022"/>
    <s v="July"/>
  </r>
  <r>
    <n v="1409"/>
    <x v="258"/>
    <x v="0"/>
    <s v="West"/>
    <s v="Basic"/>
    <d v="2022-04-25T00:00:00"/>
    <d v="2022-11-03T00:00:00"/>
    <x v="668"/>
    <n v="4012.75"/>
    <n v="577.01"/>
    <s v="NA"/>
    <n v="6"/>
    <d v="2022-11-03T00:00:00"/>
    <n v="0"/>
    <n v="835"/>
    <n v="0.19"/>
    <s v="Normal"/>
    <n v="2022"/>
    <s v="November"/>
  </r>
  <r>
    <n v="1412"/>
    <x v="52"/>
    <x v="4"/>
    <s v="North"/>
    <s v="Standard"/>
    <d v="2022-11-08T00:00:00"/>
    <d v="2023-09-20T00:00:00"/>
    <x v="17"/>
    <n v="7804"/>
    <n v="-8150"/>
    <s v="Paid"/>
    <n v="10"/>
    <d v="2023-09-20T00:00:00"/>
    <n v="0"/>
    <n v="836"/>
    <n v="-1.64"/>
    <s v="Outlier"/>
    <n v="2023"/>
    <s v="September"/>
  </r>
  <r>
    <n v="1414"/>
    <x v="102"/>
    <x v="3"/>
    <s v="North"/>
    <s v="Basic"/>
    <d v="2022-09-20T00:00:00"/>
    <d v="2023-10-09T00:00:00"/>
    <x v="669"/>
    <n v="1831"/>
    <n v="577.01"/>
    <s v="Overdue"/>
    <n v="12"/>
    <d v="2023-10-09T00:00:00"/>
    <n v="0"/>
    <n v="837"/>
    <n v="1.35"/>
    <s v="Outlier"/>
    <n v="2023"/>
    <s v="October"/>
  </r>
  <r>
    <n v="1416"/>
    <x v="265"/>
    <x v="1"/>
    <s v="North"/>
    <s v="Standard"/>
    <d v="2022-11-28T00:00:00"/>
    <d v="2024-07-05T00:00:00"/>
    <x v="670"/>
    <n v="2549"/>
    <n v="577.01"/>
    <s v="Overdue"/>
    <n v="19"/>
    <d v="2024-07-05T00:00:00"/>
    <n v="0"/>
    <n v="838"/>
    <n v="0.2"/>
    <s v="Normal"/>
    <n v="2024"/>
    <s v="July"/>
  </r>
  <r>
    <n v="1417"/>
    <x v="261"/>
    <x v="0"/>
    <s v="North"/>
    <s v="Standard"/>
    <d v="2022-10-15T00:00:00"/>
    <d v="2023-11-24T00:00:00"/>
    <x v="671"/>
    <n v="7158"/>
    <n v="-6007"/>
    <s v="Pending"/>
    <n v="13"/>
    <d v="2023-11-24T00:00:00"/>
    <n v="1"/>
    <n v="839"/>
    <n v="-5.22"/>
    <s v="Outlier"/>
    <n v="2023"/>
    <s v="November"/>
  </r>
  <r>
    <n v="1418"/>
    <x v="258"/>
    <x v="1"/>
    <s v="West"/>
    <s v="Standard"/>
    <d v="2022-12-20T00:00:00"/>
    <d v="2024-04-28T00:00:00"/>
    <x v="672"/>
    <n v="4864"/>
    <n v="3207"/>
    <s v="NA"/>
    <n v="16"/>
    <d v="2024-04-28T00:00:00"/>
    <n v="1"/>
    <n v="840"/>
    <n v="0.4"/>
    <s v="Normal"/>
    <n v="2024"/>
    <s v="April"/>
  </r>
  <r>
    <n v="1420"/>
    <x v="56"/>
    <x v="2"/>
    <s v="East"/>
    <s v="Basic"/>
    <d v="2022-10-17T00:00:00"/>
    <d v="2023-02-05T00:00:00"/>
    <x v="673"/>
    <n v="4012.75"/>
    <n v="577.01"/>
    <s v="Pending"/>
    <n v="3"/>
    <d v="2023-02-05T00:00:00"/>
    <n v="1"/>
    <n v="841"/>
    <n v="7.0000000000000007E-2"/>
    <s v="Normal"/>
    <n v="2023"/>
    <s v="February"/>
  </r>
  <r>
    <n v="1421"/>
    <x v="83"/>
    <x v="3"/>
    <s v="West"/>
    <s v="Basic"/>
    <d v="2022-02-26T00:00:00"/>
    <d v="2022-10-20T00:00:00"/>
    <x v="674"/>
    <n v="1762"/>
    <n v="6449"/>
    <s v="Overdue"/>
    <n v="7"/>
    <d v="2022-10-20T00:00:00"/>
    <n v="0"/>
    <n v="842"/>
    <n v="0.79"/>
    <s v="Normal"/>
    <n v="2022"/>
    <s v="October"/>
  </r>
  <r>
    <n v="1424"/>
    <x v="358"/>
    <x v="1"/>
    <s v="South"/>
    <s v="Basic"/>
    <d v="2022-05-20T00:00:00"/>
    <d v="2022-07-17T00:00:00"/>
    <x v="675"/>
    <n v="5576"/>
    <n v="-2824"/>
    <s v="Overdue"/>
    <n v="1"/>
    <d v="2022-07-17T00:00:00"/>
    <n v="1"/>
    <n v="843"/>
    <n v="-1.03"/>
    <s v="Outlier"/>
    <n v="2022"/>
    <s v="July"/>
  </r>
  <r>
    <n v="1425"/>
    <x v="245"/>
    <x v="1"/>
    <s v="South"/>
    <s v="Standard"/>
    <d v="2022-09-25T00:00:00"/>
    <d v="2023-03-11T00:00:00"/>
    <x v="676"/>
    <n v="5186"/>
    <n v="-3493"/>
    <s v="Pending"/>
    <n v="5"/>
    <d v="2023-03-11T00:00:00"/>
    <n v="0"/>
    <n v="844"/>
    <n v="-2.06"/>
    <s v="Outlier"/>
    <n v="2023"/>
    <s v="March"/>
  </r>
  <r>
    <n v="1427"/>
    <x v="120"/>
    <x v="3"/>
    <s v="North"/>
    <s v="Basic"/>
    <d v="2022-12-26T00:00:00"/>
    <d v="2023-03-26T00:00:00"/>
    <x v="677"/>
    <n v="3034"/>
    <n v="370"/>
    <s v="Pending"/>
    <n v="3"/>
    <d v="2023-03-26T00:00:00"/>
    <n v="0"/>
    <n v="845"/>
    <n v="0.11"/>
    <s v="Normal"/>
    <n v="2023"/>
    <s v="March"/>
  </r>
  <r>
    <n v="1428"/>
    <x v="40"/>
    <x v="0"/>
    <s v="South"/>
    <s v="Basic"/>
    <d v="2022-03-15T00:00:00"/>
    <d v="2022-05-26T00:00:00"/>
    <x v="678"/>
    <n v="6484"/>
    <n v="-384"/>
    <s v="Overdue"/>
    <n v="2"/>
    <d v="2022-05-26T00:00:00"/>
    <n v="1"/>
    <n v="846"/>
    <n v="-0.06"/>
    <s v="Normal"/>
    <n v="2022"/>
    <s v="May"/>
  </r>
  <r>
    <n v="1429"/>
    <x v="74"/>
    <x v="4"/>
    <s v="South"/>
    <s v="Basic"/>
    <d v="2022-05-22T00:00:00"/>
    <d v="2022-08-08T00:00:00"/>
    <x v="679"/>
    <n v="1849"/>
    <n v="5672"/>
    <s v="Pending"/>
    <n v="2"/>
    <d v="2022-08-08T00:00:00"/>
    <n v="1"/>
    <n v="847"/>
    <n v="0.75"/>
    <s v="Normal"/>
    <n v="2022"/>
    <s v="August"/>
  </r>
  <r>
    <n v="1431"/>
    <x v="88"/>
    <x v="4"/>
    <s v="East"/>
    <s v="Premium"/>
    <d v="2022-03-06T00:00:00"/>
    <d v="2022-06-12T00:00:00"/>
    <x v="680"/>
    <n v="1315"/>
    <n v="5016"/>
    <s v="Paid"/>
    <n v="3"/>
    <d v="2022-06-12T00:00:00"/>
    <n v="0"/>
    <n v="848"/>
    <n v="0.79"/>
    <s v="Normal"/>
    <n v="2022"/>
    <s v="June"/>
  </r>
  <r>
    <n v="1432"/>
    <x v="344"/>
    <x v="2"/>
    <s v="North"/>
    <s v="Standard"/>
    <d v="2022-09-03T00:00:00"/>
    <d v="2023-06-23T00:00:00"/>
    <x v="681"/>
    <n v="971"/>
    <n v="6457"/>
    <s v="Overdue"/>
    <n v="9"/>
    <d v="2023-06-23T00:00:00"/>
    <n v="1"/>
    <n v="849"/>
    <n v="0.87"/>
    <s v="Normal"/>
    <n v="2023"/>
    <s v="June"/>
  </r>
  <r>
    <n v="1434"/>
    <x v="97"/>
    <x v="0"/>
    <s v="West"/>
    <s v="Basic"/>
    <d v="2022-12-26T00:00:00"/>
    <d v="2023-02-11T00:00:00"/>
    <x v="682"/>
    <n v="6091"/>
    <n v="-2382"/>
    <s v="Pending"/>
    <n v="1"/>
    <d v="2023-02-11T00:00:00"/>
    <n v="1"/>
    <n v="850"/>
    <n v="-0.64"/>
    <s v="Normal"/>
    <n v="2023"/>
    <s v="February"/>
  </r>
  <r>
    <n v="1436"/>
    <x v="302"/>
    <x v="3"/>
    <s v="West"/>
    <s v="Premium"/>
    <d v="2022-02-20T00:00:00"/>
    <d v="2023-04-05T00:00:00"/>
    <x v="683"/>
    <n v="7882"/>
    <n v="797"/>
    <s v="Pending"/>
    <n v="13"/>
    <d v="2023-04-05T00:00:00"/>
    <n v="0"/>
    <n v="851"/>
    <n v="0.09"/>
    <s v="Normal"/>
    <n v="2023"/>
    <s v="April"/>
  </r>
  <r>
    <n v="1437"/>
    <x v="250"/>
    <x v="1"/>
    <s v="South"/>
    <s v="Standard"/>
    <d v="2022-05-28T00:00:00"/>
    <d v="2023-10-26T00:00:00"/>
    <x v="684"/>
    <n v="260"/>
    <n v="-66"/>
    <s v="Overdue"/>
    <n v="16"/>
    <d v="2023-10-26T00:00:00"/>
    <n v="0"/>
    <n v="852"/>
    <n v="-0.34"/>
    <s v="Normal"/>
    <n v="2023"/>
    <s v="October"/>
  </r>
  <r>
    <n v="1438"/>
    <x v="230"/>
    <x v="2"/>
    <s v="West"/>
    <s v="Premium"/>
    <d v="2022-02-01T00:00:00"/>
    <d v="2023-04-15T00:00:00"/>
    <x v="685"/>
    <n v="221"/>
    <n v="6087"/>
    <s v="NA"/>
    <n v="14"/>
    <d v="2023-04-15T00:00:00"/>
    <n v="1"/>
    <n v="853"/>
    <n v="0.96"/>
    <s v="Normal"/>
    <n v="2023"/>
    <s v="April"/>
  </r>
  <r>
    <n v="1439"/>
    <x v="359"/>
    <x v="1"/>
    <s v="East"/>
    <s v="Basic"/>
    <d v="2022-06-04T00:00:00"/>
    <d v="2023-04-18T00:00:00"/>
    <x v="686"/>
    <n v="4012.75"/>
    <n v="5418"/>
    <s v="Paid"/>
    <n v="10"/>
    <d v="2023-04-18T00:00:00"/>
    <n v="0"/>
    <n v="854"/>
    <n v="1.1299999999999999"/>
    <s v="Outlier"/>
    <n v="2023"/>
    <s v="April"/>
  </r>
  <r>
    <n v="1440"/>
    <x v="88"/>
    <x v="0"/>
    <s v="South"/>
    <s v="Premium"/>
    <d v="2022-11-27T00:00:00"/>
    <d v="2023-06-21T00:00:00"/>
    <x v="687"/>
    <n v="7618"/>
    <n v="-1852"/>
    <s v="Overdue"/>
    <n v="6"/>
    <d v="2023-06-21T00:00:00"/>
    <n v="0"/>
    <n v="855"/>
    <n v="-0.32"/>
    <s v="Normal"/>
    <n v="2023"/>
    <s v="June"/>
  </r>
  <r>
    <n v="1441"/>
    <x v="119"/>
    <x v="2"/>
    <s v="North"/>
    <s v="Premium"/>
    <d v="2022-06-14T00:00:00"/>
    <d v="2023-10-02T00:00:00"/>
    <x v="17"/>
    <n v="6672"/>
    <n v="-7518"/>
    <s v="Paid"/>
    <n v="15"/>
    <d v="2023-10-02T00:00:00"/>
    <n v="0"/>
    <n v="856"/>
    <n v="-1.51"/>
    <s v="Outlier"/>
    <n v="2023"/>
    <s v="October"/>
  </r>
  <r>
    <n v="1442"/>
    <x v="270"/>
    <x v="1"/>
    <s v="South"/>
    <s v="Basic"/>
    <d v="2022-09-18T00:00:00"/>
    <d v="2023-11-23T00:00:00"/>
    <x v="449"/>
    <n v="1480"/>
    <n v="5129"/>
    <s v="Overdue"/>
    <n v="14"/>
    <d v="2023-11-23T00:00:00"/>
    <n v="0"/>
    <n v="857"/>
    <n v="0.78"/>
    <s v="Normal"/>
    <n v="2023"/>
    <s v="November"/>
  </r>
  <r>
    <n v="1444"/>
    <x v="70"/>
    <x v="2"/>
    <s v="West"/>
    <s v="Basic"/>
    <d v="2022-02-09T00:00:00"/>
    <d v="2022-06-21T00:00:00"/>
    <x v="688"/>
    <n v="594"/>
    <n v="8976"/>
    <s v="Pending"/>
    <n v="4"/>
    <d v="2022-06-21T00:00:00"/>
    <n v="0"/>
    <n v="858"/>
    <n v="0.94"/>
    <s v="Normal"/>
    <n v="2022"/>
    <s v="June"/>
  </r>
  <r>
    <n v="1445"/>
    <x v="205"/>
    <x v="3"/>
    <s v="North"/>
    <s v="Premium"/>
    <d v="2022-08-11T00:00:00"/>
    <d v="2023-09-10T00:00:00"/>
    <x v="524"/>
    <n v="6457"/>
    <n v="2021"/>
    <s v="Pending"/>
    <n v="12"/>
    <d v="2023-09-10T00:00:00"/>
    <n v="1"/>
    <n v="859"/>
    <n v="0.24"/>
    <s v="Normal"/>
    <n v="2023"/>
    <s v="September"/>
  </r>
  <r>
    <n v="1448"/>
    <x v="330"/>
    <x v="1"/>
    <s v="West"/>
    <s v="Premium"/>
    <d v="2022-04-17T00:00:00"/>
    <d v="2023-05-23T00:00:00"/>
    <x v="689"/>
    <n v="4012.75"/>
    <n v="8240"/>
    <s v="Pending"/>
    <n v="13"/>
    <d v="2023-05-23T00:00:00"/>
    <n v="0"/>
    <n v="860"/>
    <n v="1.0900000000000001"/>
    <s v="Outlier"/>
    <n v="2023"/>
    <s v="May"/>
  </r>
  <r>
    <n v="1450"/>
    <x v="235"/>
    <x v="2"/>
    <s v="East"/>
    <s v="Standard"/>
    <d v="2022-01-04T00:00:00"/>
    <d v="2022-05-20T00:00:00"/>
    <x v="690"/>
    <n v="2453"/>
    <n v="3810"/>
    <s v="Paid"/>
    <n v="4"/>
    <d v="2022-05-20T00:00:00"/>
    <n v="1"/>
    <n v="861"/>
    <n v="0.61"/>
    <s v="Normal"/>
    <n v="2022"/>
    <s v="May"/>
  </r>
  <r>
    <n v="1451"/>
    <x v="20"/>
    <x v="3"/>
    <s v="South"/>
    <s v="Premium"/>
    <d v="2022-07-26T00:00:00"/>
    <d v="2023-08-22T00:00:00"/>
    <x v="691"/>
    <n v="7114"/>
    <n v="577.01"/>
    <s v="Overdue"/>
    <n v="12"/>
    <d v="2023-08-22T00:00:00"/>
    <n v="0"/>
    <n v="862"/>
    <n v="0.06"/>
    <s v="Normal"/>
    <n v="2023"/>
    <s v="August"/>
  </r>
  <r>
    <n v="1452"/>
    <x v="16"/>
    <x v="0"/>
    <s v="South"/>
    <s v="Basic"/>
    <d v="2022-09-18T00:00:00"/>
    <d v="2023-05-07T00:00:00"/>
    <x v="590"/>
    <n v="3857"/>
    <n v="5434"/>
    <s v="Pending"/>
    <n v="7"/>
    <d v="2023-05-07T00:00:00"/>
    <n v="0"/>
    <n v="863"/>
    <n v="0.57999999999999996"/>
    <s v="Normal"/>
    <n v="2023"/>
    <s v="May"/>
  </r>
  <r>
    <n v="1453"/>
    <x v="345"/>
    <x v="4"/>
    <s v="West"/>
    <s v="Premium"/>
    <d v="2022-06-02T00:00:00"/>
    <d v="2023-06-08T00:00:00"/>
    <x v="457"/>
    <n v="377"/>
    <n v="3619"/>
    <s v="Paid"/>
    <n v="12"/>
    <d v="2023-06-08T00:00:00"/>
    <n v="0"/>
    <n v="864"/>
    <n v="0.91"/>
    <s v="Normal"/>
    <n v="2023"/>
    <s v="June"/>
  </r>
  <r>
    <n v="1456"/>
    <x v="126"/>
    <x v="2"/>
    <s v="South"/>
    <s v="Basic"/>
    <d v="2022-12-25T00:00:00"/>
    <d v="2023-02-18T00:00:00"/>
    <x v="692"/>
    <n v="3781"/>
    <n v="5468"/>
    <s v="NA"/>
    <n v="1"/>
    <d v="2023-02-18T00:00:00"/>
    <n v="0"/>
    <n v="865"/>
    <n v="0.59"/>
    <s v="Normal"/>
    <n v="2023"/>
    <s v="February"/>
  </r>
  <r>
    <n v="1459"/>
    <x v="122"/>
    <x v="2"/>
    <s v="South"/>
    <s v="Standard"/>
    <d v="2022-05-28T00:00:00"/>
    <d v="2023-10-01T00:00:00"/>
    <x v="17"/>
    <n v="6851"/>
    <n v="-8238"/>
    <s v="Paid"/>
    <n v="16"/>
    <d v="2023-10-01T00:00:00"/>
    <n v="1"/>
    <n v="866"/>
    <n v="-1.66"/>
    <s v="Outlier"/>
    <n v="2023"/>
    <s v="October"/>
  </r>
  <r>
    <n v="1461"/>
    <x v="360"/>
    <x v="3"/>
    <s v="East"/>
    <s v="Premium"/>
    <d v="2022-12-13T00:00:00"/>
    <d v="2023-07-19T00:00:00"/>
    <x v="17"/>
    <n v="1681"/>
    <n v="-3465"/>
    <s v="Paid"/>
    <n v="7"/>
    <d v="2023-07-19T00:00:00"/>
    <n v="1"/>
    <n v="867"/>
    <n v="-0.7"/>
    <s v="Normal"/>
    <n v="2023"/>
    <s v="July"/>
  </r>
  <r>
    <n v="1462"/>
    <x v="260"/>
    <x v="4"/>
    <s v="South"/>
    <s v="Premium"/>
    <d v="2022-03-15T00:00:00"/>
    <d v="2023-10-13T00:00:00"/>
    <x v="693"/>
    <n v="2316"/>
    <n v="-743"/>
    <s v="Paid"/>
    <n v="18"/>
    <d v="2023-10-13T00:00:00"/>
    <n v="1"/>
    <n v="868"/>
    <n v="-0.47"/>
    <s v="Normal"/>
    <n v="2023"/>
    <s v="October"/>
  </r>
  <r>
    <n v="1463"/>
    <x v="90"/>
    <x v="2"/>
    <s v="North"/>
    <s v="Premium"/>
    <d v="2022-02-14T00:00:00"/>
    <d v="2022-10-19T00:00:00"/>
    <x v="694"/>
    <n v="5187"/>
    <n v="3484"/>
    <s v="NA"/>
    <n v="8"/>
    <d v="2022-10-19T00:00:00"/>
    <n v="1"/>
    <n v="869"/>
    <n v="0.4"/>
    <s v="Normal"/>
    <n v="2022"/>
    <s v="October"/>
  </r>
  <r>
    <n v="1464"/>
    <x v="90"/>
    <x v="3"/>
    <s v="West"/>
    <s v="Standard"/>
    <d v="2022-02-07T00:00:00"/>
    <d v="2022-05-31T00:00:00"/>
    <x v="17"/>
    <n v="7077"/>
    <n v="-7747"/>
    <s v="NA"/>
    <n v="3"/>
    <d v="2022-05-31T00:00:00"/>
    <n v="0"/>
    <n v="870"/>
    <n v="-1.56"/>
    <s v="Outlier"/>
    <n v="2022"/>
    <s v="May"/>
  </r>
  <r>
    <n v="1465"/>
    <x v="339"/>
    <x v="0"/>
    <s v="South"/>
    <s v="Standard"/>
    <d v="2022-02-25T00:00:00"/>
    <d v="2023-03-14T00:00:00"/>
    <x v="695"/>
    <n v="1155"/>
    <n v="4118"/>
    <s v="Paid"/>
    <n v="12"/>
    <d v="2023-03-14T00:00:00"/>
    <n v="1"/>
    <n v="871"/>
    <n v="0.78"/>
    <s v="Normal"/>
    <n v="2023"/>
    <s v="March"/>
  </r>
  <r>
    <n v="1467"/>
    <x v="361"/>
    <x v="3"/>
    <s v="South"/>
    <s v="Basic"/>
    <d v="2022-12-25T00:00:00"/>
    <d v="2023-02-08T00:00:00"/>
    <x v="696"/>
    <n v="4012.75"/>
    <n v="7002"/>
    <s v="Pending"/>
    <n v="1"/>
    <d v="2023-02-08T00:00:00"/>
    <n v="1"/>
    <n v="872"/>
    <n v="1.01"/>
    <s v="Outlier"/>
    <n v="2023"/>
    <s v="February"/>
  </r>
  <r>
    <n v="1468"/>
    <x v="23"/>
    <x v="1"/>
    <s v="West"/>
    <s v="Standard"/>
    <d v="2022-05-27T00:00:00"/>
    <d v="2022-09-14T00:00:00"/>
    <x v="697"/>
    <n v="89"/>
    <n v="1234"/>
    <s v="Overdue"/>
    <n v="3"/>
    <d v="2022-09-14T00:00:00"/>
    <n v="1"/>
    <n v="873"/>
    <n v="0.93"/>
    <s v="Normal"/>
    <n v="2022"/>
    <s v="September"/>
  </r>
  <r>
    <n v="1469"/>
    <x v="354"/>
    <x v="4"/>
    <s v="East"/>
    <s v="Premium"/>
    <d v="2022-11-28T00:00:00"/>
    <d v="2023-05-01T00:00:00"/>
    <x v="698"/>
    <n v="6453"/>
    <n v="-920"/>
    <s v="Paid"/>
    <n v="5"/>
    <d v="2023-05-01T00:00:00"/>
    <n v="0"/>
    <n v="874"/>
    <n v="-0.17"/>
    <s v="Normal"/>
    <n v="2023"/>
    <s v="May"/>
  </r>
  <r>
    <n v="1470"/>
    <x v="111"/>
    <x v="4"/>
    <s v="South"/>
    <s v="Premium"/>
    <d v="2022-10-15T00:00:00"/>
    <d v="2024-02-06T00:00:00"/>
    <x v="699"/>
    <n v="3491"/>
    <n v="577.01"/>
    <s v="Paid"/>
    <n v="15"/>
    <d v="2024-02-06T00:00:00"/>
    <n v="0"/>
    <n v="875"/>
    <n v="0.39"/>
    <s v="Normal"/>
    <n v="2024"/>
    <s v="February"/>
  </r>
  <r>
    <n v="1471"/>
    <x v="348"/>
    <x v="2"/>
    <s v="East"/>
    <s v="Standard"/>
    <d v="2022-01-28T00:00:00"/>
    <d v="2023-08-30T00:00:00"/>
    <x v="700"/>
    <n v="1877"/>
    <n v="6487"/>
    <s v="Overdue"/>
    <n v="19"/>
    <d v="2023-08-30T00:00:00"/>
    <n v="1"/>
    <n v="876"/>
    <n v="0.78"/>
    <s v="Normal"/>
    <n v="2023"/>
    <s v="August"/>
  </r>
  <r>
    <n v="1472"/>
    <x v="362"/>
    <x v="4"/>
    <s v="East"/>
    <s v="Premium"/>
    <d v="2022-03-14T00:00:00"/>
    <d v="2022-10-23T00:00:00"/>
    <x v="17"/>
    <n v="5662"/>
    <n v="-5712"/>
    <s v="Paid"/>
    <n v="7"/>
    <d v="2022-10-23T00:00:00"/>
    <n v="0"/>
    <n v="877"/>
    <n v="-1.1499999999999999"/>
    <s v="Outlier"/>
    <n v="2022"/>
    <s v="October"/>
  </r>
  <r>
    <n v="1473"/>
    <x v="23"/>
    <x v="1"/>
    <s v="North"/>
    <s v="Basic"/>
    <d v="2022-07-06T00:00:00"/>
    <d v="2023-05-05T00:00:00"/>
    <x v="701"/>
    <n v="857"/>
    <n v="6807"/>
    <s v="Paid"/>
    <n v="9"/>
    <d v="2023-05-05T00:00:00"/>
    <n v="0"/>
    <n v="878"/>
    <n v="0.89"/>
    <s v="Normal"/>
    <n v="2023"/>
    <s v="May"/>
  </r>
  <r>
    <n v="1475"/>
    <x v="188"/>
    <x v="4"/>
    <s v="South"/>
    <s v="Basic"/>
    <d v="2022-12-23T00:00:00"/>
    <d v="2023-08-26T00:00:00"/>
    <x v="702"/>
    <n v="3085"/>
    <n v="-275"/>
    <s v="NA"/>
    <n v="8"/>
    <d v="2023-08-26T00:00:00"/>
    <n v="1"/>
    <n v="879"/>
    <n v="-0.1"/>
    <s v="Normal"/>
    <n v="2023"/>
    <s v="August"/>
  </r>
  <r>
    <n v="1476"/>
    <x v="161"/>
    <x v="1"/>
    <s v="West"/>
    <s v="Standard"/>
    <d v="2022-10-16T00:00:00"/>
    <d v="2023-03-29T00:00:00"/>
    <x v="703"/>
    <n v="4420"/>
    <n v="4320"/>
    <s v="Overdue"/>
    <n v="5"/>
    <d v="2023-03-29T00:00:00"/>
    <n v="1"/>
    <n v="880"/>
    <n v="0.49"/>
    <s v="Normal"/>
    <n v="2023"/>
    <s v="March"/>
  </r>
  <r>
    <n v="1478"/>
    <x v="245"/>
    <x v="4"/>
    <s v="East"/>
    <s v="Standard"/>
    <d v="2022-10-02T00:00:00"/>
    <d v="2023-10-11T00:00:00"/>
    <x v="704"/>
    <n v="1940"/>
    <n v="-1846"/>
    <s v="Pending"/>
    <n v="12"/>
    <d v="2023-10-11T00:00:00"/>
    <n v="0"/>
    <n v="881"/>
    <n v="-19.64"/>
    <s v="Outlier"/>
    <n v="2023"/>
    <s v="October"/>
  </r>
  <r>
    <n v="1479"/>
    <x v="183"/>
    <x v="2"/>
    <s v="North"/>
    <s v="Premium"/>
    <d v="2022-04-11T00:00:00"/>
    <d v="2022-08-11T00:00:00"/>
    <x v="705"/>
    <n v="4614"/>
    <n v="-4461"/>
    <s v="NA"/>
    <n v="4"/>
    <d v="2022-08-11T00:00:00"/>
    <n v="0"/>
    <n v="882"/>
    <n v="-29.16"/>
    <s v="Outlier"/>
    <n v="2022"/>
    <s v="August"/>
  </r>
  <r>
    <n v="1480"/>
    <x v="242"/>
    <x v="4"/>
    <s v="North"/>
    <s v="Premium"/>
    <d v="2022-06-14T00:00:00"/>
    <d v="2022-09-01T00:00:00"/>
    <x v="706"/>
    <n v="3191"/>
    <n v="5679"/>
    <s v="Overdue"/>
    <n v="2"/>
    <d v="2022-09-01T00:00:00"/>
    <n v="1"/>
    <n v="883"/>
    <n v="0.64"/>
    <s v="Normal"/>
    <n v="2022"/>
    <s v="September"/>
  </r>
  <r>
    <n v="1482"/>
    <x v="5"/>
    <x v="0"/>
    <s v="South"/>
    <s v="Premium"/>
    <d v="2022-06-01T00:00:00"/>
    <d v="2023-01-17T00:00:00"/>
    <x v="707"/>
    <n v="2637"/>
    <n v="-482"/>
    <s v="Paid"/>
    <n v="7"/>
    <d v="2023-01-17T00:00:00"/>
    <n v="0"/>
    <n v="884"/>
    <n v="-0.22"/>
    <s v="Normal"/>
    <n v="2023"/>
    <s v="January"/>
  </r>
  <r>
    <n v="1484"/>
    <x v="91"/>
    <x v="3"/>
    <s v="North"/>
    <s v="Premium"/>
    <d v="2022-12-18T00:00:00"/>
    <d v="2024-05-27T00:00:00"/>
    <x v="708"/>
    <n v="5964"/>
    <n v="2176"/>
    <s v="Paid"/>
    <n v="17"/>
    <d v="2024-05-27T00:00:00"/>
    <n v="0"/>
    <n v="885"/>
    <n v="0.27"/>
    <s v="Normal"/>
    <n v="2024"/>
    <s v="May"/>
  </r>
  <r>
    <n v="1487"/>
    <x v="180"/>
    <x v="3"/>
    <s v="South"/>
    <s v="Standard"/>
    <d v="2022-07-24T00:00:00"/>
    <d v="2023-03-31T00:00:00"/>
    <x v="709"/>
    <n v="2529"/>
    <n v="1200"/>
    <s v="Overdue"/>
    <n v="8"/>
    <d v="2023-03-31T00:00:00"/>
    <n v="0"/>
    <n v="886"/>
    <n v="0.32"/>
    <s v="Normal"/>
    <n v="2023"/>
    <s v="March"/>
  </r>
  <r>
    <n v="1488"/>
    <x v="363"/>
    <x v="1"/>
    <s v="South"/>
    <s v="Standard"/>
    <d v="2022-03-06T00:00:00"/>
    <d v="2022-09-09T00:00:00"/>
    <x v="17"/>
    <n v="3009"/>
    <n v="577.01"/>
    <s v="Paid"/>
    <n v="6"/>
    <d v="2022-09-09T00:00:00"/>
    <n v="0"/>
    <n v="887"/>
    <n v="0.12"/>
    <s v="Normal"/>
    <n v="2022"/>
    <s v="September"/>
  </r>
  <r>
    <n v="1492"/>
    <x v="305"/>
    <x v="0"/>
    <s v="East"/>
    <s v="Premium"/>
    <d v="2022-12-11T00:00:00"/>
    <d v="2024-07-28T00:00:00"/>
    <x v="17"/>
    <n v="2003"/>
    <n v="-2384"/>
    <s v="NA"/>
    <n v="19"/>
    <d v="2024-07-28T00:00:00"/>
    <n v="1"/>
    <n v="888"/>
    <n v="-0.48"/>
    <s v="Normal"/>
    <n v="2024"/>
    <s v="July"/>
  </r>
  <r>
    <n v="1493"/>
    <x v="364"/>
    <x v="0"/>
    <s v="North"/>
    <s v="Standard"/>
    <d v="2022-06-11T00:00:00"/>
    <d v="2023-04-23T00:00:00"/>
    <x v="710"/>
    <n v="4012.75"/>
    <n v="9136"/>
    <s v="Pending"/>
    <n v="10"/>
    <d v="2023-04-23T00:00:00"/>
    <n v="0"/>
    <n v="889"/>
    <n v="1.07"/>
    <s v="Outlier"/>
    <n v="2023"/>
    <s v="April"/>
  </r>
  <r>
    <n v="1494"/>
    <x v="365"/>
    <x v="3"/>
    <s v="South"/>
    <s v="Premium"/>
    <d v="2022-01-30T00:00:00"/>
    <d v="2022-03-26T00:00:00"/>
    <x v="711"/>
    <n v="2847"/>
    <n v="6485"/>
    <s v="Pending"/>
    <n v="1"/>
    <d v="2022-03-26T00:00:00"/>
    <n v="1"/>
    <n v="890"/>
    <n v="0.69"/>
    <s v="Normal"/>
    <n v="2022"/>
    <s v="March"/>
  </r>
  <r>
    <n v="1498"/>
    <x v="253"/>
    <x v="0"/>
    <s v="South"/>
    <s v="Premium"/>
    <d v="2022-10-06T00:00:00"/>
    <d v="2022-12-29T00:00:00"/>
    <x v="712"/>
    <n v="4239"/>
    <n v="577.01"/>
    <s v="NA"/>
    <n v="2"/>
    <d v="2022-12-29T00:00:00"/>
    <n v="1"/>
    <n v="891"/>
    <n v="0.18"/>
    <s v="Normal"/>
    <n v="2022"/>
    <s v="December"/>
  </r>
  <r>
    <n v="1499"/>
    <x v="83"/>
    <x v="0"/>
    <s v="South"/>
    <s v="Standard"/>
    <d v="2022-03-10T00:00:00"/>
    <d v="2022-08-23T00:00:00"/>
    <x v="17"/>
    <n v="5977"/>
    <n v="-7503"/>
    <s v="NA"/>
    <n v="5"/>
    <d v="2022-08-23T00:00:00"/>
    <n v="0"/>
    <n v="892"/>
    <n v="-1.51"/>
    <s v="Outlier"/>
    <n v="2022"/>
    <s v="August"/>
  </r>
  <r>
    <n v="1500"/>
    <x v="261"/>
    <x v="4"/>
    <s v="West"/>
    <s v="Premium"/>
    <d v="2022-07-31T00:00:00"/>
    <d v="2023-03-21T00:00:00"/>
    <x v="17"/>
    <n v="2735"/>
    <n v="-2757"/>
    <s v="Overdue"/>
    <n v="7"/>
    <d v="2023-03-21T00:00:00"/>
    <n v="0"/>
    <n v="893"/>
    <n v="-0.55000000000000004"/>
    <s v="Normal"/>
    <n v="2023"/>
    <s v="March"/>
  </r>
  <r>
    <n v="1501"/>
    <x v="281"/>
    <x v="1"/>
    <s v="North"/>
    <s v="Basic"/>
    <d v="2022-11-20T00:00:00"/>
    <d v="2024-01-27T00:00:00"/>
    <x v="713"/>
    <n v="1645"/>
    <n v="1986"/>
    <s v="Paid"/>
    <n v="14"/>
    <d v="2024-01-27T00:00:00"/>
    <n v="0"/>
    <n v="894"/>
    <n v="0.55000000000000004"/>
    <s v="Normal"/>
    <n v="2024"/>
    <s v="January"/>
  </r>
  <r>
    <n v="1502"/>
    <x v="366"/>
    <x v="3"/>
    <s v="East"/>
    <s v="Premium"/>
    <d v="2022-06-30T00:00:00"/>
    <d v="2023-02-15T00:00:00"/>
    <x v="714"/>
    <n v="3716"/>
    <n v="-3020"/>
    <s v="Paid"/>
    <n v="7"/>
    <d v="2023-02-15T00:00:00"/>
    <n v="0"/>
    <n v="895"/>
    <n v="-4.34"/>
    <s v="Outlier"/>
    <n v="2023"/>
    <s v="February"/>
  </r>
  <r>
    <n v="1503"/>
    <x v="261"/>
    <x v="2"/>
    <s v="South"/>
    <s v="Premium"/>
    <d v="2022-12-25T00:00:00"/>
    <d v="2023-06-10T00:00:00"/>
    <x v="715"/>
    <n v="3504"/>
    <n v="-3373"/>
    <s v="Pending"/>
    <n v="5"/>
    <d v="2023-06-10T00:00:00"/>
    <n v="0"/>
    <n v="896"/>
    <n v="-25.75"/>
    <s v="Outlier"/>
    <n v="2023"/>
    <s v="June"/>
  </r>
  <r>
    <n v="1505"/>
    <x v="238"/>
    <x v="0"/>
    <s v="South"/>
    <s v="Standard"/>
    <d v="2022-08-15T00:00:00"/>
    <d v="2022-12-27T00:00:00"/>
    <x v="716"/>
    <n v="1493"/>
    <n v="5170"/>
    <s v="Pending"/>
    <n v="4"/>
    <d v="2022-12-27T00:00:00"/>
    <n v="0"/>
    <n v="897"/>
    <n v="0.78"/>
    <s v="Normal"/>
    <n v="2022"/>
    <s v="December"/>
  </r>
  <r>
    <n v="1506"/>
    <x v="134"/>
    <x v="3"/>
    <s v="South"/>
    <s v="Standard"/>
    <d v="2022-11-19T00:00:00"/>
    <d v="2023-06-17T00:00:00"/>
    <x v="717"/>
    <n v="3821"/>
    <n v="-1908"/>
    <s v="Paid"/>
    <n v="6"/>
    <d v="2023-06-17T00:00:00"/>
    <n v="0"/>
    <n v="898"/>
    <n v="-1"/>
    <s v="Normal"/>
    <n v="2023"/>
    <s v="June"/>
  </r>
  <r>
    <n v="1510"/>
    <x v="19"/>
    <x v="3"/>
    <s v="North"/>
    <s v="Basic"/>
    <d v="2022-07-11T00:00:00"/>
    <d v="2023-10-01T00:00:00"/>
    <x v="718"/>
    <n v="1735"/>
    <n v="7518"/>
    <s v="Paid"/>
    <n v="14"/>
    <d v="2023-10-01T00:00:00"/>
    <n v="1"/>
    <n v="899"/>
    <n v="0.81"/>
    <s v="Normal"/>
    <n v="2023"/>
    <s v="October"/>
  </r>
  <r>
    <n v="1511"/>
    <x v="143"/>
    <x v="4"/>
    <s v="East"/>
    <s v="Premium"/>
    <d v="2022-06-07T00:00:00"/>
    <d v="2023-01-15T00:00:00"/>
    <x v="719"/>
    <n v="5803"/>
    <n v="-2870"/>
    <s v="Paid"/>
    <n v="7"/>
    <d v="2023-01-15T00:00:00"/>
    <n v="1"/>
    <n v="900"/>
    <n v="-0.98"/>
    <s v="Normal"/>
    <n v="2023"/>
    <s v="January"/>
  </r>
  <r>
    <n v="1512"/>
    <x v="348"/>
    <x v="0"/>
    <s v="West"/>
    <s v="Premium"/>
    <d v="2022-04-03T00:00:00"/>
    <d v="2023-05-02T00:00:00"/>
    <x v="720"/>
    <n v="4307"/>
    <n v="4435"/>
    <s v="Overdue"/>
    <n v="12"/>
    <d v="2023-05-02T00:00:00"/>
    <n v="0"/>
    <n v="901"/>
    <n v="0.51"/>
    <s v="Normal"/>
    <n v="2023"/>
    <s v="May"/>
  </r>
  <r>
    <n v="1513"/>
    <x v="323"/>
    <x v="0"/>
    <s v="West"/>
    <s v="Premium"/>
    <d v="2022-07-20T00:00:00"/>
    <d v="2023-04-23T00:00:00"/>
    <x v="721"/>
    <n v="4012.75"/>
    <n v="4071"/>
    <s v="Overdue"/>
    <n v="9"/>
    <d v="2023-04-23T00:00:00"/>
    <n v="1"/>
    <n v="902"/>
    <n v="1.18"/>
    <s v="Outlier"/>
    <n v="2023"/>
    <s v="April"/>
  </r>
  <r>
    <n v="1515"/>
    <x v="70"/>
    <x v="0"/>
    <s v="West"/>
    <s v="Premium"/>
    <d v="2022-09-17T00:00:00"/>
    <d v="2023-12-19T00:00:00"/>
    <x v="722"/>
    <n v="1305"/>
    <n v="5352"/>
    <s v="Overdue"/>
    <n v="15"/>
    <d v="2023-12-19T00:00:00"/>
    <n v="1"/>
    <n v="903"/>
    <n v="0.8"/>
    <s v="Normal"/>
    <n v="2023"/>
    <s v="December"/>
  </r>
  <r>
    <n v="1517"/>
    <x v="161"/>
    <x v="3"/>
    <s v="North"/>
    <s v="Standard"/>
    <d v="2022-11-21T00:00:00"/>
    <d v="2023-12-12T00:00:00"/>
    <x v="17"/>
    <n v="5678"/>
    <n v="-6192"/>
    <s v="Overdue"/>
    <n v="12"/>
    <d v="2023-12-12T00:00:00"/>
    <n v="0"/>
    <n v="904"/>
    <n v="-1.25"/>
    <s v="Outlier"/>
    <n v="2023"/>
    <s v="December"/>
  </r>
  <r>
    <n v="1519"/>
    <x v="11"/>
    <x v="3"/>
    <s v="East"/>
    <s v="Standard"/>
    <d v="2022-04-11T00:00:00"/>
    <d v="2023-04-16T00:00:00"/>
    <x v="723"/>
    <n v="1438"/>
    <n v="-216"/>
    <s v="Overdue"/>
    <n v="12"/>
    <d v="2023-04-16T00:00:00"/>
    <n v="0"/>
    <n v="905"/>
    <n v="-0.18"/>
    <s v="Normal"/>
    <n v="2023"/>
    <s v="April"/>
  </r>
  <r>
    <n v="1520"/>
    <x v="22"/>
    <x v="2"/>
    <s v="West"/>
    <s v="Premium"/>
    <d v="2022-06-08T00:00:00"/>
    <d v="2022-09-11T00:00:00"/>
    <x v="724"/>
    <n v="5679"/>
    <n v="3720"/>
    <s v="Overdue"/>
    <n v="3"/>
    <d v="2022-09-11T00:00:00"/>
    <n v="1"/>
    <n v="906"/>
    <n v="0.4"/>
    <s v="Normal"/>
    <n v="2022"/>
    <s v="September"/>
  </r>
  <r>
    <n v="1521"/>
    <x v="69"/>
    <x v="0"/>
    <s v="East"/>
    <s v="Standard"/>
    <d v="2022-10-31T00:00:00"/>
    <d v="2024-04-25T00:00:00"/>
    <x v="725"/>
    <n v="7939"/>
    <n v="225"/>
    <s v="Overdue"/>
    <n v="17"/>
    <d v="2024-04-25T00:00:00"/>
    <n v="1"/>
    <n v="907"/>
    <n v="0.03"/>
    <s v="Normal"/>
    <n v="2024"/>
    <s v="April"/>
  </r>
  <r>
    <n v="1523"/>
    <x v="38"/>
    <x v="4"/>
    <s v="South"/>
    <s v="Premium"/>
    <d v="2022-05-16T00:00:00"/>
    <d v="2023-07-09T00:00:00"/>
    <x v="17"/>
    <n v="2120"/>
    <n v="-3404"/>
    <s v="Paid"/>
    <n v="13"/>
    <d v="2023-07-09T00:00:00"/>
    <n v="0"/>
    <n v="908"/>
    <n v="-0.69"/>
    <s v="Normal"/>
    <n v="2023"/>
    <s v="July"/>
  </r>
  <r>
    <n v="1525"/>
    <x v="224"/>
    <x v="2"/>
    <s v="East"/>
    <s v="Basic"/>
    <d v="2022-01-12T00:00:00"/>
    <d v="2022-04-30T00:00:00"/>
    <x v="17"/>
    <n v="7473"/>
    <n v="-8456"/>
    <s v="Overdue"/>
    <n v="3"/>
    <d v="2022-04-30T00:00:00"/>
    <n v="1"/>
    <n v="909"/>
    <n v="-1.7"/>
    <s v="Outlier"/>
    <n v="2022"/>
    <s v="April"/>
  </r>
  <r>
    <n v="1527"/>
    <x v="122"/>
    <x v="1"/>
    <s v="East"/>
    <s v="Basic"/>
    <d v="2022-01-21T00:00:00"/>
    <d v="2022-09-28T00:00:00"/>
    <x v="726"/>
    <n v="1621"/>
    <n v="-994"/>
    <s v="NA"/>
    <n v="8"/>
    <d v="2022-09-28T00:00:00"/>
    <n v="1"/>
    <n v="910"/>
    <n v="-1.59"/>
    <s v="Outlier"/>
    <n v="2022"/>
    <s v="September"/>
  </r>
  <r>
    <n v="1528"/>
    <x v="211"/>
    <x v="4"/>
    <s v="East"/>
    <s v="Standard"/>
    <d v="2022-01-18T00:00:00"/>
    <d v="2022-11-11T00:00:00"/>
    <x v="727"/>
    <n v="460"/>
    <n v="8677"/>
    <s v="Pending"/>
    <n v="9"/>
    <d v="2022-11-11T00:00:00"/>
    <n v="0"/>
    <n v="911"/>
    <n v="0.95"/>
    <s v="Normal"/>
    <n v="2022"/>
    <s v="November"/>
  </r>
  <r>
    <n v="1530"/>
    <x v="125"/>
    <x v="3"/>
    <s v="East"/>
    <s v="Basic"/>
    <d v="2022-04-13T00:00:00"/>
    <d v="2022-12-18T00:00:00"/>
    <x v="728"/>
    <n v="4012.75"/>
    <n v="577.01"/>
    <s v="Paid"/>
    <n v="8"/>
    <d v="2022-12-18T00:00:00"/>
    <n v="1"/>
    <n v="912"/>
    <n v="0.14000000000000001"/>
    <s v="Normal"/>
    <n v="2022"/>
    <s v="December"/>
  </r>
  <r>
    <n v="1531"/>
    <x v="265"/>
    <x v="1"/>
    <s v="West"/>
    <s v="Premium"/>
    <d v="2022-10-04T00:00:00"/>
    <d v="2023-05-03T00:00:00"/>
    <x v="729"/>
    <n v="768"/>
    <n v="1820"/>
    <s v="Overdue"/>
    <n v="6"/>
    <d v="2023-05-03T00:00:00"/>
    <n v="1"/>
    <n v="913"/>
    <n v="0.7"/>
    <s v="Normal"/>
    <n v="2023"/>
    <s v="May"/>
  </r>
  <r>
    <n v="1533"/>
    <x v="274"/>
    <x v="1"/>
    <s v="South"/>
    <s v="Standard"/>
    <d v="2022-03-14T00:00:00"/>
    <d v="2023-09-23T00:00:00"/>
    <x v="17"/>
    <n v="6032"/>
    <n v="-7269"/>
    <s v="Paid"/>
    <n v="18"/>
    <d v="2023-09-23T00:00:00"/>
    <n v="1"/>
    <n v="914"/>
    <n v="-1.46"/>
    <s v="Outlier"/>
    <n v="2023"/>
    <s v="September"/>
  </r>
  <r>
    <n v="1534"/>
    <x v="255"/>
    <x v="1"/>
    <s v="South"/>
    <s v="Basic"/>
    <d v="2022-02-07T00:00:00"/>
    <d v="2022-07-16T00:00:00"/>
    <x v="730"/>
    <n v="4012.75"/>
    <n v="6261"/>
    <s v="Paid"/>
    <n v="5"/>
    <d v="2022-07-16T00:00:00"/>
    <n v="0"/>
    <n v="915"/>
    <n v="1.1299999999999999"/>
    <s v="Outlier"/>
    <n v="2022"/>
    <s v="July"/>
  </r>
  <r>
    <n v="1536"/>
    <x v="295"/>
    <x v="1"/>
    <s v="East"/>
    <s v="Standard"/>
    <d v="2022-12-12T00:00:00"/>
    <d v="2023-05-17T00:00:00"/>
    <x v="731"/>
    <n v="5568"/>
    <n v="2708"/>
    <s v="NA"/>
    <n v="5"/>
    <d v="2023-05-17T00:00:00"/>
    <n v="1"/>
    <n v="916"/>
    <n v="0.33"/>
    <s v="Normal"/>
    <n v="2023"/>
    <s v="May"/>
  </r>
  <r>
    <n v="1537"/>
    <x v="303"/>
    <x v="1"/>
    <s v="South"/>
    <s v="Basic"/>
    <d v="2022-01-31T00:00:00"/>
    <d v="2023-07-04T00:00:00"/>
    <x v="732"/>
    <n v="4012.75"/>
    <n v="411"/>
    <s v="Pending"/>
    <n v="17"/>
    <d v="2023-07-04T00:00:00"/>
    <n v="0"/>
    <n v="917"/>
    <n v="1.46"/>
    <s v="Outlier"/>
    <n v="2023"/>
    <s v="July"/>
  </r>
  <r>
    <n v="1539"/>
    <x v="278"/>
    <x v="3"/>
    <s v="West"/>
    <s v="Premium"/>
    <d v="2022-03-16T00:00:00"/>
    <d v="2022-07-25T00:00:00"/>
    <x v="733"/>
    <n v="4863"/>
    <n v="1982"/>
    <s v="Overdue"/>
    <n v="4"/>
    <d v="2022-07-25T00:00:00"/>
    <n v="0"/>
    <n v="918"/>
    <n v="0.28999999999999998"/>
    <s v="Normal"/>
    <n v="2022"/>
    <s v="July"/>
  </r>
  <r>
    <n v="1540"/>
    <x v="357"/>
    <x v="4"/>
    <s v="North"/>
    <s v="Premium"/>
    <d v="2022-09-02T00:00:00"/>
    <d v="2022-12-30T00:00:00"/>
    <x v="734"/>
    <n v="5022"/>
    <n v="1790"/>
    <s v="Pending"/>
    <n v="3"/>
    <d v="2022-12-30T00:00:00"/>
    <n v="0"/>
    <n v="919"/>
    <n v="0.26"/>
    <s v="Normal"/>
    <n v="2022"/>
    <s v="December"/>
  </r>
  <r>
    <n v="1542"/>
    <x v="363"/>
    <x v="0"/>
    <s v="East"/>
    <s v="Standard"/>
    <d v="2022-02-10T00:00:00"/>
    <d v="2023-04-13T00:00:00"/>
    <x v="17"/>
    <n v="5233"/>
    <n v="-7037"/>
    <s v="Paid"/>
    <n v="14"/>
    <d v="2023-04-13T00:00:00"/>
    <n v="1"/>
    <n v="920"/>
    <n v="-1.42"/>
    <s v="Outlier"/>
    <n v="2023"/>
    <s v="April"/>
  </r>
  <r>
    <n v="1543"/>
    <x v="210"/>
    <x v="0"/>
    <s v="North"/>
    <s v="Standard"/>
    <d v="2022-12-27T00:00:00"/>
    <d v="2023-07-07T00:00:00"/>
    <x v="735"/>
    <n v="2619"/>
    <n v="577.01"/>
    <s v="NA"/>
    <n v="6"/>
    <d v="2023-07-07T00:00:00"/>
    <n v="0"/>
    <n v="921"/>
    <n v="0.08"/>
    <s v="Normal"/>
    <n v="2023"/>
    <s v="July"/>
  </r>
  <r>
    <n v="1545"/>
    <x v="26"/>
    <x v="2"/>
    <s v="West"/>
    <s v="Standard"/>
    <d v="2022-04-18T00:00:00"/>
    <d v="2022-06-26T00:00:00"/>
    <x v="17"/>
    <n v="7742"/>
    <n v="-7814"/>
    <s v="Overdue"/>
    <n v="2"/>
    <d v="2022-06-26T00:00:00"/>
    <n v="1"/>
    <n v="922"/>
    <n v="-1.57"/>
    <s v="Outlier"/>
    <n v="2022"/>
    <s v="June"/>
  </r>
  <r>
    <n v="1547"/>
    <x v="367"/>
    <x v="0"/>
    <s v="North"/>
    <s v="Standard"/>
    <d v="2022-08-13T00:00:00"/>
    <d v="2023-06-10T00:00:00"/>
    <x v="736"/>
    <n v="2117"/>
    <n v="5769"/>
    <s v="NA"/>
    <n v="9"/>
    <d v="2023-06-10T00:00:00"/>
    <n v="0"/>
    <n v="923"/>
    <n v="0.73"/>
    <s v="Normal"/>
    <n v="2023"/>
    <s v="June"/>
  </r>
  <r>
    <n v="1549"/>
    <x v="195"/>
    <x v="4"/>
    <s v="West"/>
    <s v="Premium"/>
    <d v="2022-01-26T00:00:00"/>
    <d v="2022-08-27T00:00:00"/>
    <x v="737"/>
    <n v="4012.75"/>
    <n v="1445"/>
    <s v="Overdue"/>
    <n v="7"/>
    <d v="2022-08-27T00:00:00"/>
    <n v="1"/>
    <n v="924"/>
    <n v="1.1399999999999999"/>
    <s v="Outlier"/>
    <n v="2022"/>
    <s v="August"/>
  </r>
  <r>
    <n v="1551"/>
    <x v="173"/>
    <x v="2"/>
    <s v="East"/>
    <s v="Standard"/>
    <d v="2022-10-01T00:00:00"/>
    <d v="2023-07-21T00:00:00"/>
    <x v="738"/>
    <n v="2414"/>
    <n v="1504"/>
    <s v="Pending"/>
    <n v="9"/>
    <d v="2023-07-21T00:00:00"/>
    <n v="0"/>
    <n v="925"/>
    <n v="0.38"/>
    <s v="Normal"/>
    <n v="2023"/>
    <s v="July"/>
  </r>
  <r>
    <n v="1552"/>
    <x v="185"/>
    <x v="0"/>
    <s v="South"/>
    <s v="Basic"/>
    <d v="2022-08-29T00:00:00"/>
    <d v="2022-10-27T00:00:00"/>
    <x v="739"/>
    <n v="2162"/>
    <n v="603"/>
    <s v="Overdue"/>
    <n v="1"/>
    <d v="2022-10-27T00:00:00"/>
    <n v="0"/>
    <n v="926"/>
    <n v="0.22"/>
    <s v="Normal"/>
    <n v="2022"/>
    <s v="October"/>
  </r>
  <r>
    <n v="1553"/>
    <x v="97"/>
    <x v="3"/>
    <s v="North"/>
    <s v="Premium"/>
    <d v="2022-11-06T00:00:00"/>
    <d v="2023-03-31T00:00:00"/>
    <x v="740"/>
    <n v="7301"/>
    <n v="577.01"/>
    <s v="Overdue"/>
    <n v="4"/>
    <d v="2023-03-31T00:00:00"/>
    <n v="1"/>
    <n v="927"/>
    <n v="0.3"/>
    <s v="Normal"/>
    <n v="2023"/>
    <s v="March"/>
  </r>
  <r>
    <n v="1555"/>
    <x v="273"/>
    <x v="3"/>
    <s v="South"/>
    <s v="Standard"/>
    <d v="2022-04-13T00:00:00"/>
    <d v="2023-05-09T00:00:00"/>
    <x v="17"/>
    <n v="5980"/>
    <n v="-6922"/>
    <s v="Pending"/>
    <n v="12"/>
    <d v="2023-05-09T00:00:00"/>
    <n v="1"/>
    <n v="928"/>
    <n v="-1.39"/>
    <s v="Outlier"/>
    <n v="2023"/>
    <s v="May"/>
  </r>
  <r>
    <n v="1563"/>
    <x v="345"/>
    <x v="4"/>
    <s v="North"/>
    <s v="Basic"/>
    <d v="2022-06-29T00:00:00"/>
    <d v="2023-07-22T00:00:00"/>
    <x v="741"/>
    <n v="4342"/>
    <n v="-2755"/>
    <s v="NA"/>
    <n v="12"/>
    <d v="2023-07-22T00:00:00"/>
    <n v="1"/>
    <n v="929"/>
    <n v="-1.74"/>
    <s v="Outlier"/>
    <n v="2023"/>
    <s v="July"/>
  </r>
  <r>
    <n v="1564"/>
    <x v="100"/>
    <x v="2"/>
    <s v="South"/>
    <s v="Standard"/>
    <d v="2022-09-23T00:00:00"/>
    <d v="2023-12-08T00:00:00"/>
    <x v="742"/>
    <n v="5035"/>
    <n v="-1429"/>
    <s v="NA"/>
    <n v="14"/>
    <d v="2023-12-08T00:00:00"/>
    <n v="0"/>
    <n v="930"/>
    <n v="-0.4"/>
    <s v="Normal"/>
    <n v="2023"/>
    <s v="December"/>
  </r>
  <r>
    <n v="1565"/>
    <x v="220"/>
    <x v="3"/>
    <s v="South"/>
    <s v="Basic"/>
    <d v="2022-07-08T00:00:00"/>
    <d v="2022-09-20T00:00:00"/>
    <x v="743"/>
    <n v="3080"/>
    <n v="3236"/>
    <s v="Pending"/>
    <n v="2"/>
    <d v="2022-09-20T00:00:00"/>
    <n v="1"/>
    <n v="931"/>
    <n v="0.51"/>
    <s v="Normal"/>
    <n v="2022"/>
    <s v="September"/>
  </r>
  <r>
    <n v="1568"/>
    <x v="307"/>
    <x v="1"/>
    <s v="South"/>
    <s v="Standard"/>
    <d v="2022-05-06T00:00:00"/>
    <d v="2023-08-08T00:00:00"/>
    <x v="17"/>
    <n v="5080"/>
    <n v="-6372"/>
    <s v="Paid"/>
    <n v="15"/>
    <d v="2023-08-08T00:00:00"/>
    <n v="0"/>
    <n v="932"/>
    <n v="-1.28"/>
    <s v="Outlier"/>
    <n v="2023"/>
    <s v="August"/>
  </r>
  <r>
    <n v="1569"/>
    <x v="95"/>
    <x v="1"/>
    <s v="East"/>
    <s v="Premium"/>
    <d v="2022-04-04T00:00:00"/>
    <d v="2022-10-25T00:00:00"/>
    <x v="744"/>
    <n v="1159"/>
    <n v="71"/>
    <s v="Pending"/>
    <n v="6"/>
    <d v="2022-10-25T00:00:00"/>
    <n v="0"/>
    <n v="933"/>
    <n v="0.06"/>
    <s v="Normal"/>
    <n v="2022"/>
    <s v="October"/>
  </r>
  <r>
    <n v="1570"/>
    <x v="236"/>
    <x v="0"/>
    <s v="North"/>
    <s v="Premium"/>
    <d v="2022-05-05T00:00:00"/>
    <d v="2023-03-05T00:00:00"/>
    <x v="745"/>
    <n v="7978"/>
    <n v="-488"/>
    <s v="Overdue"/>
    <n v="10"/>
    <d v="2023-03-05T00:00:00"/>
    <n v="1"/>
    <n v="934"/>
    <n v="-7.0000000000000007E-2"/>
    <s v="Normal"/>
    <n v="2023"/>
    <s v="March"/>
  </r>
  <r>
    <n v="1571"/>
    <x v="368"/>
    <x v="1"/>
    <s v="North"/>
    <s v="Basic"/>
    <d v="2022-01-03T00:00:00"/>
    <d v="2022-04-22T00:00:00"/>
    <x v="746"/>
    <n v="5785"/>
    <n v="1318"/>
    <s v="Pending"/>
    <n v="3"/>
    <d v="2022-04-22T00:00:00"/>
    <n v="0"/>
    <n v="935"/>
    <n v="0.19"/>
    <s v="Normal"/>
    <n v="2022"/>
    <s v="April"/>
  </r>
  <r>
    <n v="1572"/>
    <x v="51"/>
    <x v="0"/>
    <s v="West"/>
    <s v="Basic"/>
    <d v="2022-03-07T00:00:00"/>
    <d v="2022-06-02T00:00:00"/>
    <x v="17"/>
    <n v="6265"/>
    <n v="-7653"/>
    <s v="NA"/>
    <n v="2"/>
    <d v="2022-06-02T00:00:00"/>
    <n v="1"/>
    <n v="936"/>
    <n v="-1.54"/>
    <s v="Outlier"/>
    <n v="2022"/>
    <s v="June"/>
  </r>
  <r>
    <n v="1574"/>
    <x v="185"/>
    <x v="3"/>
    <s v="North"/>
    <s v="Standard"/>
    <d v="2022-02-04T00:00:00"/>
    <d v="2023-08-07T00:00:00"/>
    <x v="747"/>
    <n v="1952"/>
    <n v="8023"/>
    <s v="NA"/>
    <n v="18"/>
    <d v="2023-08-07T00:00:00"/>
    <n v="1"/>
    <n v="937"/>
    <n v="0.8"/>
    <s v="Normal"/>
    <n v="2023"/>
    <s v="August"/>
  </r>
  <r>
    <n v="1576"/>
    <x v="104"/>
    <x v="0"/>
    <s v="West"/>
    <s v="Standard"/>
    <d v="2022-12-15T00:00:00"/>
    <d v="2024-03-11T00:00:00"/>
    <x v="748"/>
    <n v="6634"/>
    <n v="-2049"/>
    <s v="NA"/>
    <n v="14"/>
    <d v="2024-03-11T00:00:00"/>
    <n v="1"/>
    <n v="938"/>
    <n v="-0.45"/>
    <s v="Normal"/>
    <n v="2024"/>
    <s v="March"/>
  </r>
  <r>
    <n v="1579"/>
    <x v="117"/>
    <x v="0"/>
    <s v="East"/>
    <s v="Basic"/>
    <d v="2022-02-18T00:00:00"/>
    <d v="2022-10-01T00:00:00"/>
    <x v="749"/>
    <n v="3001"/>
    <n v="2844"/>
    <s v="Pending"/>
    <n v="7"/>
    <d v="2022-10-01T00:00:00"/>
    <n v="0"/>
    <n v="939"/>
    <n v="0.49"/>
    <s v="Normal"/>
    <n v="2022"/>
    <s v="October"/>
  </r>
  <r>
    <n v="1580"/>
    <x v="105"/>
    <x v="4"/>
    <s v="South"/>
    <s v="Standard"/>
    <d v="2022-03-28T00:00:00"/>
    <d v="2022-09-14T00:00:00"/>
    <x v="750"/>
    <n v="4397"/>
    <n v="-923"/>
    <s v="Paid"/>
    <n v="5"/>
    <d v="2022-09-14T00:00:00"/>
    <n v="0"/>
    <n v="940"/>
    <n v="-0.27"/>
    <s v="Normal"/>
    <n v="2022"/>
    <s v="September"/>
  </r>
  <r>
    <n v="1582"/>
    <x v="298"/>
    <x v="0"/>
    <s v="East"/>
    <s v="Basic"/>
    <d v="2022-07-22T00:00:00"/>
    <d v="2023-09-17T00:00:00"/>
    <x v="751"/>
    <n v="6291"/>
    <n v="614"/>
    <s v="NA"/>
    <n v="13"/>
    <d v="2023-09-17T00:00:00"/>
    <n v="0"/>
    <n v="941"/>
    <n v="0.09"/>
    <s v="Normal"/>
    <n v="2023"/>
    <s v="September"/>
  </r>
  <r>
    <n v="1584"/>
    <x v="307"/>
    <x v="3"/>
    <s v="East"/>
    <s v="Standard"/>
    <d v="2022-02-01T00:00:00"/>
    <d v="2022-05-21T00:00:00"/>
    <x v="17"/>
    <n v="2959"/>
    <n v="-2972"/>
    <s v="Pending"/>
    <n v="3"/>
    <d v="2022-05-21T00:00:00"/>
    <n v="0"/>
    <n v="942"/>
    <n v="-0.6"/>
    <s v="Normal"/>
    <n v="2022"/>
    <s v="May"/>
  </r>
  <r>
    <n v="1585"/>
    <x v="76"/>
    <x v="3"/>
    <s v="South"/>
    <s v="Premium"/>
    <d v="2022-04-04T00:00:00"/>
    <d v="2022-09-15T00:00:00"/>
    <x v="372"/>
    <n v="1506"/>
    <n v="-544"/>
    <s v="Overdue"/>
    <n v="5"/>
    <d v="2022-09-15T00:00:00"/>
    <n v="0"/>
    <n v="943"/>
    <n v="-0.56999999999999995"/>
    <s v="Normal"/>
    <n v="2022"/>
    <s v="September"/>
  </r>
  <r>
    <n v="1587"/>
    <x v="369"/>
    <x v="2"/>
    <s v="North"/>
    <s v="Premium"/>
    <d v="2022-09-15T00:00:00"/>
    <d v="2023-04-09T00:00:00"/>
    <x v="752"/>
    <n v="4505"/>
    <n v="4670"/>
    <s v="Paid"/>
    <n v="6"/>
    <d v="2023-04-09T00:00:00"/>
    <n v="0"/>
    <n v="944"/>
    <n v="0.51"/>
    <s v="Normal"/>
    <n v="2023"/>
    <s v="April"/>
  </r>
  <r>
    <n v="1589"/>
    <x v="65"/>
    <x v="1"/>
    <s v="North"/>
    <s v="Standard"/>
    <d v="2022-10-31T00:00:00"/>
    <d v="2023-04-27T00:00:00"/>
    <x v="753"/>
    <n v="6476"/>
    <n v="-2591"/>
    <s v="NA"/>
    <n v="5"/>
    <d v="2023-04-27T00:00:00"/>
    <n v="1"/>
    <n v="945"/>
    <n v="-0.67"/>
    <s v="Normal"/>
    <n v="2023"/>
    <s v="April"/>
  </r>
  <r>
    <n v="1590"/>
    <x v="370"/>
    <x v="4"/>
    <s v="South"/>
    <s v="Basic"/>
    <d v="2022-05-02T00:00:00"/>
    <d v="2022-08-03T00:00:00"/>
    <x v="754"/>
    <n v="6724"/>
    <n v="577.01"/>
    <s v="Overdue"/>
    <n v="3"/>
    <d v="2022-08-03T00:00:00"/>
    <n v="0"/>
    <n v="946"/>
    <n v="0.08"/>
    <s v="Normal"/>
    <n v="2022"/>
    <s v="August"/>
  </r>
  <r>
    <n v="1591"/>
    <x v="333"/>
    <x v="0"/>
    <s v="West"/>
    <s v="Basic"/>
    <d v="2022-01-08T00:00:00"/>
    <d v="2023-05-13T00:00:00"/>
    <x v="755"/>
    <n v="4012.75"/>
    <n v="6171"/>
    <s v="Overdue"/>
    <n v="16"/>
    <d v="2023-05-13T00:00:00"/>
    <n v="0"/>
    <n v="947"/>
    <n v="1.05"/>
    <s v="Outlier"/>
    <n v="2023"/>
    <s v="May"/>
  </r>
  <r>
    <n v="1594"/>
    <x v="157"/>
    <x v="0"/>
    <s v="West"/>
    <s v="Basic"/>
    <d v="2022-10-22T00:00:00"/>
    <d v="2024-04-11T00:00:00"/>
    <x v="756"/>
    <n v="5902"/>
    <n v="1092"/>
    <s v="Overdue"/>
    <n v="17"/>
    <d v="2024-04-11T00:00:00"/>
    <n v="0"/>
    <n v="948"/>
    <n v="0.16"/>
    <s v="Normal"/>
    <n v="2024"/>
    <s v="April"/>
  </r>
  <r>
    <n v="1596"/>
    <x v="340"/>
    <x v="1"/>
    <s v="West"/>
    <s v="Standard"/>
    <d v="2022-07-16T00:00:00"/>
    <d v="2022-10-10T00:00:00"/>
    <x v="757"/>
    <n v="4797"/>
    <n v="-207"/>
    <s v="Paid"/>
    <n v="2"/>
    <d v="2022-10-10T00:00:00"/>
    <n v="0"/>
    <n v="949"/>
    <n v="-0.05"/>
    <s v="Normal"/>
    <n v="2022"/>
    <s v="October"/>
  </r>
  <r>
    <n v="1597"/>
    <x v="235"/>
    <x v="3"/>
    <s v="North"/>
    <s v="Basic"/>
    <d v="2022-04-07T00:00:00"/>
    <d v="2023-07-28T00:00:00"/>
    <x v="758"/>
    <n v="1433"/>
    <n v="5637"/>
    <s v="Pending"/>
    <n v="15"/>
    <d v="2023-07-28T00:00:00"/>
    <n v="0"/>
    <n v="950"/>
    <n v="0.8"/>
    <s v="Normal"/>
    <n v="2023"/>
    <s v="July"/>
  </r>
  <r>
    <n v="1598"/>
    <x v="51"/>
    <x v="3"/>
    <s v="South"/>
    <s v="Basic"/>
    <d v="2022-07-01T00:00:00"/>
    <d v="2023-10-17T00:00:00"/>
    <x v="759"/>
    <n v="1340"/>
    <n v="4770"/>
    <s v="Overdue"/>
    <n v="15"/>
    <d v="2023-10-17T00:00:00"/>
    <n v="1"/>
    <n v="951"/>
    <n v="0.78"/>
    <s v="Normal"/>
    <n v="2023"/>
    <s v="October"/>
  </r>
  <r>
    <n v="1599"/>
    <x v="371"/>
    <x v="0"/>
    <s v="North"/>
    <s v="Basic"/>
    <d v="2022-11-10T00:00:00"/>
    <d v="2024-03-28T00:00:00"/>
    <x v="760"/>
    <n v="4012.75"/>
    <n v="3165"/>
    <s v="Pending"/>
    <n v="16"/>
    <d v="2024-03-28T00:00:00"/>
    <n v="0"/>
    <n v="952"/>
    <n v="1.07"/>
    <s v="Outlier"/>
    <n v="2024"/>
    <s v="March"/>
  </r>
  <r>
    <n v="1600"/>
    <x v="343"/>
    <x v="4"/>
    <s v="South"/>
    <s v="Standard"/>
    <d v="2022-08-03T00:00:00"/>
    <d v="2023-08-09T00:00:00"/>
    <x v="761"/>
    <n v="4012.75"/>
    <n v="4424"/>
    <s v="NA"/>
    <n v="12"/>
    <d v="2023-08-09T00:00:00"/>
    <n v="1"/>
    <n v="953"/>
    <n v="1.06"/>
    <s v="Outlier"/>
    <n v="2023"/>
    <s v="August"/>
  </r>
  <r>
    <n v="1601"/>
    <x v="365"/>
    <x v="0"/>
    <s v="East"/>
    <s v="Premium"/>
    <d v="2022-12-13T00:00:00"/>
    <d v="2023-09-03T00:00:00"/>
    <x v="762"/>
    <n v="4738"/>
    <n v="-2469"/>
    <s v="Pending"/>
    <n v="8"/>
    <d v="2023-09-03T00:00:00"/>
    <n v="0"/>
    <n v="954"/>
    <n v="-1.0900000000000001"/>
    <s v="Outlier"/>
    <n v="2023"/>
    <s v="September"/>
  </r>
  <r>
    <n v="1603"/>
    <x v="344"/>
    <x v="1"/>
    <s v="East"/>
    <s v="Premium"/>
    <d v="2022-01-25T00:00:00"/>
    <d v="2022-11-06T00:00:00"/>
    <x v="763"/>
    <n v="1952"/>
    <n v="-1912"/>
    <s v="Pending"/>
    <n v="9"/>
    <d v="2022-11-06T00:00:00"/>
    <n v="1"/>
    <n v="955"/>
    <n v="-47.8"/>
    <s v="Outlier"/>
    <n v="2022"/>
    <s v="November"/>
  </r>
  <r>
    <n v="1606"/>
    <x v="158"/>
    <x v="1"/>
    <s v="West"/>
    <s v="Premium"/>
    <d v="2022-12-30T00:00:00"/>
    <d v="2023-07-28T00:00:00"/>
    <x v="764"/>
    <n v="6640"/>
    <n v="-5748"/>
    <s v="Pending"/>
    <n v="6"/>
    <d v="2023-07-28T00:00:00"/>
    <n v="0"/>
    <n v="956"/>
    <n v="-6.44"/>
    <s v="Outlier"/>
    <n v="2023"/>
    <s v="July"/>
  </r>
  <r>
    <n v="1608"/>
    <x v="371"/>
    <x v="4"/>
    <s v="East"/>
    <s v="Premium"/>
    <d v="2022-05-30T00:00:00"/>
    <d v="2023-03-02T00:00:00"/>
    <x v="765"/>
    <n v="7425"/>
    <n v="227"/>
    <s v="Overdue"/>
    <n v="9"/>
    <d v="2023-03-02T00:00:00"/>
    <n v="1"/>
    <n v="957"/>
    <n v="0.03"/>
    <s v="Normal"/>
    <n v="2023"/>
    <s v="March"/>
  </r>
  <r>
    <n v="1610"/>
    <x v="206"/>
    <x v="3"/>
    <s v="West"/>
    <s v="Basic"/>
    <d v="2022-05-14T00:00:00"/>
    <d v="2023-05-12T00:00:00"/>
    <x v="766"/>
    <n v="3780"/>
    <n v="3120"/>
    <s v="Pending"/>
    <n v="11"/>
    <d v="2023-05-12T00:00:00"/>
    <n v="1"/>
    <n v="958"/>
    <n v="0.45"/>
    <s v="Normal"/>
    <n v="2023"/>
    <s v="May"/>
  </r>
  <r>
    <n v="1611"/>
    <x v="278"/>
    <x v="0"/>
    <s v="West"/>
    <s v="Basic"/>
    <d v="2022-02-27T00:00:00"/>
    <d v="2023-08-11T00:00:00"/>
    <x v="767"/>
    <n v="1321"/>
    <n v="-634"/>
    <s v="NA"/>
    <n v="17"/>
    <d v="2023-08-11T00:00:00"/>
    <n v="0"/>
    <n v="959"/>
    <n v="-0.92"/>
    <s v="Normal"/>
    <n v="2023"/>
    <s v="August"/>
  </r>
  <r>
    <n v="1613"/>
    <x v="46"/>
    <x v="4"/>
    <s v="North"/>
    <s v="Standard"/>
    <d v="2022-05-23T00:00:00"/>
    <d v="2023-11-08T00:00:00"/>
    <x v="768"/>
    <n v="660"/>
    <n v="3105"/>
    <s v="NA"/>
    <n v="17"/>
    <d v="2023-11-08T00:00:00"/>
    <n v="1"/>
    <n v="960"/>
    <n v="0.82"/>
    <s v="Normal"/>
    <n v="2023"/>
    <s v="November"/>
  </r>
  <r>
    <n v="1614"/>
    <x v="45"/>
    <x v="1"/>
    <s v="West"/>
    <s v="Basic"/>
    <d v="2022-02-06T00:00:00"/>
    <d v="2022-12-28T00:00:00"/>
    <x v="769"/>
    <n v="1405"/>
    <n v="778"/>
    <s v="NA"/>
    <n v="10"/>
    <d v="2022-12-28T00:00:00"/>
    <n v="1"/>
    <n v="961"/>
    <n v="0.36"/>
    <s v="Normal"/>
    <n v="2022"/>
    <s v="December"/>
  </r>
  <r>
    <n v="1616"/>
    <x v="283"/>
    <x v="2"/>
    <s v="North"/>
    <s v="Premium"/>
    <d v="2022-10-27T00:00:00"/>
    <d v="2024-03-13T00:00:00"/>
    <x v="770"/>
    <n v="6182"/>
    <n v="2695"/>
    <s v="Paid"/>
    <n v="16"/>
    <d v="2024-03-13T00:00:00"/>
    <n v="1"/>
    <n v="962"/>
    <n v="0.3"/>
    <s v="Normal"/>
    <n v="2024"/>
    <s v="March"/>
  </r>
  <r>
    <n v="1620"/>
    <x v="248"/>
    <x v="0"/>
    <s v="North"/>
    <s v="Premium"/>
    <d v="2022-04-27T00:00:00"/>
    <d v="2023-06-12T00:00:00"/>
    <x v="771"/>
    <n v="4590"/>
    <n v="4672"/>
    <s v="Overdue"/>
    <n v="13"/>
    <d v="2023-06-12T00:00:00"/>
    <n v="1"/>
    <n v="963"/>
    <n v="0.5"/>
    <s v="Normal"/>
    <n v="2023"/>
    <s v="June"/>
  </r>
  <r>
    <n v="1622"/>
    <x v="372"/>
    <x v="3"/>
    <s v="North"/>
    <s v="Basic"/>
    <d v="2022-02-01T00:00:00"/>
    <d v="2022-05-27T00:00:00"/>
    <x v="772"/>
    <n v="5892"/>
    <n v="-421"/>
    <s v="Pending"/>
    <n v="3"/>
    <d v="2022-05-27T00:00:00"/>
    <n v="1"/>
    <n v="964"/>
    <n v="-0.08"/>
    <s v="Normal"/>
    <n v="2022"/>
    <s v="May"/>
  </r>
  <r>
    <n v="1623"/>
    <x v="247"/>
    <x v="4"/>
    <s v="North"/>
    <s v="Standard"/>
    <d v="2022-03-07T00:00:00"/>
    <d v="2022-12-18T00:00:00"/>
    <x v="773"/>
    <n v="4898"/>
    <n v="-2317"/>
    <s v="Paid"/>
    <n v="9"/>
    <d v="2022-12-18T00:00:00"/>
    <n v="0"/>
    <n v="965"/>
    <n v="-0.9"/>
    <s v="Normal"/>
    <n v="2022"/>
    <s v="December"/>
  </r>
  <r>
    <n v="1627"/>
    <x v="84"/>
    <x v="4"/>
    <s v="East"/>
    <s v="Standard"/>
    <d v="2022-07-10T00:00:00"/>
    <d v="2023-07-03T00:00:00"/>
    <x v="774"/>
    <n v="6577"/>
    <n v="577.01"/>
    <s v="Paid"/>
    <n v="11"/>
    <d v="2023-07-03T00:00:00"/>
    <n v="1"/>
    <n v="966"/>
    <n v="0.33"/>
    <s v="Normal"/>
    <n v="2023"/>
    <s v="July"/>
  </r>
  <r>
    <n v="1628"/>
    <x v="253"/>
    <x v="4"/>
    <s v="North"/>
    <s v="Basic"/>
    <d v="2022-09-01T00:00:00"/>
    <d v="2023-01-11T00:00:00"/>
    <x v="775"/>
    <n v="3419"/>
    <n v="-2161"/>
    <s v="Pending"/>
    <n v="4"/>
    <d v="2023-01-11T00:00:00"/>
    <n v="1"/>
    <n v="967"/>
    <n v="-1.72"/>
    <s v="Outlier"/>
    <n v="2023"/>
    <s v="January"/>
  </r>
  <r>
    <n v="1629"/>
    <x v="313"/>
    <x v="2"/>
    <s v="West"/>
    <s v="Standard"/>
    <d v="2022-12-17T00:00:00"/>
    <d v="2023-06-16T00:00:00"/>
    <x v="776"/>
    <n v="4012.75"/>
    <n v="577.01"/>
    <s v="Overdue"/>
    <n v="5"/>
    <d v="2023-06-16T00:00:00"/>
    <n v="1"/>
    <n v="968"/>
    <n v="0.06"/>
    <s v="Normal"/>
    <n v="2023"/>
    <s v="June"/>
  </r>
  <r>
    <n v="1630"/>
    <x v="282"/>
    <x v="1"/>
    <s v="South"/>
    <s v="Standard"/>
    <d v="2022-05-10T00:00:00"/>
    <d v="2022-10-15T00:00:00"/>
    <x v="777"/>
    <n v="4295"/>
    <n v="-3793"/>
    <s v="Pending"/>
    <n v="5"/>
    <d v="2022-10-15T00:00:00"/>
    <n v="0"/>
    <n v="969"/>
    <n v="-7.56"/>
    <s v="Outlier"/>
    <n v="2022"/>
    <s v="October"/>
  </r>
  <r>
    <n v="1631"/>
    <x v="42"/>
    <x v="1"/>
    <s v="East"/>
    <s v="Standard"/>
    <d v="2022-07-05T00:00:00"/>
    <d v="2022-08-13T00:00:00"/>
    <x v="778"/>
    <n v="5478"/>
    <n v="1405"/>
    <s v="Pending"/>
    <n v="1"/>
    <d v="2022-08-13T00:00:00"/>
    <n v="0"/>
    <n v="970"/>
    <n v="0.2"/>
    <s v="Normal"/>
    <n v="2022"/>
    <s v="August"/>
  </r>
  <r>
    <n v="1632"/>
    <x v="210"/>
    <x v="1"/>
    <s v="East"/>
    <s v="Standard"/>
    <d v="2022-04-20T00:00:00"/>
    <d v="2023-09-02T00:00:00"/>
    <x v="779"/>
    <n v="826"/>
    <n v="4490"/>
    <s v="Overdue"/>
    <n v="16"/>
    <d v="2023-09-02T00:00:00"/>
    <n v="1"/>
    <n v="971"/>
    <n v="0.84"/>
    <s v="Normal"/>
    <n v="2023"/>
    <s v="September"/>
  </r>
  <r>
    <n v="1633"/>
    <x v="115"/>
    <x v="0"/>
    <s v="West"/>
    <s v="Standard"/>
    <d v="2022-11-13T00:00:00"/>
    <d v="2022-12-17T00:00:00"/>
    <x v="166"/>
    <n v="7430"/>
    <n v="870"/>
    <s v="Pending"/>
    <n v="1"/>
    <d v="2022-12-17T00:00:00"/>
    <n v="0"/>
    <n v="972"/>
    <n v="0.1"/>
    <s v="Normal"/>
    <n v="2022"/>
    <s v="December"/>
  </r>
  <r>
    <n v="1634"/>
    <x v="63"/>
    <x v="2"/>
    <s v="South"/>
    <s v="Premium"/>
    <d v="2022-01-23T00:00:00"/>
    <d v="2022-09-14T00:00:00"/>
    <x v="780"/>
    <n v="2861"/>
    <n v="2072"/>
    <s v="Overdue"/>
    <n v="7"/>
    <d v="2022-09-14T00:00:00"/>
    <n v="0"/>
    <n v="973"/>
    <n v="0.42"/>
    <s v="Normal"/>
    <n v="2022"/>
    <s v="September"/>
  </r>
  <r>
    <n v="1635"/>
    <x v="344"/>
    <x v="2"/>
    <s v="West"/>
    <s v="Premium"/>
    <d v="2022-12-22T00:00:00"/>
    <d v="2023-06-29T00:00:00"/>
    <x v="17"/>
    <n v="49"/>
    <n v="-422"/>
    <s v="Pending"/>
    <n v="6"/>
    <d v="2023-06-29T00:00:00"/>
    <n v="1"/>
    <n v="974"/>
    <n v="-0.08"/>
    <s v="Normal"/>
    <n v="2023"/>
    <s v="June"/>
  </r>
  <r>
    <n v="1636"/>
    <x v="244"/>
    <x v="2"/>
    <s v="East"/>
    <s v="Standard"/>
    <d v="2022-11-25T00:00:00"/>
    <d v="2023-12-27T00:00:00"/>
    <x v="781"/>
    <n v="4012.75"/>
    <n v="9917"/>
    <s v="Pending"/>
    <n v="13"/>
    <d v="2023-12-27T00:00:00"/>
    <n v="1"/>
    <n v="975"/>
    <n v="1.1000000000000001"/>
    <s v="Outlier"/>
    <n v="2023"/>
    <s v="December"/>
  </r>
  <r>
    <n v="1637"/>
    <x v="127"/>
    <x v="2"/>
    <s v="West"/>
    <s v="Premium"/>
    <d v="2022-03-03T00:00:00"/>
    <d v="2022-07-23T00:00:00"/>
    <x v="782"/>
    <n v="3465"/>
    <n v="1864"/>
    <s v="Paid"/>
    <n v="4"/>
    <d v="2022-07-23T00:00:00"/>
    <n v="0"/>
    <n v="976"/>
    <n v="0.35"/>
    <s v="Normal"/>
    <n v="2022"/>
    <s v="July"/>
  </r>
  <r>
    <n v="1638"/>
    <x v="37"/>
    <x v="0"/>
    <s v="West"/>
    <s v="Basic"/>
    <d v="2022-11-25T00:00:00"/>
    <d v="2023-11-06T00:00:00"/>
    <x v="783"/>
    <n v="2534"/>
    <n v="577.01"/>
    <s v="Overdue"/>
    <n v="11"/>
    <d v="2023-11-06T00:00:00"/>
    <n v="0"/>
    <n v="977"/>
    <n v="0.08"/>
    <s v="Normal"/>
    <n v="2023"/>
    <s v="November"/>
  </r>
  <r>
    <n v="1639"/>
    <x v="189"/>
    <x v="4"/>
    <s v="East"/>
    <s v="Standard"/>
    <d v="2022-06-12T00:00:00"/>
    <d v="2022-09-05T00:00:00"/>
    <x v="784"/>
    <n v="4012.75"/>
    <n v="1875"/>
    <s v="Pending"/>
    <n v="2"/>
    <d v="2022-09-05T00:00:00"/>
    <n v="1"/>
    <n v="978"/>
    <n v="2.09"/>
    <s v="Outlier"/>
    <n v="2022"/>
    <s v="September"/>
  </r>
  <r>
    <n v="1642"/>
    <x v="371"/>
    <x v="1"/>
    <s v="West"/>
    <s v="Premium"/>
    <d v="2022-10-20T00:00:00"/>
    <d v="2023-05-25T00:00:00"/>
    <x v="785"/>
    <n v="1131"/>
    <n v="6626"/>
    <s v="NA"/>
    <n v="7"/>
    <d v="2023-05-25T00:00:00"/>
    <n v="0"/>
    <n v="979"/>
    <n v="0.85"/>
    <s v="Normal"/>
    <n v="2023"/>
    <s v="May"/>
  </r>
  <r>
    <n v="1643"/>
    <x v="309"/>
    <x v="0"/>
    <s v="North"/>
    <s v="Basic"/>
    <d v="2022-11-17T00:00:00"/>
    <d v="2023-03-07T00:00:00"/>
    <x v="786"/>
    <n v="3384"/>
    <n v="-3355"/>
    <s v="NA"/>
    <n v="3"/>
    <d v="2023-03-07T00:00:00"/>
    <n v="0"/>
    <n v="980"/>
    <n v="-115.69"/>
    <s v="Outlier"/>
    <n v="2023"/>
    <s v="March"/>
  </r>
  <r>
    <n v="1646"/>
    <x v="184"/>
    <x v="2"/>
    <s v="North"/>
    <s v="Basic"/>
    <d v="2022-03-03T00:00:00"/>
    <d v="2023-07-13T00:00:00"/>
    <x v="787"/>
    <n v="7499"/>
    <n v="-36"/>
    <s v="Pending"/>
    <n v="16"/>
    <d v="2023-07-13T00:00:00"/>
    <n v="0"/>
    <n v="981"/>
    <n v="0"/>
    <s v="Normal"/>
    <n v="2023"/>
    <s v="July"/>
  </r>
  <r>
    <n v="1647"/>
    <x v="91"/>
    <x v="2"/>
    <s v="East"/>
    <s v="Premium"/>
    <d v="2022-11-28T00:00:00"/>
    <d v="2023-02-19T00:00:00"/>
    <x v="788"/>
    <n v="374"/>
    <n v="389"/>
    <s v="Paid"/>
    <n v="2"/>
    <d v="2023-02-19T00:00:00"/>
    <n v="1"/>
    <n v="982"/>
    <n v="0.51"/>
    <s v="Normal"/>
    <n v="2023"/>
    <s v="February"/>
  </r>
  <r>
    <n v="1648"/>
    <x v="237"/>
    <x v="2"/>
    <s v="East"/>
    <s v="Premium"/>
    <d v="2022-10-06T00:00:00"/>
    <d v="2022-11-09T00:00:00"/>
    <x v="789"/>
    <n v="507"/>
    <n v="8102"/>
    <s v="Pending"/>
    <n v="1"/>
    <d v="2022-11-09T00:00:00"/>
    <n v="1"/>
    <n v="983"/>
    <n v="0.94"/>
    <s v="Normal"/>
    <n v="2022"/>
    <s v="November"/>
  </r>
  <r>
    <n v="1649"/>
    <x v="151"/>
    <x v="3"/>
    <s v="North"/>
    <s v="Premium"/>
    <d v="2022-10-31T00:00:00"/>
    <d v="2024-04-05T00:00:00"/>
    <x v="790"/>
    <n v="1239"/>
    <n v="1264"/>
    <s v="NA"/>
    <n v="17"/>
    <d v="2024-04-05T00:00:00"/>
    <n v="1"/>
    <n v="984"/>
    <n v="0.5"/>
    <s v="Normal"/>
    <n v="2024"/>
    <s v="April"/>
  </r>
  <r>
    <n v="1650"/>
    <x v="356"/>
    <x v="0"/>
    <s v="West"/>
    <s v="Basic"/>
    <d v="2022-01-02T00:00:00"/>
    <d v="2023-06-28T00:00:00"/>
    <x v="791"/>
    <n v="5786"/>
    <n v="1386"/>
    <s v="Paid"/>
    <n v="17"/>
    <d v="2023-06-28T00:00:00"/>
    <n v="1"/>
    <n v="985"/>
    <n v="0.19"/>
    <s v="Normal"/>
    <n v="2023"/>
    <s v="June"/>
  </r>
  <r>
    <n v="1651"/>
    <x v="170"/>
    <x v="0"/>
    <s v="West"/>
    <s v="Standard"/>
    <d v="2022-12-22T00:00:00"/>
    <d v="2023-08-16T00:00:00"/>
    <x v="792"/>
    <n v="2560"/>
    <n v="1290"/>
    <s v="Overdue"/>
    <n v="7"/>
    <d v="2023-08-16T00:00:00"/>
    <n v="0"/>
    <n v="986"/>
    <n v="0.34"/>
    <s v="Normal"/>
    <n v="2023"/>
    <s v="August"/>
  </r>
  <r>
    <n v="1653"/>
    <x v="135"/>
    <x v="0"/>
    <s v="East"/>
    <s v="Premium"/>
    <d v="2022-09-11T00:00:00"/>
    <d v="2022-12-24T00:00:00"/>
    <x v="793"/>
    <n v="3787"/>
    <n v="4957"/>
    <s v="NA"/>
    <n v="3"/>
    <d v="2022-12-24T00:00:00"/>
    <n v="1"/>
    <n v="987"/>
    <n v="0.56999999999999995"/>
    <s v="Normal"/>
    <n v="2022"/>
    <s v="December"/>
  </r>
  <r>
    <n v="1655"/>
    <x v="161"/>
    <x v="3"/>
    <s v="South"/>
    <s v="Premium"/>
    <d v="2022-01-02T00:00:00"/>
    <d v="2022-05-03T00:00:00"/>
    <x v="794"/>
    <n v="5853"/>
    <n v="1058"/>
    <s v="NA"/>
    <n v="4"/>
    <d v="2022-05-03T00:00:00"/>
    <n v="0"/>
    <n v="988"/>
    <n v="0.15"/>
    <s v="Normal"/>
    <n v="2022"/>
    <s v="May"/>
  </r>
  <r>
    <n v="1656"/>
    <x v="171"/>
    <x v="1"/>
    <s v="North"/>
    <s v="Basic"/>
    <d v="2022-02-09T00:00:00"/>
    <d v="2023-07-03T00:00:00"/>
    <x v="795"/>
    <n v="1038"/>
    <n v="4578"/>
    <s v="NA"/>
    <n v="16"/>
    <d v="2023-07-03T00:00:00"/>
    <n v="0"/>
    <n v="989"/>
    <n v="0.82"/>
    <s v="Normal"/>
    <n v="2023"/>
    <s v="July"/>
  </r>
  <r>
    <n v="1657"/>
    <x v="368"/>
    <x v="0"/>
    <s v="South"/>
    <s v="Basic"/>
    <d v="2022-01-17T00:00:00"/>
    <d v="2022-09-07T00:00:00"/>
    <x v="796"/>
    <n v="4180"/>
    <n v="-2874"/>
    <s v="Overdue"/>
    <n v="7"/>
    <d v="2022-09-07T00:00:00"/>
    <n v="0"/>
    <n v="990"/>
    <n v="-2.2000000000000002"/>
    <s v="Outlier"/>
    <n v="2022"/>
    <s v="September"/>
  </r>
  <r>
    <n v="1658"/>
    <x v="355"/>
    <x v="0"/>
    <s v="West"/>
    <s v="Premium"/>
    <d v="2022-07-11T00:00:00"/>
    <d v="2024-01-12T00:00:00"/>
    <x v="797"/>
    <n v="5544"/>
    <n v="-950"/>
    <s v="Overdue"/>
    <n v="18"/>
    <d v="2024-01-12T00:00:00"/>
    <n v="1"/>
    <n v="991"/>
    <n v="-0.21"/>
    <s v="Normal"/>
    <n v="2024"/>
    <s v="January"/>
  </r>
  <r>
    <n v="1659"/>
    <x v="328"/>
    <x v="1"/>
    <s v="West"/>
    <s v="Standard"/>
    <d v="2022-07-26T00:00:00"/>
    <d v="2022-10-31T00:00:00"/>
    <x v="798"/>
    <n v="5108"/>
    <n v="4217"/>
    <s v="Pending"/>
    <n v="3"/>
    <d v="2022-10-31T00:00:00"/>
    <n v="1"/>
    <n v="992"/>
    <n v="0.45"/>
    <s v="Normal"/>
    <n v="2022"/>
    <s v="October"/>
  </r>
  <r>
    <n v="1661"/>
    <x v="373"/>
    <x v="3"/>
    <s v="West"/>
    <s v="Basic"/>
    <d v="2022-04-30T00:00:00"/>
    <d v="2022-12-09T00:00:00"/>
    <x v="799"/>
    <n v="3930"/>
    <n v="4533"/>
    <s v="Pending"/>
    <n v="7"/>
    <d v="2022-12-09T00:00:00"/>
    <n v="0"/>
    <n v="993"/>
    <n v="0.54"/>
    <s v="Normal"/>
    <n v="2022"/>
    <s v="December"/>
  </r>
  <r>
    <n v="1667"/>
    <x v="185"/>
    <x v="1"/>
    <s v="West"/>
    <s v="Basic"/>
    <d v="2022-11-19T00:00:00"/>
    <d v="2023-05-11T00:00:00"/>
    <x v="17"/>
    <n v="4012.75"/>
    <n v="-605"/>
    <s v="Paid"/>
    <n v="5"/>
    <d v="2023-05-11T00:00:00"/>
    <n v="0"/>
    <n v="994"/>
    <n v="-0.12"/>
    <s v="Normal"/>
    <n v="2023"/>
    <s v="May"/>
  </r>
  <r>
    <n v="1668"/>
    <x v="374"/>
    <x v="4"/>
    <s v="West"/>
    <s v="Basic"/>
    <d v="2022-05-26T00:00:00"/>
    <d v="2022-11-23T00:00:00"/>
    <x v="17"/>
    <n v="5163"/>
    <n v="-7046"/>
    <s v="Overdue"/>
    <n v="5"/>
    <d v="2022-11-23T00:00:00"/>
    <n v="0"/>
    <n v="995"/>
    <n v="-1.42"/>
    <s v="Outlier"/>
    <n v="2022"/>
    <s v="November"/>
  </r>
  <r>
    <n v="1670"/>
    <x v="111"/>
    <x v="3"/>
    <s v="North"/>
    <s v="Basic"/>
    <d v="2022-01-01T00:00:00"/>
    <d v="2023-04-05T00:00:00"/>
    <x v="795"/>
    <n v="7866"/>
    <n v="577.01"/>
    <s v="Pending"/>
    <n v="15"/>
    <d v="2023-04-05T00:00:00"/>
    <n v="1"/>
    <n v="996"/>
    <n v="0.1"/>
    <s v="Normal"/>
    <n v="2023"/>
    <s v="April"/>
  </r>
  <r>
    <n v="1671"/>
    <x v="375"/>
    <x v="0"/>
    <s v="South"/>
    <s v="Premium"/>
    <d v="2022-01-26T00:00:00"/>
    <d v="2023-01-30T00:00:00"/>
    <x v="800"/>
    <n v="1000"/>
    <n v="3846"/>
    <s v="Overdue"/>
    <n v="12"/>
    <d v="2023-01-30T00:00:00"/>
    <n v="0"/>
    <n v="997"/>
    <n v="0.79"/>
    <s v="Normal"/>
    <n v="2023"/>
    <s v="January"/>
  </r>
  <r>
    <n v="1672"/>
    <x v="367"/>
    <x v="0"/>
    <s v="North"/>
    <s v="Basic"/>
    <d v="2022-08-10T00:00:00"/>
    <d v="2023-08-17T00:00:00"/>
    <x v="801"/>
    <n v="6859"/>
    <n v="577.01"/>
    <s v="Paid"/>
    <n v="12"/>
    <d v="2023-08-17T00:00:00"/>
    <n v="1"/>
    <n v="998"/>
    <n v="0.88"/>
    <s v="Normal"/>
    <n v="2023"/>
    <s v="August"/>
  </r>
  <r>
    <n v="1674"/>
    <x v="210"/>
    <x v="4"/>
    <s v="North"/>
    <s v="Standard"/>
    <d v="2022-06-19T00:00:00"/>
    <d v="2022-11-18T00:00:00"/>
    <x v="785"/>
    <n v="7064"/>
    <n v="693"/>
    <s v="NA"/>
    <n v="4"/>
    <d v="2022-11-18T00:00:00"/>
    <n v="0"/>
    <n v="999"/>
    <n v="0.09"/>
    <s v="Normal"/>
    <n v="2022"/>
    <s v="November"/>
  </r>
  <r>
    <n v="1676"/>
    <x v="42"/>
    <x v="3"/>
    <s v="North"/>
    <s v="Basic"/>
    <d v="2022-04-06T00:00:00"/>
    <d v="2023-04-09T00:00:00"/>
    <x v="17"/>
    <n v="7381"/>
    <n v="-9380"/>
    <s v="NA"/>
    <n v="12"/>
    <d v="2023-04-09T00:00:00"/>
    <n v="0"/>
    <n v="1000"/>
    <n v="-1.89"/>
    <s v="Outlier"/>
    <n v="2023"/>
    <s v="April"/>
  </r>
  <r>
    <n v="1681"/>
    <x v="247"/>
    <x v="2"/>
    <s v="East"/>
    <s v="Premium"/>
    <d v="2022-03-19T00:00:00"/>
    <d v="2023-09-29T00:00:00"/>
    <x v="802"/>
    <n v="646"/>
    <n v="6657"/>
    <s v="Overdue"/>
    <n v="18"/>
    <d v="2023-09-29T00:00:00"/>
    <n v="0"/>
    <n v="1001"/>
    <n v="0.91"/>
    <s v="Normal"/>
    <n v="2023"/>
    <s v="September"/>
  </r>
  <r>
    <n v="1684"/>
    <x v="82"/>
    <x v="0"/>
    <s v="West"/>
    <s v="Basic"/>
    <d v="2022-10-18T00:00:00"/>
    <d v="2024-02-11T00:00:00"/>
    <x v="17"/>
    <n v="4012.75"/>
    <n v="231"/>
    <s v="Overdue"/>
    <n v="15"/>
    <d v="2024-02-11T00:00:00"/>
    <n v="1"/>
    <n v="1002"/>
    <n v="0.05"/>
    <s v="Normal"/>
    <n v="2024"/>
    <s v="February"/>
  </r>
  <r>
    <n v="1685"/>
    <x v="376"/>
    <x v="3"/>
    <s v="East"/>
    <s v="Premium"/>
    <d v="2022-04-13T00:00:00"/>
    <d v="2022-05-31T00:00:00"/>
    <x v="803"/>
    <n v="3240"/>
    <n v="5526"/>
    <s v="Pending"/>
    <n v="1"/>
    <d v="2022-05-31T00:00:00"/>
    <n v="1"/>
    <n v="1003"/>
    <n v="0.63"/>
    <s v="Normal"/>
    <n v="2022"/>
    <s v="May"/>
  </r>
  <r>
    <n v="1687"/>
    <x v="304"/>
    <x v="3"/>
    <s v="West"/>
    <s v="Premium"/>
    <d v="2022-03-27T00:00:00"/>
    <d v="2022-05-04T00:00:00"/>
    <x v="804"/>
    <n v="6153"/>
    <n v="577.01"/>
    <s v="Pending"/>
    <n v="1"/>
    <d v="2022-05-04T00:00:00"/>
    <n v="1"/>
    <n v="1004"/>
    <n v="0.22"/>
    <s v="Normal"/>
    <n v="2022"/>
    <s v="May"/>
  </r>
  <r>
    <n v="1688"/>
    <x v="251"/>
    <x v="0"/>
    <s v="East"/>
    <s v="Standard"/>
    <d v="2022-04-16T00:00:00"/>
    <d v="2022-12-30T00:00:00"/>
    <x v="805"/>
    <n v="255"/>
    <n v="225"/>
    <s v="Pending"/>
    <n v="8"/>
    <d v="2022-12-30T00:00:00"/>
    <n v="1"/>
    <n v="1005"/>
    <n v="0.47"/>
    <s v="Normal"/>
    <n v="2022"/>
    <s v="December"/>
  </r>
  <r>
    <n v="1689"/>
    <x v="144"/>
    <x v="2"/>
    <s v="East"/>
    <s v="Basic"/>
    <d v="2022-02-06T00:00:00"/>
    <d v="2022-12-16T00:00:00"/>
    <x v="806"/>
    <n v="4012.75"/>
    <n v="5418"/>
    <s v="Paid"/>
    <n v="10"/>
    <d v="2022-12-16T00:00:00"/>
    <n v="0"/>
    <n v="1006"/>
    <n v="1.05"/>
    <s v="Outlier"/>
    <n v="2022"/>
    <s v="December"/>
  </r>
  <r>
    <n v="1690"/>
    <x v="200"/>
    <x v="0"/>
    <s v="South"/>
    <s v="Basic"/>
    <d v="2022-01-19T00:00:00"/>
    <d v="2022-07-20T00:00:00"/>
    <x v="807"/>
    <n v="4012.75"/>
    <n v="7662"/>
    <s v="NA"/>
    <n v="6"/>
    <d v="2022-07-20T00:00:00"/>
    <n v="1"/>
    <n v="1007"/>
    <n v="1.1000000000000001"/>
    <s v="Outlier"/>
    <n v="2022"/>
    <s v="July"/>
  </r>
  <r>
    <n v="1691"/>
    <x v="109"/>
    <x v="4"/>
    <s v="South"/>
    <s v="Standard"/>
    <d v="2022-08-30T00:00:00"/>
    <d v="2023-03-11T00:00:00"/>
    <x v="808"/>
    <n v="2581"/>
    <n v="6250"/>
    <s v="Overdue"/>
    <n v="6"/>
    <d v="2023-03-11T00:00:00"/>
    <n v="1"/>
    <n v="1008"/>
    <n v="0.71"/>
    <s v="Normal"/>
    <n v="2023"/>
    <s v="March"/>
  </r>
  <r>
    <n v="1692"/>
    <x v="275"/>
    <x v="4"/>
    <s v="West"/>
    <s v="Premium"/>
    <d v="2022-04-23T00:00:00"/>
    <d v="2023-04-14T00:00:00"/>
    <x v="809"/>
    <n v="7426"/>
    <n v="-1379"/>
    <s v="Overdue"/>
    <n v="11"/>
    <d v="2023-04-14T00:00:00"/>
    <n v="1"/>
    <n v="1009"/>
    <n v="-0.23"/>
    <s v="Normal"/>
    <n v="2023"/>
    <s v="April"/>
  </r>
  <r>
    <n v="1694"/>
    <x v="101"/>
    <x v="0"/>
    <s v="East"/>
    <s v="Premium"/>
    <d v="2022-09-17T00:00:00"/>
    <d v="2024-02-01T00:00:00"/>
    <x v="17"/>
    <n v="4580"/>
    <n v="-5914"/>
    <s v="Pending"/>
    <n v="16"/>
    <d v="2024-02-01T00:00:00"/>
    <n v="1"/>
    <n v="1010"/>
    <n v="-1.19"/>
    <s v="Outlier"/>
    <n v="2024"/>
    <s v="February"/>
  </r>
  <r>
    <n v="1696"/>
    <x v="322"/>
    <x v="4"/>
    <s v="North"/>
    <s v="Standard"/>
    <d v="2022-10-26T00:00:00"/>
    <d v="2023-08-04T00:00:00"/>
    <x v="810"/>
    <n v="6568"/>
    <n v="577.01"/>
    <s v="NA"/>
    <n v="9"/>
    <d v="2023-08-04T00:00:00"/>
    <n v="1"/>
    <n v="1011"/>
    <n v="0.45"/>
    <s v="Normal"/>
    <n v="2023"/>
    <s v="August"/>
  </r>
  <r>
    <n v="1700"/>
    <x v="286"/>
    <x v="4"/>
    <s v="South"/>
    <s v="Premium"/>
    <d v="2022-12-15T00:00:00"/>
    <d v="2024-01-01T00:00:00"/>
    <x v="811"/>
    <n v="1990"/>
    <n v="7581"/>
    <s v="Overdue"/>
    <n v="12"/>
    <d v="2024-01-01T00:00:00"/>
    <n v="1"/>
    <n v="1012"/>
    <n v="0.79"/>
    <s v="Normal"/>
    <n v="2024"/>
    <s v="January"/>
  </r>
  <r>
    <n v="1702"/>
    <x v="278"/>
    <x v="1"/>
    <s v="South"/>
    <s v="Basic"/>
    <d v="2022-04-22T00:00:00"/>
    <d v="2023-02-16T00:00:00"/>
    <x v="812"/>
    <n v="6851"/>
    <n v="2809"/>
    <s v="NA"/>
    <n v="9"/>
    <d v="2023-02-16T00:00:00"/>
    <n v="0"/>
    <n v="1013"/>
    <n v="0.28999999999999998"/>
    <s v="Normal"/>
    <n v="2023"/>
    <s v="February"/>
  </r>
  <r>
    <n v="1704"/>
    <x v="177"/>
    <x v="2"/>
    <s v="South"/>
    <s v="Basic"/>
    <d v="2022-01-08T00:00:00"/>
    <d v="2023-03-12T00:00:00"/>
    <x v="813"/>
    <n v="264"/>
    <n v="577.01"/>
    <s v="Paid"/>
    <n v="14"/>
    <d v="2023-03-12T00:00:00"/>
    <n v="1"/>
    <n v="1014"/>
    <n v="0.12"/>
    <s v="Normal"/>
    <n v="2023"/>
    <s v="March"/>
  </r>
  <r>
    <n v="1705"/>
    <x v="118"/>
    <x v="4"/>
    <s v="West"/>
    <s v="Standard"/>
    <d v="2022-06-02T00:00:00"/>
    <d v="2023-12-15T00:00:00"/>
    <x v="814"/>
    <n v="6288"/>
    <n v="2686"/>
    <s v="Pending"/>
    <n v="18"/>
    <d v="2023-12-15T00:00:00"/>
    <n v="0"/>
    <n v="1015"/>
    <n v="0.3"/>
    <s v="Normal"/>
    <n v="2023"/>
    <s v="December"/>
  </r>
  <r>
    <n v="1706"/>
    <x v="150"/>
    <x v="0"/>
    <s v="South"/>
    <s v="Basic"/>
    <d v="2022-11-11T00:00:00"/>
    <d v="2023-07-15T00:00:00"/>
    <x v="17"/>
    <n v="5970"/>
    <n v="-6477"/>
    <s v="Paid"/>
    <n v="8"/>
    <d v="2023-07-15T00:00:00"/>
    <n v="1"/>
    <n v="1016"/>
    <n v="-1.3"/>
    <s v="Outlier"/>
    <n v="2023"/>
    <s v="July"/>
  </r>
  <r>
    <n v="1707"/>
    <x v="339"/>
    <x v="0"/>
    <s v="East"/>
    <s v="Basic"/>
    <d v="2022-09-26T00:00:00"/>
    <d v="2023-06-10T00:00:00"/>
    <x v="815"/>
    <n v="5241"/>
    <n v="577.01"/>
    <s v="Overdue"/>
    <n v="8"/>
    <d v="2023-06-10T00:00:00"/>
    <n v="0"/>
    <n v="1017"/>
    <n v="0.36"/>
    <s v="Normal"/>
    <n v="2023"/>
    <s v="June"/>
  </r>
  <r>
    <n v="1709"/>
    <x v="124"/>
    <x v="1"/>
    <s v="West"/>
    <s v="Standard"/>
    <d v="2022-09-07T00:00:00"/>
    <d v="2023-11-01T00:00:00"/>
    <x v="816"/>
    <n v="6847"/>
    <n v="-1401"/>
    <s v="Pending"/>
    <n v="13"/>
    <d v="2023-11-01T00:00:00"/>
    <n v="1"/>
    <n v="1018"/>
    <n v="-0.26"/>
    <s v="Normal"/>
    <n v="2023"/>
    <s v="November"/>
  </r>
  <r>
    <n v="1710"/>
    <x v="285"/>
    <x v="4"/>
    <s v="South"/>
    <s v="Standard"/>
    <d v="2022-12-21T00:00:00"/>
    <d v="2024-08-01T00:00:00"/>
    <x v="817"/>
    <n v="4844"/>
    <n v="2500"/>
    <s v="Pending"/>
    <n v="19"/>
    <d v="2024-08-01T00:00:00"/>
    <n v="0"/>
    <n v="1019"/>
    <n v="0.34"/>
    <s v="Normal"/>
    <n v="2024"/>
    <s v="August"/>
  </r>
  <r>
    <n v="1711"/>
    <x v="24"/>
    <x v="4"/>
    <s v="West"/>
    <s v="Standard"/>
    <d v="2022-01-06T00:00:00"/>
    <d v="2022-04-27T00:00:00"/>
    <x v="818"/>
    <n v="6218"/>
    <n v="2210"/>
    <s v="NA"/>
    <n v="3"/>
    <d v="2022-04-27T00:00:00"/>
    <n v="1"/>
    <n v="1020"/>
    <n v="0.26"/>
    <s v="Normal"/>
    <n v="2022"/>
    <s v="April"/>
  </r>
  <r>
    <n v="1713"/>
    <x v="86"/>
    <x v="4"/>
    <s v="South"/>
    <s v="Premium"/>
    <d v="2022-02-06T00:00:00"/>
    <d v="2022-08-24T00:00:00"/>
    <x v="819"/>
    <n v="1745"/>
    <n v="776"/>
    <s v="Pending"/>
    <n v="6"/>
    <d v="2022-08-24T00:00:00"/>
    <n v="0"/>
    <n v="1021"/>
    <n v="0.31"/>
    <s v="Normal"/>
    <n v="2022"/>
    <s v="August"/>
  </r>
  <r>
    <n v="1714"/>
    <x v="365"/>
    <x v="1"/>
    <s v="East"/>
    <s v="Standard"/>
    <d v="2022-11-01T00:00:00"/>
    <d v="2023-03-27T00:00:00"/>
    <x v="820"/>
    <n v="3105"/>
    <n v="-385"/>
    <s v="Overdue"/>
    <n v="4"/>
    <d v="2023-03-27T00:00:00"/>
    <n v="0"/>
    <n v="1022"/>
    <n v="-0.14000000000000001"/>
    <s v="Normal"/>
    <n v="2023"/>
    <s v="March"/>
  </r>
  <r>
    <n v="1715"/>
    <x v="182"/>
    <x v="2"/>
    <s v="North"/>
    <s v="Basic"/>
    <d v="2022-08-10T00:00:00"/>
    <d v="2023-05-14T00:00:00"/>
    <x v="821"/>
    <n v="1396"/>
    <n v="8331"/>
    <s v="Overdue"/>
    <n v="9"/>
    <d v="2023-05-14T00:00:00"/>
    <n v="1"/>
    <n v="1023"/>
    <n v="0.86"/>
    <s v="Normal"/>
    <n v="2023"/>
    <s v="May"/>
  </r>
  <r>
    <n v="1716"/>
    <x v="178"/>
    <x v="2"/>
    <s v="West"/>
    <s v="Standard"/>
    <d v="2022-09-30T00:00:00"/>
    <d v="2024-02-29T00:00:00"/>
    <x v="664"/>
    <n v="2739"/>
    <n v="-2480"/>
    <s v="NA"/>
    <n v="16"/>
    <d v="2024-02-29T00:00:00"/>
    <n v="1"/>
    <n v="1024"/>
    <n v="-9.58"/>
    <s v="Outlier"/>
    <n v="2024"/>
    <s v="February"/>
  </r>
  <r>
    <n v="1717"/>
    <x v="26"/>
    <x v="4"/>
    <s v="West"/>
    <s v="Standard"/>
    <d v="2022-08-18T00:00:00"/>
    <d v="2023-03-30T00:00:00"/>
    <x v="822"/>
    <n v="1070"/>
    <n v="577.01"/>
    <s v="Paid"/>
    <n v="7"/>
    <d v="2023-03-30T00:00:00"/>
    <n v="1"/>
    <n v="1025"/>
    <n v="0.12"/>
    <s v="Normal"/>
    <n v="2023"/>
    <s v="March"/>
  </r>
  <r>
    <n v="1718"/>
    <x v="168"/>
    <x v="0"/>
    <s v="North"/>
    <s v="Basic"/>
    <d v="2022-05-05T00:00:00"/>
    <d v="2022-12-01T00:00:00"/>
    <x v="823"/>
    <n v="5650"/>
    <n v="2248"/>
    <s v="Pending"/>
    <n v="6"/>
    <d v="2022-12-01T00:00:00"/>
    <n v="1"/>
    <n v="1026"/>
    <n v="0.28000000000000003"/>
    <s v="Normal"/>
    <n v="2022"/>
    <s v="December"/>
  </r>
  <r>
    <n v="1721"/>
    <x v="368"/>
    <x v="1"/>
    <s v="North"/>
    <s v="Basic"/>
    <d v="2022-10-18T00:00:00"/>
    <d v="2024-03-15T00:00:00"/>
    <x v="824"/>
    <n v="5178"/>
    <n v="-4824"/>
    <s v="Paid"/>
    <n v="16"/>
    <d v="2024-03-15T00:00:00"/>
    <n v="0"/>
    <n v="1027"/>
    <n v="-13.63"/>
    <s v="Outlier"/>
    <n v="2024"/>
    <s v="March"/>
  </r>
  <r>
    <n v="1722"/>
    <x v="102"/>
    <x v="0"/>
    <s v="East"/>
    <s v="Standard"/>
    <d v="2022-05-07T00:00:00"/>
    <d v="2022-07-08T00:00:00"/>
    <x v="17"/>
    <n v="4012.75"/>
    <n v="-45"/>
    <s v="Paid"/>
    <n v="2"/>
    <d v="2022-07-08T00:00:00"/>
    <n v="1"/>
    <n v="1028"/>
    <n v="-0.01"/>
    <s v="Normal"/>
    <n v="2022"/>
    <s v="July"/>
  </r>
  <r>
    <n v="1724"/>
    <x v="106"/>
    <x v="2"/>
    <s v="East"/>
    <s v="Basic"/>
    <d v="2022-04-14T00:00:00"/>
    <d v="2023-07-07T00:00:00"/>
    <x v="825"/>
    <n v="2291"/>
    <n v="179"/>
    <s v="Overdue"/>
    <n v="14"/>
    <d v="2023-07-07T00:00:00"/>
    <n v="0"/>
    <n v="1029"/>
    <n v="7.0000000000000007E-2"/>
    <s v="Normal"/>
    <n v="2023"/>
    <s v="July"/>
  </r>
  <r>
    <n v="1726"/>
    <x v="279"/>
    <x v="3"/>
    <s v="West"/>
    <s v="Basic"/>
    <d v="2022-07-26T00:00:00"/>
    <d v="2023-01-08T00:00:00"/>
    <x v="826"/>
    <n v="4012.75"/>
    <n v="8012"/>
    <s v="NA"/>
    <n v="5"/>
    <d v="2023-01-08T00:00:00"/>
    <n v="0"/>
    <n v="1030"/>
    <n v="1.1200000000000001"/>
    <s v="Outlier"/>
    <n v="2023"/>
    <s v="January"/>
  </r>
  <r>
    <n v="1729"/>
    <x v="109"/>
    <x v="2"/>
    <s v="East"/>
    <s v="Basic"/>
    <d v="2022-12-17T00:00:00"/>
    <d v="2023-06-28T00:00:00"/>
    <x v="827"/>
    <n v="1892"/>
    <n v="577.01"/>
    <s v="NA"/>
    <n v="6"/>
    <d v="2023-06-28T00:00:00"/>
    <n v="0"/>
    <n v="1031"/>
    <n v="2.91"/>
    <s v="Outlier"/>
    <n v="2023"/>
    <s v="June"/>
  </r>
  <r>
    <n v="1731"/>
    <x v="43"/>
    <x v="3"/>
    <s v="South"/>
    <s v="Standard"/>
    <d v="2022-02-02T00:00:00"/>
    <d v="2022-09-28T00:00:00"/>
    <x v="828"/>
    <n v="4012.75"/>
    <n v="10305"/>
    <s v="Overdue"/>
    <n v="7"/>
    <d v="2022-09-28T00:00:00"/>
    <n v="0"/>
    <n v="1032"/>
    <n v="1.05"/>
    <s v="Outlier"/>
    <n v="2022"/>
    <s v="September"/>
  </r>
  <r>
    <n v="1732"/>
    <x v="137"/>
    <x v="4"/>
    <s v="West"/>
    <s v="Premium"/>
    <d v="2022-08-15T00:00:00"/>
    <d v="2023-07-13T00:00:00"/>
    <x v="829"/>
    <n v="5351"/>
    <n v="-5060"/>
    <s v="Paid"/>
    <n v="10"/>
    <d v="2023-07-13T00:00:00"/>
    <n v="0"/>
    <n v="1033"/>
    <n v="-17.39"/>
    <s v="Outlier"/>
    <n v="2023"/>
    <s v="July"/>
  </r>
  <r>
    <n v="1733"/>
    <x v="194"/>
    <x v="1"/>
    <s v="South"/>
    <s v="Standard"/>
    <d v="2022-07-28T00:00:00"/>
    <d v="2024-03-18T00:00:00"/>
    <x v="830"/>
    <n v="5048"/>
    <n v="2171"/>
    <s v="Paid"/>
    <n v="19"/>
    <d v="2024-03-18T00:00:00"/>
    <n v="0"/>
    <n v="1034"/>
    <n v="0.3"/>
    <s v="Normal"/>
    <n v="2024"/>
    <s v="March"/>
  </r>
  <r>
    <n v="1734"/>
    <x v="169"/>
    <x v="0"/>
    <s v="South"/>
    <s v="Premium"/>
    <d v="2022-01-18T00:00:00"/>
    <d v="2022-09-02T00:00:00"/>
    <x v="831"/>
    <n v="4012.75"/>
    <n v="3039"/>
    <s v="NA"/>
    <n v="7"/>
    <d v="2022-09-02T00:00:00"/>
    <n v="1"/>
    <n v="1035"/>
    <n v="1.31"/>
    <s v="Outlier"/>
    <n v="2022"/>
    <s v="September"/>
  </r>
  <r>
    <n v="1735"/>
    <x v="82"/>
    <x v="4"/>
    <s v="East"/>
    <s v="Standard"/>
    <d v="2022-06-07T00:00:00"/>
    <d v="2023-05-05T00:00:00"/>
    <x v="832"/>
    <n v="1429"/>
    <n v="2272"/>
    <s v="NA"/>
    <n v="10"/>
    <d v="2023-05-05T00:00:00"/>
    <n v="1"/>
    <n v="1036"/>
    <n v="0.61"/>
    <s v="Normal"/>
    <n v="2023"/>
    <s v="May"/>
  </r>
  <r>
    <n v="1736"/>
    <x v="277"/>
    <x v="0"/>
    <s v="South"/>
    <s v="Premium"/>
    <d v="2022-06-21T00:00:00"/>
    <d v="2023-12-20T00:00:00"/>
    <x v="833"/>
    <n v="4611"/>
    <n v="1818"/>
    <s v="Overdue"/>
    <n v="17"/>
    <d v="2023-12-20T00:00:00"/>
    <n v="1"/>
    <n v="1037"/>
    <n v="0.28000000000000003"/>
    <s v="Normal"/>
    <n v="2023"/>
    <s v="December"/>
  </r>
  <r>
    <n v="1742"/>
    <x v="100"/>
    <x v="2"/>
    <s v="West"/>
    <s v="Basic"/>
    <d v="2022-03-06T00:00:00"/>
    <d v="2023-09-18T00:00:00"/>
    <x v="834"/>
    <n v="4253"/>
    <n v="-2747"/>
    <s v="Paid"/>
    <n v="18"/>
    <d v="2023-09-18T00:00:00"/>
    <n v="1"/>
    <n v="1038"/>
    <n v="-1.82"/>
    <s v="Outlier"/>
    <n v="2023"/>
    <s v="September"/>
  </r>
  <r>
    <n v="1743"/>
    <x v="306"/>
    <x v="0"/>
    <s v="South"/>
    <s v="Standard"/>
    <d v="2022-02-21T00:00:00"/>
    <d v="2023-05-21T00:00:00"/>
    <x v="835"/>
    <n v="933"/>
    <n v="2461"/>
    <s v="Overdue"/>
    <n v="15"/>
    <d v="2023-05-21T00:00:00"/>
    <n v="1"/>
    <n v="1039"/>
    <n v="0.73"/>
    <s v="Normal"/>
    <n v="2023"/>
    <s v="May"/>
  </r>
  <r>
    <n v="1746"/>
    <x v="318"/>
    <x v="0"/>
    <s v="East"/>
    <s v="Premium"/>
    <d v="2022-09-11T00:00:00"/>
    <d v="2023-01-21T00:00:00"/>
    <x v="17"/>
    <n v="4496"/>
    <n v="-5935"/>
    <s v="Overdue"/>
    <n v="4"/>
    <d v="2023-01-21T00:00:00"/>
    <n v="0"/>
    <n v="1040"/>
    <n v="-1.19"/>
    <s v="Outlier"/>
    <n v="2023"/>
    <s v="January"/>
  </r>
  <r>
    <n v="1747"/>
    <x v="317"/>
    <x v="1"/>
    <s v="West"/>
    <s v="Standard"/>
    <d v="2022-06-10T00:00:00"/>
    <d v="2023-09-15T00:00:00"/>
    <x v="836"/>
    <n v="6166"/>
    <n v="-2184"/>
    <s v="NA"/>
    <n v="15"/>
    <d v="2023-09-15T00:00:00"/>
    <n v="0"/>
    <n v="1041"/>
    <n v="-0.55000000000000004"/>
    <s v="Normal"/>
    <n v="2023"/>
    <s v="September"/>
  </r>
  <r>
    <n v="1749"/>
    <x v="140"/>
    <x v="0"/>
    <s v="South"/>
    <s v="Basic"/>
    <d v="2022-12-04T00:00:00"/>
    <d v="2023-08-17T00:00:00"/>
    <x v="837"/>
    <n v="6336"/>
    <n v="2054"/>
    <s v="Paid"/>
    <n v="8"/>
    <d v="2023-08-17T00:00:00"/>
    <n v="0"/>
    <n v="1042"/>
    <n v="0.24"/>
    <s v="Normal"/>
    <n v="2023"/>
    <s v="August"/>
  </r>
  <r>
    <n v="1750"/>
    <x v="67"/>
    <x v="3"/>
    <s v="North"/>
    <s v="Standard"/>
    <d v="2022-06-04T00:00:00"/>
    <d v="2023-09-24T00:00:00"/>
    <x v="838"/>
    <n v="1998"/>
    <n v="2637"/>
    <s v="Pending"/>
    <n v="15"/>
    <d v="2023-09-24T00:00:00"/>
    <n v="0"/>
    <n v="1043"/>
    <n v="0.56999999999999995"/>
    <s v="Normal"/>
    <n v="2023"/>
    <s v="September"/>
  </r>
  <r>
    <n v="1751"/>
    <x v="176"/>
    <x v="4"/>
    <s v="South"/>
    <s v="Basic"/>
    <d v="2022-04-05T00:00:00"/>
    <d v="2022-12-20T00:00:00"/>
    <x v="839"/>
    <n v="2444"/>
    <n v="36"/>
    <s v="Overdue"/>
    <n v="8"/>
    <d v="2022-12-20T00:00:00"/>
    <n v="0"/>
    <n v="1044"/>
    <n v="0.01"/>
    <s v="Normal"/>
    <n v="2022"/>
    <s v="December"/>
  </r>
  <r>
    <n v="1752"/>
    <x v="308"/>
    <x v="2"/>
    <s v="West"/>
    <s v="Basic"/>
    <d v="2022-10-08T00:00:00"/>
    <d v="2022-11-21T00:00:00"/>
    <x v="840"/>
    <n v="5544"/>
    <n v="-2541"/>
    <s v="Overdue"/>
    <n v="1"/>
    <d v="2022-11-21T00:00:00"/>
    <n v="0"/>
    <n v="1045"/>
    <n v="-0.85"/>
    <s v="Normal"/>
    <n v="2022"/>
    <s v="November"/>
  </r>
  <r>
    <n v="1753"/>
    <x v="49"/>
    <x v="2"/>
    <s v="East"/>
    <s v="Premium"/>
    <d v="2022-10-05T00:00:00"/>
    <d v="2023-12-04T00:00:00"/>
    <x v="841"/>
    <n v="2290"/>
    <n v="577.01"/>
    <s v="Pending"/>
    <n v="13"/>
    <d v="2023-12-04T00:00:00"/>
    <n v="1"/>
    <n v="1046"/>
    <n v="0.18"/>
    <s v="Normal"/>
    <n v="2023"/>
    <s v="December"/>
  </r>
  <r>
    <n v="1754"/>
    <x v="104"/>
    <x v="2"/>
    <s v="East"/>
    <s v="Premium"/>
    <d v="2022-08-02T00:00:00"/>
    <d v="2023-12-29T00:00:00"/>
    <x v="842"/>
    <n v="3497"/>
    <n v="469"/>
    <s v="Overdue"/>
    <n v="16"/>
    <d v="2023-12-29T00:00:00"/>
    <n v="0"/>
    <n v="1047"/>
    <n v="0.12"/>
    <s v="Normal"/>
    <n v="2023"/>
    <s v="December"/>
  </r>
  <r>
    <n v="1757"/>
    <x v="32"/>
    <x v="3"/>
    <s v="West"/>
    <s v="Standard"/>
    <d v="2022-08-24T00:00:00"/>
    <d v="2024-01-26T00:00:00"/>
    <x v="843"/>
    <n v="2889"/>
    <n v="1441"/>
    <s v="Paid"/>
    <n v="17"/>
    <d v="2024-01-26T00:00:00"/>
    <n v="1"/>
    <n v="1048"/>
    <n v="0.33"/>
    <s v="Normal"/>
    <n v="2024"/>
    <s v="January"/>
  </r>
  <r>
    <n v="1759"/>
    <x v="126"/>
    <x v="3"/>
    <s v="West"/>
    <s v="Premium"/>
    <d v="2022-04-26T00:00:00"/>
    <d v="2023-05-15T00:00:00"/>
    <x v="844"/>
    <n v="4714"/>
    <n v="3507"/>
    <s v="Pending"/>
    <n v="12"/>
    <d v="2023-05-15T00:00:00"/>
    <n v="0"/>
    <n v="1049"/>
    <n v="0.43"/>
    <s v="Normal"/>
    <n v="2023"/>
    <s v="May"/>
  </r>
  <r>
    <n v="1760"/>
    <x v="268"/>
    <x v="3"/>
    <s v="East"/>
    <s v="Basic"/>
    <d v="2022-01-31T00:00:00"/>
    <d v="2022-11-03T00:00:00"/>
    <x v="845"/>
    <n v="3697"/>
    <n v="2055"/>
    <s v="NA"/>
    <n v="9"/>
    <d v="2022-11-03T00:00:00"/>
    <n v="0"/>
    <n v="1050"/>
    <n v="0.36"/>
    <s v="Normal"/>
    <n v="2022"/>
    <s v="November"/>
  </r>
  <r>
    <n v="1762"/>
    <x v="245"/>
    <x v="2"/>
    <s v="North"/>
    <s v="Standard"/>
    <d v="2022-11-05T00:00:00"/>
    <d v="2023-11-12T00:00:00"/>
    <x v="846"/>
    <n v="4012.75"/>
    <n v="9880"/>
    <s v="NA"/>
    <n v="12"/>
    <d v="2023-11-12T00:00:00"/>
    <n v="1"/>
    <n v="1051"/>
    <n v="1"/>
    <s v="Outlier"/>
    <n v="2023"/>
    <s v="November"/>
  </r>
  <r>
    <n v="1767"/>
    <x v="322"/>
    <x v="3"/>
    <s v="North"/>
    <s v="Basic"/>
    <d v="2022-06-25T00:00:00"/>
    <d v="2022-10-31T00:00:00"/>
    <x v="847"/>
    <n v="5781"/>
    <n v="-2814"/>
    <s v="Paid"/>
    <n v="4"/>
    <d v="2022-10-31T00:00:00"/>
    <n v="0"/>
    <n v="1052"/>
    <n v="-0.95"/>
    <s v="Normal"/>
    <n v="2022"/>
    <s v="October"/>
  </r>
  <r>
    <n v="1770"/>
    <x v="224"/>
    <x v="1"/>
    <s v="West"/>
    <s v="Basic"/>
    <d v="2022-06-30T00:00:00"/>
    <d v="2023-10-12T00:00:00"/>
    <x v="17"/>
    <n v="2707"/>
    <n v="-3035"/>
    <s v="Paid"/>
    <n v="15"/>
    <d v="2023-10-12T00:00:00"/>
    <n v="0"/>
    <n v="1053"/>
    <n v="-0.61"/>
    <s v="Normal"/>
    <n v="2023"/>
    <s v="October"/>
  </r>
  <r>
    <n v="1771"/>
    <x v="174"/>
    <x v="3"/>
    <s v="West"/>
    <s v="Premium"/>
    <d v="2022-06-14T00:00:00"/>
    <d v="2024-01-08T00:00:00"/>
    <x v="848"/>
    <n v="1200"/>
    <n v="1313"/>
    <s v="Overdue"/>
    <n v="18"/>
    <d v="2024-01-08T00:00:00"/>
    <n v="1"/>
    <n v="1054"/>
    <n v="0.52"/>
    <s v="Normal"/>
    <n v="2024"/>
    <s v="January"/>
  </r>
  <r>
    <n v="1774"/>
    <x v="32"/>
    <x v="0"/>
    <s v="West"/>
    <s v="Basic"/>
    <d v="2022-06-29T00:00:00"/>
    <d v="2023-08-16T00:00:00"/>
    <x v="849"/>
    <n v="6560"/>
    <n v="-2871"/>
    <s v="Overdue"/>
    <n v="13"/>
    <d v="2023-08-16T00:00:00"/>
    <n v="1"/>
    <n v="1055"/>
    <n v="-0.78"/>
    <s v="Normal"/>
    <n v="2023"/>
    <s v="August"/>
  </r>
  <r>
    <n v="1777"/>
    <x v="97"/>
    <x v="4"/>
    <s v="North"/>
    <s v="Standard"/>
    <d v="2022-08-13T00:00:00"/>
    <d v="2022-10-18T00:00:00"/>
    <x v="850"/>
    <n v="4191"/>
    <n v="1701"/>
    <s v="NA"/>
    <n v="2"/>
    <d v="2022-10-18T00:00:00"/>
    <n v="0"/>
    <n v="1056"/>
    <n v="0.28999999999999998"/>
    <s v="Normal"/>
    <n v="2022"/>
    <s v="October"/>
  </r>
  <r>
    <n v="1778"/>
    <x v="203"/>
    <x v="0"/>
    <s v="West"/>
    <s v="Premium"/>
    <d v="2022-11-24T00:00:00"/>
    <d v="2024-04-11T00:00:00"/>
    <x v="851"/>
    <n v="572"/>
    <n v="3326"/>
    <s v="Paid"/>
    <n v="16"/>
    <d v="2024-04-11T00:00:00"/>
    <n v="0"/>
    <n v="1057"/>
    <n v="0.85"/>
    <s v="Normal"/>
    <n v="2024"/>
    <s v="April"/>
  </r>
  <r>
    <n v="1781"/>
    <x v="251"/>
    <x v="4"/>
    <s v="North"/>
    <s v="Basic"/>
    <d v="2022-11-23T00:00:00"/>
    <d v="2024-02-05T00:00:00"/>
    <x v="852"/>
    <n v="1143"/>
    <n v="6442"/>
    <s v="NA"/>
    <n v="14"/>
    <d v="2024-02-05T00:00:00"/>
    <n v="0"/>
    <n v="1058"/>
    <n v="0.85"/>
    <s v="Normal"/>
    <n v="2024"/>
    <s v="February"/>
  </r>
  <r>
    <n v="1783"/>
    <x v="289"/>
    <x v="0"/>
    <s v="South"/>
    <s v="Premium"/>
    <d v="2022-11-26T00:00:00"/>
    <d v="2024-05-24T00:00:00"/>
    <x v="853"/>
    <n v="4486"/>
    <n v="4978"/>
    <s v="Paid"/>
    <n v="17"/>
    <d v="2024-05-24T00:00:00"/>
    <n v="0"/>
    <n v="1059"/>
    <n v="0.53"/>
    <s v="Normal"/>
    <n v="2024"/>
    <s v="May"/>
  </r>
  <r>
    <n v="1785"/>
    <x v="235"/>
    <x v="4"/>
    <s v="East"/>
    <s v="Premium"/>
    <d v="2022-11-22T00:00:00"/>
    <d v="2024-04-13T00:00:00"/>
    <x v="854"/>
    <n v="1111"/>
    <n v="634"/>
    <s v="Paid"/>
    <n v="16"/>
    <d v="2024-04-13T00:00:00"/>
    <n v="0"/>
    <n v="1060"/>
    <n v="0.36"/>
    <s v="Normal"/>
    <n v="2024"/>
    <s v="April"/>
  </r>
  <r>
    <n v="1789"/>
    <x v="340"/>
    <x v="0"/>
    <s v="South"/>
    <s v="Premium"/>
    <d v="2022-03-20T00:00:00"/>
    <d v="2022-10-17T00:00:00"/>
    <x v="855"/>
    <n v="1262"/>
    <n v="1726"/>
    <s v="Overdue"/>
    <n v="6"/>
    <d v="2022-10-17T00:00:00"/>
    <n v="1"/>
    <n v="1061"/>
    <n v="0.57999999999999996"/>
    <s v="Normal"/>
    <n v="2022"/>
    <s v="October"/>
  </r>
  <r>
    <n v="1793"/>
    <x v="149"/>
    <x v="3"/>
    <s v="East"/>
    <s v="Premium"/>
    <d v="2022-12-14T00:00:00"/>
    <d v="2023-07-01T00:00:00"/>
    <x v="856"/>
    <n v="2894"/>
    <n v="4901"/>
    <s v="Overdue"/>
    <n v="6"/>
    <d v="2023-07-01T00:00:00"/>
    <n v="0"/>
    <n v="1062"/>
    <n v="0.63"/>
    <s v="Normal"/>
    <n v="2023"/>
    <s v="July"/>
  </r>
  <r>
    <n v="1795"/>
    <x v="183"/>
    <x v="1"/>
    <s v="East"/>
    <s v="Standard"/>
    <d v="2022-02-27T00:00:00"/>
    <d v="2023-08-12T00:00:00"/>
    <x v="857"/>
    <n v="3048"/>
    <n v="5567"/>
    <s v="Pending"/>
    <n v="17"/>
    <d v="2023-08-12T00:00:00"/>
    <n v="0"/>
    <n v="1063"/>
    <n v="0.65"/>
    <s v="Normal"/>
    <n v="2023"/>
    <s v="August"/>
  </r>
  <r>
    <n v="1797"/>
    <x v="104"/>
    <x v="1"/>
    <s v="East"/>
    <s v="Premium"/>
    <d v="2022-12-29T00:00:00"/>
    <d v="2023-11-11T00:00:00"/>
    <x v="858"/>
    <n v="4012.75"/>
    <n v="2335"/>
    <s v="Pending"/>
    <n v="10"/>
    <d v="2023-11-11T00:00:00"/>
    <n v="1"/>
    <n v="1064"/>
    <n v="1.68"/>
    <s v="Outlier"/>
    <n v="2023"/>
    <s v="November"/>
  </r>
  <r>
    <n v="1799"/>
    <x v="140"/>
    <x v="4"/>
    <s v="South"/>
    <s v="Standard"/>
    <d v="2022-09-15T00:00:00"/>
    <d v="2022-12-01T00:00:00"/>
    <x v="17"/>
    <n v="4732"/>
    <n v="-6079"/>
    <s v="Pending"/>
    <n v="2"/>
    <d v="2022-12-01T00:00:00"/>
    <n v="0"/>
    <n v="1065"/>
    <n v="-1.22"/>
    <s v="Outlier"/>
    <n v="2022"/>
    <s v="December"/>
  </r>
  <r>
    <n v="1801"/>
    <x v="16"/>
    <x v="2"/>
    <s v="South"/>
    <s v="Basic"/>
    <d v="2022-02-06T00:00:00"/>
    <d v="2022-10-07T00:00:00"/>
    <x v="859"/>
    <n v="7178"/>
    <n v="2366"/>
    <s v="Pending"/>
    <n v="8"/>
    <d v="2022-10-07T00:00:00"/>
    <n v="1"/>
    <n v="1066"/>
    <n v="0.25"/>
    <s v="Normal"/>
    <n v="2022"/>
    <s v="October"/>
  </r>
  <r>
    <n v="1803"/>
    <x v="377"/>
    <x v="1"/>
    <s v="South"/>
    <s v="Premium"/>
    <d v="2022-07-26T00:00:00"/>
    <d v="2022-12-14T00:00:00"/>
    <x v="860"/>
    <n v="2064"/>
    <n v="295"/>
    <s v="Pending"/>
    <n v="4"/>
    <d v="2022-12-14T00:00:00"/>
    <n v="1"/>
    <n v="1067"/>
    <n v="0.13"/>
    <s v="Normal"/>
    <n v="2022"/>
    <s v="December"/>
  </r>
  <r>
    <n v="1804"/>
    <x v="75"/>
    <x v="2"/>
    <s v="East"/>
    <s v="Basic"/>
    <d v="2022-07-30T00:00:00"/>
    <d v="2023-01-22T00:00:00"/>
    <x v="861"/>
    <n v="2872"/>
    <n v="577.01"/>
    <s v="NA"/>
    <n v="5"/>
    <d v="2023-01-22T00:00:00"/>
    <n v="1"/>
    <n v="1068"/>
    <n v="0.17"/>
    <s v="Normal"/>
    <n v="2023"/>
    <s v="January"/>
  </r>
  <r>
    <n v="1805"/>
    <x v="313"/>
    <x v="1"/>
    <s v="South"/>
    <s v="Basic"/>
    <d v="2022-10-08T00:00:00"/>
    <d v="2024-04-19T00:00:00"/>
    <x v="862"/>
    <n v="3774"/>
    <n v="-3173"/>
    <s v="Overdue"/>
    <n v="18"/>
    <d v="2024-04-19T00:00:00"/>
    <n v="0"/>
    <n v="1069"/>
    <n v="-5.28"/>
    <s v="Outlier"/>
    <n v="2024"/>
    <s v="April"/>
  </r>
  <r>
    <n v="1806"/>
    <x v="269"/>
    <x v="4"/>
    <s v="West"/>
    <s v="Basic"/>
    <d v="2022-12-05T00:00:00"/>
    <d v="2023-12-06T00:00:00"/>
    <x v="863"/>
    <n v="5081"/>
    <n v="4870"/>
    <s v="Paid"/>
    <n v="12"/>
    <d v="2023-12-06T00:00:00"/>
    <n v="1"/>
    <n v="1070"/>
    <n v="0.49"/>
    <s v="Normal"/>
    <n v="2023"/>
    <s v="December"/>
  </r>
  <r>
    <n v="1807"/>
    <x v="336"/>
    <x v="3"/>
    <s v="South"/>
    <s v="Basic"/>
    <d v="2022-07-29T00:00:00"/>
    <d v="2022-12-17T00:00:00"/>
    <x v="826"/>
    <n v="2171"/>
    <n v="5012"/>
    <s v="NA"/>
    <n v="4"/>
    <d v="2022-12-17T00:00:00"/>
    <n v="1"/>
    <n v="1071"/>
    <n v="0.7"/>
    <s v="Normal"/>
    <n v="2022"/>
    <s v="December"/>
  </r>
  <r>
    <n v="1808"/>
    <x v="239"/>
    <x v="0"/>
    <s v="West"/>
    <s v="Basic"/>
    <d v="2022-12-24T00:00:00"/>
    <d v="2023-04-29T00:00:00"/>
    <x v="17"/>
    <n v="1989"/>
    <n v="-3820"/>
    <s v="NA"/>
    <n v="4"/>
    <d v="2023-04-29T00:00:00"/>
    <n v="1"/>
    <n v="1072"/>
    <n v="-0.77"/>
    <s v="Normal"/>
    <n v="2023"/>
    <s v="April"/>
  </r>
  <r>
    <n v="1809"/>
    <x v="299"/>
    <x v="3"/>
    <s v="North"/>
    <s v="Basic"/>
    <d v="2022-03-20T00:00:00"/>
    <d v="2022-11-05T00:00:00"/>
    <x v="17"/>
    <n v="5080"/>
    <n v="-6599"/>
    <s v="Overdue"/>
    <n v="7"/>
    <d v="2022-11-05T00:00:00"/>
    <n v="0"/>
    <n v="1073"/>
    <n v="-1.33"/>
    <s v="Outlier"/>
    <n v="2022"/>
    <s v="November"/>
  </r>
  <r>
    <n v="1811"/>
    <x v="221"/>
    <x v="0"/>
    <s v="South"/>
    <s v="Basic"/>
    <d v="2022-02-05T00:00:00"/>
    <d v="2023-07-31T00:00:00"/>
    <x v="17"/>
    <n v="4012.75"/>
    <n v="-205"/>
    <s v="Pending"/>
    <n v="17"/>
    <d v="2023-07-31T00:00:00"/>
    <n v="0"/>
    <n v="1074"/>
    <n v="-0.04"/>
    <s v="Normal"/>
    <n v="2023"/>
    <s v="July"/>
  </r>
  <r>
    <n v="1814"/>
    <x v="141"/>
    <x v="2"/>
    <s v="East"/>
    <s v="Premium"/>
    <d v="2022-09-12T00:00:00"/>
    <d v="2024-02-13T00:00:00"/>
    <x v="864"/>
    <n v="2858"/>
    <n v="577.01"/>
    <s v="Pending"/>
    <n v="17"/>
    <d v="2024-02-13T00:00:00"/>
    <n v="0"/>
    <n v="1075"/>
    <n v="0.25"/>
    <s v="Normal"/>
    <n v="2024"/>
    <s v="February"/>
  </r>
  <r>
    <n v="1815"/>
    <x v="45"/>
    <x v="2"/>
    <s v="West"/>
    <s v="Premium"/>
    <d v="2022-06-12T00:00:00"/>
    <d v="2023-05-18T00:00:00"/>
    <x v="865"/>
    <n v="4012.75"/>
    <n v="4361"/>
    <s v="Overdue"/>
    <n v="11"/>
    <d v="2023-05-18T00:00:00"/>
    <n v="1"/>
    <n v="1076"/>
    <n v="1.19"/>
    <s v="Outlier"/>
    <n v="2023"/>
    <s v="May"/>
  </r>
  <r>
    <n v="1817"/>
    <x v="378"/>
    <x v="1"/>
    <s v="West"/>
    <s v="Standard"/>
    <d v="2022-06-03T00:00:00"/>
    <d v="2023-02-23T00:00:00"/>
    <x v="866"/>
    <n v="5850"/>
    <n v="-109"/>
    <s v="Overdue"/>
    <n v="8"/>
    <d v="2023-02-23T00:00:00"/>
    <n v="0"/>
    <n v="1077"/>
    <n v="-0.02"/>
    <s v="Normal"/>
    <n v="2023"/>
    <s v="February"/>
  </r>
  <r>
    <n v="1821"/>
    <x v="228"/>
    <x v="2"/>
    <s v="East"/>
    <s v="Standard"/>
    <d v="2022-12-12T00:00:00"/>
    <d v="2024-06-02T00:00:00"/>
    <x v="867"/>
    <n v="912"/>
    <n v="7742"/>
    <s v="NA"/>
    <n v="17"/>
    <d v="2024-06-02T00:00:00"/>
    <n v="0"/>
    <n v="1078"/>
    <n v="0.89"/>
    <s v="Normal"/>
    <n v="2024"/>
    <s v="June"/>
  </r>
  <r>
    <n v="1822"/>
    <x v="140"/>
    <x v="2"/>
    <s v="South"/>
    <s v="Standard"/>
    <d v="2022-07-07T00:00:00"/>
    <d v="2024-01-02T00:00:00"/>
    <x v="868"/>
    <n v="4012.75"/>
    <n v="577.01"/>
    <s v="Overdue"/>
    <n v="17"/>
    <d v="2024-01-02T00:00:00"/>
    <n v="1"/>
    <n v="1079"/>
    <n v="0.55000000000000004"/>
    <s v="Normal"/>
    <n v="2024"/>
    <s v="January"/>
  </r>
  <r>
    <n v="1825"/>
    <x v="378"/>
    <x v="3"/>
    <s v="West"/>
    <s v="Standard"/>
    <d v="2022-02-09T00:00:00"/>
    <d v="2022-06-25T00:00:00"/>
    <x v="869"/>
    <n v="4012.75"/>
    <n v="2805"/>
    <s v="Pending"/>
    <n v="4"/>
    <d v="2022-06-25T00:00:00"/>
    <n v="1"/>
    <n v="1080"/>
    <n v="1.02"/>
    <s v="Outlier"/>
    <n v="2022"/>
    <s v="June"/>
  </r>
  <r>
    <n v="1826"/>
    <x v="181"/>
    <x v="1"/>
    <s v="North"/>
    <s v="Basic"/>
    <d v="2022-07-23T00:00:00"/>
    <d v="2022-09-25T00:00:00"/>
    <x v="870"/>
    <n v="174"/>
    <n v="950"/>
    <s v="Paid"/>
    <n v="2"/>
    <d v="2022-09-25T00:00:00"/>
    <n v="0"/>
    <n v="1081"/>
    <n v="0.85"/>
    <s v="Normal"/>
    <n v="2022"/>
    <s v="September"/>
  </r>
  <r>
    <n v="1827"/>
    <x v="183"/>
    <x v="2"/>
    <s v="South"/>
    <s v="Basic"/>
    <d v="2022-06-14T00:00:00"/>
    <d v="2023-10-22T00:00:00"/>
    <x v="871"/>
    <n v="1595"/>
    <n v="577.01"/>
    <s v="Pending"/>
    <n v="16"/>
    <d v="2023-10-22T00:00:00"/>
    <n v="1"/>
    <n v="1082"/>
    <n v="7.0000000000000007E-2"/>
    <s v="Normal"/>
    <n v="2023"/>
    <s v="October"/>
  </r>
  <r>
    <n v="1829"/>
    <x v="379"/>
    <x v="3"/>
    <s v="West"/>
    <s v="Premium"/>
    <d v="2022-10-01T00:00:00"/>
    <d v="2023-02-08T00:00:00"/>
    <x v="872"/>
    <n v="2658"/>
    <n v="2452"/>
    <s v="NA"/>
    <n v="4"/>
    <d v="2023-02-08T00:00:00"/>
    <n v="1"/>
    <n v="1083"/>
    <n v="0.48"/>
    <s v="Normal"/>
    <n v="2023"/>
    <s v="February"/>
  </r>
  <r>
    <n v="1831"/>
    <x v="123"/>
    <x v="3"/>
    <s v="West"/>
    <s v="Premium"/>
    <d v="2022-10-30T00:00:00"/>
    <d v="2023-07-27T00:00:00"/>
    <x v="873"/>
    <n v="5327"/>
    <n v="4637"/>
    <s v="Pending"/>
    <n v="8"/>
    <d v="2023-07-27T00:00:00"/>
    <n v="1"/>
    <n v="1084"/>
    <n v="0.47"/>
    <s v="Normal"/>
    <n v="2023"/>
    <s v="July"/>
  </r>
  <r>
    <n v="1832"/>
    <x v="367"/>
    <x v="2"/>
    <s v="East"/>
    <s v="Standard"/>
    <d v="2022-05-13T00:00:00"/>
    <d v="2023-09-07T00:00:00"/>
    <x v="874"/>
    <n v="4450"/>
    <n v="577.01"/>
    <s v="Paid"/>
    <n v="15"/>
    <d v="2023-09-07T00:00:00"/>
    <n v="1"/>
    <n v="1085"/>
    <n v="0.48"/>
    <s v="Normal"/>
    <n v="2023"/>
    <s v="September"/>
  </r>
  <r>
    <n v="1836"/>
    <x v="75"/>
    <x v="0"/>
    <s v="North"/>
    <s v="Standard"/>
    <d v="2022-03-31T00:00:00"/>
    <d v="2023-10-30T00:00:00"/>
    <x v="875"/>
    <n v="7713"/>
    <n v="-7124"/>
    <s v="Paid"/>
    <n v="18"/>
    <d v="2023-10-30T00:00:00"/>
    <n v="0"/>
    <n v="1086"/>
    <n v="-12.1"/>
    <s v="Outlier"/>
    <n v="2023"/>
    <s v="October"/>
  </r>
  <r>
    <n v="1837"/>
    <x v="127"/>
    <x v="3"/>
    <s v="North"/>
    <s v="Premium"/>
    <d v="2022-03-19T00:00:00"/>
    <d v="2023-02-20T00:00:00"/>
    <x v="17"/>
    <n v="4666"/>
    <n v="-6278"/>
    <s v="Pending"/>
    <n v="11"/>
    <d v="2023-02-20T00:00:00"/>
    <n v="1"/>
    <n v="1087"/>
    <n v="-1.26"/>
    <s v="Outlier"/>
    <n v="2023"/>
    <s v="February"/>
  </r>
  <r>
    <n v="1838"/>
    <x v="91"/>
    <x v="4"/>
    <s v="South"/>
    <s v="Premium"/>
    <d v="2022-07-30T00:00:00"/>
    <d v="2024-01-12T00:00:00"/>
    <x v="876"/>
    <n v="807"/>
    <n v="577.01"/>
    <s v="Paid"/>
    <n v="17"/>
    <d v="2024-01-12T00:00:00"/>
    <n v="0"/>
    <n v="1088"/>
    <n v="0.08"/>
    <s v="Normal"/>
    <n v="2024"/>
    <s v="January"/>
  </r>
  <r>
    <n v="1839"/>
    <x v="92"/>
    <x v="3"/>
    <s v="West"/>
    <s v="Standard"/>
    <d v="2022-03-04T00:00:00"/>
    <d v="2023-08-04T00:00:00"/>
    <x v="805"/>
    <n v="7865"/>
    <n v="-7385"/>
    <s v="Overdue"/>
    <n v="17"/>
    <d v="2023-08-04T00:00:00"/>
    <n v="0"/>
    <n v="1089"/>
    <n v="-15.39"/>
    <s v="Outlier"/>
    <n v="2023"/>
    <s v="August"/>
  </r>
  <r>
    <n v="1840"/>
    <x v="48"/>
    <x v="3"/>
    <s v="East"/>
    <s v="Basic"/>
    <d v="2022-12-13T00:00:00"/>
    <d v="2023-06-17T00:00:00"/>
    <x v="877"/>
    <n v="6632"/>
    <n v="2377"/>
    <s v="Paid"/>
    <n v="6"/>
    <d v="2023-06-17T00:00:00"/>
    <n v="0"/>
    <n v="1090"/>
    <n v="0.26"/>
    <s v="Normal"/>
    <n v="2023"/>
    <s v="June"/>
  </r>
  <r>
    <n v="1841"/>
    <x v="41"/>
    <x v="1"/>
    <s v="West"/>
    <s v="Basic"/>
    <d v="2022-05-01T00:00:00"/>
    <d v="2023-09-17T00:00:00"/>
    <x v="878"/>
    <n v="6016"/>
    <n v="-5356"/>
    <s v="NA"/>
    <n v="16"/>
    <d v="2023-09-17T00:00:00"/>
    <n v="1"/>
    <n v="1091"/>
    <n v="-8.1199999999999992"/>
    <s v="Outlier"/>
    <n v="2023"/>
    <s v="September"/>
  </r>
  <r>
    <n v="1842"/>
    <x v="120"/>
    <x v="3"/>
    <s v="West"/>
    <s v="Basic"/>
    <d v="2022-05-21T00:00:00"/>
    <d v="2023-07-18T00:00:00"/>
    <x v="879"/>
    <n v="7963"/>
    <n v="-6567"/>
    <s v="Paid"/>
    <n v="13"/>
    <d v="2023-07-18T00:00:00"/>
    <n v="0"/>
    <n v="1092"/>
    <n v="-4.7"/>
    <s v="Outlier"/>
    <n v="2023"/>
    <s v="July"/>
  </r>
  <r>
    <n v="1846"/>
    <x v="85"/>
    <x v="1"/>
    <s v="West"/>
    <s v="Basic"/>
    <d v="2022-06-11T00:00:00"/>
    <d v="2023-07-19T00:00:00"/>
    <x v="17"/>
    <n v="6998"/>
    <n v="-7921"/>
    <s v="Pending"/>
    <n v="13"/>
    <d v="2023-07-19T00:00:00"/>
    <n v="0"/>
    <n v="1093"/>
    <n v="-1.59"/>
    <s v="Outlier"/>
    <n v="2023"/>
    <s v="July"/>
  </r>
  <r>
    <n v="1847"/>
    <x v="251"/>
    <x v="3"/>
    <s v="South"/>
    <s v="Premium"/>
    <d v="2022-10-26T00:00:00"/>
    <d v="2023-01-30T00:00:00"/>
    <x v="17"/>
    <n v="7471"/>
    <n v="-8285"/>
    <s v="Pending"/>
    <n v="3"/>
    <d v="2023-01-30T00:00:00"/>
    <n v="1"/>
    <n v="1094"/>
    <n v="-1.67"/>
    <s v="Outlier"/>
    <n v="2023"/>
    <s v="January"/>
  </r>
  <r>
    <n v="1848"/>
    <x v="164"/>
    <x v="3"/>
    <s v="West"/>
    <s v="Basic"/>
    <d v="2022-02-28T00:00:00"/>
    <d v="2023-07-12T00:00:00"/>
    <x v="880"/>
    <n v="2326"/>
    <n v="6474"/>
    <s v="NA"/>
    <n v="16"/>
    <d v="2023-07-12T00:00:00"/>
    <n v="1"/>
    <n v="1095"/>
    <n v="0.74"/>
    <s v="Normal"/>
    <n v="2023"/>
    <s v="July"/>
  </r>
  <r>
    <n v="1849"/>
    <x v="259"/>
    <x v="2"/>
    <s v="South"/>
    <s v="Premium"/>
    <d v="2022-04-05T00:00:00"/>
    <d v="2023-08-12T00:00:00"/>
    <x v="881"/>
    <n v="4639"/>
    <n v="-3302"/>
    <s v="Paid"/>
    <n v="16"/>
    <d v="2023-08-12T00:00:00"/>
    <n v="0"/>
    <n v="1096"/>
    <n v="-2.4700000000000002"/>
    <s v="Outlier"/>
    <n v="2023"/>
    <s v="August"/>
  </r>
  <r>
    <n v="1851"/>
    <x v="224"/>
    <x v="3"/>
    <s v="East"/>
    <s v="Basic"/>
    <d v="2022-08-20T00:00:00"/>
    <d v="2024-02-11T00:00:00"/>
    <x v="17"/>
    <n v="6921"/>
    <n v="-8599"/>
    <s v="Overdue"/>
    <n v="17"/>
    <d v="2024-02-11T00:00:00"/>
    <n v="0"/>
    <n v="1097"/>
    <n v="-1.73"/>
    <s v="Outlier"/>
    <n v="2024"/>
    <s v="February"/>
  </r>
  <r>
    <n v="1854"/>
    <x v="367"/>
    <x v="0"/>
    <s v="North"/>
    <s v="Standard"/>
    <d v="2022-09-21T00:00:00"/>
    <d v="2023-06-23T00:00:00"/>
    <x v="882"/>
    <n v="511"/>
    <n v="4395"/>
    <s v="NA"/>
    <n v="9"/>
    <d v="2023-06-23T00:00:00"/>
    <n v="1"/>
    <n v="1098"/>
    <n v="0.9"/>
    <s v="Normal"/>
    <n v="2023"/>
    <s v="June"/>
  </r>
  <r>
    <n v="1857"/>
    <x v="32"/>
    <x v="1"/>
    <s v="North"/>
    <s v="Standard"/>
    <d v="2022-09-01T00:00:00"/>
    <d v="2023-02-26T00:00:00"/>
    <x v="883"/>
    <n v="4012.75"/>
    <n v="5904"/>
    <s v="Overdue"/>
    <n v="5"/>
    <d v="2023-02-26T00:00:00"/>
    <n v="0"/>
    <n v="1099"/>
    <n v="1"/>
    <s v="Outlier"/>
    <n v="2023"/>
    <s v="February"/>
  </r>
  <r>
    <n v="1858"/>
    <x v="26"/>
    <x v="2"/>
    <s v="North"/>
    <s v="Basic"/>
    <d v="2022-11-22T00:00:00"/>
    <d v="2022-12-29T00:00:00"/>
    <x v="884"/>
    <n v="3702"/>
    <n v="657"/>
    <s v="NA"/>
    <n v="1"/>
    <d v="2022-12-29T00:00:00"/>
    <n v="1"/>
    <n v="1100"/>
    <n v="0.15"/>
    <s v="Normal"/>
    <n v="2022"/>
    <s v="December"/>
  </r>
  <r>
    <n v="1859"/>
    <x v="0"/>
    <x v="3"/>
    <s v="West"/>
    <s v="Premium"/>
    <d v="2022-04-05T00:00:00"/>
    <d v="2023-06-13T00:00:00"/>
    <x v="885"/>
    <n v="6225"/>
    <n v="577.01"/>
    <s v="Pending"/>
    <n v="14"/>
    <d v="2023-06-13T00:00:00"/>
    <n v="0"/>
    <n v="1101"/>
    <n v="0.06"/>
    <s v="Normal"/>
    <n v="2023"/>
    <s v="June"/>
  </r>
  <r>
    <n v="1860"/>
    <x v="238"/>
    <x v="3"/>
    <s v="North"/>
    <s v="Basic"/>
    <d v="2022-05-19T00:00:00"/>
    <d v="2022-06-21T00:00:00"/>
    <x v="886"/>
    <n v="6927"/>
    <n v="577.01"/>
    <s v="Pending"/>
    <n v="1"/>
    <d v="2022-06-21T00:00:00"/>
    <n v="0"/>
    <n v="1102"/>
    <n v="0.13"/>
    <s v="Normal"/>
    <n v="2022"/>
    <s v="June"/>
  </r>
  <r>
    <n v="1862"/>
    <x v="274"/>
    <x v="4"/>
    <s v="South"/>
    <s v="Standard"/>
    <d v="2022-02-13T00:00:00"/>
    <d v="2022-06-30T00:00:00"/>
    <x v="887"/>
    <n v="4012.75"/>
    <n v="3131"/>
    <s v="Paid"/>
    <n v="4"/>
    <d v="2022-06-30T00:00:00"/>
    <n v="0"/>
    <n v="1103"/>
    <n v="1.06"/>
    <s v="Outlier"/>
    <n v="2022"/>
    <s v="June"/>
  </r>
  <r>
    <n v="1863"/>
    <x v="263"/>
    <x v="3"/>
    <s v="East"/>
    <s v="Basic"/>
    <d v="2022-11-19T00:00:00"/>
    <d v="2024-05-30T00:00:00"/>
    <x v="779"/>
    <n v="252"/>
    <n v="5064"/>
    <s v="Pending"/>
    <n v="18"/>
    <d v="2024-05-30T00:00:00"/>
    <n v="1"/>
    <n v="1104"/>
    <n v="0.95"/>
    <s v="Normal"/>
    <n v="2024"/>
    <s v="May"/>
  </r>
  <r>
    <n v="1865"/>
    <x v="376"/>
    <x v="2"/>
    <s v="North"/>
    <s v="Basic"/>
    <d v="2022-01-11T00:00:00"/>
    <d v="2022-11-23T00:00:00"/>
    <x v="888"/>
    <n v="1443"/>
    <n v="1611"/>
    <s v="Overdue"/>
    <n v="10"/>
    <d v="2022-11-23T00:00:00"/>
    <n v="1"/>
    <n v="1105"/>
    <n v="0.53"/>
    <s v="Normal"/>
    <n v="2022"/>
    <s v="November"/>
  </r>
  <r>
    <n v="1866"/>
    <x v="128"/>
    <x v="1"/>
    <s v="South"/>
    <s v="Premium"/>
    <d v="2022-06-01T00:00:00"/>
    <d v="2023-12-19T00:00:00"/>
    <x v="889"/>
    <n v="4012.75"/>
    <n v="8733"/>
    <s v="Overdue"/>
    <n v="18"/>
    <d v="2023-12-19T00:00:00"/>
    <n v="1"/>
    <n v="1106"/>
    <n v="1.04"/>
    <s v="Outlier"/>
    <n v="2023"/>
    <s v="December"/>
  </r>
  <r>
    <n v="1870"/>
    <x v="141"/>
    <x v="3"/>
    <s v="North"/>
    <s v="Standard"/>
    <d v="2022-02-14T00:00:00"/>
    <d v="2022-07-11T00:00:00"/>
    <x v="890"/>
    <n v="5284"/>
    <n v="4475"/>
    <s v="NA"/>
    <n v="4"/>
    <d v="2022-07-11T00:00:00"/>
    <n v="1"/>
    <n v="1107"/>
    <n v="0.46"/>
    <s v="Normal"/>
    <n v="2022"/>
    <s v="July"/>
  </r>
  <r>
    <n v="1871"/>
    <x v="18"/>
    <x v="1"/>
    <s v="West"/>
    <s v="Premium"/>
    <d v="2022-04-27T00:00:00"/>
    <d v="2022-10-07T00:00:00"/>
    <x v="891"/>
    <n v="1634"/>
    <n v="4267"/>
    <s v="Paid"/>
    <n v="5"/>
    <d v="2022-10-07T00:00:00"/>
    <n v="0"/>
    <n v="1108"/>
    <n v="0.72"/>
    <s v="Normal"/>
    <n v="2022"/>
    <s v="October"/>
  </r>
  <r>
    <n v="1872"/>
    <x v="30"/>
    <x v="4"/>
    <s v="West"/>
    <s v="Standard"/>
    <d v="2022-11-10T00:00:00"/>
    <d v="2023-11-27T00:00:00"/>
    <x v="892"/>
    <n v="5291"/>
    <n v="1583"/>
    <s v="Pending"/>
    <n v="12"/>
    <d v="2023-11-27T00:00:00"/>
    <n v="1"/>
    <n v="1109"/>
    <n v="0.23"/>
    <s v="Normal"/>
    <n v="2023"/>
    <s v="November"/>
  </r>
  <r>
    <n v="1875"/>
    <x v="282"/>
    <x v="4"/>
    <s v="East"/>
    <s v="Premium"/>
    <d v="2022-02-20T00:00:00"/>
    <d v="2023-04-21T00:00:00"/>
    <x v="893"/>
    <n v="6333"/>
    <n v="-2029"/>
    <s v="Paid"/>
    <n v="14"/>
    <d v="2023-04-21T00:00:00"/>
    <n v="1"/>
    <n v="1110"/>
    <n v="-0.47"/>
    <s v="Normal"/>
    <n v="2023"/>
    <s v="April"/>
  </r>
  <r>
    <n v="1876"/>
    <x v="380"/>
    <x v="1"/>
    <s v="West"/>
    <s v="Basic"/>
    <d v="2022-10-02T00:00:00"/>
    <d v="2023-08-21T00:00:00"/>
    <x v="894"/>
    <n v="7931"/>
    <n v="1051"/>
    <s v="Pending"/>
    <n v="10"/>
    <d v="2023-08-21T00:00:00"/>
    <n v="0"/>
    <n v="1111"/>
    <n v="0.12"/>
    <s v="Normal"/>
    <n v="2023"/>
    <s v="August"/>
  </r>
  <r>
    <n v="1879"/>
    <x v="194"/>
    <x v="3"/>
    <s v="East"/>
    <s v="Basic"/>
    <d v="2022-09-28T00:00:00"/>
    <d v="2024-05-12T00:00:00"/>
    <x v="895"/>
    <n v="4012.75"/>
    <n v="1974"/>
    <s v="NA"/>
    <n v="19"/>
    <d v="2024-05-12T00:00:00"/>
    <n v="0"/>
    <n v="1112"/>
    <n v="1.01"/>
    <s v="Outlier"/>
    <n v="2024"/>
    <s v="May"/>
  </r>
  <r>
    <n v="1881"/>
    <x v="381"/>
    <x v="2"/>
    <s v="South"/>
    <s v="Basic"/>
    <d v="2022-08-11T00:00:00"/>
    <d v="2023-04-28T00:00:00"/>
    <x v="896"/>
    <n v="4114"/>
    <n v="-777"/>
    <s v="Pending"/>
    <n v="8"/>
    <d v="2023-04-28T00:00:00"/>
    <n v="1"/>
    <n v="1113"/>
    <n v="-0.23"/>
    <s v="Normal"/>
    <n v="2023"/>
    <s v="April"/>
  </r>
  <r>
    <n v="1882"/>
    <x v="371"/>
    <x v="3"/>
    <s v="South"/>
    <s v="Basic"/>
    <d v="2022-10-19T00:00:00"/>
    <d v="2023-08-09T00:00:00"/>
    <x v="684"/>
    <n v="2477"/>
    <n v="-2283"/>
    <s v="Overdue"/>
    <n v="9"/>
    <d v="2023-08-09T00:00:00"/>
    <n v="0"/>
    <n v="1114"/>
    <n v="-11.77"/>
    <s v="Outlier"/>
    <n v="2023"/>
    <s v="August"/>
  </r>
  <r>
    <n v="1884"/>
    <x v="200"/>
    <x v="0"/>
    <s v="South"/>
    <s v="Basic"/>
    <d v="2022-05-23T00:00:00"/>
    <d v="2023-07-23T00:00:00"/>
    <x v="897"/>
    <n v="3011"/>
    <n v="-2473"/>
    <s v="Pending"/>
    <n v="14"/>
    <d v="2023-07-23T00:00:00"/>
    <n v="1"/>
    <n v="1115"/>
    <n v="-4.5999999999999996"/>
    <s v="Outlier"/>
    <n v="2023"/>
    <s v="July"/>
  </r>
  <r>
    <n v="1888"/>
    <x v="21"/>
    <x v="2"/>
    <s v="North"/>
    <s v="Basic"/>
    <d v="2022-03-01T00:00:00"/>
    <d v="2023-04-15T00:00:00"/>
    <x v="898"/>
    <n v="6753"/>
    <n v="-2055"/>
    <s v="Overdue"/>
    <n v="13"/>
    <d v="2023-04-15T00:00:00"/>
    <n v="1"/>
    <n v="1116"/>
    <n v="-0.44"/>
    <s v="Normal"/>
    <n v="2023"/>
    <s v="April"/>
  </r>
  <r>
    <n v="1890"/>
    <x v="345"/>
    <x v="1"/>
    <s v="South"/>
    <s v="Premium"/>
    <d v="2022-12-19T00:00:00"/>
    <d v="2023-06-02T00:00:00"/>
    <x v="899"/>
    <n v="6370"/>
    <n v="-1992"/>
    <s v="Pending"/>
    <n v="5"/>
    <d v="2023-06-02T00:00:00"/>
    <n v="1"/>
    <n v="1117"/>
    <n v="-0.46"/>
    <s v="Normal"/>
    <n v="2023"/>
    <s v="June"/>
  </r>
  <r>
    <n v="1891"/>
    <x v="203"/>
    <x v="0"/>
    <s v="East"/>
    <s v="Basic"/>
    <d v="2022-11-14T00:00:00"/>
    <d v="2024-03-29T00:00:00"/>
    <x v="900"/>
    <n v="1216"/>
    <n v="7843"/>
    <s v="Paid"/>
    <n v="16"/>
    <d v="2024-03-29T00:00:00"/>
    <n v="1"/>
    <n v="1118"/>
    <n v="0.87"/>
    <s v="Normal"/>
    <n v="2024"/>
    <s v="March"/>
  </r>
  <r>
    <n v="1893"/>
    <x v="216"/>
    <x v="2"/>
    <s v="South"/>
    <s v="Premium"/>
    <d v="2022-02-15T00:00:00"/>
    <d v="2023-08-04T00:00:00"/>
    <x v="901"/>
    <n v="2626"/>
    <n v="-921"/>
    <s v="Paid"/>
    <n v="17"/>
    <d v="2023-08-04T00:00:00"/>
    <n v="1"/>
    <n v="1119"/>
    <n v="-0.54"/>
    <s v="Normal"/>
    <n v="2023"/>
    <s v="August"/>
  </r>
  <r>
    <n v="1899"/>
    <x v="205"/>
    <x v="4"/>
    <s v="East"/>
    <s v="Basic"/>
    <d v="2022-08-05T00:00:00"/>
    <d v="2023-09-24T00:00:00"/>
    <x v="902"/>
    <n v="542"/>
    <n v="7732"/>
    <s v="Pending"/>
    <n v="13"/>
    <d v="2023-09-24T00:00:00"/>
    <n v="1"/>
    <n v="1120"/>
    <n v="0.93"/>
    <s v="Normal"/>
    <n v="2023"/>
    <s v="September"/>
  </r>
  <r>
    <n v="1900"/>
    <x v="262"/>
    <x v="2"/>
    <s v="West"/>
    <s v="Basic"/>
    <d v="2022-08-07T00:00:00"/>
    <d v="2024-01-10T00:00:00"/>
    <x v="903"/>
    <n v="5302"/>
    <n v="2325"/>
    <s v="Overdue"/>
    <n v="17"/>
    <d v="2024-01-10T00:00:00"/>
    <n v="1"/>
    <n v="1121"/>
    <n v="0.3"/>
    <s v="Normal"/>
    <n v="2024"/>
    <s v="January"/>
  </r>
  <r>
    <n v="1902"/>
    <x v="272"/>
    <x v="2"/>
    <s v="East"/>
    <s v="Premium"/>
    <d v="2022-02-03T00:00:00"/>
    <d v="2023-02-16T00:00:00"/>
    <x v="904"/>
    <n v="3370"/>
    <n v="-1189"/>
    <s v="Pending"/>
    <n v="12"/>
    <d v="2023-02-16T00:00:00"/>
    <n v="0"/>
    <n v="1122"/>
    <n v="-0.55000000000000004"/>
    <s v="Normal"/>
    <n v="2023"/>
    <s v="February"/>
  </r>
  <r>
    <n v="1903"/>
    <x v="165"/>
    <x v="3"/>
    <s v="East"/>
    <s v="Basic"/>
    <d v="2022-05-03T00:00:00"/>
    <d v="2023-05-10T00:00:00"/>
    <x v="899"/>
    <n v="935"/>
    <n v="3443"/>
    <s v="Paid"/>
    <n v="12"/>
    <d v="2023-05-10T00:00:00"/>
    <n v="0"/>
    <n v="1123"/>
    <n v="0.79"/>
    <s v="Normal"/>
    <n v="2023"/>
    <s v="May"/>
  </r>
  <r>
    <n v="1905"/>
    <x v="44"/>
    <x v="1"/>
    <s v="West"/>
    <s v="Basic"/>
    <d v="2022-01-01T00:00:00"/>
    <d v="2022-03-26T00:00:00"/>
    <x v="905"/>
    <n v="4012.75"/>
    <n v="4260"/>
    <s v="Pending"/>
    <n v="2"/>
    <d v="2022-03-26T00:00:00"/>
    <n v="1"/>
    <n v="1124"/>
    <n v="1.25"/>
    <s v="Outlier"/>
    <n v="2022"/>
    <s v="March"/>
  </r>
  <r>
    <n v="1907"/>
    <x v="129"/>
    <x v="0"/>
    <s v="East"/>
    <s v="Basic"/>
    <d v="2022-04-07T00:00:00"/>
    <d v="2023-08-27T00:00:00"/>
    <x v="906"/>
    <n v="5927"/>
    <n v="-2701"/>
    <s v="NA"/>
    <n v="16"/>
    <d v="2023-08-27T00:00:00"/>
    <n v="0"/>
    <n v="1125"/>
    <n v="-0.84"/>
    <s v="Normal"/>
    <n v="2023"/>
    <s v="August"/>
  </r>
  <r>
    <n v="1908"/>
    <x v="23"/>
    <x v="4"/>
    <s v="East"/>
    <s v="Standard"/>
    <d v="2022-11-22T00:00:00"/>
    <d v="2023-02-28T00:00:00"/>
    <x v="907"/>
    <n v="1120"/>
    <n v="577.01"/>
    <s v="Paid"/>
    <n v="3"/>
    <d v="2023-02-28T00:00:00"/>
    <n v="1"/>
    <n v="1126"/>
    <n v="7.0000000000000007E-2"/>
    <s v="Normal"/>
    <n v="2023"/>
    <s v="February"/>
  </r>
  <r>
    <n v="1911"/>
    <x v="23"/>
    <x v="0"/>
    <s v="West"/>
    <s v="Standard"/>
    <d v="2022-11-13T00:00:00"/>
    <d v="2024-03-23T00:00:00"/>
    <x v="17"/>
    <n v="5610"/>
    <n v="-6347"/>
    <s v="Paid"/>
    <n v="16"/>
    <d v="2024-03-23T00:00:00"/>
    <n v="0"/>
    <n v="1127"/>
    <n v="-1.28"/>
    <s v="Outlier"/>
    <n v="2024"/>
    <s v="March"/>
  </r>
  <r>
    <n v="1913"/>
    <x v="261"/>
    <x v="4"/>
    <s v="East"/>
    <s v="Basic"/>
    <d v="2022-09-04T00:00:00"/>
    <d v="2023-07-12T00:00:00"/>
    <x v="908"/>
    <n v="6150"/>
    <n v="697"/>
    <s v="Overdue"/>
    <n v="10"/>
    <d v="2023-07-12T00:00:00"/>
    <n v="1"/>
    <n v="1128"/>
    <n v="0.1"/>
    <s v="Normal"/>
    <n v="2023"/>
    <s v="July"/>
  </r>
  <r>
    <n v="1914"/>
    <x v="112"/>
    <x v="0"/>
    <s v="North"/>
    <s v="Basic"/>
    <d v="2022-02-10T00:00:00"/>
    <d v="2022-12-13T00:00:00"/>
    <x v="909"/>
    <n v="1998"/>
    <n v="6703"/>
    <s v="Paid"/>
    <n v="10"/>
    <d v="2022-12-13T00:00:00"/>
    <n v="1"/>
    <n v="1129"/>
    <n v="0.77"/>
    <s v="Normal"/>
    <n v="2022"/>
    <s v="December"/>
  </r>
  <r>
    <n v="1915"/>
    <x v="106"/>
    <x v="4"/>
    <s v="West"/>
    <s v="Basic"/>
    <d v="2022-10-21T00:00:00"/>
    <d v="2024-02-01T00:00:00"/>
    <x v="910"/>
    <n v="7254"/>
    <n v="-621"/>
    <s v="Overdue"/>
    <n v="15"/>
    <d v="2024-02-01T00:00:00"/>
    <n v="1"/>
    <n v="1130"/>
    <n v="-0.09"/>
    <s v="Normal"/>
    <n v="2024"/>
    <s v="February"/>
  </r>
  <r>
    <n v="1916"/>
    <x v="170"/>
    <x v="1"/>
    <s v="North"/>
    <s v="Premium"/>
    <d v="2022-09-17T00:00:00"/>
    <d v="2024-04-18T00:00:00"/>
    <x v="911"/>
    <n v="7386"/>
    <n v="-4216"/>
    <s v="Paid"/>
    <n v="19"/>
    <d v="2024-04-18T00:00:00"/>
    <n v="0"/>
    <n v="1131"/>
    <n v="-1.33"/>
    <s v="Outlier"/>
    <n v="2024"/>
    <s v="April"/>
  </r>
  <r>
    <n v="1917"/>
    <x v="186"/>
    <x v="2"/>
    <s v="South"/>
    <s v="Basic"/>
    <d v="2022-12-29T00:00:00"/>
    <d v="2023-05-17T00:00:00"/>
    <x v="17"/>
    <n v="1802"/>
    <n v="577.01"/>
    <s v="Overdue"/>
    <n v="4"/>
    <d v="2023-05-17T00:00:00"/>
    <n v="1"/>
    <n v="1132"/>
    <n v="0.12"/>
    <s v="Normal"/>
    <n v="2023"/>
    <s v="May"/>
  </r>
  <r>
    <n v="1918"/>
    <x v="200"/>
    <x v="3"/>
    <s v="West"/>
    <s v="Standard"/>
    <d v="2022-04-29T00:00:00"/>
    <d v="2022-10-05T00:00:00"/>
    <x v="267"/>
    <n v="1634"/>
    <n v="6345"/>
    <s v="NA"/>
    <n v="5"/>
    <d v="2022-10-05T00:00:00"/>
    <n v="1"/>
    <n v="1133"/>
    <n v="0.8"/>
    <s v="Normal"/>
    <n v="2022"/>
    <s v="October"/>
  </r>
  <r>
    <n v="1919"/>
    <x v="36"/>
    <x v="3"/>
    <s v="East"/>
    <s v="Premium"/>
    <d v="2022-06-11T00:00:00"/>
    <d v="2023-11-15T00:00:00"/>
    <x v="912"/>
    <n v="6162"/>
    <n v="-3882"/>
    <s v="Pending"/>
    <n v="17"/>
    <d v="2023-11-15T00:00:00"/>
    <n v="1"/>
    <n v="1134"/>
    <n v="-1.7"/>
    <s v="Outlier"/>
    <n v="2023"/>
    <s v="November"/>
  </r>
  <r>
    <n v="1920"/>
    <x v="338"/>
    <x v="4"/>
    <s v="South"/>
    <s v="Standard"/>
    <d v="2022-06-15T00:00:00"/>
    <d v="2023-10-28T00:00:00"/>
    <x v="566"/>
    <n v="4012.75"/>
    <n v="9767"/>
    <s v="Paid"/>
    <n v="16"/>
    <d v="2023-10-28T00:00:00"/>
    <n v="1"/>
    <n v="1135"/>
    <n v="1.04"/>
    <s v="Outlier"/>
    <n v="2023"/>
    <s v="October"/>
  </r>
  <r>
    <n v="1922"/>
    <x v="114"/>
    <x v="3"/>
    <s v="North"/>
    <s v="Standard"/>
    <d v="2022-06-25T00:00:00"/>
    <d v="2022-09-24T00:00:00"/>
    <x v="913"/>
    <n v="3037"/>
    <n v="4749"/>
    <s v="Overdue"/>
    <n v="2"/>
    <d v="2022-09-24T00:00:00"/>
    <n v="1"/>
    <n v="1136"/>
    <n v="0.61"/>
    <s v="Normal"/>
    <n v="2022"/>
    <s v="September"/>
  </r>
  <r>
    <n v="1924"/>
    <x v="382"/>
    <x v="3"/>
    <s v="East"/>
    <s v="Premium"/>
    <d v="2022-11-05T00:00:00"/>
    <d v="2023-06-30T00:00:00"/>
    <x v="17"/>
    <n v="4012.75"/>
    <n v="56"/>
    <s v="NA"/>
    <n v="7"/>
    <d v="2023-06-30T00:00:00"/>
    <n v="1"/>
    <n v="1137"/>
    <n v="0.01"/>
    <s v="Normal"/>
    <n v="2023"/>
    <s v="June"/>
  </r>
  <r>
    <n v="1925"/>
    <x v="360"/>
    <x v="3"/>
    <s v="South"/>
    <s v="Basic"/>
    <d v="2022-08-15T00:00:00"/>
    <d v="2022-10-02T00:00:00"/>
    <x v="914"/>
    <n v="6248"/>
    <n v="577.01"/>
    <s v="Pending"/>
    <n v="1"/>
    <d v="2022-10-02T00:00:00"/>
    <n v="1"/>
    <n v="1138"/>
    <n v="0.16"/>
    <s v="Normal"/>
    <n v="2022"/>
    <s v="October"/>
  </r>
  <r>
    <n v="1927"/>
    <x v="67"/>
    <x v="0"/>
    <s v="North"/>
    <s v="Basic"/>
    <d v="2022-02-19T00:00:00"/>
    <d v="2022-08-17T00:00:00"/>
    <x v="915"/>
    <n v="6864"/>
    <n v="-4344"/>
    <s v="Paid"/>
    <n v="5"/>
    <d v="2022-08-17T00:00:00"/>
    <n v="0"/>
    <n v="1139"/>
    <n v="-1.72"/>
    <s v="Outlier"/>
    <n v="2022"/>
    <s v="August"/>
  </r>
  <r>
    <n v="1931"/>
    <x v="85"/>
    <x v="2"/>
    <s v="North"/>
    <s v="Basic"/>
    <d v="2022-11-22T00:00:00"/>
    <d v="2024-04-25T00:00:00"/>
    <x v="17"/>
    <n v="7185"/>
    <n v="-7621"/>
    <s v="Pending"/>
    <n v="17"/>
    <d v="2024-04-25T00:00:00"/>
    <n v="0"/>
    <n v="1140"/>
    <n v="-1.53"/>
    <s v="Outlier"/>
    <n v="2024"/>
    <s v="April"/>
  </r>
  <r>
    <n v="1932"/>
    <x v="283"/>
    <x v="4"/>
    <s v="North"/>
    <s v="Standard"/>
    <d v="2022-12-09T00:00:00"/>
    <d v="2023-09-02T00:00:00"/>
    <x v="916"/>
    <n v="5199"/>
    <n v="-4118"/>
    <s v="Paid"/>
    <n v="8"/>
    <d v="2023-09-02T00:00:00"/>
    <n v="1"/>
    <n v="1141"/>
    <n v="-3.81"/>
    <s v="Outlier"/>
    <n v="2023"/>
    <s v="September"/>
  </r>
  <r>
    <n v="1933"/>
    <x v="198"/>
    <x v="2"/>
    <s v="East"/>
    <s v="Premium"/>
    <d v="2022-03-21T00:00:00"/>
    <d v="2023-01-20T00:00:00"/>
    <x v="17"/>
    <n v="4012.75"/>
    <n v="25"/>
    <s v="Overdue"/>
    <n v="9"/>
    <d v="2023-01-20T00:00:00"/>
    <n v="1"/>
    <n v="1142"/>
    <n v="0.01"/>
    <s v="Normal"/>
    <n v="2023"/>
    <s v="January"/>
  </r>
  <r>
    <n v="1934"/>
    <x v="69"/>
    <x v="0"/>
    <s v="North"/>
    <s v="Standard"/>
    <d v="2022-05-15T00:00:00"/>
    <d v="2022-10-05T00:00:00"/>
    <x v="917"/>
    <n v="2917"/>
    <n v="436"/>
    <s v="Paid"/>
    <n v="4"/>
    <d v="2022-10-05T00:00:00"/>
    <n v="1"/>
    <n v="1143"/>
    <n v="0.13"/>
    <s v="Normal"/>
    <n v="2022"/>
    <s v="October"/>
  </r>
  <r>
    <n v="1938"/>
    <x v="255"/>
    <x v="0"/>
    <s v="South"/>
    <s v="Premium"/>
    <d v="2022-06-15T00:00:00"/>
    <d v="2022-07-25T00:00:00"/>
    <x v="918"/>
    <n v="7526"/>
    <n v="-291"/>
    <s v="Overdue"/>
    <n v="1"/>
    <d v="2022-07-25T00:00:00"/>
    <n v="0"/>
    <n v="1144"/>
    <n v="-0.04"/>
    <s v="Normal"/>
    <n v="2022"/>
    <s v="July"/>
  </r>
  <r>
    <n v="1940"/>
    <x v="197"/>
    <x v="2"/>
    <s v="West"/>
    <s v="Standard"/>
    <d v="2022-01-20T00:00:00"/>
    <d v="2022-02-27T00:00:00"/>
    <x v="919"/>
    <n v="5928"/>
    <n v="1849"/>
    <s v="NA"/>
    <n v="1"/>
    <d v="2022-02-27T00:00:00"/>
    <n v="1"/>
    <n v="1145"/>
    <n v="0.24"/>
    <s v="Normal"/>
    <n v="2022"/>
    <s v="February"/>
  </r>
  <r>
    <n v="1941"/>
    <x v="88"/>
    <x v="1"/>
    <s v="West"/>
    <s v="Premium"/>
    <d v="2022-09-04T00:00:00"/>
    <d v="2023-01-02T00:00:00"/>
    <x v="920"/>
    <n v="1524"/>
    <n v="2131"/>
    <s v="NA"/>
    <n v="3"/>
    <d v="2023-01-02T00:00:00"/>
    <n v="0"/>
    <n v="1146"/>
    <n v="0.57999999999999996"/>
    <s v="Normal"/>
    <n v="2023"/>
    <s v="January"/>
  </r>
  <r>
    <n v="1943"/>
    <x v="108"/>
    <x v="3"/>
    <s v="East"/>
    <s v="Premium"/>
    <d v="2022-10-28T00:00:00"/>
    <d v="2023-12-31T00:00:00"/>
    <x v="921"/>
    <n v="6039"/>
    <n v="3849"/>
    <s v="Pending"/>
    <n v="14"/>
    <d v="2023-12-31T00:00:00"/>
    <n v="1"/>
    <n v="1147"/>
    <n v="0.39"/>
    <s v="Normal"/>
    <n v="2023"/>
    <s v="December"/>
  </r>
  <r>
    <n v="1945"/>
    <x v="383"/>
    <x v="2"/>
    <s v="South"/>
    <s v="Premium"/>
    <d v="2022-04-29T00:00:00"/>
    <d v="2022-10-09T00:00:00"/>
    <x v="922"/>
    <n v="2121"/>
    <n v="5940"/>
    <s v="Pending"/>
    <n v="5"/>
    <d v="2022-10-09T00:00:00"/>
    <n v="1"/>
    <n v="1148"/>
    <n v="0.74"/>
    <s v="Normal"/>
    <n v="2022"/>
    <s v="October"/>
  </r>
  <r>
    <n v="1946"/>
    <x v="333"/>
    <x v="2"/>
    <s v="South"/>
    <s v="Basic"/>
    <d v="2022-09-05T00:00:00"/>
    <d v="2023-10-02T00:00:00"/>
    <x v="17"/>
    <n v="161"/>
    <n v="-1683"/>
    <s v="Overdue"/>
    <n v="12"/>
    <d v="2023-10-02T00:00:00"/>
    <n v="0"/>
    <n v="1149"/>
    <n v="-0.34"/>
    <s v="Normal"/>
    <n v="2023"/>
    <s v="October"/>
  </r>
  <r>
    <n v="1948"/>
    <x v="214"/>
    <x v="3"/>
    <s v="East"/>
    <s v="Basic"/>
    <d v="2022-09-08T00:00:00"/>
    <d v="2024-03-23T00:00:00"/>
    <x v="923"/>
    <n v="485"/>
    <n v="2823"/>
    <s v="Pending"/>
    <n v="18"/>
    <d v="2024-03-23T00:00:00"/>
    <n v="0"/>
    <n v="1150"/>
    <n v="0.85"/>
    <s v="Normal"/>
    <n v="2024"/>
    <s v="March"/>
  </r>
  <r>
    <n v="1950"/>
    <x v="316"/>
    <x v="2"/>
    <s v="East"/>
    <s v="Standard"/>
    <d v="2022-09-07T00:00:00"/>
    <d v="2023-06-03T00:00:00"/>
    <x v="924"/>
    <n v="6555"/>
    <n v="-5525"/>
    <s v="Paid"/>
    <n v="8"/>
    <d v="2023-06-03T00:00:00"/>
    <n v="0"/>
    <n v="1151"/>
    <n v="-5.36"/>
    <s v="Outlier"/>
    <n v="2023"/>
    <s v="June"/>
  </r>
  <r>
    <n v="1955"/>
    <x v="341"/>
    <x v="3"/>
    <s v="East"/>
    <s v="Premium"/>
    <d v="2022-12-13T00:00:00"/>
    <d v="2024-05-12T00:00:00"/>
    <x v="925"/>
    <n v="3352"/>
    <n v="577.01"/>
    <s v="NA"/>
    <n v="16"/>
    <d v="2024-05-12T00:00:00"/>
    <n v="1"/>
    <n v="1152"/>
    <n v="0.2"/>
    <s v="Normal"/>
    <n v="2024"/>
    <s v="May"/>
  </r>
  <r>
    <n v="1957"/>
    <x v="117"/>
    <x v="2"/>
    <s v="East"/>
    <s v="Premium"/>
    <d v="2022-10-04T00:00:00"/>
    <d v="2024-04-12T00:00:00"/>
    <x v="17"/>
    <n v="4304"/>
    <n v="-6101"/>
    <s v="Overdue"/>
    <n v="18"/>
    <d v="2024-04-12T00:00:00"/>
    <n v="0"/>
    <n v="1153"/>
    <n v="-1.23"/>
    <s v="Outlier"/>
    <n v="2024"/>
    <s v="April"/>
  </r>
  <r>
    <n v="1958"/>
    <x v="242"/>
    <x v="1"/>
    <s v="West"/>
    <s v="Premium"/>
    <d v="2022-04-09T00:00:00"/>
    <d v="2023-09-16T00:00:00"/>
    <x v="17"/>
    <n v="6707"/>
    <n v="-8074"/>
    <s v="Pending"/>
    <n v="17"/>
    <d v="2023-09-16T00:00:00"/>
    <n v="0"/>
    <n v="1154"/>
    <n v="-1.63"/>
    <s v="Outlier"/>
    <n v="2023"/>
    <s v="September"/>
  </r>
  <r>
    <n v="1961"/>
    <x v="348"/>
    <x v="3"/>
    <s v="East"/>
    <s v="Premium"/>
    <d v="2022-03-22T00:00:00"/>
    <d v="2023-11-02T00:00:00"/>
    <x v="17"/>
    <n v="1899"/>
    <n v="-3617"/>
    <s v="Overdue"/>
    <n v="19"/>
    <d v="2023-11-02T00:00:00"/>
    <n v="0"/>
    <n v="1155"/>
    <n v="-0.73"/>
    <s v="Normal"/>
    <n v="2023"/>
    <s v="November"/>
  </r>
  <r>
    <n v="1964"/>
    <x v="155"/>
    <x v="0"/>
    <s v="East"/>
    <s v="Standard"/>
    <d v="2022-11-21T00:00:00"/>
    <d v="2023-02-18T00:00:00"/>
    <x v="926"/>
    <n v="1420"/>
    <n v="4248"/>
    <s v="Overdue"/>
    <n v="2"/>
    <d v="2023-02-18T00:00:00"/>
    <n v="1"/>
    <n v="1156"/>
    <n v="0.75"/>
    <s v="Normal"/>
    <n v="2023"/>
    <s v="February"/>
  </r>
  <r>
    <n v="1965"/>
    <x v="60"/>
    <x v="2"/>
    <s v="West"/>
    <s v="Standard"/>
    <d v="2022-08-11T00:00:00"/>
    <d v="2023-07-29T00:00:00"/>
    <x v="927"/>
    <n v="1373"/>
    <n v="2382"/>
    <s v="Pending"/>
    <n v="11"/>
    <d v="2023-07-29T00:00:00"/>
    <n v="0"/>
    <n v="1157"/>
    <n v="0.63"/>
    <s v="Normal"/>
    <n v="2023"/>
    <s v="July"/>
  </r>
  <r>
    <n v="1969"/>
    <x v="232"/>
    <x v="3"/>
    <s v="South"/>
    <s v="Basic"/>
    <d v="2022-04-26T00:00:00"/>
    <d v="2023-03-14T00:00:00"/>
    <x v="928"/>
    <n v="6404"/>
    <n v="2383"/>
    <s v="NA"/>
    <n v="10"/>
    <d v="2023-03-14T00:00:00"/>
    <n v="0"/>
    <n v="1158"/>
    <n v="0.27"/>
    <s v="Normal"/>
    <n v="2023"/>
    <s v="March"/>
  </r>
  <r>
    <n v="1974"/>
    <x v="77"/>
    <x v="1"/>
    <s v="West"/>
    <s v="Basic"/>
    <d v="2022-05-19T00:00:00"/>
    <d v="2023-11-30T00:00:00"/>
    <x v="929"/>
    <n v="4739"/>
    <n v="3871"/>
    <s v="Pending"/>
    <n v="18"/>
    <d v="2023-11-30T00:00:00"/>
    <n v="1"/>
    <n v="1159"/>
    <n v="0.45"/>
    <s v="Normal"/>
    <n v="2023"/>
    <s v="November"/>
  </r>
  <r>
    <n v="1975"/>
    <x v="244"/>
    <x v="4"/>
    <s v="North"/>
    <s v="Premium"/>
    <d v="2022-12-01T00:00:00"/>
    <d v="2023-07-21T00:00:00"/>
    <x v="930"/>
    <n v="6591"/>
    <n v="-6131"/>
    <s v="Overdue"/>
    <n v="7"/>
    <d v="2023-07-21T00:00:00"/>
    <n v="1"/>
    <n v="1160"/>
    <n v="-13.33"/>
    <s v="Outlier"/>
    <n v="2023"/>
    <s v="July"/>
  </r>
  <r>
    <n v="1976"/>
    <x v="226"/>
    <x v="1"/>
    <s v="East"/>
    <s v="Basic"/>
    <d v="2022-11-28T00:00:00"/>
    <d v="2024-05-09T00:00:00"/>
    <x v="17"/>
    <n v="6885"/>
    <n v="-8054"/>
    <s v="Paid"/>
    <n v="17"/>
    <d v="2024-05-09T00:00:00"/>
    <n v="0"/>
    <n v="1161"/>
    <n v="-1.62"/>
    <s v="Outlier"/>
    <n v="2024"/>
    <s v="May"/>
  </r>
  <r>
    <n v="1977"/>
    <x v="138"/>
    <x v="2"/>
    <s v="South"/>
    <s v="Premium"/>
    <d v="2022-07-12T00:00:00"/>
    <d v="2023-04-07T00:00:00"/>
    <x v="931"/>
    <n v="4139"/>
    <n v="-3642"/>
    <s v="Paid"/>
    <n v="8"/>
    <d v="2023-04-07T00:00:00"/>
    <n v="1"/>
    <n v="1162"/>
    <n v="-7.33"/>
    <s v="Outlier"/>
    <n v="2023"/>
    <s v="April"/>
  </r>
  <r>
    <n v="1978"/>
    <x v="61"/>
    <x v="2"/>
    <s v="North"/>
    <s v="Basic"/>
    <d v="2022-01-31T00:00:00"/>
    <d v="2023-01-09T00:00:00"/>
    <x v="932"/>
    <n v="7209"/>
    <n v="-3618"/>
    <s v="Paid"/>
    <n v="11"/>
    <d v="2023-01-09T00:00:00"/>
    <n v="0"/>
    <n v="1163"/>
    <n v="-1.01"/>
    <s v="Outlier"/>
    <n v="2023"/>
    <s v="January"/>
  </r>
  <r>
    <n v="1979"/>
    <x v="33"/>
    <x v="3"/>
    <s v="South"/>
    <s v="Premium"/>
    <d v="2022-05-09T00:00:00"/>
    <d v="2022-10-27T00:00:00"/>
    <x v="933"/>
    <n v="4950"/>
    <n v="-334"/>
    <s v="NA"/>
    <n v="5"/>
    <d v="2022-10-27T00:00:00"/>
    <n v="1"/>
    <n v="1164"/>
    <n v="-7.0000000000000007E-2"/>
    <s v="Normal"/>
    <n v="2022"/>
    <s v="October"/>
  </r>
  <r>
    <n v="1980"/>
    <x v="201"/>
    <x v="0"/>
    <s v="North"/>
    <s v="Premium"/>
    <d v="2022-11-02T00:00:00"/>
    <d v="2023-03-08T00:00:00"/>
    <x v="934"/>
    <n v="24"/>
    <n v="7082"/>
    <s v="Paid"/>
    <n v="4"/>
    <d v="2023-03-08T00:00:00"/>
    <n v="1"/>
    <n v="1165"/>
    <n v="1"/>
    <s v="Normal"/>
    <n v="2023"/>
    <s v="March"/>
  </r>
  <r>
    <n v="1981"/>
    <x v="252"/>
    <x v="1"/>
    <s v="North"/>
    <s v="Premium"/>
    <d v="2022-12-18T00:00:00"/>
    <d v="2023-08-22T00:00:00"/>
    <x v="935"/>
    <n v="3547"/>
    <n v="2206"/>
    <s v="Overdue"/>
    <n v="8"/>
    <d v="2023-08-22T00:00:00"/>
    <n v="0"/>
    <n v="1166"/>
    <n v="0.38"/>
    <s v="Normal"/>
    <n v="2023"/>
    <s v="August"/>
  </r>
  <r>
    <n v="1982"/>
    <x v="219"/>
    <x v="0"/>
    <s v="West"/>
    <s v="Basic"/>
    <d v="2022-09-05T00:00:00"/>
    <d v="2023-07-12T00:00:00"/>
    <x v="936"/>
    <n v="4012.75"/>
    <n v="3925"/>
    <s v="Pending"/>
    <n v="10"/>
    <d v="2023-07-12T00:00:00"/>
    <n v="1"/>
    <n v="1167"/>
    <n v="1.17"/>
    <s v="Outlier"/>
    <n v="2023"/>
    <s v="July"/>
  </r>
  <r>
    <n v="1983"/>
    <x v="183"/>
    <x v="4"/>
    <s v="East"/>
    <s v="Basic"/>
    <d v="2022-11-15T00:00:00"/>
    <d v="2024-03-28T00:00:00"/>
    <x v="937"/>
    <n v="6588"/>
    <n v="-304"/>
    <s v="NA"/>
    <n v="16"/>
    <d v="2024-03-28T00:00:00"/>
    <n v="0"/>
    <n v="1168"/>
    <n v="-0.05"/>
    <s v="Normal"/>
    <n v="2024"/>
    <s v="March"/>
  </r>
  <r>
    <n v="1989"/>
    <x v="149"/>
    <x v="2"/>
    <s v="North"/>
    <s v="Premium"/>
    <d v="2022-07-22T00:00:00"/>
    <d v="2023-06-09T00:00:00"/>
    <x v="556"/>
    <n v="4012.75"/>
    <n v="9528"/>
    <s v="Pending"/>
    <n v="10"/>
    <d v="2023-06-09T00:00:00"/>
    <n v="0"/>
    <n v="1169"/>
    <n v="1.1000000000000001"/>
    <s v="Outlier"/>
    <n v="2023"/>
    <s v="June"/>
  </r>
  <r>
    <n v="1990"/>
    <x v="278"/>
    <x v="0"/>
    <s v="West"/>
    <s v="Basic"/>
    <d v="2022-08-25T00:00:00"/>
    <d v="2024-03-30T00:00:00"/>
    <x v="938"/>
    <n v="4012.75"/>
    <n v="6291"/>
    <s v="Overdue"/>
    <n v="19"/>
    <d v="2024-03-30T00:00:00"/>
    <n v="1"/>
    <n v="1170"/>
    <n v="1.06"/>
    <s v="Outlier"/>
    <n v="2024"/>
    <s v="March"/>
  </r>
  <r>
    <n v="1992"/>
    <x v="376"/>
    <x v="1"/>
    <s v="North"/>
    <s v="Premium"/>
    <d v="2022-06-27T00:00:00"/>
    <d v="2023-07-28T00:00:00"/>
    <x v="939"/>
    <n v="4276"/>
    <n v="-4030"/>
    <s v="Overdue"/>
    <n v="13"/>
    <d v="2023-07-28T00:00:00"/>
    <n v="1"/>
    <n v="1171"/>
    <n v="-16.38"/>
    <s v="Outlier"/>
    <n v="2023"/>
    <s v="July"/>
  </r>
  <r>
    <n v="1994"/>
    <x v="193"/>
    <x v="3"/>
    <s v="North"/>
    <s v="Premium"/>
    <d v="2022-07-15T00:00:00"/>
    <d v="2022-10-23T00:00:00"/>
    <x v="17"/>
    <n v="1587"/>
    <n v="-1762"/>
    <s v="NA"/>
    <n v="3"/>
    <d v="2022-10-23T00:00:00"/>
    <n v="0"/>
    <n v="1172"/>
    <n v="-0.35"/>
    <s v="Normal"/>
    <n v="2022"/>
    <s v="October"/>
  </r>
  <r>
    <n v="1996"/>
    <x v="11"/>
    <x v="1"/>
    <s v="North"/>
    <s v="Premium"/>
    <d v="2022-09-27T00:00:00"/>
    <d v="2023-12-25T00:00:00"/>
    <x v="940"/>
    <n v="6091"/>
    <n v="3323"/>
    <s v="Overdue"/>
    <n v="14"/>
    <d v="2023-12-25T00:00:00"/>
    <n v="1"/>
    <n v="1173"/>
    <n v="0.35"/>
    <s v="Normal"/>
    <n v="2023"/>
    <s v="December"/>
  </r>
  <r>
    <n v="1997"/>
    <x v="384"/>
    <x v="0"/>
    <s v="West"/>
    <s v="Basic"/>
    <d v="2022-12-08T00:00:00"/>
    <d v="2023-09-19T00:00:00"/>
    <x v="11"/>
    <n v="6851"/>
    <n v="-1961"/>
    <s v="Paid"/>
    <n v="9"/>
    <d v="2023-09-19T00:00:00"/>
    <n v="0"/>
    <n v="1174"/>
    <n v="-0.4"/>
    <s v="Normal"/>
    <n v="2023"/>
    <s v="September"/>
  </r>
  <r>
    <n v="1998"/>
    <x v="112"/>
    <x v="2"/>
    <s v="North"/>
    <s v="Standard"/>
    <d v="2022-08-26T00:00:00"/>
    <d v="2022-12-23T00:00:00"/>
    <x v="941"/>
    <n v="1279"/>
    <n v="3253"/>
    <s v="NA"/>
    <n v="3"/>
    <d v="2022-12-23T00:00:00"/>
    <n v="0"/>
    <n v="1175"/>
    <n v="0.72"/>
    <s v="Normal"/>
    <n v="2022"/>
    <s v="December"/>
  </r>
  <r>
    <n v="2001"/>
    <x v="338"/>
    <x v="1"/>
    <s v="South"/>
    <s v="Standard"/>
    <d v="2022-07-18T00:00:00"/>
    <d v="2022-09-12T00:00:00"/>
    <x v="942"/>
    <n v="1314"/>
    <n v="-30"/>
    <s v="NA"/>
    <n v="1"/>
    <d v="2022-09-12T00:00:00"/>
    <n v="0"/>
    <n v="1176"/>
    <n v="-0.02"/>
    <s v="Normal"/>
    <n v="2022"/>
    <s v="September"/>
  </r>
  <r>
    <n v="2003"/>
    <x v="156"/>
    <x v="0"/>
    <s v="South"/>
    <s v="Standard"/>
    <d v="2022-05-13T00:00:00"/>
    <d v="2022-07-07T00:00:00"/>
    <x v="17"/>
    <n v="2920"/>
    <n v="-4509"/>
    <s v="Pending"/>
    <n v="1"/>
    <d v="2022-07-07T00:00:00"/>
    <n v="0"/>
    <n v="1177"/>
    <n v="-0.91"/>
    <s v="Normal"/>
    <n v="2022"/>
    <s v="July"/>
  </r>
  <r>
    <n v="2004"/>
    <x v="291"/>
    <x v="4"/>
    <s v="North"/>
    <s v="Premium"/>
    <d v="2022-03-06T00:00:00"/>
    <d v="2023-08-29T00:00:00"/>
    <x v="943"/>
    <n v="3154"/>
    <n v="833"/>
    <s v="Pending"/>
    <n v="17"/>
    <d v="2023-08-29T00:00:00"/>
    <n v="1"/>
    <n v="1178"/>
    <n v="0.21"/>
    <s v="Normal"/>
    <n v="2023"/>
    <s v="August"/>
  </r>
  <r>
    <n v="2007"/>
    <x v="269"/>
    <x v="4"/>
    <s v="West"/>
    <s v="Basic"/>
    <d v="2022-09-10T00:00:00"/>
    <d v="2024-01-16T00:00:00"/>
    <x v="944"/>
    <n v="104"/>
    <n v="2329"/>
    <s v="Paid"/>
    <n v="16"/>
    <d v="2024-01-16T00:00:00"/>
    <n v="1"/>
    <n v="1179"/>
    <n v="0.96"/>
    <s v="Normal"/>
    <n v="2024"/>
    <s v="January"/>
  </r>
  <r>
    <n v="2008"/>
    <x v="324"/>
    <x v="1"/>
    <s v="East"/>
    <s v="Standard"/>
    <d v="2022-04-14T00:00:00"/>
    <d v="2023-11-07T00:00:00"/>
    <x v="945"/>
    <n v="3452"/>
    <n v="4456"/>
    <s v="Overdue"/>
    <n v="18"/>
    <d v="2023-11-07T00:00:00"/>
    <n v="1"/>
    <n v="1180"/>
    <n v="0.56000000000000005"/>
    <s v="Normal"/>
    <n v="2023"/>
    <s v="November"/>
  </r>
  <r>
    <n v="2010"/>
    <x v="22"/>
    <x v="0"/>
    <s v="South"/>
    <s v="Standard"/>
    <d v="2022-12-13T00:00:00"/>
    <d v="2023-11-14T00:00:00"/>
    <x v="946"/>
    <n v="4012.75"/>
    <n v="3154"/>
    <s v="Pending"/>
    <n v="11"/>
    <d v="2023-11-14T00:00:00"/>
    <n v="1"/>
    <n v="1181"/>
    <n v="1.04"/>
    <s v="Outlier"/>
    <n v="2023"/>
    <s v="November"/>
  </r>
  <r>
    <n v="2011"/>
    <x v="385"/>
    <x v="4"/>
    <s v="East"/>
    <s v="Standard"/>
    <d v="2022-07-26T00:00:00"/>
    <d v="2023-11-11T00:00:00"/>
    <x v="17"/>
    <n v="4636"/>
    <n v="-5826"/>
    <s v="Pending"/>
    <n v="15"/>
    <d v="2023-11-11T00:00:00"/>
    <n v="0"/>
    <n v="1182"/>
    <n v="-1.17"/>
    <s v="Outlier"/>
    <n v="2023"/>
    <s v="November"/>
  </r>
  <r>
    <n v="2013"/>
    <x v="386"/>
    <x v="4"/>
    <s v="East"/>
    <s v="Premium"/>
    <d v="2022-08-26T00:00:00"/>
    <d v="2023-06-21T00:00:00"/>
    <x v="947"/>
    <n v="4888"/>
    <n v="5029"/>
    <s v="Pending"/>
    <n v="9"/>
    <d v="2023-06-21T00:00:00"/>
    <n v="1"/>
    <n v="1183"/>
    <n v="0.51"/>
    <s v="Normal"/>
    <n v="2023"/>
    <s v="June"/>
  </r>
  <r>
    <n v="2014"/>
    <x v="68"/>
    <x v="4"/>
    <s v="West"/>
    <s v="Basic"/>
    <d v="2022-10-11T00:00:00"/>
    <d v="2023-08-11T00:00:00"/>
    <x v="948"/>
    <n v="6622"/>
    <n v="-1669"/>
    <s v="Pending"/>
    <n v="10"/>
    <d v="2023-08-11T00:00:00"/>
    <n v="1"/>
    <n v="1184"/>
    <n v="-0.34"/>
    <s v="Normal"/>
    <n v="2023"/>
    <s v="August"/>
  </r>
  <r>
    <n v="2015"/>
    <x v="9"/>
    <x v="1"/>
    <s v="North"/>
    <s v="Basic"/>
    <d v="2022-08-10T00:00:00"/>
    <d v="2023-01-20T00:00:00"/>
    <x v="949"/>
    <n v="6063"/>
    <n v="577.01"/>
    <s v="Paid"/>
    <n v="5"/>
    <d v="2023-01-20T00:00:00"/>
    <n v="1"/>
    <n v="1185"/>
    <n v="0.74"/>
    <s v="Normal"/>
    <n v="2023"/>
    <s v="January"/>
  </r>
  <r>
    <n v="2016"/>
    <x v="118"/>
    <x v="3"/>
    <s v="East"/>
    <s v="Basic"/>
    <d v="2022-02-09T00:00:00"/>
    <d v="2023-07-12T00:00:00"/>
    <x v="950"/>
    <n v="1644"/>
    <n v="2227"/>
    <s v="Paid"/>
    <n v="17"/>
    <d v="2023-07-12T00:00:00"/>
    <n v="0"/>
    <n v="1186"/>
    <n v="0.57999999999999996"/>
    <s v="Normal"/>
    <n v="2023"/>
    <s v="July"/>
  </r>
  <r>
    <n v="2017"/>
    <x v="387"/>
    <x v="0"/>
    <s v="East"/>
    <s v="Standard"/>
    <d v="2022-06-05T00:00:00"/>
    <d v="2022-09-12T00:00:00"/>
    <x v="951"/>
    <n v="2698"/>
    <n v="4251"/>
    <s v="Overdue"/>
    <n v="3"/>
    <d v="2022-09-12T00:00:00"/>
    <n v="1"/>
    <n v="1187"/>
    <n v="0.61"/>
    <s v="Normal"/>
    <n v="2022"/>
    <s v="September"/>
  </r>
  <r>
    <n v="2020"/>
    <x v="97"/>
    <x v="0"/>
    <s v="East"/>
    <s v="Basic"/>
    <d v="2022-05-07T00:00:00"/>
    <d v="2023-01-11T00:00:00"/>
    <x v="952"/>
    <n v="6563"/>
    <n v="226"/>
    <s v="Overdue"/>
    <n v="8"/>
    <d v="2023-01-11T00:00:00"/>
    <n v="1"/>
    <n v="1188"/>
    <n v="0.03"/>
    <s v="Normal"/>
    <n v="2023"/>
    <s v="January"/>
  </r>
  <r>
    <n v="2021"/>
    <x v="182"/>
    <x v="0"/>
    <s v="South"/>
    <s v="Basic"/>
    <d v="2022-02-26T00:00:00"/>
    <d v="2023-05-06T00:00:00"/>
    <x v="953"/>
    <n v="1274"/>
    <n v="3006"/>
    <s v="Overdue"/>
    <n v="14"/>
    <d v="2023-05-06T00:00:00"/>
    <n v="1"/>
    <n v="1189"/>
    <n v="0.7"/>
    <s v="Normal"/>
    <n v="2023"/>
    <s v="May"/>
  </r>
  <r>
    <n v="2024"/>
    <x v="199"/>
    <x v="0"/>
    <s v="North"/>
    <s v="Standard"/>
    <d v="2022-03-10T00:00:00"/>
    <d v="2023-06-23T00:00:00"/>
    <x v="17"/>
    <n v="2089"/>
    <n v="-3017"/>
    <s v="Paid"/>
    <n v="15"/>
    <d v="2023-06-23T00:00:00"/>
    <n v="1"/>
    <n v="1190"/>
    <n v="-0.61"/>
    <s v="Normal"/>
    <n v="2023"/>
    <s v="June"/>
  </r>
  <r>
    <n v="2025"/>
    <x v="128"/>
    <x v="1"/>
    <s v="South"/>
    <s v="Premium"/>
    <d v="2022-04-08T00:00:00"/>
    <d v="2022-06-01T00:00:00"/>
    <x v="17"/>
    <n v="3310"/>
    <n v="-5203"/>
    <s v="NA"/>
    <n v="1"/>
    <d v="2022-06-01T00:00:00"/>
    <n v="0"/>
    <n v="1191"/>
    <n v="-1.05"/>
    <s v="Outlier"/>
    <n v="2022"/>
    <s v="June"/>
  </r>
  <r>
    <n v="2028"/>
    <x v="164"/>
    <x v="4"/>
    <s v="South"/>
    <s v="Basic"/>
    <d v="2022-10-09T00:00:00"/>
    <d v="2023-08-31T00:00:00"/>
    <x v="954"/>
    <n v="4012.75"/>
    <n v="7014"/>
    <s v="NA"/>
    <n v="10"/>
    <d v="2023-08-31T00:00:00"/>
    <n v="1"/>
    <n v="1192"/>
    <n v="1.02"/>
    <s v="Outlier"/>
    <n v="2023"/>
    <s v="August"/>
  </r>
  <r>
    <n v="2029"/>
    <x v="26"/>
    <x v="4"/>
    <s v="North"/>
    <s v="Standard"/>
    <d v="2022-10-18T00:00:00"/>
    <d v="2023-07-23T00:00:00"/>
    <x v="955"/>
    <n v="2433"/>
    <n v="1403"/>
    <s v="NA"/>
    <n v="9"/>
    <d v="2023-07-23T00:00:00"/>
    <n v="0"/>
    <n v="1193"/>
    <n v="0.37"/>
    <s v="Normal"/>
    <n v="2023"/>
    <s v="July"/>
  </r>
  <r>
    <n v="2031"/>
    <x v="197"/>
    <x v="0"/>
    <s v="West"/>
    <s v="Premium"/>
    <d v="2022-07-19T00:00:00"/>
    <d v="2024-01-20T00:00:00"/>
    <x v="956"/>
    <n v="5928"/>
    <n v="1434"/>
    <s v="NA"/>
    <n v="18"/>
    <d v="2024-01-20T00:00:00"/>
    <n v="1"/>
    <n v="1194"/>
    <n v="0.19"/>
    <s v="Normal"/>
    <n v="2024"/>
    <s v="January"/>
  </r>
  <r>
    <n v="2032"/>
    <x v="178"/>
    <x v="3"/>
    <s v="West"/>
    <s v="Standard"/>
    <d v="2022-10-11T00:00:00"/>
    <d v="2023-06-22T00:00:00"/>
    <x v="17"/>
    <n v="6000"/>
    <n v="-7664"/>
    <s v="Pending"/>
    <n v="8"/>
    <d v="2023-06-22T00:00:00"/>
    <n v="0"/>
    <n v="1195"/>
    <n v="-1.54"/>
    <s v="Outlier"/>
    <n v="2023"/>
    <s v="June"/>
  </r>
  <r>
    <n v="2033"/>
    <x v="53"/>
    <x v="2"/>
    <s v="North"/>
    <s v="Premium"/>
    <d v="2022-04-15T00:00:00"/>
    <d v="2023-04-18T00:00:00"/>
    <x v="957"/>
    <n v="7179"/>
    <n v="-7024"/>
    <s v="Overdue"/>
    <n v="12"/>
    <d v="2023-04-18T00:00:00"/>
    <n v="0"/>
    <n v="1196"/>
    <n v="-45.32"/>
    <s v="Outlier"/>
    <n v="2023"/>
    <s v="April"/>
  </r>
  <r>
    <n v="2037"/>
    <x v="96"/>
    <x v="0"/>
    <s v="East"/>
    <s v="Basic"/>
    <d v="2022-08-17T00:00:00"/>
    <d v="2023-01-27T00:00:00"/>
    <x v="958"/>
    <n v="6464"/>
    <n v="-6280"/>
    <s v="Pending"/>
    <n v="5"/>
    <d v="2023-01-27T00:00:00"/>
    <n v="0"/>
    <n v="1197"/>
    <n v="-34.130000000000003"/>
    <s v="Outlier"/>
    <n v="2023"/>
    <s v="January"/>
  </r>
  <r>
    <n v="2038"/>
    <x v="138"/>
    <x v="2"/>
    <s v="South"/>
    <s v="Basic"/>
    <d v="2022-06-24T00:00:00"/>
    <d v="2023-08-30T00:00:00"/>
    <x v="17"/>
    <n v="2483"/>
    <n v="-2704"/>
    <s v="Overdue"/>
    <n v="14"/>
    <d v="2023-08-30T00:00:00"/>
    <n v="1"/>
    <n v="1198"/>
    <n v="-0.54"/>
    <s v="Normal"/>
    <n v="2023"/>
    <s v="August"/>
  </r>
  <r>
    <n v="2043"/>
    <x v="4"/>
    <x v="3"/>
    <s v="North"/>
    <s v="Standard"/>
    <d v="2022-05-16T00:00:00"/>
    <d v="2022-07-27T00:00:00"/>
    <x v="959"/>
    <n v="1376"/>
    <n v="1875"/>
    <s v="Pending"/>
    <n v="2"/>
    <d v="2022-07-27T00:00:00"/>
    <n v="1"/>
    <n v="1199"/>
    <n v="0.57999999999999996"/>
    <s v="Normal"/>
    <n v="2022"/>
    <s v="July"/>
  </r>
  <r>
    <n v="2044"/>
    <x v="300"/>
    <x v="1"/>
    <s v="East"/>
    <s v="Basic"/>
    <d v="2022-07-01T00:00:00"/>
    <d v="2023-09-02T00:00:00"/>
    <x v="960"/>
    <n v="3901"/>
    <n v="1573"/>
    <s v="Pending"/>
    <n v="14"/>
    <d v="2023-09-02T00:00:00"/>
    <n v="1"/>
    <n v="1200"/>
    <n v="0.28999999999999998"/>
    <s v="Normal"/>
    <n v="2023"/>
    <s v="September"/>
  </r>
  <r>
    <n v="2046"/>
    <x v="172"/>
    <x v="1"/>
    <s v="North"/>
    <s v="Standard"/>
    <d v="2022-04-30T00:00:00"/>
    <d v="2023-08-25T00:00:00"/>
    <x v="961"/>
    <n v="5236"/>
    <n v="508"/>
    <s v="Overdue"/>
    <n v="15"/>
    <d v="2023-08-25T00:00:00"/>
    <n v="0"/>
    <n v="1201"/>
    <n v="0.09"/>
    <s v="Normal"/>
    <n v="2023"/>
    <s v="August"/>
  </r>
  <r>
    <n v="2047"/>
    <x v="254"/>
    <x v="2"/>
    <s v="North"/>
    <s v="Premium"/>
    <d v="2022-06-12T00:00:00"/>
    <d v="2023-10-27T00:00:00"/>
    <x v="962"/>
    <n v="6705"/>
    <n v="-2747"/>
    <s v="Paid"/>
    <n v="16"/>
    <d v="2023-10-27T00:00:00"/>
    <n v="1"/>
    <n v="1202"/>
    <n v="-0.69"/>
    <s v="Normal"/>
    <n v="2023"/>
    <s v="October"/>
  </r>
  <r>
    <n v="2048"/>
    <x v="231"/>
    <x v="0"/>
    <s v="South"/>
    <s v="Standard"/>
    <d v="2022-01-11T00:00:00"/>
    <d v="2022-03-28T00:00:00"/>
    <x v="963"/>
    <n v="756"/>
    <n v="8625"/>
    <s v="NA"/>
    <n v="2"/>
    <d v="2022-03-28T00:00:00"/>
    <n v="0"/>
    <n v="1203"/>
    <n v="0.92"/>
    <s v="Normal"/>
    <n v="2022"/>
    <s v="March"/>
  </r>
  <r>
    <n v="2049"/>
    <x v="87"/>
    <x v="0"/>
    <s v="West"/>
    <s v="Basic"/>
    <d v="2022-07-22T00:00:00"/>
    <d v="2022-09-03T00:00:00"/>
    <x v="17"/>
    <n v="4012.75"/>
    <n v="-423"/>
    <s v="Pending"/>
    <n v="1"/>
    <d v="2022-09-03T00:00:00"/>
    <n v="1"/>
    <n v="1204"/>
    <n v="-0.09"/>
    <s v="Normal"/>
    <n v="2022"/>
    <s v="September"/>
  </r>
  <r>
    <n v="2053"/>
    <x v="149"/>
    <x v="0"/>
    <s v="West"/>
    <s v="Standard"/>
    <d v="2022-07-29T00:00:00"/>
    <d v="2023-07-02T00:00:00"/>
    <x v="17"/>
    <n v="4680"/>
    <n v="-5537"/>
    <s v="Pending"/>
    <n v="11"/>
    <d v="2023-07-02T00:00:00"/>
    <n v="0"/>
    <n v="1205"/>
    <n v="-1.1100000000000001"/>
    <s v="Outlier"/>
    <n v="2023"/>
    <s v="July"/>
  </r>
  <r>
    <n v="2054"/>
    <x v="3"/>
    <x v="0"/>
    <s v="South"/>
    <s v="Basic"/>
    <d v="2022-12-13T00:00:00"/>
    <d v="2023-11-16T00:00:00"/>
    <x v="964"/>
    <n v="3048"/>
    <n v="3107"/>
    <s v="NA"/>
    <n v="11"/>
    <d v="2023-11-16T00:00:00"/>
    <n v="0"/>
    <n v="1206"/>
    <n v="0.5"/>
    <s v="Normal"/>
    <n v="2023"/>
    <s v="November"/>
  </r>
  <r>
    <n v="2055"/>
    <x v="176"/>
    <x v="1"/>
    <s v="South"/>
    <s v="Premium"/>
    <d v="2022-05-24T00:00:00"/>
    <d v="2023-10-15T00:00:00"/>
    <x v="17"/>
    <n v="4246"/>
    <n v="-6020"/>
    <s v="Pending"/>
    <n v="16"/>
    <d v="2023-10-15T00:00:00"/>
    <n v="1"/>
    <n v="1207"/>
    <n v="-1.21"/>
    <s v="Outlier"/>
    <n v="2023"/>
    <s v="October"/>
  </r>
  <r>
    <n v="2056"/>
    <x v="359"/>
    <x v="1"/>
    <s v="North"/>
    <s v="Basic"/>
    <d v="2022-03-01T00:00:00"/>
    <d v="2022-10-27T00:00:00"/>
    <x v="965"/>
    <n v="48"/>
    <n v="3495"/>
    <s v="Paid"/>
    <n v="7"/>
    <d v="2022-10-27T00:00:00"/>
    <n v="1"/>
    <n v="1208"/>
    <n v="0.99"/>
    <s v="Normal"/>
    <n v="2022"/>
    <s v="October"/>
  </r>
  <r>
    <n v="2058"/>
    <x v="121"/>
    <x v="4"/>
    <s v="South"/>
    <s v="Premium"/>
    <d v="2022-05-07T00:00:00"/>
    <d v="2023-05-01T00:00:00"/>
    <x v="966"/>
    <n v="6834"/>
    <n v="131"/>
    <s v="Pending"/>
    <n v="11"/>
    <d v="2023-05-01T00:00:00"/>
    <n v="1"/>
    <n v="1209"/>
    <n v="0.02"/>
    <s v="Normal"/>
    <n v="2023"/>
    <s v="May"/>
  </r>
  <r>
    <n v="2059"/>
    <x v="375"/>
    <x v="1"/>
    <s v="West"/>
    <s v="Basic"/>
    <d v="2022-04-24T00:00:00"/>
    <d v="2023-11-14T00:00:00"/>
    <x v="967"/>
    <n v="4012.75"/>
    <n v="3632"/>
    <s v="Overdue"/>
    <n v="18"/>
    <d v="2023-11-14T00:00:00"/>
    <n v="0"/>
    <n v="1210"/>
    <n v="1.02"/>
    <s v="Outlier"/>
    <n v="2023"/>
    <s v="November"/>
  </r>
  <r>
    <n v="2060"/>
    <x v="374"/>
    <x v="4"/>
    <s v="East"/>
    <s v="Basic"/>
    <d v="2022-11-10T00:00:00"/>
    <d v="2023-07-06T00:00:00"/>
    <x v="968"/>
    <n v="6102"/>
    <n v="-5937"/>
    <s v="Overdue"/>
    <n v="7"/>
    <d v="2023-07-06T00:00:00"/>
    <n v="0"/>
    <n v="1211"/>
    <n v="-35.979999999999997"/>
    <s v="Outlier"/>
    <n v="2023"/>
    <s v="July"/>
  </r>
  <r>
    <n v="2061"/>
    <x v="192"/>
    <x v="0"/>
    <s v="East"/>
    <s v="Premium"/>
    <d v="2022-10-08T00:00:00"/>
    <d v="2023-10-29T00:00:00"/>
    <x v="17"/>
    <n v="6580"/>
    <n v="-6865"/>
    <s v="Overdue"/>
    <n v="12"/>
    <d v="2023-10-29T00:00:00"/>
    <n v="1"/>
    <n v="1212"/>
    <n v="-1.38"/>
    <s v="Outlier"/>
    <n v="2023"/>
    <s v="October"/>
  </r>
  <r>
    <n v="2063"/>
    <x v="109"/>
    <x v="1"/>
    <s v="North"/>
    <s v="Basic"/>
    <d v="2022-12-27T00:00:00"/>
    <d v="2024-04-12T00:00:00"/>
    <x v="17"/>
    <n v="5696"/>
    <n v="-6414"/>
    <s v="Pending"/>
    <n v="15"/>
    <d v="2024-04-12T00:00:00"/>
    <n v="1"/>
    <n v="1213"/>
    <n v="-1.29"/>
    <s v="Outlier"/>
    <n v="2024"/>
    <s v="April"/>
  </r>
  <r>
    <n v="2064"/>
    <x v="164"/>
    <x v="4"/>
    <s v="North"/>
    <s v="Premium"/>
    <d v="2022-05-02T00:00:00"/>
    <d v="2023-12-01T00:00:00"/>
    <x v="969"/>
    <n v="468"/>
    <n v="3087"/>
    <s v="Paid"/>
    <n v="18"/>
    <d v="2023-12-01T00:00:00"/>
    <n v="0"/>
    <n v="1214"/>
    <n v="0.87"/>
    <s v="Normal"/>
    <n v="2023"/>
    <s v="December"/>
  </r>
  <r>
    <n v="2066"/>
    <x v="129"/>
    <x v="2"/>
    <s v="South"/>
    <s v="Standard"/>
    <d v="2022-02-11T00:00:00"/>
    <d v="2023-08-14T00:00:00"/>
    <x v="970"/>
    <n v="7802"/>
    <n v="-5434"/>
    <s v="Pending"/>
    <n v="18"/>
    <d v="2023-08-14T00:00:00"/>
    <n v="0"/>
    <n v="1215"/>
    <n v="-2.29"/>
    <s v="Outlier"/>
    <n v="2023"/>
    <s v="August"/>
  </r>
  <r>
    <n v="2067"/>
    <x v="26"/>
    <x v="1"/>
    <s v="West"/>
    <s v="Premium"/>
    <d v="2022-05-15T00:00:00"/>
    <d v="2023-07-13T00:00:00"/>
    <x v="971"/>
    <n v="2452"/>
    <n v="3129"/>
    <s v="Overdue"/>
    <n v="13"/>
    <d v="2023-07-13T00:00:00"/>
    <n v="1"/>
    <n v="1216"/>
    <n v="0.56000000000000005"/>
    <s v="Normal"/>
    <n v="2023"/>
    <s v="July"/>
  </r>
  <r>
    <n v="2068"/>
    <x v="375"/>
    <x v="2"/>
    <s v="West"/>
    <s v="Standard"/>
    <d v="2022-03-01T00:00:00"/>
    <d v="2023-05-18T00:00:00"/>
    <x v="877"/>
    <n v="4725"/>
    <n v="4284"/>
    <s v="NA"/>
    <n v="14"/>
    <d v="2023-05-18T00:00:00"/>
    <n v="0"/>
    <n v="1217"/>
    <n v="0.48"/>
    <s v="Normal"/>
    <n v="2023"/>
    <s v="May"/>
  </r>
  <r>
    <n v="2069"/>
    <x v="368"/>
    <x v="2"/>
    <s v="North"/>
    <s v="Basic"/>
    <d v="2022-05-10T00:00:00"/>
    <d v="2022-06-27T00:00:00"/>
    <x v="235"/>
    <n v="606"/>
    <n v="577.01"/>
    <s v="NA"/>
    <n v="1"/>
    <d v="2022-06-27T00:00:00"/>
    <n v="1"/>
    <n v="1218"/>
    <n v="7.0000000000000007E-2"/>
    <s v="Normal"/>
    <n v="2022"/>
    <s v="June"/>
  </r>
  <r>
    <n v="2070"/>
    <x v="308"/>
    <x v="1"/>
    <s v="East"/>
    <s v="Premium"/>
    <d v="2022-12-17T00:00:00"/>
    <d v="2024-06-19T00:00:00"/>
    <x v="972"/>
    <n v="7878"/>
    <n v="2061"/>
    <s v="Pending"/>
    <n v="18"/>
    <d v="2024-06-19T00:00:00"/>
    <n v="0"/>
    <n v="1219"/>
    <n v="0.21"/>
    <s v="Normal"/>
    <n v="2024"/>
    <s v="June"/>
  </r>
  <r>
    <n v="2071"/>
    <x v="157"/>
    <x v="3"/>
    <s v="East"/>
    <s v="Standard"/>
    <d v="2022-10-20T00:00:00"/>
    <d v="2023-03-28T00:00:00"/>
    <x v="17"/>
    <n v="1682"/>
    <n v="-2004"/>
    <s v="Pending"/>
    <n v="5"/>
    <d v="2023-03-28T00:00:00"/>
    <n v="0"/>
    <n v="1220"/>
    <n v="-0.4"/>
    <s v="Normal"/>
    <n v="2023"/>
    <s v="March"/>
  </r>
  <r>
    <n v="2072"/>
    <x v="28"/>
    <x v="0"/>
    <s v="North"/>
    <s v="Basic"/>
    <d v="2022-11-29T00:00:00"/>
    <d v="2023-04-06T00:00:00"/>
    <x v="973"/>
    <n v="1843"/>
    <n v="4087"/>
    <s v="Overdue"/>
    <n v="4"/>
    <d v="2023-04-06T00:00:00"/>
    <n v="1"/>
    <n v="1221"/>
    <n v="0.69"/>
    <s v="Normal"/>
    <n v="2023"/>
    <s v="April"/>
  </r>
  <r>
    <n v="2073"/>
    <x v="298"/>
    <x v="0"/>
    <s v="West"/>
    <s v="Premium"/>
    <d v="2022-07-22T00:00:00"/>
    <d v="2023-02-25T00:00:00"/>
    <x v="974"/>
    <n v="3286"/>
    <n v="1192"/>
    <s v="NA"/>
    <n v="7"/>
    <d v="2023-02-25T00:00:00"/>
    <n v="1"/>
    <n v="1222"/>
    <n v="0.27"/>
    <s v="Normal"/>
    <n v="2023"/>
    <s v="February"/>
  </r>
  <r>
    <n v="2074"/>
    <x v="140"/>
    <x v="2"/>
    <s v="West"/>
    <s v="Premium"/>
    <d v="2022-12-13T00:00:00"/>
    <d v="2023-09-25T00:00:00"/>
    <x v="17"/>
    <n v="4709"/>
    <n v="-5773"/>
    <s v="Overdue"/>
    <n v="9"/>
    <d v="2023-09-25T00:00:00"/>
    <n v="1"/>
    <n v="1223"/>
    <n v="-1.1599999999999999"/>
    <s v="Outlier"/>
    <n v="2023"/>
    <s v="September"/>
  </r>
  <r>
    <n v="2075"/>
    <x v="357"/>
    <x v="4"/>
    <s v="North"/>
    <s v="Basic"/>
    <d v="2022-09-23T00:00:00"/>
    <d v="2023-02-22T00:00:00"/>
    <x v="17"/>
    <n v="3889"/>
    <n v="-4170"/>
    <s v="Pending"/>
    <n v="4"/>
    <d v="2023-02-22T00:00:00"/>
    <n v="1"/>
    <n v="1224"/>
    <n v="-0.84"/>
    <s v="Normal"/>
    <n v="2023"/>
    <s v="February"/>
  </r>
  <r>
    <n v="2077"/>
    <x v="177"/>
    <x v="3"/>
    <s v="East"/>
    <s v="Standard"/>
    <d v="2022-09-02T00:00:00"/>
    <d v="2024-04-08T00:00:00"/>
    <x v="975"/>
    <n v="241"/>
    <n v="1216"/>
    <s v="Paid"/>
    <n v="19"/>
    <d v="2024-04-08T00:00:00"/>
    <n v="1"/>
    <n v="1225"/>
    <n v="0.83"/>
    <s v="Normal"/>
    <n v="2024"/>
    <s v="April"/>
  </r>
  <r>
    <n v="2078"/>
    <x v="383"/>
    <x v="0"/>
    <s v="North"/>
    <s v="Premium"/>
    <d v="2022-08-16T00:00:00"/>
    <d v="2023-06-23T00:00:00"/>
    <x v="976"/>
    <n v="5249"/>
    <n v="577.01"/>
    <s v="NA"/>
    <n v="10"/>
    <d v="2023-06-23T00:00:00"/>
    <n v="0"/>
    <n v="1226"/>
    <n v="0.23"/>
    <s v="Normal"/>
    <n v="2023"/>
    <s v="June"/>
  </r>
  <r>
    <n v="2079"/>
    <x v="196"/>
    <x v="2"/>
    <s v="West"/>
    <s v="Basic"/>
    <d v="2022-08-29T00:00:00"/>
    <d v="2024-04-14T00:00:00"/>
    <x v="977"/>
    <n v="2931"/>
    <n v="359"/>
    <s v="Paid"/>
    <n v="19"/>
    <d v="2024-04-14T00:00:00"/>
    <n v="1"/>
    <n v="1227"/>
    <n v="0.11"/>
    <s v="Normal"/>
    <n v="2024"/>
    <s v="April"/>
  </r>
  <r>
    <n v="2080"/>
    <x v="96"/>
    <x v="0"/>
    <s v="East"/>
    <s v="Premium"/>
    <d v="2022-03-29T00:00:00"/>
    <d v="2023-05-26T00:00:00"/>
    <x v="978"/>
    <n v="3414"/>
    <n v="3443"/>
    <s v="NA"/>
    <n v="13"/>
    <d v="2023-05-26T00:00:00"/>
    <n v="0"/>
    <n v="1228"/>
    <n v="0.5"/>
    <s v="Normal"/>
    <n v="2023"/>
    <s v="May"/>
  </r>
  <r>
    <n v="2081"/>
    <x v="351"/>
    <x v="1"/>
    <s v="South"/>
    <s v="Basic"/>
    <d v="2022-01-07T00:00:00"/>
    <d v="2022-10-23T00:00:00"/>
    <x v="979"/>
    <n v="4107"/>
    <n v="-2458"/>
    <s v="Pending"/>
    <n v="9"/>
    <d v="2022-10-23T00:00:00"/>
    <n v="1"/>
    <n v="1229"/>
    <n v="-1.49"/>
    <s v="Outlier"/>
    <n v="2022"/>
    <s v="October"/>
  </r>
  <r>
    <n v="2083"/>
    <x v="267"/>
    <x v="2"/>
    <s v="South"/>
    <s v="Premium"/>
    <d v="2022-03-21T00:00:00"/>
    <d v="2022-04-30T00:00:00"/>
    <x v="980"/>
    <n v="4012.75"/>
    <n v="818"/>
    <s v="Overdue"/>
    <n v="1"/>
    <d v="2022-04-30T00:00:00"/>
    <n v="0"/>
    <n v="1230"/>
    <n v="1.43"/>
    <s v="Outlier"/>
    <n v="2022"/>
    <s v="April"/>
  </r>
  <r>
    <n v="2085"/>
    <x v="61"/>
    <x v="4"/>
    <s v="East"/>
    <s v="Premium"/>
    <d v="2022-03-25T00:00:00"/>
    <d v="2022-12-11T00:00:00"/>
    <x v="981"/>
    <n v="5832"/>
    <n v="1232"/>
    <s v="NA"/>
    <n v="8"/>
    <d v="2022-12-11T00:00:00"/>
    <n v="1"/>
    <n v="1231"/>
    <n v="0.17"/>
    <s v="Normal"/>
    <n v="2022"/>
    <s v="December"/>
  </r>
  <r>
    <n v="2087"/>
    <x v="82"/>
    <x v="1"/>
    <s v="East"/>
    <s v="Premium"/>
    <d v="2022-06-01T00:00:00"/>
    <d v="2023-12-25T00:00:00"/>
    <x v="982"/>
    <n v="5350"/>
    <n v="577.01"/>
    <s v="Pending"/>
    <n v="18"/>
    <d v="2023-12-25T00:00:00"/>
    <n v="0"/>
    <n v="1232"/>
    <n v="0.18"/>
    <s v="Normal"/>
    <n v="2023"/>
    <s v="December"/>
  </r>
  <r>
    <n v="2088"/>
    <x v="181"/>
    <x v="0"/>
    <s v="South"/>
    <s v="Standard"/>
    <d v="2022-09-04T00:00:00"/>
    <d v="2023-10-06T00:00:00"/>
    <x v="983"/>
    <n v="7959"/>
    <n v="577.01"/>
    <s v="Overdue"/>
    <n v="13"/>
    <d v="2023-10-06T00:00:00"/>
    <n v="1"/>
    <n v="1233"/>
    <n v="0.11"/>
    <s v="Normal"/>
    <n v="2023"/>
    <s v="October"/>
  </r>
  <r>
    <n v="2089"/>
    <x v="56"/>
    <x v="3"/>
    <s v="West"/>
    <s v="Standard"/>
    <d v="2022-05-11T00:00:00"/>
    <d v="2023-04-17T00:00:00"/>
    <x v="17"/>
    <n v="5963"/>
    <n v="577.01"/>
    <s v="Pending"/>
    <n v="11"/>
    <d v="2023-04-17T00:00:00"/>
    <n v="0"/>
    <n v="1234"/>
    <n v="0.12"/>
    <s v="Normal"/>
    <n v="2023"/>
    <s v="April"/>
  </r>
  <r>
    <n v="2090"/>
    <x v="32"/>
    <x v="2"/>
    <s v="South"/>
    <s v="Standard"/>
    <d v="2022-10-30T00:00:00"/>
    <d v="2023-06-10T00:00:00"/>
    <x v="984"/>
    <n v="7339"/>
    <n v="577.01"/>
    <s v="Pending"/>
    <n v="7"/>
    <d v="2023-06-10T00:00:00"/>
    <n v="0"/>
    <n v="1235"/>
    <n v="0.15"/>
    <s v="Normal"/>
    <n v="2023"/>
    <s v="June"/>
  </r>
  <r>
    <n v="2091"/>
    <x v="96"/>
    <x v="1"/>
    <s v="West"/>
    <s v="Standard"/>
    <d v="2022-09-08T00:00:00"/>
    <d v="2023-04-21T00:00:00"/>
    <x v="985"/>
    <n v="2314"/>
    <n v="7002"/>
    <s v="NA"/>
    <n v="7"/>
    <d v="2023-04-21T00:00:00"/>
    <n v="1"/>
    <n v="1236"/>
    <n v="0.75"/>
    <s v="Normal"/>
    <n v="2023"/>
    <s v="April"/>
  </r>
  <r>
    <n v="2092"/>
    <x v="269"/>
    <x v="2"/>
    <s v="West"/>
    <s v="Basic"/>
    <d v="2022-07-25T00:00:00"/>
    <d v="2023-12-23T00:00:00"/>
    <x v="986"/>
    <n v="6836"/>
    <n v="577.01"/>
    <s v="Paid"/>
    <n v="16"/>
    <d v="2023-12-23T00:00:00"/>
    <n v="0"/>
    <n v="1237"/>
    <n v="0.26"/>
    <s v="Normal"/>
    <n v="2023"/>
    <s v="December"/>
  </r>
  <r>
    <n v="2095"/>
    <x v="361"/>
    <x v="2"/>
    <s v="East"/>
    <s v="Premium"/>
    <d v="2022-07-11T00:00:00"/>
    <d v="2023-02-11T00:00:00"/>
    <x v="17"/>
    <n v="1937"/>
    <n v="-2231"/>
    <s v="Overdue"/>
    <n v="7"/>
    <d v="2023-02-11T00:00:00"/>
    <n v="0"/>
    <n v="1238"/>
    <n v="-0.45"/>
    <s v="Normal"/>
    <n v="2023"/>
    <s v="February"/>
  </r>
  <r>
    <n v="2098"/>
    <x v="280"/>
    <x v="0"/>
    <s v="West"/>
    <s v="Standard"/>
    <d v="2022-02-23T00:00:00"/>
    <d v="2023-10-08T00:00:00"/>
    <x v="17"/>
    <n v="1105"/>
    <n v="-2434"/>
    <s v="NA"/>
    <n v="19"/>
    <d v="2023-10-08T00:00:00"/>
    <n v="1"/>
    <n v="1239"/>
    <n v="-0.49"/>
    <s v="Normal"/>
    <n v="2023"/>
    <s v="October"/>
  </r>
  <r>
    <n v="2100"/>
    <x v="319"/>
    <x v="4"/>
    <s v="West"/>
    <s v="Standard"/>
    <d v="2022-05-18T00:00:00"/>
    <d v="2022-10-14T00:00:00"/>
    <x v="987"/>
    <n v="614"/>
    <n v="8032"/>
    <s v="NA"/>
    <n v="4"/>
    <d v="2022-10-14T00:00:00"/>
    <n v="1"/>
    <n v="1240"/>
    <n v="0.93"/>
    <s v="Normal"/>
    <n v="2022"/>
    <s v="October"/>
  </r>
  <r>
    <n v="2101"/>
    <x v="289"/>
    <x v="2"/>
    <s v="West"/>
    <s v="Basic"/>
    <d v="2022-01-05T00:00:00"/>
    <d v="2023-03-31T00:00:00"/>
    <x v="988"/>
    <n v="4508"/>
    <n v="712"/>
    <s v="Pending"/>
    <n v="14"/>
    <d v="2023-03-31T00:00:00"/>
    <n v="1"/>
    <n v="1241"/>
    <n v="0.14000000000000001"/>
    <s v="Normal"/>
    <n v="2023"/>
    <s v="March"/>
  </r>
  <r>
    <n v="2102"/>
    <x v="313"/>
    <x v="0"/>
    <s v="East"/>
    <s v="Standard"/>
    <d v="2022-07-15T00:00:00"/>
    <d v="2023-04-06T00:00:00"/>
    <x v="989"/>
    <n v="4012.75"/>
    <n v="3456"/>
    <s v="Pending"/>
    <n v="8"/>
    <d v="2023-04-06T00:00:00"/>
    <n v="1"/>
    <n v="1242"/>
    <n v="1.05"/>
    <s v="Outlier"/>
    <n v="2023"/>
    <s v="April"/>
  </r>
  <r>
    <n v="2105"/>
    <x v="134"/>
    <x v="2"/>
    <s v="West"/>
    <s v="Standard"/>
    <d v="2022-07-10T00:00:00"/>
    <d v="2023-04-05T00:00:00"/>
    <x v="990"/>
    <n v="5339"/>
    <n v="3503"/>
    <s v="Pending"/>
    <n v="8"/>
    <d v="2023-04-05T00:00:00"/>
    <n v="1"/>
    <n v="1243"/>
    <n v="0.4"/>
    <s v="Normal"/>
    <n v="2023"/>
    <s v="April"/>
  </r>
  <r>
    <n v="2108"/>
    <x v="127"/>
    <x v="1"/>
    <s v="North"/>
    <s v="Premium"/>
    <d v="2022-11-11T00:00:00"/>
    <d v="2023-09-10T00:00:00"/>
    <x v="17"/>
    <n v="2086"/>
    <n v="577.01"/>
    <s v="Pending"/>
    <n v="9"/>
    <d v="2023-09-10T00:00:00"/>
    <n v="0"/>
    <n v="1244"/>
    <n v="0.12"/>
    <s v="Normal"/>
    <n v="2023"/>
    <s v="September"/>
  </r>
  <r>
    <n v="2109"/>
    <x v="355"/>
    <x v="3"/>
    <s v="West"/>
    <s v="Basic"/>
    <d v="2022-07-20T00:00:00"/>
    <d v="2022-11-18T00:00:00"/>
    <x v="991"/>
    <n v="5534"/>
    <n v="2022"/>
    <s v="Paid"/>
    <n v="3"/>
    <d v="2022-11-18T00:00:00"/>
    <n v="0"/>
    <n v="1245"/>
    <n v="0.27"/>
    <s v="Normal"/>
    <n v="2022"/>
    <s v="November"/>
  </r>
  <r>
    <n v="2110"/>
    <x v="280"/>
    <x v="0"/>
    <s v="North"/>
    <s v="Standard"/>
    <d v="2022-08-09T00:00:00"/>
    <d v="2022-09-15T00:00:00"/>
    <x v="992"/>
    <n v="3886"/>
    <n v="1282"/>
    <s v="Pending"/>
    <n v="1"/>
    <d v="2022-09-15T00:00:00"/>
    <n v="0"/>
    <n v="1246"/>
    <n v="0.25"/>
    <s v="Normal"/>
    <n v="2022"/>
    <s v="September"/>
  </r>
  <r>
    <n v="2112"/>
    <x v="278"/>
    <x v="2"/>
    <s v="South"/>
    <s v="Standard"/>
    <d v="2022-06-16T00:00:00"/>
    <d v="2023-09-27T00:00:00"/>
    <x v="993"/>
    <n v="1359"/>
    <n v="626"/>
    <s v="NA"/>
    <n v="15"/>
    <d v="2023-09-27T00:00:00"/>
    <n v="1"/>
    <n v="1247"/>
    <n v="0.32"/>
    <s v="Normal"/>
    <n v="2023"/>
    <s v="September"/>
  </r>
  <r>
    <n v="2113"/>
    <x v="44"/>
    <x v="4"/>
    <s v="West"/>
    <s v="Basic"/>
    <d v="2022-12-14T00:00:00"/>
    <d v="2024-05-13T00:00:00"/>
    <x v="17"/>
    <n v="5704"/>
    <n v="-7278"/>
    <s v="Paid"/>
    <n v="16"/>
    <d v="2024-05-13T00:00:00"/>
    <n v="0"/>
    <n v="1248"/>
    <n v="-1.46"/>
    <s v="Outlier"/>
    <n v="2024"/>
    <s v="May"/>
  </r>
  <r>
    <n v="2116"/>
    <x v="124"/>
    <x v="1"/>
    <s v="North"/>
    <s v="Basic"/>
    <d v="2022-09-28T00:00:00"/>
    <d v="2023-12-15T00:00:00"/>
    <x v="994"/>
    <n v="1789"/>
    <n v="577.01"/>
    <s v="NA"/>
    <n v="14"/>
    <d v="2023-12-15T00:00:00"/>
    <n v="1"/>
    <n v="1249"/>
    <n v="0.09"/>
    <s v="Normal"/>
    <n v="2023"/>
    <s v="December"/>
  </r>
  <r>
    <n v="2118"/>
    <x v="156"/>
    <x v="3"/>
    <s v="South"/>
    <s v="Premium"/>
    <d v="2022-05-08T00:00:00"/>
    <d v="2023-11-25T00:00:00"/>
    <x v="17"/>
    <n v="5761"/>
    <n v="-7069"/>
    <s v="Overdue"/>
    <n v="18"/>
    <d v="2023-11-25T00:00:00"/>
    <n v="1"/>
    <n v="1250"/>
    <n v="-1.42"/>
    <s v="Outlier"/>
    <n v="2023"/>
    <s v="November"/>
  </r>
  <r>
    <n v="2119"/>
    <x v="324"/>
    <x v="1"/>
    <s v="West"/>
    <s v="Premium"/>
    <d v="2022-06-14T00:00:00"/>
    <d v="2023-07-16T00:00:00"/>
    <x v="995"/>
    <n v="3434"/>
    <n v="626"/>
    <s v="NA"/>
    <n v="13"/>
    <d v="2023-07-16T00:00:00"/>
    <n v="0"/>
    <n v="1251"/>
    <n v="0.15"/>
    <s v="Normal"/>
    <n v="2023"/>
    <s v="July"/>
  </r>
  <r>
    <n v="2124"/>
    <x v="225"/>
    <x v="4"/>
    <s v="East"/>
    <s v="Premium"/>
    <d v="2022-02-21T00:00:00"/>
    <d v="2023-04-29T00:00:00"/>
    <x v="996"/>
    <n v="5132"/>
    <n v="338"/>
    <s v="Paid"/>
    <n v="14"/>
    <d v="2023-04-29T00:00:00"/>
    <n v="0"/>
    <n v="1252"/>
    <n v="0.06"/>
    <s v="Normal"/>
    <n v="2023"/>
    <s v="April"/>
  </r>
  <r>
    <n v="2125"/>
    <x v="360"/>
    <x v="4"/>
    <s v="North"/>
    <s v="Basic"/>
    <d v="2022-08-05T00:00:00"/>
    <d v="2023-12-04T00:00:00"/>
    <x v="997"/>
    <n v="117"/>
    <n v="6011"/>
    <s v="NA"/>
    <n v="15"/>
    <d v="2023-12-04T00:00:00"/>
    <n v="1"/>
    <n v="1253"/>
    <n v="0.98"/>
    <s v="Normal"/>
    <n v="2023"/>
    <s v="December"/>
  </r>
  <r>
    <n v="2128"/>
    <x v="355"/>
    <x v="0"/>
    <s v="North"/>
    <s v="Basic"/>
    <d v="2022-06-19T00:00:00"/>
    <d v="2023-02-25T00:00:00"/>
    <x v="998"/>
    <n v="989"/>
    <n v="577.01"/>
    <s v="NA"/>
    <n v="8"/>
    <d v="2023-02-25T00:00:00"/>
    <n v="1"/>
    <n v="1254"/>
    <n v="0.11"/>
    <s v="Normal"/>
    <n v="2023"/>
    <s v="February"/>
  </r>
  <r>
    <n v="2130"/>
    <x v="173"/>
    <x v="3"/>
    <s v="North"/>
    <s v="Standard"/>
    <d v="2022-02-02T00:00:00"/>
    <d v="2022-09-07T00:00:00"/>
    <x v="999"/>
    <n v="4269"/>
    <n v="-3423"/>
    <s v="Overdue"/>
    <n v="7"/>
    <d v="2022-09-07T00:00:00"/>
    <n v="0"/>
    <n v="1255"/>
    <n v="-4.05"/>
    <s v="Outlier"/>
    <n v="2022"/>
    <s v="September"/>
  </r>
  <r>
    <n v="2131"/>
    <x v="174"/>
    <x v="4"/>
    <s v="North"/>
    <s v="Premium"/>
    <d v="2022-02-02T00:00:00"/>
    <d v="2023-03-11T00:00:00"/>
    <x v="1000"/>
    <n v="3137"/>
    <n v="4349"/>
    <s v="Paid"/>
    <n v="13"/>
    <d v="2023-03-11T00:00:00"/>
    <n v="1"/>
    <n v="1256"/>
    <n v="0.57999999999999996"/>
    <s v="Normal"/>
    <n v="2023"/>
    <s v="March"/>
  </r>
  <r>
    <n v="2132"/>
    <x v="180"/>
    <x v="0"/>
    <s v="West"/>
    <s v="Premium"/>
    <d v="2022-03-20T00:00:00"/>
    <d v="2022-12-07T00:00:00"/>
    <x v="1001"/>
    <n v="7220"/>
    <n v="2471"/>
    <s v="Pending"/>
    <n v="8"/>
    <d v="2022-12-07T00:00:00"/>
    <n v="1"/>
    <n v="1257"/>
    <n v="0.25"/>
    <s v="Normal"/>
    <n v="2022"/>
    <s v="December"/>
  </r>
  <r>
    <n v="2133"/>
    <x v="58"/>
    <x v="3"/>
    <s v="North"/>
    <s v="Basic"/>
    <d v="2022-04-29T00:00:00"/>
    <d v="2022-11-28T00:00:00"/>
    <x v="1002"/>
    <n v="1671"/>
    <n v="6775"/>
    <s v="Paid"/>
    <n v="6"/>
    <d v="2022-11-28T00:00:00"/>
    <n v="0"/>
    <n v="1258"/>
    <n v="0.8"/>
    <s v="Normal"/>
    <n v="2022"/>
    <s v="November"/>
  </r>
  <r>
    <n v="2135"/>
    <x v="273"/>
    <x v="2"/>
    <s v="East"/>
    <s v="Standard"/>
    <d v="2022-05-25T00:00:00"/>
    <d v="2022-11-06T00:00:00"/>
    <x v="1003"/>
    <n v="7435"/>
    <n v="-2676"/>
    <s v="Pending"/>
    <n v="5"/>
    <d v="2022-11-06T00:00:00"/>
    <n v="0"/>
    <n v="1259"/>
    <n v="-0.56000000000000005"/>
    <s v="Normal"/>
    <n v="2022"/>
    <s v="November"/>
  </r>
  <r>
    <n v="2138"/>
    <x v="139"/>
    <x v="3"/>
    <s v="South"/>
    <s v="Standard"/>
    <d v="2022-12-11T00:00:00"/>
    <d v="2023-12-10T00:00:00"/>
    <x v="1004"/>
    <n v="1082"/>
    <n v="5479"/>
    <s v="Overdue"/>
    <n v="11"/>
    <d v="2023-12-10T00:00:00"/>
    <n v="1"/>
    <n v="1260"/>
    <n v="0.84"/>
    <s v="Normal"/>
    <n v="2023"/>
    <s v="December"/>
  </r>
  <r>
    <n v="2141"/>
    <x v="118"/>
    <x v="4"/>
    <s v="East"/>
    <s v="Premium"/>
    <d v="2022-08-24T00:00:00"/>
    <d v="2024-02-20T00:00:00"/>
    <x v="1005"/>
    <n v="5818"/>
    <n v="-1865"/>
    <s v="NA"/>
    <n v="17"/>
    <d v="2024-02-20T00:00:00"/>
    <n v="1"/>
    <n v="1261"/>
    <n v="-0.47"/>
    <s v="Normal"/>
    <n v="2024"/>
    <s v="February"/>
  </r>
  <r>
    <n v="2143"/>
    <x v="231"/>
    <x v="0"/>
    <s v="East"/>
    <s v="Premium"/>
    <d v="2022-09-22T00:00:00"/>
    <d v="2023-05-15T00:00:00"/>
    <x v="1006"/>
    <n v="4012.75"/>
    <n v="1484"/>
    <s v="Overdue"/>
    <n v="7"/>
    <d v="2023-05-15T00:00:00"/>
    <n v="0"/>
    <n v="1262"/>
    <n v="1.51"/>
    <s v="Outlier"/>
    <n v="2023"/>
    <s v="May"/>
  </r>
  <r>
    <n v="2146"/>
    <x v="141"/>
    <x v="4"/>
    <s v="West"/>
    <s v="Premium"/>
    <d v="2022-01-28T00:00:00"/>
    <d v="2023-05-07T00:00:00"/>
    <x v="17"/>
    <n v="816"/>
    <n v="-887"/>
    <s v="Pending"/>
    <n v="15"/>
    <d v="2023-05-07T00:00:00"/>
    <n v="0"/>
    <n v="1263"/>
    <n v="-0.18"/>
    <s v="Normal"/>
    <n v="2023"/>
    <s v="May"/>
  </r>
  <r>
    <n v="2147"/>
    <x v="211"/>
    <x v="1"/>
    <s v="West"/>
    <s v="Standard"/>
    <d v="2022-12-26T00:00:00"/>
    <d v="2023-11-07T00:00:00"/>
    <x v="1007"/>
    <n v="4481"/>
    <n v="3907"/>
    <s v="Paid"/>
    <n v="10"/>
    <d v="2023-11-07T00:00:00"/>
    <n v="1"/>
    <n v="1264"/>
    <n v="0.47"/>
    <s v="Normal"/>
    <n v="2023"/>
    <s v="November"/>
  </r>
  <r>
    <n v="2149"/>
    <x v="384"/>
    <x v="4"/>
    <s v="West"/>
    <s v="Premium"/>
    <d v="2022-12-01T00:00:00"/>
    <d v="2023-06-27T00:00:00"/>
    <x v="1008"/>
    <n v="6597"/>
    <n v="-5519"/>
    <s v="Overdue"/>
    <n v="6"/>
    <d v="2023-06-27T00:00:00"/>
    <n v="1"/>
    <n v="1265"/>
    <n v="-5.12"/>
    <s v="Outlier"/>
    <n v="2023"/>
    <s v="June"/>
  </r>
  <r>
    <n v="2150"/>
    <x v="298"/>
    <x v="1"/>
    <s v="West"/>
    <s v="Basic"/>
    <d v="2022-09-08T00:00:00"/>
    <d v="2023-12-10T00:00:00"/>
    <x v="1009"/>
    <n v="2991"/>
    <n v="3367"/>
    <s v="Pending"/>
    <n v="15"/>
    <d v="2023-12-10T00:00:00"/>
    <n v="0"/>
    <n v="1266"/>
    <n v="0.53"/>
    <s v="Normal"/>
    <n v="2023"/>
    <s v="December"/>
  </r>
  <r>
    <n v="2152"/>
    <x v="173"/>
    <x v="3"/>
    <s v="North"/>
    <s v="Basic"/>
    <d v="2022-12-13T00:00:00"/>
    <d v="2024-01-08T00:00:00"/>
    <x v="17"/>
    <n v="4309"/>
    <n v="-6075"/>
    <s v="Pending"/>
    <n v="12"/>
    <d v="2024-01-08T00:00:00"/>
    <n v="0"/>
    <n v="1267"/>
    <n v="-1.22"/>
    <s v="Outlier"/>
    <n v="2024"/>
    <s v="January"/>
  </r>
  <r>
    <n v="2153"/>
    <x v="201"/>
    <x v="4"/>
    <s v="South"/>
    <s v="Premium"/>
    <d v="2022-11-01T00:00:00"/>
    <d v="2023-11-15T00:00:00"/>
    <x v="1010"/>
    <n v="3016"/>
    <n v="2368"/>
    <s v="Overdue"/>
    <n v="12"/>
    <d v="2023-11-15T00:00:00"/>
    <n v="0"/>
    <n v="1268"/>
    <n v="0.44"/>
    <s v="Normal"/>
    <n v="2023"/>
    <s v="November"/>
  </r>
  <r>
    <n v="2154"/>
    <x v="382"/>
    <x v="3"/>
    <s v="South"/>
    <s v="Standard"/>
    <d v="2022-07-02T00:00:00"/>
    <d v="2023-08-27T00:00:00"/>
    <x v="1011"/>
    <n v="6334"/>
    <n v="398"/>
    <s v="Overdue"/>
    <n v="13"/>
    <d v="2023-08-27T00:00:00"/>
    <n v="1"/>
    <n v="1269"/>
    <n v="0.06"/>
    <s v="Normal"/>
    <n v="2023"/>
    <s v="August"/>
  </r>
  <r>
    <n v="2155"/>
    <x v="324"/>
    <x v="2"/>
    <s v="West"/>
    <s v="Standard"/>
    <d v="2022-04-16T00:00:00"/>
    <d v="2022-10-08T00:00:00"/>
    <x v="1012"/>
    <n v="5813"/>
    <n v="-5537"/>
    <s v="Paid"/>
    <n v="5"/>
    <d v="2022-10-08T00:00:00"/>
    <n v="1"/>
    <n v="1270"/>
    <n v="-20.059999999999999"/>
    <s v="Outlier"/>
    <n v="2022"/>
    <s v="October"/>
  </r>
  <r>
    <n v="2156"/>
    <x v="315"/>
    <x v="4"/>
    <s v="East"/>
    <s v="Premium"/>
    <d v="2022-09-28T00:00:00"/>
    <d v="2023-09-11T00:00:00"/>
    <x v="17"/>
    <n v="4012.75"/>
    <n v="577.01"/>
    <s v="Paid"/>
    <n v="11"/>
    <d v="2023-09-11T00:00:00"/>
    <n v="0"/>
    <n v="1271"/>
    <n v="0.12"/>
    <s v="Normal"/>
    <n v="2023"/>
    <s v="September"/>
  </r>
  <r>
    <n v="2157"/>
    <x v="134"/>
    <x v="4"/>
    <s v="West"/>
    <s v="Basic"/>
    <d v="2022-12-27T00:00:00"/>
    <d v="2023-09-23T00:00:00"/>
    <x v="17"/>
    <n v="3027"/>
    <n v="-4014"/>
    <s v="Pending"/>
    <n v="8"/>
    <d v="2023-09-23T00:00:00"/>
    <n v="0"/>
    <n v="1272"/>
    <n v="-0.81"/>
    <s v="Normal"/>
    <n v="2023"/>
    <s v="September"/>
  </r>
  <r>
    <n v="2159"/>
    <x v="122"/>
    <x v="4"/>
    <s v="East"/>
    <s v="Premium"/>
    <d v="2022-04-22T00:00:00"/>
    <d v="2023-05-29T00:00:00"/>
    <x v="1013"/>
    <n v="3307"/>
    <n v="706"/>
    <s v="Pending"/>
    <n v="13"/>
    <d v="2023-05-29T00:00:00"/>
    <n v="0"/>
    <n v="1273"/>
    <n v="0.18"/>
    <s v="Normal"/>
    <n v="2023"/>
    <s v="May"/>
  </r>
  <r>
    <n v="2160"/>
    <x v="141"/>
    <x v="3"/>
    <s v="North"/>
    <s v="Basic"/>
    <d v="2022-10-27T00:00:00"/>
    <d v="2023-12-09T00:00:00"/>
    <x v="1014"/>
    <n v="1510"/>
    <n v="6147"/>
    <s v="Overdue"/>
    <n v="13"/>
    <d v="2023-12-09T00:00:00"/>
    <n v="1"/>
    <n v="1274"/>
    <n v="0.8"/>
    <s v="Normal"/>
    <n v="2023"/>
    <s v="December"/>
  </r>
  <r>
    <n v="2161"/>
    <x v="81"/>
    <x v="0"/>
    <s v="North"/>
    <s v="Basic"/>
    <d v="2022-04-27T00:00:00"/>
    <d v="2022-10-01T00:00:00"/>
    <x v="1015"/>
    <n v="1305"/>
    <n v="577.01"/>
    <s v="NA"/>
    <n v="5"/>
    <d v="2022-10-01T00:00:00"/>
    <n v="0"/>
    <n v="1275"/>
    <n v="1.35"/>
    <s v="Outlier"/>
    <n v="2022"/>
    <s v="October"/>
  </r>
  <r>
    <n v="2162"/>
    <x v="155"/>
    <x v="0"/>
    <s v="North"/>
    <s v="Premium"/>
    <d v="2022-03-16T00:00:00"/>
    <d v="2022-09-03T00:00:00"/>
    <x v="17"/>
    <n v="6219"/>
    <n v="577.01"/>
    <s v="NA"/>
    <n v="5"/>
    <d v="2022-09-03T00:00:00"/>
    <n v="0"/>
    <n v="1276"/>
    <n v="0.12"/>
    <s v="Normal"/>
    <n v="2022"/>
    <s v="September"/>
  </r>
  <r>
    <n v="2163"/>
    <x v="50"/>
    <x v="3"/>
    <s v="East"/>
    <s v="Basic"/>
    <d v="2022-05-22T00:00:00"/>
    <d v="2022-07-09T00:00:00"/>
    <x v="1016"/>
    <n v="1743"/>
    <n v="577.01"/>
    <s v="NA"/>
    <n v="1"/>
    <d v="2022-07-09T00:00:00"/>
    <n v="0"/>
    <n v="1277"/>
    <n v="0.08"/>
    <s v="Normal"/>
    <n v="2022"/>
    <s v="July"/>
  </r>
  <r>
    <n v="2166"/>
    <x v="267"/>
    <x v="3"/>
    <s v="South"/>
    <s v="Standard"/>
    <d v="2022-12-25T00:00:00"/>
    <d v="2024-01-13T00:00:00"/>
    <x v="1017"/>
    <n v="4012.75"/>
    <n v="1426"/>
    <s v="Overdue"/>
    <n v="12"/>
    <d v="2024-01-13T00:00:00"/>
    <n v="0"/>
    <n v="1278"/>
    <n v="1.91"/>
    <s v="Outlier"/>
    <n v="2024"/>
    <s v="January"/>
  </r>
  <r>
    <n v="2169"/>
    <x v="296"/>
    <x v="2"/>
    <s v="North"/>
    <s v="Premium"/>
    <d v="2022-01-08T00:00:00"/>
    <d v="2023-07-11T00:00:00"/>
    <x v="1018"/>
    <n v="1455"/>
    <n v="2486"/>
    <s v="Pending"/>
    <n v="18"/>
    <d v="2023-07-11T00:00:00"/>
    <n v="0"/>
    <n v="1279"/>
    <n v="0.63"/>
    <s v="Normal"/>
    <n v="2023"/>
    <s v="July"/>
  </r>
  <r>
    <n v="2170"/>
    <x v="373"/>
    <x v="4"/>
    <s v="South"/>
    <s v="Basic"/>
    <d v="2022-12-23T00:00:00"/>
    <d v="2024-04-05T00:00:00"/>
    <x v="1019"/>
    <n v="4012.75"/>
    <n v="7986"/>
    <s v="Pending"/>
    <n v="15"/>
    <d v="2024-04-05T00:00:00"/>
    <n v="0"/>
    <n v="1280"/>
    <n v="1.05"/>
    <s v="Outlier"/>
    <n v="2024"/>
    <s v="April"/>
  </r>
  <r>
    <n v="2172"/>
    <x v="85"/>
    <x v="2"/>
    <s v="North"/>
    <s v="Basic"/>
    <d v="2022-11-11T00:00:00"/>
    <d v="2023-11-07T00:00:00"/>
    <x v="17"/>
    <n v="1212"/>
    <n v="-2213"/>
    <s v="Pending"/>
    <n v="11"/>
    <d v="2023-11-07T00:00:00"/>
    <n v="1"/>
    <n v="1281"/>
    <n v="-0.45"/>
    <s v="Normal"/>
    <n v="2023"/>
    <s v="November"/>
  </r>
  <r>
    <n v="2173"/>
    <x v="12"/>
    <x v="1"/>
    <s v="West"/>
    <s v="Premium"/>
    <d v="2022-11-28T00:00:00"/>
    <d v="2023-11-07T00:00:00"/>
    <x v="1020"/>
    <n v="6376"/>
    <n v="665"/>
    <s v="NA"/>
    <n v="11"/>
    <d v="2023-11-07T00:00:00"/>
    <n v="1"/>
    <n v="1282"/>
    <n v="0.09"/>
    <s v="Normal"/>
    <n v="2023"/>
    <s v="November"/>
  </r>
  <r>
    <n v="2175"/>
    <x v="187"/>
    <x v="1"/>
    <s v="West"/>
    <s v="Basic"/>
    <d v="2022-06-13T00:00:00"/>
    <d v="2023-01-24T00:00:00"/>
    <x v="1021"/>
    <n v="4012.75"/>
    <n v="8403"/>
    <s v="Pending"/>
    <n v="7"/>
    <d v="2023-01-24T00:00:00"/>
    <n v="1"/>
    <n v="1283"/>
    <n v="1.1200000000000001"/>
    <s v="Outlier"/>
    <n v="2023"/>
    <s v="January"/>
  </r>
  <r>
    <n v="2176"/>
    <x v="274"/>
    <x v="4"/>
    <s v="West"/>
    <s v="Basic"/>
    <d v="2022-01-30T00:00:00"/>
    <d v="2022-11-12T00:00:00"/>
    <x v="1022"/>
    <n v="7445"/>
    <n v="-5397"/>
    <s v="NA"/>
    <n v="9"/>
    <d v="2022-11-12T00:00:00"/>
    <n v="0"/>
    <n v="1284"/>
    <n v="-2.64"/>
    <s v="Outlier"/>
    <n v="2022"/>
    <s v="November"/>
  </r>
  <r>
    <n v="2177"/>
    <x v="73"/>
    <x v="0"/>
    <s v="West"/>
    <s v="Standard"/>
    <d v="2022-11-02T00:00:00"/>
    <d v="2023-07-02T00:00:00"/>
    <x v="884"/>
    <n v="512"/>
    <n v="3847"/>
    <s v="Overdue"/>
    <n v="8"/>
    <d v="2023-07-02T00:00:00"/>
    <n v="1"/>
    <n v="1285"/>
    <n v="0.88"/>
    <s v="Normal"/>
    <n v="2023"/>
    <s v="July"/>
  </r>
  <r>
    <n v="2180"/>
    <x v="323"/>
    <x v="2"/>
    <s v="East"/>
    <s v="Premium"/>
    <d v="2022-11-06T00:00:00"/>
    <d v="2023-10-29T00:00:00"/>
    <x v="1023"/>
    <n v="2351"/>
    <n v="4010"/>
    <s v="NA"/>
    <n v="11"/>
    <d v="2023-10-29T00:00:00"/>
    <n v="1"/>
    <n v="1286"/>
    <n v="0.63"/>
    <s v="Normal"/>
    <n v="2023"/>
    <s v="October"/>
  </r>
  <r>
    <n v="2184"/>
    <x v="334"/>
    <x v="3"/>
    <s v="East"/>
    <s v="Standard"/>
    <d v="2022-07-05T00:00:00"/>
    <d v="2023-08-12T00:00:00"/>
    <x v="1024"/>
    <n v="4648"/>
    <n v="716"/>
    <s v="Paid"/>
    <n v="13"/>
    <d v="2023-08-12T00:00:00"/>
    <n v="0"/>
    <n v="1287"/>
    <n v="0.13"/>
    <s v="Normal"/>
    <n v="2023"/>
    <s v="August"/>
  </r>
  <r>
    <n v="2185"/>
    <x v="153"/>
    <x v="4"/>
    <s v="West"/>
    <s v="Premium"/>
    <d v="2022-04-22T00:00:00"/>
    <d v="2023-06-05T00:00:00"/>
    <x v="148"/>
    <n v="7411"/>
    <n v="-4690"/>
    <s v="NA"/>
    <n v="13"/>
    <d v="2023-06-05T00:00:00"/>
    <n v="1"/>
    <n v="1288"/>
    <n v="-1.72"/>
    <s v="Outlier"/>
    <n v="2023"/>
    <s v="June"/>
  </r>
  <r>
    <n v="2188"/>
    <x v="239"/>
    <x v="0"/>
    <s v="West"/>
    <s v="Standard"/>
    <d v="2022-10-24T00:00:00"/>
    <d v="2023-01-12T00:00:00"/>
    <x v="1025"/>
    <n v="6648"/>
    <n v="3233"/>
    <s v="Pending"/>
    <n v="2"/>
    <d v="2023-01-12T00:00:00"/>
    <n v="0"/>
    <n v="1289"/>
    <n v="0.33"/>
    <s v="Normal"/>
    <n v="2023"/>
    <s v="January"/>
  </r>
  <r>
    <n v="2189"/>
    <x v="142"/>
    <x v="3"/>
    <s v="North"/>
    <s v="Basic"/>
    <d v="2022-06-17T00:00:00"/>
    <d v="2022-09-06T00:00:00"/>
    <x v="1026"/>
    <n v="4012.75"/>
    <n v="7326"/>
    <s v="Pending"/>
    <n v="2"/>
    <d v="2022-09-06T00:00:00"/>
    <n v="1"/>
    <n v="1290"/>
    <n v="1.02"/>
    <s v="Outlier"/>
    <n v="2022"/>
    <s v="September"/>
  </r>
  <r>
    <n v="2191"/>
    <x v="194"/>
    <x v="2"/>
    <s v="West"/>
    <s v="Premium"/>
    <d v="2022-05-21T00:00:00"/>
    <d v="2022-11-19T00:00:00"/>
    <x v="1027"/>
    <n v="757"/>
    <n v="-87"/>
    <s v="Pending"/>
    <n v="5"/>
    <d v="2022-11-19T00:00:00"/>
    <n v="1"/>
    <n v="1291"/>
    <n v="-0.13"/>
    <s v="Normal"/>
    <n v="2022"/>
    <s v="November"/>
  </r>
  <r>
    <n v="2192"/>
    <x v="73"/>
    <x v="2"/>
    <s v="West"/>
    <s v="Standard"/>
    <d v="2022-09-12T00:00:00"/>
    <d v="2023-02-18T00:00:00"/>
    <x v="17"/>
    <n v="7056"/>
    <n v="-8599"/>
    <s v="Overdue"/>
    <n v="5"/>
    <d v="2023-02-18T00:00:00"/>
    <n v="0"/>
    <n v="1292"/>
    <n v="-1.73"/>
    <s v="Outlier"/>
    <n v="2023"/>
    <s v="February"/>
  </r>
  <r>
    <n v="2194"/>
    <x v="184"/>
    <x v="0"/>
    <s v="North"/>
    <s v="Standard"/>
    <d v="2022-06-23T00:00:00"/>
    <d v="2022-08-14T00:00:00"/>
    <x v="1028"/>
    <n v="1520"/>
    <n v="8204"/>
    <s v="NA"/>
    <n v="1"/>
    <d v="2022-08-14T00:00:00"/>
    <n v="1"/>
    <n v="1293"/>
    <n v="0.84"/>
    <s v="Normal"/>
    <n v="2022"/>
    <s v="August"/>
  </r>
  <r>
    <n v="2195"/>
    <x v="261"/>
    <x v="2"/>
    <s v="East"/>
    <s v="Basic"/>
    <d v="2022-03-24T00:00:00"/>
    <d v="2022-09-02T00:00:00"/>
    <x v="17"/>
    <n v="1016"/>
    <n v="-2419"/>
    <s v="Overdue"/>
    <n v="5"/>
    <d v="2022-09-02T00:00:00"/>
    <n v="0"/>
    <n v="1294"/>
    <n v="-0.49"/>
    <s v="Normal"/>
    <n v="2022"/>
    <s v="September"/>
  </r>
  <r>
    <n v="2196"/>
    <x v="291"/>
    <x v="0"/>
    <s v="South"/>
    <s v="Premium"/>
    <d v="2022-08-25T00:00:00"/>
    <d v="2023-09-08T00:00:00"/>
    <x v="17"/>
    <n v="6088"/>
    <n v="-7012"/>
    <s v="Overdue"/>
    <n v="12"/>
    <d v="2023-09-08T00:00:00"/>
    <n v="0"/>
    <n v="1295"/>
    <n v="-1.41"/>
    <s v="Outlier"/>
    <n v="2023"/>
    <s v="September"/>
  </r>
  <r>
    <n v="2198"/>
    <x v="31"/>
    <x v="0"/>
    <s v="South"/>
    <s v="Standard"/>
    <d v="2022-05-26T00:00:00"/>
    <d v="2023-06-01T00:00:00"/>
    <x v="1029"/>
    <n v="1892"/>
    <n v="498"/>
    <s v="Pending"/>
    <n v="12"/>
    <d v="2023-06-01T00:00:00"/>
    <n v="0"/>
    <n v="1296"/>
    <n v="0.21"/>
    <s v="Normal"/>
    <n v="2023"/>
    <s v="June"/>
  </r>
  <r>
    <n v="2199"/>
    <x v="35"/>
    <x v="4"/>
    <s v="North"/>
    <s v="Basic"/>
    <d v="2022-11-26T00:00:00"/>
    <d v="2024-04-20T00:00:00"/>
    <x v="1030"/>
    <n v="3498"/>
    <n v="4433"/>
    <s v="Paid"/>
    <n v="16"/>
    <d v="2024-04-20T00:00:00"/>
    <n v="0"/>
    <n v="1297"/>
    <n v="0.56000000000000005"/>
    <s v="Normal"/>
    <n v="2024"/>
    <s v="April"/>
  </r>
  <r>
    <n v="2202"/>
    <x v="245"/>
    <x v="0"/>
    <s v="South"/>
    <s v="Premium"/>
    <d v="2022-09-03T00:00:00"/>
    <d v="2024-02-16T00:00:00"/>
    <x v="1031"/>
    <n v="4647"/>
    <n v="1183"/>
    <s v="Paid"/>
    <n v="17"/>
    <d v="2024-02-16T00:00:00"/>
    <n v="1"/>
    <n v="1298"/>
    <n v="0.2"/>
    <s v="Normal"/>
    <n v="2024"/>
    <s v="February"/>
  </r>
  <r>
    <n v="2204"/>
    <x v="279"/>
    <x v="3"/>
    <s v="South"/>
    <s v="Premium"/>
    <d v="2022-08-08T00:00:00"/>
    <d v="2022-11-22T00:00:00"/>
    <x v="1032"/>
    <n v="6365"/>
    <n v="-1315"/>
    <s v="Pending"/>
    <n v="3"/>
    <d v="2022-11-22T00:00:00"/>
    <n v="1"/>
    <n v="1299"/>
    <n v="-0.26"/>
    <s v="Normal"/>
    <n v="2022"/>
    <s v="November"/>
  </r>
  <r>
    <n v="2205"/>
    <x v="335"/>
    <x v="4"/>
    <s v="West"/>
    <s v="Premium"/>
    <d v="2022-09-09T00:00:00"/>
    <d v="2024-02-08T00:00:00"/>
    <x v="1033"/>
    <n v="1203"/>
    <n v="577.01"/>
    <s v="Paid"/>
    <n v="16"/>
    <d v="2024-02-08T00:00:00"/>
    <n v="1"/>
    <n v="1300"/>
    <n v="0.12"/>
    <s v="Normal"/>
    <n v="2024"/>
    <s v="February"/>
  </r>
  <r>
    <n v="2206"/>
    <x v="30"/>
    <x v="4"/>
    <s v="West"/>
    <s v="Premium"/>
    <d v="2022-03-11T00:00:00"/>
    <d v="2022-05-09T00:00:00"/>
    <x v="201"/>
    <n v="4012.75"/>
    <n v="7200"/>
    <s v="Pending"/>
    <n v="1"/>
    <d v="2022-05-09T00:00:00"/>
    <n v="1"/>
    <n v="1301"/>
    <n v="1.02"/>
    <s v="Outlier"/>
    <n v="2022"/>
    <s v="May"/>
  </r>
  <r>
    <n v="2208"/>
    <x v="276"/>
    <x v="2"/>
    <s v="East"/>
    <s v="Premium"/>
    <d v="2022-11-13T00:00:00"/>
    <d v="2022-12-23T00:00:00"/>
    <x v="1034"/>
    <n v="7951"/>
    <n v="-1022"/>
    <s v="Pending"/>
    <n v="1"/>
    <d v="2022-12-23T00:00:00"/>
    <n v="1"/>
    <n v="1302"/>
    <n v="-0.15"/>
    <s v="Normal"/>
    <n v="2022"/>
    <s v="December"/>
  </r>
  <r>
    <n v="2209"/>
    <x v="62"/>
    <x v="1"/>
    <s v="West"/>
    <s v="Standard"/>
    <d v="2022-07-24T00:00:00"/>
    <d v="2022-10-14T00:00:00"/>
    <x v="1035"/>
    <n v="2533"/>
    <n v="577.01"/>
    <s v="Overdue"/>
    <n v="2"/>
    <d v="2022-10-14T00:00:00"/>
    <n v="0"/>
    <n v="1303"/>
    <n v="0.49"/>
    <s v="Normal"/>
    <n v="2022"/>
    <s v="October"/>
  </r>
  <r>
    <n v="2210"/>
    <x v="227"/>
    <x v="0"/>
    <s v="North"/>
    <s v="Premium"/>
    <d v="2022-12-26T00:00:00"/>
    <d v="2023-10-28T00:00:00"/>
    <x v="1036"/>
    <n v="6574"/>
    <n v="-913"/>
    <s v="NA"/>
    <n v="10"/>
    <d v="2023-10-28T00:00:00"/>
    <n v="1"/>
    <n v="1304"/>
    <n v="-0.16"/>
    <s v="Normal"/>
    <n v="2023"/>
    <s v="October"/>
  </r>
  <r>
    <n v="2211"/>
    <x v="291"/>
    <x v="2"/>
    <s v="North"/>
    <s v="Basic"/>
    <d v="2022-06-03T00:00:00"/>
    <d v="2024-01-15T00:00:00"/>
    <x v="1037"/>
    <n v="3051"/>
    <n v="577.01"/>
    <s v="Paid"/>
    <n v="19"/>
    <d v="2024-01-15T00:00:00"/>
    <n v="0"/>
    <n v="1305"/>
    <n v="0.2"/>
    <s v="Normal"/>
    <n v="2024"/>
    <s v="January"/>
  </r>
  <r>
    <n v="2214"/>
    <x v="309"/>
    <x v="1"/>
    <s v="South"/>
    <s v="Standard"/>
    <d v="2022-04-29T00:00:00"/>
    <d v="2023-08-01T00:00:00"/>
    <x v="1038"/>
    <n v="4012.75"/>
    <n v="577.01"/>
    <s v="Paid"/>
    <n v="15"/>
    <d v="2023-08-01T00:00:00"/>
    <n v="0"/>
    <n v="1306"/>
    <n v="0.1"/>
    <s v="Normal"/>
    <n v="2023"/>
    <s v="August"/>
  </r>
  <r>
    <n v="2215"/>
    <x v="35"/>
    <x v="3"/>
    <s v="North"/>
    <s v="Premium"/>
    <d v="2022-12-16T00:00:00"/>
    <d v="2023-11-18T00:00:00"/>
    <x v="1039"/>
    <n v="2394"/>
    <n v="-1623"/>
    <s v="Overdue"/>
    <n v="11"/>
    <d v="2023-11-18T00:00:00"/>
    <n v="1"/>
    <n v="1307"/>
    <n v="-2.11"/>
    <s v="Outlier"/>
    <n v="2023"/>
    <s v="November"/>
  </r>
  <r>
    <n v="2216"/>
    <x v="381"/>
    <x v="4"/>
    <s v="West"/>
    <s v="Premium"/>
    <d v="2022-11-01T00:00:00"/>
    <d v="2024-03-03T00:00:00"/>
    <x v="1040"/>
    <n v="1138"/>
    <n v="6625"/>
    <s v="Paid"/>
    <n v="16"/>
    <d v="2024-03-03T00:00:00"/>
    <n v="1"/>
    <n v="1308"/>
    <n v="0.85"/>
    <s v="Normal"/>
    <n v="2024"/>
    <s v="March"/>
  </r>
  <r>
    <n v="2217"/>
    <x v="381"/>
    <x v="2"/>
    <s v="South"/>
    <s v="Basic"/>
    <d v="2022-08-02T00:00:00"/>
    <d v="2024-01-27T00:00:00"/>
    <x v="859"/>
    <n v="4285"/>
    <n v="5259"/>
    <s v="Paid"/>
    <n v="17"/>
    <d v="2024-01-27T00:00:00"/>
    <n v="1"/>
    <n v="1309"/>
    <n v="0.55000000000000004"/>
    <s v="Normal"/>
    <n v="2024"/>
    <s v="January"/>
  </r>
  <r>
    <n v="2218"/>
    <x v="118"/>
    <x v="2"/>
    <s v="West"/>
    <s v="Premium"/>
    <d v="2022-01-19T00:00:00"/>
    <d v="2022-02-24T00:00:00"/>
    <x v="1041"/>
    <n v="6358"/>
    <n v="-2130"/>
    <s v="Paid"/>
    <n v="1"/>
    <d v="2022-02-24T00:00:00"/>
    <n v="1"/>
    <n v="1310"/>
    <n v="-0.5"/>
    <s v="Normal"/>
    <n v="2022"/>
    <s v="February"/>
  </r>
  <r>
    <n v="2219"/>
    <x v="359"/>
    <x v="3"/>
    <s v="East"/>
    <s v="Premium"/>
    <d v="2022-07-08T00:00:00"/>
    <d v="2023-10-12T00:00:00"/>
    <x v="1042"/>
    <n v="7677"/>
    <n v="-1021"/>
    <s v="Pending"/>
    <n v="15"/>
    <d v="2023-10-12T00:00:00"/>
    <n v="1"/>
    <n v="1311"/>
    <n v="-0.15"/>
    <s v="Normal"/>
    <n v="2023"/>
    <s v="October"/>
  </r>
  <r>
    <n v="2220"/>
    <x v="95"/>
    <x v="0"/>
    <s v="South"/>
    <s v="Standard"/>
    <d v="2022-02-08T00:00:00"/>
    <d v="2022-11-06T00:00:00"/>
    <x v="1043"/>
    <n v="4012.75"/>
    <n v="960"/>
    <s v="Paid"/>
    <n v="8"/>
    <d v="2022-11-06T00:00:00"/>
    <n v="0"/>
    <n v="1312"/>
    <n v="6.58"/>
    <s v="Outlier"/>
    <n v="2022"/>
    <s v="November"/>
  </r>
  <r>
    <n v="2222"/>
    <x v="261"/>
    <x v="3"/>
    <s v="South"/>
    <s v="Premium"/>
    <d v="2022-04-25T00:00:00"/>
    <d v="2023-07-04T00:00:00"/>
    <x v="17"/>
    <n v="7603"/>
    <n v="-8184"/>
    <s v="Paid"/>
    <n v="14"/>
    <d v="2023-07-04T00:00:00"/>
    <n v="0"/>
    <n v="1313"/>
    <n v="-1.65"/>
    <s v="Outlier"/>
    <n v="2023"/>
    <s v="July"/>
  </r>
  <r>
    <n v="2223"/>
    <x v="31"/>
    <x v="2"/>
    <s v="North"/>
    <s v="Standard"/>
    <d v="2022-12-15T00:00:00"/>
    <d v="2023-11-18T00:00:00"/>
    <x v="1044"/>
    <n v="3342"/>
    <n v="577.01"/>
    <s v="NA"/>
    <n v="11"/>
    <d v="2023-11-18T00:00:00"/>
    <n v="1"/>
    <n v="1314"/>
    <n v="0.47"/>
    <s v="Normal"/>
    <n v="2023"/>
    <s v="November"/>
  </r>
  <r>
    <n v="2224"/>
    <x v="57"/>
    <x v="0"/>
    <s v="North"/>
    <s v="Basic"/>
    <d v="2022-10-25T00:00:00"/>
    <d v="2023-03-17T00:00:00"/>
    <x v="1045"/>
    <n v="4012.75"/>
    <n v="10658"/>
    <s v="Overdue"/>
    <n v="4"/>
    <d v="2023-03-17T00:00:00"/>
    <n v="0"/>
    <n v="1315"/>
    <n v="1.0900000000000001"/>
    <s v="Outlier"/>
    <n v="2023"/>
    <s v="March"/>
  </r>
  <r>
    <n v="2228"/>
    <x v="306"/>
    <x v="4"/>
    <s v="East"/>
    <s v="Standard"/>
    <d v="2022-01-31T00:00:00"/>
    <d v="2022-11-14T00:00:00"/>
    <x v="46"/>
    <n v="5720"/>
    <n v="-4494"/>
    <s v="Overdue"/>
    <n v="9"/>
    <d v="2022-11-14T00:00:00"/>
    <n v="0"/>
    <n v="1316"/>
    <n v="-3.67"/>
    <s v="Outlier"/>
    <n v="2022"/>
    <s v="November"/>
  </r>
  <r>
    <n v="2232"/>
    <x v="170"/>
    <x v="3"/>
    <s v="South"/>
    <s v="Premium"/>
    <d v="2022-12-18T00:00:00"/>
    <d v="2024-06-17T00:00:00"/>
    <x v="702"/>
    <n v="6948"/>
    <n v="-4138"/>
    <s v="Pending"/>
    <n v="17"/>
    <d v="2024-06-17T00:00:00"/>
    <n v="1"/>
    <n v="1317"/>
    <n v="-1.47"/>
    <s v="Outlier"/>
    <n v="2024"/>
    <s v="June"/>
  </r>
  <r>
    <n v="2233"/>
    <x v="224"/>
    <x v="1"/>
    <s v="East"/>
    <s v="Basic"/>
    <d v="2022-10-08T00:00:00"/>
    <d v="2024-02-26T00:00:00"/>
    <x v="1046"/>
    <n v="1527"/>
    <n v="7479"/>
    <s v="Pending"/>
    <n v="16"/>
    <d v="2024-02-26T00:00:00"/>
    <n v="0"/>
    <n v="1318"/>
    <n v="0.83"/>
    <s v="Normal"/>
    <n v="2024"/>
    <s v="February"/>
  </r>
  <r>
    <n v="2234"/>
    <x v="138"/>
    <x v="3"/>
    <s v="East"/>
    <s v="Standard"/>
    <d v="2022-06-02T00:00:00"/>
    <d v="2023-03-08T00:00:00"/>
    <x v="598"/>
    <n v="105"/>
    <n v="7064"/>
    <s v="Pending"/>
    <n v="9"/>
    <d v="2023-03-08T00:00:00"/>
    <n v="1"/>
    <n v="1319"/>
    <n v="0.99"/>
    <s v="Normal"/>
    <n v="2023"/>
    <s v="March"/>
  </r>
  <r>
    <n v="2235"/>
    <x v="129"/>
    <x v="0"/>
    <s v="North"/>
    <s v="Basic"/>
    <d v="2022-06-24T00:00:00"/>
    <d v="2023-08-19T00:00:00"/>
    <x v="17"/>
    <n v="4012.75"/>
    <n v="577.01"/>
    <s v="Overdue"/>
    <n v="13"/>
    <d v="2023-08-19T00:00:00"/>
    <n v="1"/>
    <n v="1320"/>
    <n v="0.12"/>
    <s v="Normal"/>
    <n v="2023"/>
    <s v="August"/>
  </r>
  <r>
    <n v="2239"/>
    <x v="230"/>
    <x v="0"/>
    <s v="East"/>
    <s v="Basic"/>
    <d v="2022-06-05T00:00:00"/>
    <d v="2023-11-01T00:00:00"/>
    <x v="1047"/>
    <n v="4012.75"/>
    <n v="4305"/>
    <s v="NA"/>
    <n v="16"/>
    <d v="2023-11-01T00:00:00"/>
    <n v="0"/>
    <n v="1321"/>
    <n v="1.1399999999999999"/>
    <s v="Outlier"/>
    <n v="2023"/>
    <s v="November"/>
  </r>
  <r>
    <n v="2240"/>
    <x v="308"/>
    <x v="2"/>
    <s v="South"/>
    <s v="Premium"/>
    <d v="2022-02-09T00:00:00"/>
    <d v="2022-07-12T00:00:00"/>
    <x v="1048"/>
    <n v="2275"/>
    <n v="436"/>
    <s v="NA"/>
    <n v="5"/>
    <d v="2022-07-12T00:00:00"/>
    <n v="1"/>
    <n v="1322"/>
    <n v="0.16"/>
    <s v="Normal"/>
    <n v="2022"/>
    <s v="July"/>
  </r>
  <r>
    <n v="2241"/>
    <x v="218"/>
    <x v="1"/>
    <s v="West"/>
    <s v="Standard"/>
    <d v="2022-12-07T00:00:00"/>
    <d v="2023-02-14T00:00:00"/>
    <x v="17"/>
    <n v="4012.75"/>
    <n v="-1075"/>
    <s v="Overdue"/>
    <n v="2"/>
    <d v="2023-02-14T00:00:00"/>
    <n v="0"/>
    <n v="1323"/>
    <n v="-0.22"/>
    <s v="Normal"/>
    <n v="2023"/>
    <s v="February"/>
  </r>
  <r>
    <n v="2243"/>
    <x v="133"/>
    <x v="3"/>
    <s v="South"/>
    <s v="Basic"/>
    <d v="2022-10-29T00:00:00"/>
    <d v="2023-06-26T00:00:00"/>
    <x v="1049"/>
    <n v="4333"/>
    <n v="764"/>
    <s v="Paid"/>
    <n v="7"/>
    <d v="2023-06-26T00:00:00"/>
    <n v="0"/>
    <n v="1324"/>
    <n v="0.15"/>
    <s v="Normal"/>
    <n v="2023"/>
    <s v="June"/>
  </r>
  <r>
    <n v="2244"/>
    <x v="144"/>
    <x v="4"/>
    <s v="East"/>
    <s v="Basic"/>
    <d v="2022-06-28T00:00:00"/>
    <d v="2023-11-02T00:00:00"/>
    <x v="1050"/>
    <n v="3335"/>
    <n v="2391"/>
    <s v="Pending"/>
    <n v="16"/>
    <d v="2023-11-02T00:00:00"/>
    <n v="0"/>
    <n v="1325"/>
    <n v="0.42"/>
    <s v="Normal"/>
    <n v="2023"/>
    <s v="November"/>
  </r>
  <r>
    <n v="2246"/>
    <x v="138"/>
    <x v="4"/>
    <s v="North"/>
    <s v="Standard"/>
    <d v="2022-09-07T00:00:00"/>
    <d v="2023-04-25T00:00:00"/>
    <x v="1051"/>
    <n v="7588"/>
    <n v="-788"/>
    <s v="Paid"/>
    <n v="7"/>
    <d v="2023-04-25T00:00:00"/>
    <n v="1"/>
    <n v="1326"/>
    <n v="-0.12"/>
    <s v="Normal"/>
    <n v="2023"/>
    <s v="April"/>
  </r>
  <r>
    <n v="2247"/>
    <x v="108"/>
    <x v="2"/>
    <s v="North"/>
    <s v="Basic"/>
    <d v="2022-05-06T00:00:00"/>
    <d v="2022-11-23T00:00:00"/>
    <x v="299"/>
    <n v="3190"/>
    <n v="-515"/>
    <s v="NA"/>
    <n v="6"/>
    <d v="2022-11-23T00:00:00"/>
    <n v="0"/>
    <n v="1327"/>
    <n v="-0.19"/>
    <s v="Normal"/>
    <n v="2022"/>
    <s v="November"/>
  </r>
  <r>
    <n v="2248"/>
    <x v="114"/>
    <x v="0"/>
    <s v="East"/>
    <s v="Basic"/>
    <d v="2022-07-24T00:00:00"/>
    <d v="2024-02-12T00:00:00"/>
    <x v="1052"/>
    <n v="2059"/>
    <n v="577.01"/>
    <s v="Overdue"/>
    <n v="18"/>
    <d v="2024-02-12T00:00:00"/>
    <n v="0"/>
    <n v="1328"/>
    <n v="0.15"/>
    <s v="Normal"/>
    <n v="2024"/>
    <s v="February"/>
  </r>
  <r>
    <n v="2250"/>
    <x v="80"/>
    <x v="4"/>
    <s v="North"/>
    <s v="Premium"/>
    <d v="2022-10-19T00:00:00"/>
    <d v="2023-05-18T00:00:00"/>
    <x v="1053"/>
    <n v="1779"/>
    <n v="6600"/>
    <s v="Overdue"/>
    <n v="6"/>
    <d v="2023-05-18T00:00:00"/>
    <n v="0"/>
    <n v="1329"/>
    <n v="0.79"/>
    <s v="Normal"/>
    <n v="2023"/>
    <s v="May"/>
  </r>
  <r>
    <n v="2252"/>
    <x v="260"/>
    <x v="4"/>
    <s v="East"/>
    <s v="Basic"/>
    <d v="2022-12-02T00:00:00"/>
    <d v="2023-11-03T00:00:00"/>
    <x v="1054"/>
    <n v="2701"/>
    <n v="5118"/>
    <s v="NA"/>
    <n v="11"/>
    <d v="2023-11-03T00:00:00"/>
    <n v="0"/>
    <n v="1330"/>
    <n v="0.65"/>
    <s v="Normal"/>
    <n v="2023"/>
    <s v="November"/>
  </r>
  <r>
    <n v="2254"/>
    <x v="130"/>
    <x v="0"/>
    <s v="North"/>
    <s v="Basic"/>
    <d v="2022-10-06T00:00:00"/>
    <d v="2023-11-02T00:00:00"/>
    <x v="1055"/>
    <n v="5787"/>
    <n v="66"/>
    <s v="Paid"/>
    <n v="12"/>
    <d v="2023-11-02T00:00:00"/>
    <n v="1"/>
    <n v="1331"/>
    <n v="0.01"/>
    <s v="Normal"/>
    <n v="2023"/>
    <s v="November"/>
  </r>
  <r>
    <n v="2255"/>
    <x v="300"/>
    <x v="4"/>
    <s v="West"/>
    <s v="Premium"/>
    <d v="2022-07-21T00:00:00"/>
    <d v="2023-12-13T00:00:00"/>
    <x v="1056"/>
    <n v="4012.75"/>
    <n v="2635"/>
    <s v="Pending"/>
    <n v="16"/>
    <d v="2023-12-13T00:00:00"/>
    <n v="1"/>
    <n v="1332"/>
    <n v="1.21"/>
    <s v="Outlier"/>
    <n v="2023"/>
    <s v="December"/>
  </r>
  <r>
    <n v="2259"/>
    <x v="166"/>
    <x v="4"/>
    <s v="South"/>
    <s v="Basic"/>
    <d v="2022-01-05T00:00:00"/>
    <d v="2023-08-09T00:00:00"/>
    <x v="1057"/>
    <n v="2120"/>
    <n v="6266"/>
    <s v="Paid"/>
    <n v="19"/>
    <d v="2023-08-09T00:00:00"/>
    <n v="0"/>
    <n v="1333"/>
    <n v="0.75"/>
    <s v="Normal"/>
    <n v="2023"/>
    <s v="August"/>
  </r>
  <r>
    <n v="2260"/>
    <x v="220"/>
    <x v="2"/>
    <s v="West"/>
    <s v="Premium"/>
    <d v="2022-06-04T00:00:00"/>
    <d v="2023-11-05T00:00:00"/>
    <x v="1058"/>
    <n v="4012.75"/>
    <n v="9311"/>
    <s v="Paid"/>
    <n v="17"/>
    <d v="2023-11-05T00:00:00"/>
    <n v="1"/>
    <n v="1334"/>
    <n v="1.04"/>
    <s v="Outlier"/>
    <n v="2023"/>
    <s v="November"/>
  </r>
  <r>
    <n v="2261"/>
    <x v="156"/>
    <x v="2"/>
    <s v="West"/>
    <s v="Basic"/>
    <d v="2022-10-26T00:00:00"/>
    <d v="2023-10-08T00:00:00"/>
    <x v="17"/>
    <n v="3702"/>
    <n v="-4256"/>
    <s v="NA"/>
    <n v="11"/>
    <d v="2023-10-08T00:00:00"/>
    <n v="1"/>
    <n v="1335"/>
    <n v="-0.86"/>
    <s v="Normal"/>
    <n v="2023"/>
    <s v="October"/>
  </r>
  <r>
    <n v="2263"/>
    <x v="361"/>
    <x v="0"/>
    <s v="East"/>
    <s v="Standard"/>
    <d v="2022-09-28T00:00:00"/>
    <d v="2023-11-18T00:00:00"/>
    <x v="17"/>
    <n v="6245"/>
    <n v="-6963"/>
    <s v="NA"/>
    <n v="13"/>
    <d v="2023-11-18T00:00:00"/>
    <n v="1"/>
    <n v="1336"/>
    <n v="-1.4"/>
    <s v="Outlier"/>
    <n v="2023"/>
    <s v="November"/>
  </r>
  <r>
    <n v="2264"/>
    <x v="281"/>
    <x v="4"/>
    <s v="East"/>
    <s v="Standard"/>
    <d v="2022-11-22T00:00:00"/>
    <d v="2023-04-22T00:00:00"/>
    <x v="1059"/>
    <n v="4500"/>
    <n v="978"/>
    <s v="Pending"/>
    <n v="5"/>
    <d v="2023-04-22T00:00:00"/>
    <n v="0"/>
    <n v="1337"/>
    <n v="0.18"/>
    <s v="Normal"/>
    <n v="2023"/>
    <s v="April"/>
  </r>
  <r>
    <n v="2267"/>
    <x v="152"/>
    <x v="2"/>
    <s v="West"/>
    <s v="Premium"/>
    <d v="2022-08-03T00:00:00"/>
    <d v="2022-11-05T00:00:00"/>
    <x v="1060"/>
    <n v="1744"/>
    <n v="8188"/>
    <s v="Pending"/>
    <n v="3"/>
    <d v="2022-11-05T00:00:00"/>
    <n v="1"/>
    <n v="1338"/>
    <n v="0.82"/>
    <s v="Normal"/>
    <n v="2022"/>
    <s v="November"/>
  </r>
  <r>
    <n v="2268"/>
    <x v="269"/>
    <x v="2"/>
    <s v="East"/>
    <s v="Basic"/>
    <d v="2022-06-10T00:00:00"/>
    <d v="2022-07-19T00:00:00"/>
    <x v="1061"/>
    <n v="1518"/>
    <n v="7266"/>
    <s v="Paid"/>
    <n v="1"/>
    <d v="2022-07-19T00:00:00"/>
    <n v="0"/>
    <n v="1339"/>
    <n v="0.83"/>
    <s v="Normal"/>
    <n v="2022"/>
    <s v="July"/>
  </r>
  <r>
    <n v="2269"/>
    <x v="130"/>
    <x v="4"/>
    <s v="East"/>
    <s v="Basic"/>
    <d v="2022-07-02T00:00:00"/>
    <d v="2023-03-29T00:00:00"/>
    <x v="17"/>
    <n v="2618"/>
    <n v="-4402"/>
    <s v="Pending"/>
    <n v="8"/>
    <d v="2023-03-29T00:00:00"/>
    <n v="0"/>
    <n v="1340"/>
    <n v="-0.89"/>
    <s v="Normal"/>
    <n v="2023"/>
    <s v="March"/>
  </r>
  <r>
    <n v="2270"/>
    <x v="207"/>
    <x v="2"/>
    <s v="South"/>
    <s v="Basic"/>
    <d v="2022-03-23T00:00:00"/>
    <d v="2023-03-20T00:00:00"/>
    <x v="1062"/>
    <n v="2358"/>
    <n v="554"/>
    <s v="Overdue"/>
    <n v="11"/>
    <d v="2023-03-20T00:00:00"/>
    <n v="0"/>
    <n v="1341"/>
    <n v="0.19"/>
    <s v="Normal"/>
    <n v="2023"/>
    <s v="March"/>
  </r>
  <r>
    <n v="2271"/>
    <x v="331"/>
    <x v="1"/>
    <s v="North"/>
    <s v="Basic"/>
    <d v="2022-01-01T00:00:00"/>
    <d v="2022-03-26T00:00:00"/>
    <x v="1063"/>
    <n v="937"/>
    <n v="136"/>
    <s v="NA"/>
    <n v="2"/>
    <d v="2022-03-26T00:00:00"/>
    <n v="0"/>
    <n v="1342"/>
    <n v="0.13"/>
    <s v="Normal"/>
    <n v="2022"/>
    <s v="March"/>
  </r>
  <r>
    <n v="2273"/>
    <x v="326"/>
    <x v="0"/>
    <s v="North"/>
    <s v="Basic"/>
    <d v="2022-10-04T00:00:00"/>
    <d v="2023-06-14T00:00:00"/>
    <x v="1064"/>
    <n v="5248"/>
    <n v="577.01"/>
    <s v="NA"/>
    <n v="8"/>
    <d v="2023-06-14T00:00:00"/>
    <n v="0"/>
    <n v="1343"/>
    <n v="7.0000000000000007E-2"/>
    <s v="Normal"/>
    <n v="2023"/>
    <s v="June"/>
  </r>
  <r>
    <n v="2278"/>
    <x v="289"/>
    <x v="4"/>
    <s v="West"/>
    <s v="Basic"/>
    <d v="2022-06-14T00:00:00"/>
    <d v="2023-05-08T00:00:00"/>
    <x v="1065"/>
    <n v="645"/>
    <n v="5809"/>
    <s v="Pending"/>
    <n v="10"/>
    <d v="2023-05-08T00:00:00"/>
    <n v="0"/>
    <n v="1344"/>
    <n v="0.9"/>
    <s v="Normal"/>
    <n v="2023"/>
    <s v="May"/>
  </r>
  <r>
    <n v="2279"/>
    <x v="232"/>
    <x v="2"/>
    <s v="South"/>
    <s v="Basic"/>
    <d v="2022-07-24T00:00:00"/>
    <d v="2023-03-05T00:00:00"/>
    <x v="1066"/>
    <n v="3649"/>
    <n v="5159"/>
    <s v="Overdue"/>
    <n v="7"/>
    <d v="2023-03-05T00:00:00"/>
    <n v="0"/>
    <n v="1345"/>
    <n v="0.59"/>
    <s v="Normal"/>
    <n v="2023"/>
    <s v="March"/>
  </r>
  <r>
    <n v="2280"/>
    <x v="96"/>
    <x v="3"/>
    <s v="West"/>
    <s v="Premium"/>
    <d v="2022-03-02T00:00:00"/>
    <d v="2023-08-18T00:00:00"/>
    <x v="1067"/>
    <n v="873"/>
    <n v="1201"/>
    <s v="Pending"/>
    <n v="17"/>
    <d v="2023-08-18T00:00:00"/>
    <n v="0"/>
    <n v="1346"/>
    <n v="0.57999999999999996"/>
    <s v="Normal"/>
    <n v="2023"/>
    <s v="August"/>
  </r>
  <r>
    <n v="2281"/>
    <x v="308"/>
    <x v="4"/>
    <s v="North"/>
    <s v="Basic"/>
    <d v="2022-01-23T00:00:00"/>
    <d v="2022-06-21T00:00:00"/>
    <x v="17"/>
    <n v="1384"/>
    <n v="-3145"/>
    <s v="Overdue"/>
    <n v="4"/>
    <d v="2022-06-21T00:00:00"/>
    <n v="0"/>
    <n v="1347"/>
    <n v="-0.63"/>
    <s v="Normal"/>
    <n v="2022"/>
    <s v="June"/>
  </r>
  <r>
    <n v="2282"/>
    <x v="199"/>
    <x v="4"/>
    <s v="North"/>
    <s v="Standard"/>
    <d v="2022-06-17T00:00:00"/>
    <d v="2022-10-31T00:00:00"/>
    <x v="1068"/>
    <n v="1266"/>
    <n v="5616"/>
    <s v="NA"/>
    <n v="4"/>
    <d v="2022-10-31T00:00:00"/>
    <n v="0"/>
    <n v="1348"/>
    <n v="0.82"/>
    <s v="Normal"/>
    <n v="2022"/>
    <s v="October"/>
  </r>
  <r>
    <n v="2284"/>
    <x v="158"/>
    <x v="0"/>
    <s v="West"/>
    <s v="Premium"/>
    <d v="2022-03-16T00:00:00"/>
    <d v="2022-11-25T00:00:00"/>
    <x v="17"/>
    <n v="2457"/>
    <n v="-3962"/>
    <s v="Overdue"/>
    <n v="8"/>
    <d v="2022-11-25T00:00:00"/>
    <n v="0"/>
    <n v="1349"/>
    <n v="-0.8"/>
    <s v="Normal"/>
    <n v="2022"/>
    <s v="November"/>
  </r>
  <r>
    <n v="2286"/>
    <x v="95"/>
    <x v="3"/>
    <s v="South"/>
    <s v="Premium"/>
    <d v="2022-09-19T00:00:00"/>
    <d v="2023-03-03T00:00:00"/>
    <x v="669"/>
    <n v="7724"/>
    <n v="-7298"/>
    <s v="Paid"/>
    <n v="5"/>
    <d v="2023-03-03T00:00:00"/>
    <n v="0"/>
    <n v="1350"/>
    <n v="-17.13"/>
    <s v="Outlier"/>
    <n v="2023"/>
    <s v="March"/>
  </r>
  <r>
    <n v="2287"/>
    <x v="130"/>
    <x v="0"/>
    <s v="South"/>
    <s v="Premium"/>
    <d v="2022-07-26T00:00:00"/>
    <d v="2022-10-01T00:00:00"/>
    <x v="1069"/>
    <n v="7572"/>
    <n v="-5917"/>
    <s v="NA"/>
    <n v="2"/>
    <d v="2022-10-01T00:00:00"/>
    <n v="0"/>
    <n v="1351"/>
    <n v="-3.58"/>
    <s v="Outlier"/>
    <n v="2022"/>
    <s v="October"/>
  </r>
  <r>
    <n v="2288"/>
    <x v="124"/>
    <x v="1"/>
    <s v="East"/>
    <s v="Basic"/>
    <d v="2022-10-23T00:00:00"/>
    <d v="2023-03-21T00:00:00"/>
    <x v="17"/>
    <n v="7497"/>
    <n v="-9158"/>
    <s v="Paid"/>
    <n v="4"/>
    <d v="2023-03-21T00:00:00"/>
    <n v="0"/>
    <n v="1352"/>
    <n v="-1.84"/>
    <s v="Outlier"/>
    <n v="2023"/>
    <s v="March"/>
  </r>
  <r>
    <n v="2289"/>
    <x v="351"/>
    <x v="3"/>
    <s v="West"/>
    <s v="Basic"/>
    <d v="2022-05-22T00:00:00"/>
    <d v="2023-09-17T00:00:00"/>
    <x v="1070"/>
    <n v="2173"/>
    <n v="-201"/>
    <s v="NA"/>
    <n v="15"/>
    <d v="2023-09-17T00:00:00"/>
    <n v="1"/>
    <n v="1353"/>
    <n v="-0.1"/>
    <s v="Normal"/>
    <n v="2023"/>
    <s v="September"/>
  </r>
  <r>
    <n v="2290"/>
    <x v="357"/>
    <x v="1"/>
    <s v="North"/>
    <s v="Standard"/>
    <d v="2022-04-15T00:00:00"/>
    <d v="2022-05-18T00:00:00"/>
    <x v="17"/>
    <n v="3466"/>
    <n v="-3698"/>
    <s v="Paid"/>
    <n v="1"/>
    <d v="2022-05-18T00:00:00"/>
    <n v="0"/>
    <n v="1354"/>
    <n v="-0.74"/>
    <s v="Normal"/>
    <n v="2022"/>
    <s v="May"/>
  </r>
  <r>
    <n v="2291"/>
    <x v="155"/>
    <x v="2"/>
    <s v="South"/>
    <s v="Standard"/>
    <d v="2022-01-09T00:00:00"/>
    <d v="2023-08-24T00:00:00"/>
    <x v="1033"/>
    <n v="840"/>
    <n v="4075"/>
    <s v="Paid"/>
    <n v="19"/>
    <d v="2023-08-24T00:00:00"/>
    <n v="0"/>
    <n v="1355"/>
    <n v="0.83"/>
    <s v="Normal"/>
    <n v="2023"/>
    <s v="August"/>
  </r>
  <r>
    <n v="2292"/>
    <x v="332"/>
    <x v="0"/>
    <s v="West"/>
    <s v="Premium"/>
    <d v="2022-02-10T00:00:00"/>
    <d v="2023-06-01T00:00:00"/>
    <x v="17"/>
    <n v="1934"/>
    <n v="-3223"/>
    <s v="Pending"/>
    <n v="15"/>
    <d v="2023-06-01T00:00:00"/>
    <n v="0"/>
    <n v="1356"/>
    <n v="-0.65"/>
    <s v="Normal"/>
    <n v="2023"/>
    <s v="June"/>
  </r>
  <r>
    <n v="2293"/>
    <x v="151"/>
    <x v="3"/>
    <s v="West"/>
    <s v="Premium"/>
    <d v="2022-02-28T00:00:00"/>
    <d v="2022-06-29T00:00:00"/>
    <x v="1071"/>
    <n v="1757"/>
    <n v="1694"/>
    <s v="NA"/>
    <n v="4"/>
    <d v="2022-06-29T00:00:00"/>
    <n v="0"/>
    <n v="1357"/>
    <n v="0.49"/>
    <s v="Normal"/>
    <n v="2022"/>
    <s v="June"/>
  </r>
  <r>
    <n v="2296"/>
    <x v="6"/>
    <x v="4"/>
    <s v="East"/>
    <s v="Premium"/>
    <d v="2022-05-25T00:00:00"/>
    <d v="2023-08-30T00:00:00"/>
    <x v="163"/>
    <n v="989"/>
    <n v="7638"/>
    <s v="Overdue"/>
    <n v="15"/>
    <d v="2023-08-30T00:00:00"/>
    <n v="1"/>
    <n v="1358"/>
    <n v="0.89"/>
    <s v="Normal"/>
    <n v="2023"/>
    <s v="August"/>
  </r>
  <r>
    <n v="2297"/>
    <x v="236"/>
    <x v="3"/>
    <s v="West"/>
    <s v="Basic"/>
    <d v="2022-10-08T00:00:00"/>
    <d v="2023-09-22T00:00:00"/>
    <x v="17"/>
    <n v="496"/>
    <n v="-2038"/>
    <s v="Overdue"/>
    <n v="11"/>
    <d v="2023-09-22T00:00:00"/>
    <n v="1"/>
    <n v="1359"/>
    <n v="-0.41"/>
    <s v="Normal"/>
    <n v="2023"/>
    <s v="September"/>
  </r>
  <r>
    <n v="2301"/>
    <x v="293"/>
    <x v="1"/>
    <s v="West"/>
    <s v="Standard"/>
    <d v="2022-11-29T00:00:00"/>
    <d v="2023-02-17T00:00:00"/>
    <x v="1072"/>
    <n v="6426"/>
    <n v="2469"/>
    <s v="Paid"/>
    <n v="2"/>
    <d v="2023-02-17T00:00:00"/>
    <n v="1"/>
    <n v="1360"/>
    <n v="0.28000000000000003"/>
    <s v="Normal"/>
    <n v="2023"/>
    <s v="February"/>
  </r>
  <r>
    <n v="2302"/>
    <x v="0"/>
    <x v="0"/>
    <s v="East"/>
    <s v="Basic"/>
    <d v="2022-07-27T00:00:00"/>
    <d v="2022-12-22T00:00:00"/>
    <x v="1073"/>
    <n v="1308"/>
    <n v="4411"/>
    <s v="Overdue"/>
    <n v="4"/>
    <d v="2022-12-22T00:00:00"/>
    <n v="1"/>
    <n v="1361"/>
    <n v="0.77"/>
    <s v="Normal"/>
    <n v="2022"/>
    <s v="December"/>
  </r>
  <r>
    <n v="2305"/>
    <x v="125"/>
    <x v="2"/>
    <s v="West"/>
    <s v="Standard"/>
    <d v="2022-02-18T00:00:00"/>
    <d v="2022-11-23T00:00:00"/>
    <x v="1074"/>
    <n v="6170"/>
    <n v="888"/>
    <s v="NA"/>
    <n v="9"/>
    <d v="2022-11-23T00:00:00"/>
    <n v="1"/>
    <n v="1362"/>
    <n v="0.13"/>
    <s v="Normal"/>
    <n v="2022"/>
    <s v="November"/>
  </r>
  <r>
    <n v="2306"/>
    <x v="21"/>
    <x v="1"/>
    <s v="North"/>
    <s v="Standard"/>
    <d v="2022-07-11T00:00:00"/>
    <d v="2022-10-29T00:00:00"/>
    <x v="1075"/>
    <n v="7385"/>
    <n v="-6216"/>
    <s v="Paid"/>
    <n v="3"/>
    <d v="2022-10-29T00:00:00"/>
    <n v="1"/>
    <n v="1363"/>
    <n v="-5.32"/>
    <s v="Outlier"/>
    <n v="2022"/>
    <s v="October"/>
  </r>
  <r>
    <n v="2309"/>
    <x v="209"/>
    <x v="0"/>
    <s v="West"/>
    <s v="Standard"/>
    <d v="2022-06-15T00:00:00"/>
    <d v="2022-10-03T00:00:00"/>
    <x v="55"/>
    <n v="4012.75"/>
    <n v="8194"/>
    <s v="Pending"/>
    <n v="3"/>
    <d v="2022-10-03T00:00:00"/>
    <n v="1"/>
    <n v="1364"/>
    <n v="1.06"/>
    <s v="Outlier"/>
    <n v="2022"/>
    <s v="October"/>
  </r>
  <r>
    <n v="2313"/>
    <x v="145"/>
    <x v="4"/>
    <s v="North"/>
    <s v="Premium"/>
    <d v="2022-07-19T00:00:00"/>
    <d v="2022-09-17T00:00:00"/>
    <x v="1076"/>
    <n v="4427"/>
    <n v="5062"/>
    <s v="Overdue"/>
    <n v="1"/>
    <d v="2022-09-17T00:00:00"/>
    <n v="0"/>
    <n v="1365"/>
    <n v="0.53"/>
    <s v="Normal"/>
    <n v="2022"/>
    <s v="September"/>
  </r>
  <r>
    <n v="2315"/>
    <x v="356"/>
    <x v="1"/>
    <s v="East"/>
    <s v="Basic"/>
    <d v="2022-04-29T00:00:00"/>
    <d v="2022-06-01T00:00:00"/>
    <x v="621"/>
    <n v="7680"/>
    <n v="577.01"/>
    <s v="Paid"/>
    <n v="1"/>
    <d v="2022-06-01T00:00:00"/>
    <n v="0"/>
    <n v="1366"/>
    <n v="52.46"/>
    <s v="Outlier"/>
    <n v="2022"/>
    <s v="June"/>
  </r>
  <r>
    <n v="2316"/>
    <x v="209"/>
    <x v="0"/>
    <s v="East"/>
    <s v="Basic"/>
    <d v="2022-11-13T00:00:00"/>
    <d v="2024-01-20T00:00:00"/>
    <x v="1077"/>
    <n v="4012.75"/>
    <n v="563"/>
    <s v="Paid"/>
    <n v="14"/>
    <d v="2024-01-20T00:00:00"/>
    <n v="0"/>
    <n v="1367"/>
    <n v="1.06"/>
    <s v="Outlier"/>
    <n v="2024"/>
    <s v="January"/>
  </r>
  <r>
    <n v="2317"/>
    <x v="211"/>
    <x v="1"/>
    <s v="North"/>
    <s v="Basic"/>
    <d v="2022-03-10T00:00:00"/>
    <d v="2023-03-21T00:00:00"/>
    <x v="1078"/>
    <n v="5798"/>
    <n v="627"/>
    <s v="NA"/>
    <n v="12"/>
    <d v="2023-03-21T00:00:00"/>
    <n v="1"/>
    <n v="1368"/>
    <n v="0.1"/>
    <s v="Normal"/>
    <n v="2023"/>
    <s v="March"/>
  </r>
  <r>
    <n v="2318"/>
    <x v="333"/>
    <x v="0"/>
    <s v="South"/>
    <s v="Basic"/>
    <d v="2022-01-27T00:00:00"/>
    <d v="2023-07-28T00:00:00"/>
    <x v="1079"/>
    <n v="4012.75"/>
    <n v="8872"/>
    <s v="Paid"/>
    <n v="18"/>
    <d v="2023-07-28T00:00:00"/>
    <n v="0"/>
    <n v="1369"/>
    <n v="1.05"/>
    <s v="Outlier"/>
    <n v="2023"/>
    <s v="July"/>
  </r>
  <r>
    <n v="2320"/>
    <x v="259"/>
    <x v="1"/>
    <s v="South"/>
    <s v="Basic"/>
    <d v="2022-04-01T00:00:00"/>
    <d v="2023-06-14T00:00:00"/>
    <x v="1080"/>
    <n v="6745"/>
    <n v="2676"/>
    <s v="Overdue"/>
    <n v="14"/>
    <d v="2023-06-14T00:00:00"/>
    <n v="1"/>
    <n v="1370"/>
    <n v="0.28000000000000003"/>
    <s v="Normal"/>
    <n v="2023"/>
    <s v="June"/>
  </r>
  <r>
    <n v="2321"/>
    <x v="211"/>
    <x v="2"/>
    <s v="South"/>
    <s v="Premium"/>
    <d v="2022-06-02T00:00:00"/>
    <d v="2023-11-25T00:00:00"/>
    <x v="1081"/>
    <n v="6059"/>
    <n v="-2615"/>
    <s v="Overdue"/>
    <n v="17"/>
    <d v="2023-11-25T00:00:00"/>
    <n v="1"/>
    <n v="1371"/>
    <n v="-0.76"/>
    <s v="Normal"/>
    <n v="2023"/>
    <s v="November"/>
  </r>
  <r>
    <n v="2322"/>
    <x v="29"/>
    <x v="4"/>
    <s v="North"/>
    <s v="Basic"/>
    <d v="2022-12-13T00:00:00"/>
    <d v="2023-03-08T00:00:00"/>
    <x v="1082"/>
    <n v="3134"/>
    <n v="577.01"/>
    <s v="NA"/>
    <n v="2"/>
    <d v="2023-03-08T00:00:00"/>
    <n v="1"/>
    <n v="1372"/>
    <n v="0.08"/>
    <s v="Normal"/>
    <n v="2023"/>
    <s v="March"/>
  </r>
  <r>
    <n v="2325"/>
    <x v="35"/>
    <x v="0"/>
    <s v="South"/>
    <s v="Premium"/>
    <d v="2022-04-28T00:00:00"/>
    <d v="2022-10-09T00:00:00"/>
    <x v="1083"/>
    <n v="7114"/>
    <n v="1189"/>
    <s v="Pending"/>
    <n v="5"/>
    <d v="2022-10-09T00:00:00"/>
    <n v="1"/>
    <n v="1373"/>
    <n v="0.14000000000000001"/>
    <s v="Normal"/>
    <n v="2022"/>
    <s v="October"/>
  </r>
  <r>
    <n v="2327"/>
    <x v="370"/>
    <x v="1"/>
    <s v="East"/>
    <s v="Premium"/>
    <d v="2022-08-07T00:00:00"/>
    <d v="2024-01-18T00:00:00"/>
    <x v="1084"/>
    <n v="6252"/>
    <n v="577.01"/>
    <s v="Overdue"/>
    <n v="17"/>
    <d v="2024-01-18T00:00:00"/>
    <n v="0"/>
    <n v="1374"/>
    <n v="7.0000000000000007E-2"/>
    <s v="Normal"/>
    <n v="2024"/>
    <s v="January"/>
  </r>
  <r>
    <n v="2330"/>
    <x v="113"/>
    <x v="0"/>
    <s v="West"/>
    <s v="Standard"/>
    <d v="2022-03-18T00:00:00"/>
    <d v="2022-09-16T00:00:00"/>
    <x v="1085"/>
    <n v="2882"/>
    <n v="217"/>
    <s v="Pending"/>
    <n v="5"/>
    <d v="2022-09-16T00:00:00"/>
    <n v="1"/>
    <n v="1375"/>
    <n v="7.0000000000000007E-2"/>
    <s v="Normal"/>
    <n v="2022"/>
    <s v="September"/>
  </r>
  <r>
    <n v="2332"/>
    <x v="338"/>
    <x v="4"/>
    <s v="South"/>
    <s v="Basic"/>
    <d v="2022-06-16T00:00:00"/>
    <d v="2023-04-06T00:00:00"/>
    <x v="17"/>
    <n v="932"/>
    <n v="-2875"/>
    <s v="NA"/>
    <n v="9"/>
    <d v="2023-04-06T00:00:00"/>
    <n v="1"/>
    <n v="1376"/>
    <n v="-0.57999999999999996"/>
    <s v="Normal"/>
    <n v="2023"/>
    <s v="April"/>
  </r>
  <r>
    <n v="2334"/>
    <x v="332"/>
    <x v="3"/>
    <s v="South"/>
    <s v="Standard"/>
    <d v="2022-07-03T00:00:00"/>
    <d v="2023-12-23T00:00:00"/>
    <x v="1086"/>
    <n v="3726"/>
    <n v="-3704"/>
    <s v="Overdue"/>
    <n v="17"/>
    <d v="2023-12-23T00:00:00"/>
    <n v="0"/>
    <n v="1377"/>
    <n v="-168.36"/>
    <s v="Outlier"/>
    <n v="2023"/>
    <s v="December"/>
  </r>
  <r>
    <n v="2335"/>
    <x v="135"/>
    <x v="2"/>
    <s v="East"/>
    <s v="Standard"/>
    <d v="2022-01-14T00:00:00"/>
    <d v="2023-02-04T00:00:00"/>
    <x v="1087"/>
    <n v="931"/>
    <n v="2268"/>
    <s v="Pending"/>
    <n v="12"/>
    <d v="2023-02-04T00:00:00"/>
    <n v="0"/>
    <n v="1378"/>
    <n v="0.71"/>
    <s v="Normal"/>
    <n v="2023"/>
    <s v="February"/>
  </r>
  <r>
    <n v="2336"/>
    <x v="181"/>
    <x v="2"/>
    <s v="South"/>
    <s v="Premium"/>
    <d v="2022-06-12T00:00:00"/>
    <d v="2023-12-30T00:00:00"/>
    <x v="1088"/>
    <n v="1617"/>
    <n v="7324"/>
    <s v="Paid"/>
    <n v="18"/>
    <d v="2023-12-30T00:00:00"/>
    <n v="0"/>
    <n v="1379"/>
    <n v="0.82"/>
    <s v="Normal"/>
    <n v="2023"/>
    <s v="December"/>
  </r>
  <r>
    <n v="2338"/>
    <x v="278"/>
    <x v="0"/>
    <s v="North"/>
    <s v="Basic"/>
    <d v="2022-11-11T00:00:00"/>
    <d v="2023-08-04T00:00:00"/>
    <x v="1089"/>
    <n v="1917"/>
    <n v="-805"/>
    <s v="Overdue"/>
    <n v="8"/>
    <d v="2023-08-04T00:00:00"/>
    <n v="1"/>
    <n v="1380"/>
    <n v="-0.72"/>
    <s v="Normal"/>
    <n v="2023"/>
    <s v="August"/>
  </r>
  <r>
    <n v="2339"/>
    <x v="297"/>
    <x v="0"/>
    <s v="North"/>
    <s v="Standard"/>
    <d v="2022-02-03T00:00:00"/>
    <d v="2022-03-10T00:00:00"/>
    <x v="1090"/>
    <n v="869"/>
    <n v="4516"/>
    <s v="Paid"/>
    <n v="1"/>
    <d v="2022-03-10T00:00:00"/>
    <n v="1"/>
    <n v="1381"/>
    <n v="0.84"/>
    <s v="Normal"/>
    <n v="2022"/>
    <s v="March"/>
  </r>
  <r>
    <n v="2340"/>
    <x v="205"/>
    <x v="2"/>
    <s v="East"/>
    <s v="Standard"/>
    <d v="2022-10-09T00:00:00"/>
    <d v="2023-03-15T00:00:00"/>
    <x v="1091"/>
    <n v="5109"/>
    <n v="-3587"/>
    <s v="Overdue"/>
    <n v="5"/>
    <d v="2023-03-15T00:00:00"/>
    <n v="1"/>
    <n v="1382"/>
    <n v="-2.36"/>
    <s v="Outlier"/>
    <n v="2023"/>
    <s v="March"/>
  </r>
  <r>
    <n v="2344"/>
    <x v="341"/>
    <x v="1"/>
    <s v="East"/>
    <s v="Premium"/>
    <d v="2022-11-27T00:00:00"/>
    <d v="2023-02-18T00:00:00"/>
    <x v="17"/>
    <n v="1380"/>
    <n v="-1789"/>
    <s v="Overdue"/>
    <n v="2"/>
    <d v="2023-02-18T00:00:00"/>
    <n v="0"/>
    <n v="1383"/>
    <n v="-0.36"/>
    <s v="Normal"/>
    <n v="2023"/>
    <s v="February"/>
  </r>
  <r>
    <n v="2345"/>
    <x v="257"/>
    <x v="1"/>
    <s v="West"/>
    <s v="Premium"/>
    <d v="2022-03-27T00:00:00"/>
    <d v="2023-08-25T00:00:00"/>
    <x v="17"/>
    <n v="1690"/>
    <n v="-2691"/>
    <s v="Pending"/>
    <n v="16"/>
    <d v="2023-08-25T00:00:00"/>
    <n v="0"/>
    <n v="1384"/>
    <n v="-0.54"/>
    <s v="Normal"/>
    <n v="2023"/>
    <s v="August"/>
  </r>
  <r>
    <n v="2348"/>
    <x v="361"/>
    <x v="4"/>
    <s v="West"/>
    <s v="Basic"/>
    <d v="2022-09-06T00:00:00"/>
    <d v="2024-03-18T00:00:00"/>
    <x v="17"/>
    <n v="4012.75"/>
    <n v="60"/>
    <s v="Pending"/>
    <n v="18"/>
    <d v="2024-03-18T00:00:00"/>
    <n v="0"/>
    <n v="1385"/>
    <n v="0.01"/>
    <s v="Normal"/>
    <n v="2024"/>
    <s v="March"/>
  </r>
  <r>
    <n v="2349"/>
    <x v="381"/>
    <x v="1"/>
    <s v="North"/>
    <s v="Basic"/>
    <d v="2022-10-31T00:00:00"/>
    <d v="2023-09-18T00:00:00"/>
    <x v="1092"/>
    <n v="5660"/>
    <n v="-911"/>
    <s v="Pending"/>
    <n v="10"/>
    <d v="2023-09-18T00:00:00"/>
    <n v="1"/>
    <n v="1386"/>
    <n v="-0.19"/>
    <s v="Normal"/>
    <n v="2023"/>
    <s v="September"/>
  </r>
  <r>
    <n v="2351"/>
    <x v="142"/>
    <x v="2"/>
    <s v="South"/>
    <s v="Premium"/>
    <d v="2022-08-12T00:00:00"/>
    <d v="2023-08-09T00:00:00"/>
    <x v="1093"/>
    <n v="7582"/>
    <n v="1524"/>
    <s v="NA"/>
    <n v="11"/>
    <d v="2023-08-09T00:00:00"/>
    <n v="0"/>
    <n v="1387"/>
    <n v="0.17"/>
    <s v="Normal"/>
    <n v="2023"/>
    <s v="August"/>
  </r>
  <r>
    <n v="2353"/>
    <x v="299"/>
    <x v="3"/>
    <s v="South"/>
    <s v="Premium"/>
    <d v="2022-05-03T00:00:00"/>
    <d v="2023-12-12T00:00:00"/>
    <x v="1094"/>
    <n v="2715"/>
    <n v="4707"/>
    <s v="Overdue"/>
    <n v="19"/>
    <d v="2023-12-12T00:00:00"/>
    <n v="0"/>
    <n v="1388"/>
    <n v="0.63"/>
    <s v="Normal"/>
    <n v="2023"/>
    <s v="December"/>
  </r>
  <r>
    <n v="2354"/>
    <x v="295"/>
    <x v="2"/>
    <s v="East"/>
    <s v="Standard"/>
    <d v="2022-08-29T00:00:00"/>
    <d v="2024-01-01T00:00:00"/>
    <x v="1095"/>
    <n v="3680"/>
    <n v="-320"/>
    <s v="Pending"/>
    <n v="16"/>
    <d v="2024-01-01T00:00:00"/>
    <n v="1"/>
    <n v="1389"/>
    <n v="-0.1"/>
    <s v="Normal"/>
    <n v="2024"/>
    <s v="January"/>
  </r>
  <r>
    <n v="2355"/>
    <x v="181"/>
    <x v="2"/>
    <s v="South"/>
    <s v="Basic"/>
    <d v="2022-09-08T00:00:00"/>
    <d v="2024-02-21T00:00:00"/>
    <x v="99"/>
    <n v="5358"/>
    <n v="-2818"/>
    <s v="Pending"/>
    <n v="17"/>
    <d v="2024-02-21T00:00:00"/>
    <n v="0"/>
    <n v="1390"/>
    <n v="-1.1100000000000001"/>
    <s v="Outlier"/>
    <n v="2024"/>
    <s v="February"/>
  </r>
  <r>
    <n v="2356"/>
    <x v="14"/>
    <x v="4"/>
    <s v="North"/>
    <s v="Premium"/>
    <d v="2022-12-07T00:00:00"/>
    <d v="2023-12-19T00:00:00"/>
    <x v="1096"/>
    <n v="2194"/>
    <n v="-2160"/>
    <s v="Overdue"/>
    <n v="12"/>
    <d v="2023-12-19T00:00:00"/>
    <n v="1"/>
    <n v="1391"/>
    <n v="-63.53"/>
    <s v="Outlier"/>
    <n v="2023"/>
    <s v="December"/>
  </r>
  <r>
    <n v="2357"/>
    <x v="286"/>
    <x v="3"/>
    <s v="West"/>
    <s v="Standard"/>
    <d v="2022-09-16T00:00:00"/>
    <d v="2023-04-04T00:00:00"/>
    <x v="1097"/>
    <n v="4842"/>
    <n v="3932"/>
    <s v="Overdue"/>
    <n v="6"/>
    <d v="2023-04-04T00:00:00"/>
    <n v="1"/>
    <n v="1392"/>
    <n v="0.45"/>
    <s v="Normal"/>
    <n v="2023"/>
    <s v="April"/>
  </r>
  <r>
    <n v="2358"/>
    <x v="3"/>
    <x v="2"/>
    <s v="West"/>
    <s v="Basic"/>
    <d v="2022-01-10T00:00:00"/>
    <d v="2022-12-06T00:00:00"/>
    <x v="1098"/>
    <n v="6865"/>
    <n v="577.01"/>
    <s v="NA"/>
    <n v="10"/>
    <d v="2022-12-06T00:00:00"/>
    <n v="0"/>
    <n v="1393"/>
    <n v="0.09"/>
    <s v="Normal"/>
    <n v="2022"/>
    <s v="December"/>
  </r>
  <r>
    <n v="2359"/>
    <x v="64"/>
    <x v="2"/>
    <s v="West"/>
    <s v="Standard"/>
    <d v="2022-03-11T00:00:00"/>
    <d v="2022-06-16T00:00:00"/>
    <x v="17"/>
    <n v="7404"/>
    <n v="-7520"/>
    <s v="Paid"/>
    <n v="3"/>
    <d v="2022-06-16T00:00:00"/>
    <n v="0"/>
    <n v="1394"/>
    <n v="-1.51"/>
    <s v="Outlier"/>
    <n v="2022"/>
    <s v="June"/>
  </r>
  <r>
    <n v="2361"/>
    <x v="0"/>
    <x v="4"/>
    <s v="North"/>
    <s v="Basic"/>
    <d v="2022-05-30T00:00:00"/>
    <d v="2023-08-12T00:00:00"/>
    <x v="1099"/>
    <n v="7521"/>
    <n v="-3586"/>
    <s v="Overdue"/>
    <n v="14"/>
    <d v="2023-08-12T00:00:00"/>
    <n v="0"/>
    <n v="1395"/>
    <n v="-0.91"/>
    <s v="Normal"/>
    <n v="2023"/>
    <s v="August"/>
  </r>
  <r>
    <n v="2362"/>
    <x v="310"/>
    <x v="4"/>
    <s v="West"/>
    <s v="Premium"/>
    <d v="2022-08-21T00:00:00"/>
    <d v="2024-01-31T00:00:00"/>
    <x v="1100"/>
    <n v="6069"/>
    <n v="-4046"/>
    <s v="Overdue"/>
    <n v="17"/>
    <d v="2024-01-31T00:00:00"/>
    <n v="0"/>
    <n v="1396"/>
    <n v="-2"/>
    <s v="Outlier"/>
    <n v="2024"/>
    <s v="January"/>
  </r>
  <r>
    <n v="2366"/>
    <x v="356"/>
    <x v="3"/>
    <s v="South"/>
    <s v="Standard"/>
    <d v="2022-04-05T00:00:00"/>
    <d v="2022-08-11T00:00:00"/>
    <x v="1101"/>
    <n v="3901"/>
    <n v="780"/>
    <s v="NA"/>
    <n v="4"/>
    <d v="2022-08-11T00:00:00"/>
    <n v="1"/>
    <n v="1397"/>
    <n v="0.17"/>
    <s v="Normal"/>
    <n v="2022"/>
    <s v="August"/>
  </r>
  <r>
    <n v="2367"/>
    <x v="162"/>
    <x v="1"/>
    <s v="East"/>
    <s v="Basic"/>
    <d v="2022-12-09T00:00:00"/>
    <d v="2023-04-18T00:00:00"/>
    <x v="1102"/>
    <n v="7947"/>
    <n v="-6961"/>
    <s v="Overdue"/>
    <n v="4"/>
    <d v="2023-04-18T00:00:00"/>
    <n v="0"/>
    <n v="1398"/>
    <n v="-7.06"/>
    <s v="Outlier"/>
    <n v="2023"/>
    <s v="April"/>
  </r>
  <r>
    <n v="2368"/>
    <x v="344"/>
    <x v="3"/>
    <s v="East"/>
    <s v="Basic"/>
    <d v="2022-07-26T00:00:00"/>
    <d v="2023-02-20T00:00:00"/>
    <x v="17"/>
    <n v="6657"/>
    <n v="-6713"/>
    <s v="Pending"/>
    <n v="6"/>
    <d v="2023-02-20T00:00:00"/>
    <n v="0"/>
    <n v="1399"/>
    <n v="-1.35"/>
    <s v="Outlier"/>
    <n v="2023"/>
    <s v="February"/>
  </r>
  <r>
    <n v="2369"/>
    <x v="388"/>
    <x v="4"/>
    <s v="North"/>
    <s v="Basic"/>
    <d v="2022-05-25T00:00:00"/>
    <d v="2022-09-08T00:00:00"/>
    <x v="1103"/>
    <n v="111"/>
    <n v="4065"/>
    <s v="Overdue"/>
    <n v="3"/>
    <d v="2022-09-08T00:00:00"/>
    <n v="1"/>
    <n v="1400"/>
    <n v="0.97"/>
    <s v="Normal"/>
    <n v="2022"/>
    <s v="September"/>
  </r>
  <r>
    <n v="2374"/>
    <x v="26"/>
    <x v="0"/>
    <s v="South"/>
    <s v="Premium"/>
    <d v="2022-10-03T00:00:00"/>
    <d v="2023-04-07T00:00:00"/>
    <x v="1104"/>
    <n v="3534"/>
    <n v="-1330"/>
    <s v="Pending"/>
    <n v="6"/>
    <d v="2023-04-07T00:00:00"/>
    <n v="0"/>
    <n v="1401"/>
    <n v="-0.6"/>
    <s v="Normal"/>
    <n v="2023"/>
    <s v="April"/>
  </r>
  <r>
    <n v="2375"/>
    <x v="65"/>
    <x v="0"/>
    <s v="South"/>
    <s v="Standard"/>
    <d v="2022-04-05T00:00:00"/>
    <d v="2023-07-02T00:00:00"/>
    <x v="739"/>
    <n v="6885"/>
    <n v="-4120"/>
    <s v="Overdue"/>
    <n v="14"/>
    <d v="2023-07-02T00:00:00"/>
    <n v="0"/>
    <n v="1402"/>
    <n v="-1.49"/>
    <s v="Outlier"/>
    <n v="2023"/>
    <s v="July"/>
  </r>
  <r>
    <n v="2376"/>
    <x v="289"/>
    <x v="2"/>
    <s v="South"/>
    <s v="Premium"/>
    <d v="2022-06-26T00:00:00"/>
    <d v="2023-02-21T00:00:00"/>
    <x v="764"/>
    <n v="7921"/>
    <n v="-7029"/>
    <s v="Paid"/>
    <n v="7"/>
    <d v="2023-02-21T00:00:00"/>
    <n v="1"/>
    <n v="1403"/>
    <n v="-7.88"/>
    <s v="Outlier"/>
    <n v="2023"/>
    <s v="February"/>
  </r>
  <r>
    <n v="2379"/>
    <x v="217"/>
    <x v="1"/>
    <s v="East"/>
    <s v="Standard"/>
    <d v="2022-04-03T00:00:00"/>
    <d v="2023-06-24T00:00:00"/>
    <x v="1105"/>
    <n v="7891"/>
    <n v="2013"/>
    <s v="Pending"/>
    <n v="14"/>
    <d v="2023-06-24T00:00:00"/>
    <n v="0"/>
    <n v="1404"/>
    <n v="0.2"/>
    <s v="Normal"/>
    <n v="2023"/>
    <s v="June"/>
  </r>
  <r>
    <n v="2380"/>
    <x v="334"/>
    <x v="3"/>
    <s v="West"/>
    <s v="Basic"/>
    <d v="2022-07-17T00:00:00"/>
    <d v="2024-02-19T00:00:00"/>
    <x v="1106"/>
    <n v="1510"/>
    <n v="5250"/>
    <s v="Overdue"/>
    <n v="19"/>
    <d v="2024-02-19T00:00:00"/>
    <n v="0"/>
    <n v="1405"/>
    <n v="0.78"/>
    <s v="Normal"/>
    <n v="2024"/>
    <s v="February"/>
  </r>
  <r>
    <n v="2381"/>
    <x v="240"/>
    <x v="0"/>
    <s v="East"/>
    <s v="Standard"/>
    <d v="2022-08-13T00:00:00"/>
    <d v="2023-08-23T00:00:00"/>
    <x v="17"/>
    <n v="6792"/>
    <n v="-7872"/>
    <s v="Overdue"/>
    <n v="12"/>
    <d v="2023-08-23T00:00:00"/>
    <n v="1"/>
    <n v="1406"/>
    <n v="-1.58"/>
    <s v="Outlier"/>
    <n v="2023"/>
    <s v="August"/>
  </r>
  <r>
    <n v="2384"/>
    <x v="292"/>
    <x v="4"/>
    <s v="West"/>
    <s v="Basic"/>
    <d v="2022-02-23T00:00:00"/>
    <d v="2022-12-01T00:00:00"/>
    <x v="76"/>
    <n v="3545"/>
    <n v="-150"/>
    <s v="NA"/>
    <n v="9"/>
    <d v="2022-12-01T00:00:00"/>
    <n v="0"/>
    <n v="1407"/>
    <n v="-0.04"/>
    <s v="Normal"/>
    <n v="2022"/>
    <s v="December"/>
  </r>
  <r>
    <n v="2386"/>
    <x v="293"/>
    <x v="4"/>
    <s v="South"/>
    <s v="Premium"/>
    <d v="2022-11-30T00:00:00"/>
    <d v="2023-06-11T00:00:00"/>
    <x v="17"/>
    <n v="3281"/>
    <n v="-4254"/>
    <s v="Pending"/>
    <n v="6"/>
    <d v="2023-06-11T00:00:00"/>
    <n v="1"/>
    <n v="1408"/>
    <n v="-0.86"/>
    <s v="Normal"/>
    <n v="2023"/>
    <s v="June"/>
  </r>
  <r>
    <n v="2389"/>
    <x v="36"/>
    <x v="1"/>
    <s v="East"/>
    <s v="Premium"/>
    <d v="2022-10-01T00:00:00"/>
    <d v="2022-12-24T00:00:00"/>
    <x v="1107"/>
    <n v="2774"/>
    <n v="-124"/>
    <s v="NA"/>
    <n v="2"/>
    <d v="2022-12-24T00:00:00"/>
    <n v="0"/>
    <n v="1409"/>
    <n v="-0.05"/>
    <s v="Normal"/>
    <n v="2022"/>
    <s v="December"/>
  </r>
  <r>
    <n v="2390"/>
    <x v="363"/>
    <x v="1"/>
    <s v="West"/>
    <s v="Standard"/>
    <d v="2022-03-02T00:00:00"/>
    <d v="2023-04-19T00:00:00"/>
    <x v="501"/>
    <n v="4012.75"/>
    <n v="2436"/>
    <s v="NA"/>
    <n v="13"/>
    <d v="2023-04-19T00:00:00"/>
    <n v="0"/>
    <n v="1410"/>
    <n v="1.08"/>
    <s v="Outlier"/>
    <n v="2023"/>
    <s v="April"/>
  </r>
  <r>
    <n v="2393"/>
    <x v="334"/>
    <x v="0"/>
    <s v="East"/>
    <s v="Basic"/>
    <d v="2022-10-01T00:00:00"/>
    <d v="2024-03-25T00:00:00"/>
    <x v="17"/>
    <n v="4012.75"/>
    <n v="460"/>
    <s v="Overdue"/>
    <n v="17"/>
    <d v="2024-03-25T00:00:00"/>
    <n v="0"/>
    <n v="1411"/>
    <n v="0.09"/>
    <s v="Normal"/>
    <n v="2024"/>
    <s v="March"/>
  </r>
  <r>
    <n v="2394"/>
    <x v="232"/>
    <x v="1"/>
    <s v="North"/>
    <s v="Premium"/>
    <d v="2022-07-21T00:00:00"/>
    <d v="2023-01-05T00:00:00"/>
    <x v="1108"/>
    <n v="4012.75"/>
    <n v="10120"/>
    <s v="NA"/>
    <n v="5"/>
    <d v="2023-01-05T00:00:00"/>
    <n v="1"/>
    <n v="1412"/>
    <n v="1.03"/>
    <s v="Outlier"/>
    <n v="2023"/>
    <s v="January"/>
  </r>
  <r>
    <n v="2396"/>
    <x v="333"/>
    <x v="4"/>
    <s v="West"/>
    <s v="Basic"/>
    <d v="2022-03-12T00:00:00"/>
    <d v="2022-04-28T00:00:00"/>
    <x v="17"/>
    <n v="4731"/>
    <n v="577.01"/>
    <s v="Overdue"/>
    <n v="1"/>
    <d v="2022-04-28T00:00:00"/>
    <n v="1"/>
    <n v="1413"/>
    <n v="0.12"/>
    <s v="Normal"/>
    <n v="2022"/>
    <s v="April"/>
  </r>
  <r>
    <n v="2402"/>
    <x v="47"/>
    <x v="0"/>
    <s v="East"/>
    <s v="Basic"/>
    <d v="2022-02-02T00:00:00"/>
    <d v="2022-05-26T00:00:00"/>
    <x v="1109"/>
    <n v="2019"/>
    <n v="6887"/>
    <s v="NA"/>
    <n v="3"/>
    <d v="2022-05-26T00:00:00"/>
    <n v="0"/>
    <n v="1414"/>
    <n v="0.77"/>
    <s v="Normal"/>
    <n v="2022"/>
    <s v="May"/>
  </r>
  <r>
    <n v="2403"/>
    <x v="199"/>
    <x v="1"/>
    <s v="South"/>
    <s v="Standard"/>
    <d v="2022-02-12T00:00:00"/>
    <d v="2023-05-18T00:00:00"/>
    <x v="1110"/>
    <n v="4987"/>
    <n v="120"/>
    <s v="Paid"/>
    <n v="15"/>
    <d v="2023-05-18T00:00:00"/>
    <n v="0"/>
    <n v="1415"/>
    <n v="0.02"/>
    <s v="Normal"/>
    <n v="2023"/>
    <s v="May"/>
  </r>
  <r>
    <n v="2405"/>
    <x v="145"/>
    <x v="3"/>
    <s v="East"/>
    <s v="Basic"/>
    <d v="2022-03-16T00:00:00"/>
    <d v="2022-11-25T00:00:00"/>
    <x v="507"/>
    <n v="5395"/>
    <n v="-1753"/>
    <s v="Overdue"/>
    <n v="8"/>
    <d v="2022-11-25T00:00:00"/>
    <n v="1"/>
    <n v="1416"/>
    <n v="-0.48"/>
    <s v="Normal"/>
    <n v="2022"/>
    <s v="November"/>
  </r>
  <r>
    <n v="2408"/>
    <x v="363"/>
    <x v="2"/>
    <s v="North"/>
    <s v="Premium"/>
    <d v="2022-07-26T00:00:00"/>
    <d v="2024-01-31T00:00:00"/>
    <x v="17"/>
    <n v="5766"/>
    <n v="-6072"/>
    <s v="Overdue"/>
    <n v="18"/>
    <d v="2024-01-31T00:00:00"/>
    <n v="1"/>
    <n v="1417"/>
    <n v="-1.22"/>
    <s v="Outlier"/>
    <n v="2024"/>
    <s v="January"/>
  </r>
  <r>
    <n v="2410"/>
    <x v="157"/>
    <x v="3"/>
    <s v="North"/>
    <s v="Premium"/>
    <d v="2022-05-09T00:00:00"/>
    <d v="2023-01-04T00:00:00"/>
    <x v="1111"/>
    <n v="2064"/>
    <n v="7830"/>
    <s v="Paid"/>
    <n v="7"/>
    <d v="2023-01-04T00:00:00"/>
    <n v="1"/>
    <n v="1418"/>
    <n v="0.79"/>
    <s v="Normal"/>
    <n v="2023"/>
    <s v="January"/>
  </r>
  <r>
    <n v="2412"/>
    <x v="378"/>
    <x v="2"/>
    <s v="North"/>
    <s v="Basic"/>
    <d v="2022-06-12T00:00:00"/>
    <d v="2022-08-01T00:00:00"/>
    <x v="1112"/>
    <n v="6673"/>
    <n v="-3943"/>
    <s v="NA"/>
    <n v="1"/>
    <d v="2022-08-01T00:00:00"/>
    <n v="0"/>
    <n v="1419"/>
    <n v="-1.44"/>
    <s v="Outlier"/>
    <n v="2022"/>
    <s v="August"/>
  </r>
  <r>
    <n v="2413"/>
    <x v="284"/>
    <x v="4"/>
    <s v="West"/>
    <s v="Basic"/>
    <d v="2022-01-31T00:00:00"/>
    <d v="2022-03-20T00:00:00"/>
    <x v="1113"/>
    <n v="372"/>
    <n v="3636"/>
    <s v="Pending"/>
    <n v="1"/>
    <d v="2022-03-20T00:00:00"/>
    <n v="1"/>
    <n v="1420"/>
    <n v="0.91"/>
    <s v="Normal"/>
    <n v="2022"/>
    <s v="March"/>
  </r>
  <r>
    <n v="2414"/>
    <x v="137"/>
    <x v="4"/>
    <s v="South"/>
    <s v="Standard"/>
    <d v="2022-01-11T00:00:00"/>
    <d v="2022-03-13T00:00:00"/>
    <x v="1114"/>
    <n v="4580"/>
    <n v="-3023"/>
    <s v="Pending"/>
    <n v="2"/>
    <d v="2022-03-13T00:00:00"/>
    <n v="1"/>
    <n v="1421"/>
    <n v="-1.94"/>
    <s v="Outlier"/>
    <n v="2022"/>
    <s v="March"/>
  </r>
  <r>
    <n v="2415"/>
    <x v="181"/>
    <x v="0"/>
    <s v="East"/>
    <s v="Premium"/>
    <d v="2022-04-21T00:00:00"/>
    <d v="2022-12-26T00:00:00"/>
    <x v="1115"/>
    <n v="3815"/>
    <n v="-1349"/>
    <s v="Pending"/>
    <n v="8"/>
    <d v="2022-12-26T00:00:00"/>
    <n v="1"/>
    <n v="1422"/>
    <n v="-0.55000000000000004"/>
    <s v="Normal"/>
    <n v="2022"/>
    <s v="December"/>
  </r>
  <r>
    <n v="2417"/>
    <x v="243"/>
    <x v="2"/>
    <s v="South"/>
    <s v="Basic"/>
    <d v="2022-12-27T00:00:00"/>
    <d v="2023-11-24T00:00:00"/>
    <x v="17"/>
    <n v="1296"/>
    <n v="-3136"/>
    <s v="Pending"/>
    <n v="10"/>
    <d v="2023-11-24T00:00:00"/>
    <n v="0"/>
    <n v="1423"/>
    <n v="-0.63"/>
    <s v="Normal"/>
    <n v="2023"/>
    <s v="November"/>
  </r>
  <r>
    <n v="2418"/>
    <x v="179"/>
    <x v="0"/>
    <s v="East"/>
    <s v="Basic"/>
    <d v="2022-05-17T00:00:00"/>
    <d v="2022-12-04T00:00:00"/>
    <x v="1116"/>
    <n v="4012.75"/>
    <n v="2568"/>
    <s v="Paid"/>
    <n v="6"/>
    <d v="2022-12-04T00:00:00"/>
    <n v="0"/>
    <n v="1424"/>
    <n v="1.0900000000000001"/>
    <s v="Outlier"/>
    <n v="2022"/>
    <s v="December"/>
  </r>
  <r>
    <n v="2423"/>
    <x v="352"/>
    <x v="0"/>
    <s v="West"/>
    <s v="Premium"/>
    <d v="2022-03-08T00:00:00"/>
    <d v="2022-06-10T00:00:00"/>
    <x v="1117"/>
    <n v="3334"/>
    <n v="65"/>
    <s v="NA"/>
    <n v="3"/>
    <d v="2022-06-10T00:00:00"/>
    <n v="1"/>
    <n v="1425"/>
    <n v="0.02"/>
    <s v="Normal"/>
    <n v="2022"/>
    <s v="June"/>
  </r>
  <r>
    <n v="2426"/>
    <x v="286"/>
    <x v="4"/>
    <s v="South"/>
    <s v="Standard"/>
    <d v="2022-04-05T00:00:00"/>
    <d v="2023-06-04T00:00:00"/>
    <x v="1118"/>
    <n v="346"/>
    <n v="8932"/>
    <s v="Paid"/>
    <n v="13"/>
    <d v="2023-06-04T00:00:00"/>
    <n v="1"/>
    <n v="1426"/>
    <n v="0.96"/>
    <s v="Normal"/>
    <n v="2023"/>
    <s v="June"/>
  </r>
  <r>
    <n v="2428"/>
    <x v="89"/>
    <x v="4"/>
    <s v="North"/>
    <s v="Basic"/>
    <d v="2022-05-20T00:00:00"/>
    <d v="2022-09-16T00:00:00"/>
    <x v="1119"/>
    <n v="2626"/>
    <n v="-2395"/>
    <s v="Paid"/>
    <n v="3"/>
    <d v="2022-09-16T00:00:00"/>
    <n v="0"/>
    <n v="1427"/>
    <n v="-10.37"/>
    <s v="Outlier"/>
    <n v="2022"/>
    <s v="September"/>
  </r>
  <r>
    <n v="2429"/>
    <x v="288"/>
    <x v="2"/>
    <s v="North"/>
    <s v="Basic"/>
    <d v="2022-12-20T00:00:00"/>
    <d v="2023-08-27T00:00:00"/>
    <x v="1120"/>
    <n v="6829"/>
    <n v="2908"/>
    <s v="Overdue"/>
    <n v="8"/>
    <d v="2023-08-27T00:00:00"/>
    <n v="0"/>
    <n v="1428"/>
    <n v="0.3"/>
    <s v="Normal"/>
    <n v="2023"/>
    <s v="August"/>
  </r>
  <r>
    <n v="2430"/>
    <x v="38"/>
    <x v="3"/>
    <s v="East"/>
    <s v="Basic"/>
    <d v="2022-02-03T00:00:00"/>
    <d v="2022-04-01T00:00:00"/>
    <x v="17"/>
    <n v="5351"/>
    <n v="577.01"/>
    <s v="NA"/>
    <n v="1"/>
    <d v="2022-04-01T00:00:00"/>
    <n v="1"/>
    <n v="1429"/>
    <n v="0.12"/>
    <s v="Normal"/>
    <n v="2022"/>
    <s v="April"/>
  </r>
  <r>
    <n v="2432"/>
    <x v="278"/>
    <x v="4"/>
    <s v="East"/>
    <s v="Standard"/>
    <d v="2022-04-17T00:00:00"/>
    <d v="2023-08-27T00:00:00"/>
    <x v="17"/>
    <n v="227"/>
    <n v="-2061"/>
    <s v="Pending"/>
    <n v="16"/>
    <d v="2023-08-27T00:00:00"/>
    <n v="0"/>
    <n v="1430"/>
    <n v="-0.41"/>
    <s v="Normal"/>
    <n v="2023"/>
    <s v="August"/>
  </r>
  <r>
    <n v="2434"/>
    <x v="294"/>
    <x v="4"/>
    <s v="North"/>
    <s v="Basic"/>
    <d v="2022-02-11T00:00:00"/>
    <d v="2022-03-19T00:00:00"/>
    <x v="17"/>
    <n v="4964"/>
    <n v="-6089"/>
    <s v="NA"/>
    <n v="1"/>
    <d v="2022-03-19T00:00:00"/>
    <n v="1"/>
    <n v="1431"/>
    <n v="-1.23"/>
    <s v="Outlier"/>
    <n v="2022"/>
    <s v="March"/>
  </r>
  <r>
    <n v="2435"/>
    <x v="233"/>
    <x v="0"/>
    <s v="East"/>
    <s v="Basic"/>
    <d v="2022-12-15T00:00:00"/>
    <d v="2024-06-18T00:00:00"/>
    <x v="1121"/>
    <n v="1274"/>
    <n v="3893"/>
    <s v="NA"/>
    <n v="18"/>
    <d v="2024-06-18T00:00:00"/>
    <n v="1"/>
    <n v="1432"/>
    <n v="0.75"/>
    <s v="Normal"/>
    <n v="2024"/>
    <s v="June"/>
  </r>
  <r>
    <n v="2438"/>
    <x v="300"/>
    <x v="0"/>
    <s v="West"/>
    <s v="Standard"/>
    <d v="2022-02-05T00:00:00"/>
    <d v="2022-09-22T00:00:00"/>
    <x v="1122"/>
    <n v="2759"/>
    <n v="5730"/>
    <s v="Paid"/>
    <n v="7"/>
    <d v="2022-09-22T00:00:00"/>
    <n v="0"/>
    <n v="1433"/>
    <n v="0.67"/>
    <s v="Normal"/>
    <n v="2022"/>
    <s v="September"/>
  </r>
  <r>
    <n v="2439"/>
    <x v="173"/>
    <x v="1"/>
    <s v="West"/>
    <s v="Basic"/>
    <d v="2022-05-02T00:00:00"/>
    <d v="2023-03-07T00:00:00"/>
    <x v="1123"/>
    <n v="4217"/>
    <n v="1460"/>
    <s v="Overdue"/>
    <n v="10"/>
    <d v="2023-03-07T00:00:00"/>
    <n v="0"/>
    <n v="1434"/>
    <n v="0.26"/>
    <s v="Normal"/>
    <n v="2023"/>
    <s v="March"/>
  </r>
  <r>
    <n v="2441"/>
    <x v="182"/>
    <x v="2"/>
    <s v="South"/>
    <s v="Premium"/>
    <d v="2022-02-04T00:00:00"/>
    <d v="2023-07-23T00:00:00"/>
    <x v="1124"/>
    <n v="4012.75"/>
    <n v="577.01"/>
    <s v="Overdue"/>
    <n v="17"/>
    <d v="2023-07-23T00:00:00"/>
    <n v="0"/>
    <n v="1435"/>
    <n v="0.39"/>
    <s v="Normal"/>
    <n v="2023"/>
    <s v="July"/>
  </r>
  <r>
    <n v="2442"/>
    <x v="254"/>
    <x v="2"/>
    <s v="East"/>
    <s v="Basic"/>
    <d v="2022-12-05T00:00:00"/>
    <d v="2024-01-28T00:00:00"/>
    <x v="1125"/>
    <n v="3463"/>
    <n v="2564"/>
    <s v="Paid"/>
    <n v="13"/>
    <d v="2024-01-28T00:00:00"/>
    <n v="1"/>
    <n v="1436"/>
    <n v="0.43"/>
    <s v="Normal"/>
    <n v="2024"/>
    <s v="January"/>
  </r>
  <r>
    <n v="2443"/>
    <x v="250"/>
    <x v="4"/>
    <s v="North"/>
    <s v="Basic"/>
    <d v="2022-01-10T00:00:00"/>
    <d v="2023-06-12T00:00:00"/>
    <x v="241"/>
    <n v="6676"/>
    <n v="2277"/>
    <s v="Paid"/>
    <n v="17"/>
    <d v="2023-06-12T00:00:00"/>
    <n v="0"/>
    <n v="1437"/>
    <n v="0.25"/>
    <s v="Normal"/>
    <n v="2023"/>
    <s v="June"/>
  </r>
  <r>
    <n v="2444"/>
    <x v="305"/>
    <x v="2"/>
    <s v="South"/>
    <s v="Standard"/>
    <d v="2022-12-17T00:00:00"/>
    <d v="2023-11-06T00:00:00"/>
    <x v="1126"/>
    <n v="313"/>
    <n v="577.01"/>
    <s v="NA"/>
    <n v="10"/>
    <d v="2023-11-06T00:00:00"/>
    <n v="0"/>
    <n v="1438"/>
    <n v="0.09"/>
    <s v="Normal"/>
    <n v="2023"/>
    <s v="November"/>
  </r>
  <r>
    <n v="2445"/>
    <x v="217"/>
    <x v="2"/>
    <s v="West"/>
    <s v="Premium"/>
    <d v="2022-05-22T00:00:00"/>
    <d v="2023-08-31T00:00:00"/>
    <x v="1127"/>
    <n v="4"/>
    <n v="5019"/>
    <s v="Paid"/>
    <n v="15"/>
    <d v="2023-08-31T00:00:00"/>
    <n v="0"/>
    <n v="1439"/>
    <n v="1"/>
    <s v="Normal"/>
    <n v="2023"/>
    <s v="August"/>
  </r>
  <r>
    <n v="2446"/>
    <x v="125"/>
    <x v="4"/>
    <s v="South"/>
    <s v="Premium"/>
    <d v="2022-07-02T00:00:00"/>
    <d v="2022-10-22T00:00:00"/>
    <x v="1128"/>
    <n v="6276"/>
    <n v="-684"/>
    <s v="NA"/>
    <n v="3"/>
    <d v="2022-10-22T00:00:00"/>
    <n v="0"/>
    <n v="1440"/>
    <n v="-0.12"/>
    <s v="Normal"/>
    <n v="2022"/>
    <s v="October"/>
  </r>
  <r>
    <n v="2447"/>
    <x v="138"/>
    <x v="4"/>
    <s v="West"/>
    <s v="Premium"/>
    <d v="2022-07-19T00:00:00"/>
    <d v="2023-05-18T00:00:00"/>
    <x v="384"/>
    <n v="4582"/>
    <n v="577.01"/>
    <s v="Pending"/>
    <n v="9"/>
    <d v="2023-05-18T00:00:00"/>
    <n v="0"/>
    <n v="1441"/>
    <n v="0.62"/>
    <s v="Normal"/>
    <n v="2023"/>
    <s v="May"/>
  </r>
  <r>
    <n v="2448"/>
    <x v="51"/>
    <x v="2"/>
    <s v="South"/>
    <s v="Premium"/>
    <d v="2022-06-14T00:00:00"/>
    <d v="2023-08-06T00:00:00"/>
    <x v="1129"/>
    <n v="4818"/>
    <n v="4968"/>
    <s v="Overdue"/>
    <n v="13"/>
    <d v="2023-08-06T00:00:00"/>
    <n v="0"/>
    <n v="1442"/>
    <n v="0.51"/>
    <s v="Normal"/>
    <n v="2023"/>
    <s v="August"/>
  </r>
  <r>
    <n v="2450"/>
    <x v="318"/>
    <x v="1"/>
    <s v="East"/>
    <s v="Basic"/>
    <d v="2022-02-07T00:00:00"/>
    <d v="2023-07-28T00:00:00"/>
    <x v="1130"/>
    <n v="883"/>
    <n v="7057"/>
    <s v="Paid"/>
    <n v="17"/>
    <d v="2023-07-28T00:00:00"/>
    <n v="0"/>
    <n v="1443"/>
    <n v="0.89"/>
    <s v="Normal"/>
    <n v="2023"/>
    <s v="July"/>
  </r>
  <r>
    <n v="2451"/>
    <x v="246"/>
    <x v="1"/>
    <s v="West"/>
    <s v="Premium"/>
    <d v="2022-11-24T00:00:00"/>
    <d v="2023-07-21T00:00:00"/>
    <x v="17"/>
    <n v="4012.75"/>
    <n v="-1705"/>
    <s v="Paid"/>
    <n v="7"/>
    <d v="2023-07-21T00:00:00"/>
    <n v="0"/>
    <n v="1444"/>
    <n v="-0.34"/>
    <s v="Normal"/>
    <n v="2023"/>
    <s v="July"/>
  </r>
  <r>
    <n v="2452"/>
    <x v="294"/>
    <x v="4"/>
    <s v="North"/>
    <s v="Basic"/>
    <d v="2022-12-09T00:00:00"/>
    <d v="2024-04-08T00:00:00"/>
    <x v="1096"/>
    <n v="6016"/>
    <n v="-5982"/>
    <s v="Pending"/>
    <n v="15"/>
    <d v="2024-04-08T00:00:00"/>
    <n v="1"/>
    <n v="1445"/>
    <n v="-175.94"/>
    <s v="Outlier"/>
    <n v="2024"/>
    <s v="April"/>
  </r>
  <r>
    <n v="2455"/>
    <x v="288"/>
    <x v="0"/>
    <s v="West"/>
    <s v="Standard"/>
    <d v="2022-06-21T00:00:00"/>
    <d v="2022-10-11T00:00:00"/>
    <x v="1131"/>
    <n v="146"/>
    <n v="8017"/>
    <s v="Pending"/>
    <n v="3"/>
    <d v="2022-10-11T00:00:00"/>
    <n v="1"/>
    <n v="1446"/>
    <n v="0.98"/>
    <s v="Normal"/>
    <n v="2022"/>
    <s v="October"/>
  </r>
  <r>
    <n v="2456"/>
    <x v="41"/>
    <x v="3"/>
    <s v="South"/>
    <s v="Basic"/>
    <d v="2022-03-14T00:00:00"/>
    <d v="2023-01-24T00:00:00"/>
    <x v="706"/>
    <n v="2676"/>
    <n v="6194"/>
    <s v="NA"/>
    <n v="10"/>
    <d v="2023-01-24T00:00:00"/>
    <n v="1"/>
    <n v="1447"/>
    <n v="0.7"/>
    <s v="Normal"/>
    <n v="2023"/>
    <s v="January"/>
  </r>
  <r>
    <n v="2457"/>
    <x v="245"/>
    <x v="0"/>
    <s v="South"/>
    <s v="Standard"/>
    <d v="2022-11-21T00:00:00"/>
    <d v="2024-03-25T00:00:00"/>
    <x v="1132"/>
    <n v="1496"/>
    <n v="-740"/>
    <s v="Pending"/>
    <n v="16"/>
    <d v="2024-03-25T00:00:00"/>
    <n v="1"/>
    <n v="1448"/>
    <n v="-0.98"/>
    <s v="Normal"/>
    <n v="2024"/>
    <s v="March"/>
  </r>
  <r>
    <n v="2459"/>
    <x v="260"/>
    <x v="4"/>
    <s v="West"/>
    <s v="Basic"/>
    <d v="2022-12-09T00:00:00"/>
    <d v="2023-08-16T00:00:00"/>
    <x v="573"/>
    <n v="4212"/>
    <n v="577.01"/>
    <s v="NA"/>
    <n v="8"/>
    <d v="2023-08-16T00:00:00"/>
    <n v="1"/>
    <n v="1449"/>
    <n v="3.32"/>
    <s v="Outlier"/>
    <n v="2023"/>
    <s v="August"/>
  </r>
  <r>
    <n v="2463"/>
    <x v="251"/>
    <x v="3"/>
    <s v="West"/>
    <s v="Standard"/>
    <d v="2022-07-28T00:00:00"/>
    <d v="2022-09-22T00:00:00"/>
    <x v="1133"/>
    <n v="3607"/>
    <n v="-172"/>
    <s v="Overdue"/>
    <n v="1"/>
    <d v="2022-09-22T00:00:00"/>
    <n v="0"/>
    <n v="1450"/>
    <n v="-0.05"/>
    <s v="Normal"/>
    <n v="2022"/>
    <s v="September"/>
  </r>
  <r>
    <n v="2464"/>
    <x v="182"/>
    <x v="4"/>
    <s v="West"/>
    <s v="Basic"/>
    <d v="2022-12-07T00:00:00"/>
    <d v="2024-01-09T00:00:00"/>
    <x v="1134"/>
    <n v="6144"/>
    <n v="3837"/>
    <s v="Paid"/>
    <n v="13"/>
    <d v="2024-01-09T00:00:00"/>
    <n v="0"/>
    <n v="1451"/>
    <n v="0.38"/>
    <s v="Normal"/>
    <n v="2024"/>
    <s v="January"/>
  </r>
  <r>
    <n v="2465"/>
    <x v="146"/>
    <x v="1"/>
    <s v="East"/>
    <s v="Standard"/>
    <d v="2022-11-24T00:00:00"/>
    <d v="2024-01-16T00:00:00"/>
    <x v="1135"/>
    <n v="4012.75"/>
    <n v="577.01"/>
    <s v="Paid"/>
    <n v="13"/>
    <d v="2024-01-16T00:00:00"/>
    <n v="1"/>
    <n v="1452"/>
    <n v="0.06"/>
    <s v="Normal"/>
    <n v="2024"/>
    <s v="January"/>
  </r>
  <r>
    <n v="2466"/>
    <x v="304"/>
    <x v="3"/>
    <s v="South"/>
    <s v="Premium"/>
    <d v="2022-07-07T00:00:00"/>
    <d v="2024-02-10T00:00:00"/>
    <x v="1136"/>
    <n v="4012.75"/>
    <n v="949"/>
    <s v="Paid"/>
    <n v="19"/>
    <d v="2024-02-10T00:00:00"/>
    <n v="0"/>
    <n v="1453"/>
    <n v="3.1"/>
    <s v="Outlier"/>
    <n v="2024"/>
    <s v="February"/>
  </r>
  <r>
    <n v="2467"/>
    <x v="85"/>
    <x v="1"/>
    <s v="East"/>
    <s v="Premium"/>
    <d v="2022-04-21T00:00:00"/>
    <d v="2023-02-27T00:00:00"/>
    <x v="1137"/>
    <n v="548"/>
    <n v="3789"/>
    <s v="Paid"/>
    <n v="10"/>
    <d v="2023-02-27T00:00:00"/>
    <n v="0"/>
    <n v="1454"/>
    <n v="0.87"/>
    <s v="Normal"/>
    <n v="2023"/>
    <s v="February"/>
  </r>
  <r>
    <n v="2471"/>
    <x v="167"/>
    <x v="0"/>
    <s v="North"/>
    <s v="Basic"/>
    <d v="2022-08-05T00:00:00"/>
    <d v="2023-11-05T00:00:00"/>
    <x v="1138"/>
    <n v="3727"/>
    <n v="577.01"/>
    <s v="Overdue"/>
    <n v="15"/>
    <d v="2023-11-05T00:00:00"/>
    <n v="0"/>
    <n v="1455"/>
    <n v="0.38"/>
    <s v="Normal"/>
    <n v="2023"/>
    <s v="November"/>
  </r>
  <r>
    <n v="2472"/>
    <x v="18"/>
    <x v="4"/>
    <s v="South"/>
    <s v="Basic"/>
    <d v="2022-11-20T00:00:00"/>
    <d v="2024-02-16T00:00:00"/>
    <x v="1139"/>
    <n v="7949"/>
    <n v="-6475"/>
    <s v="NA"/>
    <n v="14"/>
    <d v="2024-02-16T00:00:00"/>
    <n v="0"/>
    <n v="1456"/>
    <n v="-4.3899999999999997"/>
    <s v="Outlier"/>
    <n v="2024"/>
    <s v="February"/>
  </r>
  <r>
    <n v="2473"/>
    <x v="47"/>
    <x v="4"/>
    <s v="East"/>
    <s v="Basic"/>
    <d v="2022-01-06T00:00:00"/>
    <d v="2023-01-02T00:00:00"/>
    <x v="1140"/>
    <n v="4012.75"/>
    <n v="7337"/>
    <s v="Paid"/>
    <n v="11"/>
    <d v="2023-01-02T00:00:00"/>
    <n v="0"/>
    <n v="1457"/>
    <n v="1.05"/>
    <s v="Outlier"/>
    <n v="2023"/>
    <s v="January"/>
  </r>
  <r>
    <n v="2475"/>
    <x v="366"/>
    <x v="0"/>
    <s v="South"/>
    <s v="Premium"/>
    <d v="2022-12-20T00:00:00"/>
    <d v="2023-06-03T00:00:00"/>
    <x v="1141"/>
    <n v="3179"/>
    <n v="-793"/>
    <s v="NA"/>
    <n v="5"/>
    <d v="2023-06-03T00:00:00"/>
    <n v="1"/>
    <n v="1458"/>
    <n v="-0.33"/>
    <s v="Normal"/>
    <n v="2023"/>
    <s v="June"/>
  </r>
  <r>
    <n v="2477"/>
    <x v="292"/>
    <x v="3"/>
    <s v="West"/>
    <s v="Standard"/>
    <d v="2022-06-11T00:00:00"/>
    <d v="2023-03-14T00:00:00"/>
    <x v="1142"/>
    <n v="4102"/>
    <n v="-399"/>
    <s v="Paid"/>
    <n v="9"/>
    <d v="2023-03-14T00:00:00"/>
    <n v="1"/>
    <n v="1459"/>
    <n v="-0.11"/>
    <s v="Normal"/>
    <n v="2023"/>
    <s v="March"/>
  </r>
  <r>
    <n v="2478"/>
    <x v="264"/>
    <x v="2"/>
    <s v="North"/>
    <s v="Premium"/>
    <d v="2022-10-20T00:00:00"/>
    <d v="2024-03-25T00:00:00"/>
    <x v="1143"/>
    <n v="877"/>
    <n v="5029"/>
    <s v="Paid"/>
    <n v="17"/>
    <d v="2024-03-25T00:00:00"/>
    <n v="0"/>
    <n v="1460"/>
    <n v="0.85"/>
    <s v="Normal"/>
    <n v="2024"/>
    <s v="March"/>
  </r>
  <r>
    <n v="2483"/>
    <x v="364"/>
    <x v="2"/>
    <s v="South"/>
    <s v="Standard"/>
    <d v="2022-02-02T00:00:00"/>
    <d v="2023-02-20T00:00:00"/>
    <x v="1144"/>
    <n v="4012.75"/>
    <n v="4401"/>
    <s v="NA"/>
    <n v="12"/>
    <d v="2023-02-20T00:00:00"/>
    <n v="1"/>
    <n v="1461"/>
    <n v="1.1100000000000001"/>
    <s v="Outlier"/>
    <n v="2023"/>
    <s v="February"/>
  </r>
  <r>
    <n v="2486"/>
    <x v="187"/>
    <x v="1"/>
    <s v="South"/>
    <s v="Standard"/>
    <d v="2022-11-24T00:00:00"/>
    <d v="2023-03-18T00:00:00"/>
    <x v="1145"/>
    <n v="4475"/>
    <n v="577.01"/>
    <s v="Pending"/>
    <n v="3"/>
    <d v="2023-03-18T00:00:00"/>
    <n v="0"/>
    <n v="1462"/>
    <n v="0.06"/>
    <s v="Normal"/>
    <n v="2023"/>
    <s v="March"/>
  </r>
  <r>
    <n v="2487"/>
    <x v="26"/>
    <x v="2"/>
    <s v="West"/>
    <s v="Basic"/>
    <d v="2022-11-14T00:00:00"/>
    <d v="2023-06-03T00:00:00"/>
    <x v="17"/>
    <n v="4564"/>
    <n v="-5095"/>
    <s v="NA"/>
    <n v="6"/>
    <d v="2023-06-03T00:00:00"/>
    <n v="0"/>
    <n v="1463"/>
    <n v="-1.03"/>
    <s v="Outlier"/>
    <n v="2023"/>
    <s v="June"/>
  </r>
  <r>
    <n v="2494"/>
    <x v="282"/>
    <x v="3"/>
    <s v="South"/>
    <s v="Basic"/>
    <d v="2022-06-18T00:00:00"/>
    <d v="2022-08-22T00:00:00"/>
    <x v="1146"/>
    <n v="4697"/>
    <n v="1280"/>
    <s v="Pending"/>
    <n v="2"/>
    <d v="2022-08-22T00:00:00"/>
    <n v="1"/>
    <n v="1464"/>
    <n v="0.21"/>
    <s v="Normal"/>
    <n v="2022"/>
    <s v="August"/>
  </r>
  <r>
    <n v="2495"/>
    <x v="277"/>
    <x v="3"/>
    <s v="West"/>
    <s v="Basic"/>
    <d v="2022-03-21T00:00:00"/>
    <d v="2022-12-02T00:00:00"/>
    <x v="1147"/>
    <n v="3488"/>
    <n v="5769"/>
    <s v="Overdue"/>
    <n v="8"/>
    <d v="2022-12-02T00:00:00"/>
    <n v="0"/>
    <n v="1465"/>
    <n v="0.62"/>
    <s v="Normal"/>
    <n v="2022"/>
    <s v="December"/>
  </r>
  <r>
    <n v="2501"/>
    <x v="94"/>
    <x v="3"/>
    <s v="South"/>
    <s v="Premium"/>
    <d v="2022-03-14T00:00:00"/>
    <d v="2022-05-09T00:00:00"/>
    <x v="17"/>
    <n v="4012.75"/>
    <n v="6"/>
    <s v="Pending"/>
    <n v="1"/>
    <d v="2022-05-09T00:00:00"/>
    <n v="1"/>
    <n v="1466"/>
    <n v="0"/>
    <s v="Normal"/>
    <n v="2022"/>
    <s v="May"/>
  </r>
  <r>
    <n v="2502"/>
    <x v="376"/>
    <x v="4"/>
    <s v="South"/>
    <s v="Premium"/>
    <d v="2022-07-25T00:00:00"/>
    <d v="2023-04-13T00:00:00"/>
    <x v="1148"/>
    <n v="7425"/>
    <n v="-2758"/>
    <s v="Paid"/>
    <n v="8"/>
    <d v="2023-04-13T00:00:00"/>
    <n v="0"/>
    <n v="1467"/>
    <n v="-0.59"/>
    <s v="Normal"/>
    <n v="2023"/>
    <s v="April"/>
  </r>
  <r>
    <n v="2503"/>
    <x v="103"/>
    <x v="3"/>
    <s v="South"/>
    <s v="Premium"/>
    <d v="2022-09-17T00:00:00"/>
    <d v="2023-01-03T00:00:00"/>
    <x v="1149"/>
    <n v="945"/>
    <n v="7148"/>
    <s v="NA"/>
    <n v="3"/>
    <d v="2023-01-03T00:00:00"/>
    <n v="1"/>
    <n v="1468"/>
    <n v="0.88"/>
    <s v="Normal"/>
    <n v="2023"/>
    <s v="January"/>
  </r>
  <r>
    <n v="2505"/>
    <x v="377"/>
    <x v="0"/>
    <s v="East"/>
    <s v="Basic"/>
    <d v="2022-12-21T00:00:00"/>
    <d v="2023-07-29T00:00:00"/>
    <x v="1150"/>
    <n v="5007"/>
    <n v="4691"/>
    <s v="Overdue"/>
    <n v="7"/>
    <d v="2023-07-29T00:00:00"/>
    <n v="0"/>
    <n v="1469"/>
    <n v="0.48"/>
    <s v="Normal"/>
    <n v="2023"/>
    <s v="July"/>
  </r>
  <r>
    <n v="2506"/>
    <x v="326"/>
    <x v="4"/>
    <s v="West"/>
    <s v="Premium"/>
    <d v="2022-01-20T00:00:00"/>
    <d v="2023-03-19T00:00:00"/>
    <x v="1151"/>
    <n v="3715"/>
    <n v="-1203"/>
    <s v="Pending"/>
    <n v="13"/>
    <d v="2023-03-19T00:00:00"/>
    <n v="0"/>
    <n v="1470"/>
    <n v="-0.48"/>
    <s v="Normal"/>
    <n v="2023"/>
    <s v="March"/>
  </r>
  <r>
    <n v="2507"/>
    <x v="345"/>
    <x v="2"/>
    <s v="North"/>
    <s v="Premium"/>
    <d v="2022-12-18T00:00:00"/>
    <d v="2024-05-19T00:00:00"/>
    <x v="1152"/>
    <n v="374"/>
    <n v="6892"/>
    <s v="Pending"/>
    <n v="17"/>
    <d v="2024-05-19T00:00:00"/>
    <n v="0"/>
    <n v="1471"/>
    <n v="0.95"/>
    <s v="Normal"/>
    <n v="2024"/>
    <s v="May"/>
  </r>
  <r>
    <n v="2508"/>
    <x v="185"/>
    <x v="4"/>
    <s v="North"/>
    <s v="Standard"/>
    <d v="2022-04-22T00:00:00"/>
    <d v="2022-05-22T00:00:00"/>
    <x v="1153"/>
    <n v="4012.75"/>
    <n v="10023"/>
    <s v="NA"/>
    <n v="1"/>
    <d v="2022-05-22T00:00:00"/>
    <n v="0"/>
    <n v="1472"/>
    <n v="1.02"/>
    <s v="Outlier"/>
    <n v="2022"/>
    <s v="May"/>
  </r>
  <r>
    <n v="2509"/>
    <x v="389"/>
    <x v="1"/>
    <s v="North"/>
    <s v="Premium"/>
    <d v="2022-01-29T00:00:00"/>
    <d v="2022-04-19T00:00:00"/>
    <x v="1154"/>
    <n v="919"/>
    <n v="6269"/>
    <s v="Paid"/>
    <n v="2"/>
    <d v="2022-04-19T00:00:00"/>
    <n v="0"/>
    <n v="1473"/>
    <n v="0.87"/>
    <s v="Normal"/>
    <n v="2022"/>
    <s v="April"/>
  </r>
  <r>
    <n v="2510"/>
    <x v="320"/>
    <x v="0"/>
    <s v="East"/>
    <s v="Basic"/>
    <d v="2022-04-27T00:00:00"/>
    <d v="2022-08-11T00:00:00"/>
    <x v="17"/>
    <n v="7979"/>
    <n v="-8246"/>
    <s v="Pending"/>
    <n v="3"/>
    <d v="2022-08-11T00:00:00"/>
    <n v="1"/>
    <n v="1474"/>
    <n v="-1.66"/>
    <s v="Outlier"/>
    <n v="2022"/>
    <s v="August"/>
  </r>
  <r>
    <n v="2512"/>
    <x v="390"/>
    <x v="4"/>
    <s v="West"/>
    <s v="Basic"/>
    <d v="2022-09-19T00:00:00"/>
    <d v="2023-05-16T00:00:00"/>
    <x v="1155"/>
    <n v="2068"/>
    <n v="-385"/>
    <s v="Paid"/>
    <n v="7"/>
    <d v="2023-05-16T00:00:00"/>
    <n v="0"/>
    <n v="1475"/>
    <n v="-0.23"/>
    <s v="Normal"/>
    <n v="2023"/>
    <s v="May"/>
  </r>
  <r>
    <n v="2513"/>
    <x v="386"/>
    <x v="0"/>
    <s v="West"/>
    <s v="Premium"/>
    <d v="2022-06-02T00:00:00"/>
    <d v="2023-06-12T00:00:00"/>
    <x v="1156"/>
    <n v="7510"/>
    <n v="-931"/>
    <s v="Overdue"/>
    <n v="12"/>
    <d v="2023-06-12T00:00:00"/>
    <n v="1"/>
    <n v="1476"/>
    <n v="-0.14000000000000001"/>
    <s v="Normal"/>
    <n v="2023"/>
    <s v="June"/>
  </r>
  <r>
    <n v="2514"/>
    <x v="129"/>
    <x v="2"/>
    <s v="North"/>
    <s v="Premium"/>
    <d v="2022-04-15T00:00:00"/>
    <d v="2023-03-27T00:00:00"/>
    <x v="1157"/>
    <n v="7123"/>
    <n v="-5598"/>
    <s v="Pending"/>
    <n v="11"/>
    <d v="2023-03-27T00:00:00"/>
    <n v="1"/>
    <n v="1477"/>
    <n v="-3.67"/>
    <s v="Outlier"/>
    <n v="2023"/>
    <s v="March"/>
  </r>
  <r>
    <n v="2515"/>
    <x v="201"/>
    <x v="4"/>
    <s v="East"/>
    <s v="Standard"/>
    <d v="2022-12-12T00:00:00"/>
    <d v="2023-10-06T00:00:00"/>
    <x v="1158"/>
    <n v="1765"/>
    <n v="5151"/>
    <s v="Paid"/>
    <n v="9"/>
    <d v="2023-10-06T00:00:00"/>
    <n v="0"/>
    <n v="1478"/>
    <n v="0.74"/>
    <s v="Normal"/>
    <n v="2023"/>
    <s v="October"/>
  </r>
  <r>
    <n v="2517"/>
    <x v="146"/>
    <x v="0"/>
    <s v="East"/>
    <s v="Premium"/>
    <d v="2022-01-03T00:00:00"/>
    <d v="2023-03-24T00:00:00"/>
    <x v="1159"/>
    <n v="5135"/>
    <n v="342"/>
    <s v="Overdue"/>
    <n v="14"/>
    <d v="2023-03-24T00:00:00"/>
    <n v="0"/>
    <n v="1479"/>
    <n v="0.06"/>
    <s v="Normal"/>
    <n v="2023"/>
    <s v="March"/>
  </r>
  <r>
    <n v="2518"/>
    <x v="141"/>
    <x v="2"/>
    <s v="North"/>
    <s v="Basic"/>
    <d v="2022-12-31T00:00:00"/>
    <d v="2023-11-04T00:00:00"/>
    <x v="1160"/>
    <n v="2308"/>
    <n v="1635"/>
    <s v="Overdue"/>
    <n v="10"/>
    <d v="2023-11-04T00:00:00"/>
    <n v="1"/>
    <n v="1480"/>
    <n v="0.41"/>
    <s v="Normal"/>
    <n v="2023"/>
    <s v="November"/>
  </r>
  <r>
    <n v="2521"/>
    <x v="210"/>
    <x v="4"/>
    <s v="East"/>
    <s v="Premium"/>
    <d v="2022-01-28T00:00:00"/>
    <d v="2022-03-24T00:00:00"/>
    <x v="17"/>
    <n v="2054"/>
    <n v="577.01"/>
    <s v="Pending"/>
    <n v="1"/>
    <d v="2022-03-24T00:00:00"/>
    <n v="0"/>
    <n v="1481"/>
    <n v="0.12"/>
    <s v="Normal"/>
    <n v="2022"/>
    <s v="March"/>
  </r>
  <r>
    <n v="2522"/>
    <x v="15"/>
    <x v="2"/>
    <s v="South"/>
    <s v="Premium"/>
    <d v="2022-10-02T00:00:00"/>
    <d v="2024-03-28T00:00:00"/>
    <x v="1161"/>
    <n v="6627"/>
    <n v="-4343"/>
    <s v="Paid"/>
    <n v="17"/>
    <d v="2024-03-28T00:00:00"/>
    <n v="0"/>
    <n v="1482"/>
    <n v="-1.9"/>
    <s v="Outlier"/>
    <n v="2024"/>
    <s v="March"/>
  </r>
  <r>
    <n v="2524"/>
    <x v="122"/>
    <x v="2"/>
    <s v="North"/>
    <s v="Standard"/>
    <d v="2022-11-16T00:00:00"/>
    <d v="2023-04-14T00:00:00"/>
    <x v="1162"/>
    <n v="5405"/>
    <n v="2624"/>
    <s v="Paid"/>
    <n v="4"/>
    <d v="2023-04-14T00:00:00"/>
    <n v="0"/>
    <n v="1483"/>
    <n v="0.33"/>
    <s v="Normal"/>
    <n v="2023"/>
    <s v="April"/>
  </r>
  <r>
    <n v="2526"/>
    <x v="153"/>
    <x v="1"/>
    <s v="East"/>
    <s v="Premium"/>
    <d v="2022-09-19T00:00:00"/>
    <d v="2023-04-21T00:00:00"/>
    <x v="1163"/>
    <n v="4012.75"/>
    <n v="638"/>
    <s v="Paid"/>
    <n v="7"/>
    <d v="2023-04-21T00:00:00"/>
    <n v="0"/>
    <n v="1484"/>
    <n v="1.98"/>
    <s v="Outlier"/>
    <n v="2023"/>
    <s v="April"/>
  </r>
  <r>
    <n v="2529"/>
    <x v="197"/>
    <x v="0"/>
    <s v="South"/>
    <s v="Premium"/>
    <d v="2022-12-24T00:00:00"/>
    <d v="2023-04-10T00:00:00"/>
    <x v="1164"/>
    <n v="3937"/>
    <n v="-2251"/>
    <s v="Paid"/>
    <n v="3"/>
    <d v="2023-04-10T00:00:00"/>
    <n v="0"/>
    <n v="1485"/>
    <n v="-1.34"/>
    <s v="Outlier"/>
    <n v="2023"/>
    <s v="April"/>
  </r>
  <r>
    <n v="2530"/>
    <x v="192"/>
    <x v="4"/>
    <s v="West"/>
    <s v="Standard"/>
    <d v="2022-02-27T00:00:00"/>
    <d v="2022-11-17T00:00:00"/>
    <x v="207"/>
    <n v="2543"/>
    <n v="2817"/>
    <s v="Overdue"/>
    <n v="8"/>
    <d v="2022-11-17T00:00:00"/>
    <n v="0"/>
    <n v="1486"/>
    <n v="0.53"/>
    <s v="Normal"/>
    <n v="2022"/>
    <s v="November"/>
  </r>
  <r>
    <n v="2531"/>
    <x v="54"/>
    <x v="0"/>
    <s v="North"/>
    <s v="Basic"/>
    <d v="2022-01-30T00:00:00"/>
    <d v="2023-01-24T00:00:00"/>
    <x v="524"/>
    <n v="993"/>
    <n v="7485"/>
    <s v="NA"/>
    <n v="11"/>
    <d v="2023-01-24T00:00:00"/>
    <n v="0"/>
    <n v="1487"/>
    <n v="0.88"/>
    <s v="Normal"/>
    <n v="2023"/>
    <s v="January"/>
  </r>
  <r>
    <n v="2532"/>
    <x v="168"/>
    <x v="2"/>
    <s v="North"/>
    <s v="Standard"/>
    <d v="2022-11-14T00:00:00"/>
    <d v="2024-03-31T00:00:00"/>
    <x v="155"/>
    <n v="4661"/>
    <n v="4603"/>
    <s v="Paid"/>
    <n v="16"/>
    <d v="2024-03-31T00:00:00"/>
    <n v="1"/>
    <n v="1488"/>
    <n v="0.5"/>
    <s v="Normal"/>
    <n v="2024"/>
    <s v="March"/>
  </r>
  <r>
    <n v="2533"/>
    <x v="279"/>
    <x v="0"/>
    <s v="South"/>
    <s v="Standard"/>
    <d v="2022-11-24T00:00:00"/>
    <d v="2023-09-28T00:00:00"/>
    <x v="1165"/>
    <n v="5144"/>
    <n v="-424"/>
    <s v="Pending"/>
    <n v="10"/>
    <d v="2023-09-28T00:00:00"/>
    <n v="0"/>
    <n v="1489"/>
    <n v="-0.09"/>
    <s v="Normal"/>
    <n v="2023"/>
    <s v="September"/>
  </r>
  <r>
    <n v="2535"/>
    <x v="387"/>
    <x v="3"/>
    <s v="West"/>
    <s v="Premium"/>
    <d v="2022-04-28T00:00:00"/>
    <d v="2022-08-04T00:00:00"/>
    <x v="17"/>
    <n v="3635"/>
    <n v="-4933"/>
    <s v="Pending"/>
    <n v="3"/>
    <d v="2022-08-04T00:00:00"/>
    <n v="0"/>
    <n v="1490"/>
    <n v="-0.99"/>
    <s v="Normal"/>
    <n v="2022"/>
    <s v="August"/>
  </r>
  <r>
    <n v="2536"/>
    <x v="110"/>
    <x v="0"/>
    <s v="North"/>
    <s v="Premium"/>
    <d v="2022-09-16T00:00:00"/>
    <d v="2023-08-01T00:00:00"/>
    <x v="17"/>
    <n v="3247"/>
    <n v="-4241"/>
    <s v="NA"/>
    <n v="10"/>
    <d v="2023-08-01T00:00:00"/>
    <n v="0"/>
    <n v="1491"/>
    <n v="-0.85"/>
    <s v="Normal"/>
    <n v="2023"/>
    <s v="August"/>
  </r>
  <r>
    <n v="2538"/>
    <x v="120"/>
    <x v="1"/>
    <s v="South"/>
    <s v="Standard"/>
    <d v="2022-11-21T00:00:00"/>
    <d v="2024-01-10T00:00:00"/>
    <x v="1166"/>
    <n v="2198"/>
    <n v="-1628"/>
    <s v="Overdue"/>
    <n v="13"/>
    <d v="2024-01-10T00:00:00"/>
    <n v="1"/>
    <n v="1492"/>
    <n v="-2.86"/>
    <s v="Outlier"/>
    <n v="2024"/>
    <s v="January"/>
  </r>
  <r>
    <n v="2539"/>
    <x v="116"/>
    <x v="3"/>
    <s v="South"/>
    <s v="Standard"/>
    <d v="2022-12-15T00:00:00"/>
    <d v="2023-06-14T00:00:00"/>
    <x v="1167"/>
    <n v="4012.75"/>
    <n v="6404"/>
    <s v="NA"/>
    <n v="5"/>
    <d v="2023-06-14T00:00:00"/>
    <n v="1"/>
    <n v="1493"/>
    <n v="1.1100000000000001"/>
    <s v="Outlier"/>
    <n v="2023"/>
    <s v="June"/>
  </r>
  <r>
    <n v="2540"/>
    <x v="282"/>
    <x v="3"/>
    <s v="North"/>
    <s v="Standard"/>
    <d v="2022-09-23T00:00:00"/>
    <d v="2022-12-08T00:00:00"/>
    <x v="1168"/>
    <n v="5969"/>
    <n v="1988"/>
    <s v="NA"/>
    <n v="2"/>
    <d v="2022-12-08T00:00:00"/>
    <n v="0"/>
    <n v="1494"/>
    <n v="0.25"/>
    <s v="Normal"/>
    <n v="2022"/>
    <s v="December"/>
  </r>
  <r>
    <n v="2541"/>
    <x v="270"/>
    <x v="2"/>
    <s v="East"/>
    <s v="Standard"/>
    <d v="2022-05-31T00:00:00"/>
    <d v="2023-10-06T00:00:00"/>
    <x v="17"/>
    <n v="5608"/>
    <n v="-7028"/>
    <s v="NA"/>
    <n v="16"/>
    <d v="2023-10-06T00:00:00"/>
    <n v="0"/>
    <n v="1495"/>
    <n v="-1.41"/>
    <s v="Outlier"/>
    <n v="2023"/>
    <s v="October"/>
  </r>
  <r>
    <n v="2542"/>
    <x v="348"/>
    <x v="3"/>
    <s v="South"/>
    <s v="Standard"/>
    <d v="2022-08-23T00:00:00"/>
    <d v="2022-12-12T00:00:00"/>
    <x v="1169"/>
    <n v="2038"/>
    <n v="-923"/>
    <s v="Pending"/>
    <n v="3"/>
    <d v="2022-12-12T00:00:00"/>
    <n v="1"/>
    <n v="1496"/>
    <n v="-0.83"/>
    <s v="Normal"/>
    <n v="2022"/>
    <s v="December"/>
  </r>
  <r>
    <n v="2543"/>
    <x v="27"/>
    <x v="1"/>
    <s v="North"/>
    <s v="Basic"/>
    <d v="2022-06-13T00:00:00"/>
    <d v="2022-12-30T00:00:00"/>
    <x v="1170"/>
    <n v="1313"/>
    <n v="5653"/>
    <s v="Overdue"/>
    <n v="6"/>
    <d v="2022-12-30T00:00:00"/>
    <n v="0"/>
    <n v="1497"/>
    <n v="0.81"/>
    <s v="Normal"/>
    <n v="2022"/>
    <s v="December"/>
  </r>
  <r>
    <n v="2544"/>
    <x v="131"/>
    <x v="0"/>
    <s v="West"/>
    <s v="Basic"/>
    <d v="2022-05-28T00:00:00"/>
    <d v="2023-04-24T00:00:00"/>
    <x v="1171"/>
    <n v="7803"/>
    <n v="-6585"/>
    <s v="NA"/>
    <n v="10"/>
    <d v="2023-04-24T00:00:00"/>
    <n v="1"/>
    <n v="1498"/>
    <n v="-5.41"/>
    <s v="Outlier"/>
    <n v="2023"/>
    <s v="April"/>
  </r>
  <r>
    <n v="2545"/>
    <x v="238"/>
    <x v="2"/>
    <s v="South"/>
    <s v="Basic"/>
    <d v="2022-07-16T00:00:00"/>
    <d v="2022-10-06T00:00:00"/>
    <x v="1172"/>
    <n v="4192"/>
    <n v="767"/>
    <s v="Pending"/>
    <n v="2"/>
    <d v="2022-10-06T00:00:00"/>
    <n v="1"/>
    <n v="1499"/>
    <n v="0.15"/>
    <s v="Normal"/>
    <n v="2022"/>
    <s v="October"/>
  </r>
  <r>
    <n v="2547"/>
    <x v="34"/>
    <x v="2"/>
    <s v="East"/>
    <s v="Standard"/>
    <d v="2022-10-13T00:00:00"/>
    <d v="2023-05-02T00:00:00"/>
    <x v="1173"/>
    <n v="7537"/>
    <n v="577.01"/>
    <s v="Pending"/>
    <n v="6"/>
    <d v="2023-05-02T00:00:00"/>
    <n v="1"/>
    <n v="1500"/>
    <n v="0.12"/>
    <s v="Normal"/>
    <n v="2023"/>
    <s v="May"/>
  </r>
  <r>
    <n v="2548"/>
    <x v="201"/>
    <x v="0"/>
    <s v="North"/>
    <s v="Basic"/>
    <d v="2022-08-26T00:00:00"/>
    <d v="2024-04-09T00:00:00"/>
    <x v="1174"/>
    <n v="4012.75"/>
    <n v="9444"/>
    <s v="Overdue"/>
    <n v="19"/>
    <d v="2024-04-09T00:00:00"/>
    <n v="0"/>
    <n v="1501"/>
    <n v="1.07"/>
    <s v="Outlier"/>
    <n v="2024"/>
    <s v="April"/>
  </r>
  <r>
    <n v="2550"/>
    <x v="315"/>
    <x v="4"/>
    <s v="East"/>
    <s v="Premium"/>
    <d v="2022-06-10T00:00:00"/>
    <d v="2022-11-08T00:00:00"/>
    <x v="1175"/>
    <n v="2123"/>
    <n v="-1288"/>
    <s v="Overdue"/>
    <n v="4"/>
    <d v="2022-11-08T00:00:00"/>
    <n v="1"/>
    <n v="1502"/>
    <n v="-1.54"/>
    <s v="Outlier"/>
    <n v="2022"/>
    <s v="November"/>
  </r>
  <r>
    <n v="2553"/>
    <x v="52"/>
    <x v="4"/>
    <s v="South"/>
    <s v="Basic"/>
    <d v="2022-10-02T00:00:00"/>
    <d v="2023-12-30T00:00:00"/>
    <x v="1176"/>
    <n v="5423"/>
    <n v="-88"/>
    <s v="Paid"/>
    <n v="14"/>
    <d v="2023-12-30T00:00:00"/>
    <n v="0"/>
    <n v="1503"/>
    <n v="-0.02"/>
    <s v="Normal"/>
    <n v="2023"/>
    <s v="December"/>
  </r>
  <r>
    <n v="2556"/>
    <x v="207"/>
    <x v="3"/>
    <s v="North"/>
    <s v="Premium"/>
    <d v="2022-06-16T00:00:00"/>
    <d v="2023-07-25T00:00:00"/>
    <x v="1177"/>
    <n v="2046"/>
    <n v="7136"/>
    <s v="Paid"/>
    <n v="13"/>
    <d v="2023-07-25T00:00:00"/>
    <n v="1"/>
    <n v="1504"/>
    <n v="0.78"/>
    <s v="Normal"/>
    <n v="2023"/>
    <s v="July"/>
  </r>
  <r>
    <n v="2558"/>
    <x v="146"/>
    <x v="3"/>
    <s v="West"/>
    <s v="Premium"/>
    <d v="2022-02-23T00:00:00"/>
    <d v="2022-04-17T00:00:00"/>
    <x v="1178"/>
    <n v="4012.75"/>
    <n v="10060"/>
    <s v="Overdue"/>
    <n v="1"/>
    <d v="2022-04-17T00:00:00"/>
    <n v="0"/>
    <n v="1505"/>
    <n v="1.03"/>
    <s v="Outlier"/>
    <n v="2022"/>
    <s v="April"/>
  </r>
  <r>
    <n v="2560"/>
    <x v="244"/>
    <x v="0"/>
    <s v="East"/>
    <s v="Basic"/>
    <d v="2022-12-01T00:00:00"/>
    <d v="2024-02-25T00:00:00"/>
    <x v="17"/>
    <n v="4120"/>
    <n v="-5568"/>
    <s v="NA"/>
    <n v="14"/>
    <d v="2024-02-25T00:00:00"/>
    <n v="1"/>
    <n v="1506"/>
    <n v="-1.1200000000000001"/>
    <s v="Outlier"/>
    <n v="2024"/>
    <s v="February"/>
  </r>
  <r>
    <n v="2561"/>
    <x v="188"/>
    <x v="2"/>
    <s v="East"/>
    <s v="Standard"/>
    <d v="2022-05-10T00:00:00"/>
    <d v="2023-03-20T00:00:00"/>
    <x v="1179"/>
    <n v="3670"/>
    <n v="2588"/>
    <s v="Overdue"/>
    <n v="10"/>
    <d v="2023-03-20T00:00:00"/>
    <n v="0"/>
    <n v="1507"/>
    <n v="0.41"/>
    <s v="Normal"/>
    <n v="2023"/>
    <s v="March"/>
  </r>
  <r>
    <n v="2563"/>
    <x v="312"/>
    <x v="1"/>
    <s v="East"/>
    <s v="Premium"/>
    <d v="2022-04-04T00:00:00"/>
    <d v="2023-08-06T00:00:00"/>
    <x v="1180"/>
    <n v="2052"/>
    <n v="5721"/>
    <s v="Paid"/>
    <n v="16"/>
    <d v="2023-08-06T00:00:00"/>
    <n v="1"/>
    <n v="1508"/>
    <n v="0.74"/>
    <s v="Normal"/>
    <n v="2023"/>
    <s v="August"/>
  </r>
  <r>
    <n v="2564"/>
    <x v="190"/>
    <x v="1"/>
    <s v="South"/>
    <s v="Basic"/>
    <d v="2022-04-02T00:00:00"/>
    <d v="2023-03-08T00:00:00"/>
    <x v="1181"/>
    <n v="2766"/>
    <n v="577.01"/>
    <s v="Paid"/>
    <n v="11"/>
    <d v="2023-03-08T00:00:00"/>
    <n v="1"/>
    <n v="1509"/>
    <n v="0.12"/>
    <s v="Normal"/>
    <n v="2023"/>
    <s v="March"/>
  </r>
  <r>
    <n v="2565"/>
    <x v="261"/>
    <x v="1"/>
    <s v="North"/>
    <s v="Premium"/>
    <d v="2022-11-03T00:00:00"/>
    <d v="2023-10-06T00:00:00"/>
    <x v="1182"/>
    <n v="1306"/>
    <n v="4667"/>
    <s v="Overdue"/>
    <n v="11"/>
    <d v="2023-10-06T00:00:00"/>
    <n v="0"/>
    <n v="1510"/>
    <n v="0.78"/>
    <s v="Normal"/>
    <n v="2023"/>
    <s v="October"/>
  </r>
  <r>
    <n v="2566"/>
    <x v="84"/>
    <x v="1"/>
    <s v="South"/>
    <s v="Standard"/>
    <d v="2022-01-18T00:00:00"/>
    <d v="2022-05-08T00:00:00"/>
    <x v="17"/>
    <n v="6891"/>
    <n v="-8550"/>
    <s v="NA"/>
    <n v="3"/>
    <d v="2022-05-08T00:00:00"/>
    <n v="0"/>
    <n v="1511"/>
    <n v="-1.72"/>
    <s v="Outlier"/>
    <n v="2022"/>
    <s v="May"/>
  </r>
  <r>
    <n v="2568"/>
    <x v="276"/>
    <x v="1"/>
    <s v="West"/>
    <s v="Premium"/>
    <d v="2022-05-08T00:00:00"/>
    <d v="2022-09-10T00:00:00"/>
    <x v="1183"/>
    <n v="7404"/>
    <n v="-4442"/>
    <s v="NA"/>
    <n v="4"/>
    <d v="2022-09-10T00:00:00"/>
    <n v="1"/>
    <n v="1512"/>
    <n v="-1.5"/>
    <s v="Outlier"/>
    <n v="2022"/>
    <s v="September"/>
  </r>
  <r>
    <n v="2569"/>
    <x v="379"/>
    <x v="4"/>
    <s v="West"/>
    <s v="Standard"/>
    <d v="2022-01-13T00:00:00"/>
    <d v="2023-06-05T00:00:00"/>
    <x v="1184"/>
    <n v="661"/>
    <n v="2432"/>
    <s v="NA"/>
    <n v="16"/>
    <d v="2023-06-05T00:00:00"/>
    <n v="1"/>
    <n v="1513"/>
    <n v="0.79"/>
    <s v="Normal"/>
    <n v="2023"/>
    <s v="June"/>
  </r>
  <r>
    <n v="2570"/>
    <x v="164"/>
    <x v="3"/>
    <s v="South"/>
    <s v="Premium"/>
    <d v="2022-01-29T00:00:00"/>
    <d v="2022-04-15T00:00:00"/>
    <x v="1185"/>
    <n v="3069"/>
    <n v="6538"/>
    <s v="Paid"/>
    <n v="2"/>
    <d v="2022-04-15T00:00:00"/>
    <n v="0"/>
    <n v="1514"/>
    <n v="0.68"/>
    <s v="Normal"/>
    <n v="2022"/>
    <s v="April"/>
  </r>
  <r>
    <n v="2572"/>
    <x v="285"/>
    <x v="1"/>
    <s v="East"/>
    <s v="Premium"/>
    <d v="2022-05-25T00:00:00"/>
    <d v="2022-12-07T00:00:00"/>
    <x v="1186"/>
    <n v="111"/>
    <n v="8096"/>
    <s v="Pending"/>
    <n v="6"/>
    <d v="2022-12-07T00:00:00"/>
    <n v="0"/>
    <n v="1515"/>
    <n v="0.99"/>
    <s v="Normal"/>
    <n v="2022"/>
    <s v="December"/>
  </r>
  <r>
    <n v="2573"/>
    <x v="142"/>
    <x v="0"/>
    <s v="North"/>
    <s v="Basic"/>
    <d v="2022-11-20T00:00:00"/>
    <d v="2024-01-27T00:00:00"/>
    <x v="1187"/>
    <n v="4603"/>
    <n v="2534"/>
    <s v="Overdue"/>
    <n v="14"/>
    <d v="2024-01-27T00:00:00"/>
    <n v="1"/>
    <n v="1516"/>
    <n v="0.36"/>
    <s v="Normal"/>
    <n v="2024"/>
    <s v="January"/>
  </r>
  <r>
    <n v="2574"/>
    <x v="109"/>
    <x v="4"/>
    <s v="West"/>
    <s v="Basic"/>
    <d v="2022-01-16T00:00:00"/>
    <d v="2022-03-07T00:00:00"/>
    <x v="1188"/>
    <n v="2160"/>
    <n v="3538"/>
    <s v="Pending"/>
    <n v="1"/>
    <d v="2022-03-07T00:00:00"/>
    <n v="0"/>
    <n v="1517"/>
    <n v="0.62"/>
    <s v="Normal"/>
    <n v="2022"/>
    <s v="March"/>
  </r>
  <r>
    <n v="2575"/>
    <x v="35"/>
    <x v="1"/>
    <s v="South"/>
    <s v="Premium"/>
    <d v="2022-01-08T00:00:00"/>
    <d v="2022-02-26T00:00:00"/>
    <x v="1189"/>
    <n v="30"/>
    <n v="309"/>
    <s v="NA"/>
    <n v="1"/>
    <d v="2022-02-26T00:00:00"/>
    <n v="0"/>
    <n v="1518"/>
    <n v="0.91"/>
    <s v="Normal"/>
    <n v="2022"/>
    <s v="February"/>
  </r>
  <r>
    <n v="2577"/>
    <x v="160"/>
    <x v="3"/>
    <s v="South"/>
    <s v="Premium"/>
    <d v="2022-11-05T00:00:00"/>
    <d v="2024-01-25T00:00:00"/>
    <x v="1190"/>
    <n v="6979"/>
    <n v="-3221"/>
    <s v="Paid"/>
    <n v="14"/>
    <d v="2024-01-25T00:00:00"/>
    <n v="0"/>
    <n v="1519"/>
    <n v="-0.86"/>
    <s v="Normal"/>
    <n v="2024"/>
    <s v="January"/>
  </r>
  <r>
    <n v="2580"/>
    <x v="72"/>
    <x v="2"/>
    <s v="North"/>
    <s v="Premium"/>
    <d v="2022-01-23T00:00:00"/>
    <d v="2023-03-17T00:00:00"/>
    <x v="1191"/>
    <n v="7062"/>
    <n v="-431"/>
    <s v="Pending"/>
    <n v="13"/>
    <d v="2023-03-17T00:00:00"/>
    <n v="0"/>
    <n v="1520"/>
    <n v="-0.06"/>
    <s v="Normal"/>
    <n v="2023"/>
    <s v="March"/>
  </r>
  <r>
    <n v="2581"/>
    <x v="370"/>
    <x v="2"/>
    <s v="North"/>
    <s v="Standard"/>
    <d v="2022-05-26T00:00:00"/>
    <d v="2022-10-11T00:00:00"/>
    <x v="1192"/>
    <n v="7743"/>
    <n v="-1841"/>
    <s v="NA"/>
    <n v="4"/>
    <d v="2022-10-11T00:00:00"/>
    <n v="1"/>
    <n v="1521"/>
    <n v="-0.31"/>
    <s v="Normal"/>
    <n v="2022"/>
    <s v="October"/>
  </r>
  <r>
    <n v="2583"/>
    <x v="191"/>
    <x v="2"/>
    <s v="West"/>
    <s v="Standard"/>
    <d v="2022-12-22T00:00:00"/>
    <d v="2023-07-31T00:00:00"/>
    <x v="1193"/>
    <n v="464"/>
    <n v="657"/>
    <s v="Pending"/>
    <n v="7"/>
    <d v="2023-07-31T00:00:00"/>
    <n v="1"/>
    <n v="1522"/>
    <n v="0.59"/>
    <s v="Normal"/>
    <n v="2023"/>
    <s v="July"/>
  </r>
  <r>
    <n v="2584"/>
    <x v="282"/>
    <x v="1"/>
    <s v="East"/>
    <s v="Standard"/>
    <d v="2022-11-29T00:00:00"/>
    <d v="2024-05-19T00:00:00"/>
    <x v="1194"/>
    <n v="6861"/>
    <n v="1536"/>
    <s v="Pending"/>
    <n v="17"/>
    <d v="2024-05-19T00:00:00"/>
    <n v="0"/>
    <n v="1523"/>
    <n v="0.18"/>
    <s v="Normal"/>
    <n v="2024"/>
    <s v="May"/>
  </r>
  <r>
    <n v="2585"/>
    <x v="239"/>
    <x v="3"/>
    <s v="West"/>
    <s v="Basic"/>
    <d v="2022-03-19T00:00:00"/>
    <d v="2023-04-27T00:00:00"/>
    <x v="1195"/>
    <n v="6450"/>
    <n v="577.01"/>
    <s v="Paid"/>
    <n v="13"/>
    <d v="2023-04-27T00:00:00"/>
    <n v="0"/>
    <n v="1524"/>
    <n v="0.25"/>
    <s v="Normal"/>
    <n v="2023"/>
    <s v="April"/>
  </r>
  <r>
    <n v="2586"/>
    <x v="341"/>
    <x v="2"/>
    <s v="West"/>
    <s v="Standard"/>
    <d v="2022-11-14T00:00:00"/>
    <d v="2024-06-27T00:00:00"/>
    <x v="1196"/>
    <n v="6097"/>
    <n v="-2456"/>
    <s v="NA"/>
    <n v="19"/>
    <d v="2024-06-27T00:00:00"/>
    <n v="1"/>
    <n v="1525"/>
    <n v="-0.67"/>
    <s v="Normal"/>
    <n v="2024"/>
    <s v="June"/>
  </r>
  <r>
    <n v="2588"/>
    <x v="42"/>
    <x v="0"/>
    <s v="East"/>
    <s v="Basic"/>
    <d v="2022-08-03T00:00:00"/>
    <d v="2023-04-10T00:00:00"/>
    <x v="1197"/>
    <n v="471"/>
    <n v="8521"/>
    <s v="Pending"/>
    <n v="8"/>
    <d v="2023-04-10T00:00:00"/>
    <n v="0"/>
    <n v="1526"/>
    <n v="0.95"/>
    <s v="Normal"/>
    <n v="2023"/>
    <s v="April"/>
  </r>
  <r>
    <n v="2590"/>
    <x v="292"/>
    <x v="4"/>
    <s v="South"/>
    <s v="Basic"/>
    <d v="2022-09-12T00:00:00"/>
    <d v="2024-01-21T00:00:00"/>
    <x v="1198"/>
    <n v="3101"/>
    <n v="-950"/>
    <s v="NA"/>
    <n v="16"/>
    <d v="2024-01-21T00:00:00"/>
    <n v="0"/>
    <n v="1527"/>
    <n v="-0.44"/>
    <s v="Normal"/>
    <n v="2024"/>
    <s v="January"/>
  </r>
  <r>
    <n v="2592"/>
    <x v="207"/>
    <x v="2"/>
    <s v="South"/>
    <s v="Basic"/>
    <d v="2022-11-28T00:00:00"/>
    <d v="2023-06-19T00:00:00"/>
    <x v="1199"/>
    <n v="7088"/>
    <n v="-5693"/>
    <s v="NA"/>
    <n v="6"/>
    <d v="2023-06-19T00:00:00"/>
    <n v="1"/>
    <n v="1528"/>
    <n v="-4.08"/>
    <s v="Outlier"/>
    <n v="2023"/>
    <s v="June"/>
  </r>
  <r>
    <n v="2593"/>
    <x v="98"/>
    <x v="3"/>
    <s v="West"/>
    <s v="Standard"/>
    <d v="2022-05-03T00:00:00"/>
    <d v="2023-08-22T00:00:00"/>
    <x v="1200"/>
    <n v="3321"/>
    <n v="577.01"/>
    <s v="Paid"/>
    <n v="15"/>
    <d v="2023-08-22T00:00:00"/>
    <n v="0"/>
    <n v="1529"/>
    <n v="0.06"/>
    <s v="Normal"/>
    <n v="2023"/>
    <s v="August"/>
  </r>
  <r>
    <n v="2595"/>
    <x v="287"/>
    <x v="4"/>
    <s v="South"/>
    <s v="Premium"/>
    <d v="2022-02-23T00:00:00"/>
    <d v="2022-04-08T00:00:00"/>
    <x v="1201"/>
    <n v="1453"/>
    <n v="-490"/>
    <s v="Paid"/>
    <n v="1"/>
    <d v="2022-04-08T00:00:00"/>
    <n v="0"/>
    <n v="1530"/>
    <n v="-0.51"/>
    <s v="Normal"/>
    <n v="2022"/>
    <s v="April"/>
  </r>
  <r>
    <n v="2596"/>
    <x v="337"/>
    <x v="0"/>
    <s v="East"/>
    <s v="Standard"/>
    <d v="2022-04-21T00:00:00"/>
    <d v="2022-07-23T00:00:00"/>
    <x v="1202"/>
    <n v="2432"/>
    <n v="6254"/>
    <s v="Paid"/>
    <n v="3"/>
    <d v="2022-07-23T00:00:00"/>
    <n v="1"/>
    <n v="1531"/>
    <n v="0.72"/>
    <s v="Normal"/>
    <n v="2022"/>
    <s v="July"/>
  </r>
  <r>
    <n v="2597"/>
    <x v="199"/>
    <x v="2"/>
    <s v="North"/>
    <s v="Premium"/>
    <d v="2022-12-03T00:00:00"/>
    <d v="2023-12-27T00:00:00"/>
    <x v="78"/>
    <n v="1338"/>
    <n v="4464"/>
    <s v="Paid"/>
    <n v="12"/>
    <d v="2023-12-27T00:00:00"/>
    <n v="1"/>
    <n v="1532"/>
    <n v="0.77"/>
    <s v="Normal"/>
    <n v="2023"/>
    <s v="December"/>
  </r>
  <r>
    <n v="2598"/>
    <x v="290"/>
    <x v="1"/>
    <s v="South"/>
    <s v="Standard"/>
    <d v="2022-11-11T00:00:00"/>
    <d v="2023-12-13T00:00:00"/>
    <x v="1203"/>
    <n v="3044"/>
    <n v="3450"/>
    <s v="Paid"/>
    <n v="13"/>
    <d v="2023-12-13T00:00:00"/>
    <n v="1"/>
    <n v="1533"/>
    <n v="0.53"/>
    <s v="Normal"/>
    <n v="2023"/>
    <s v="December"/>
  </r>
  <r>
    <n v="2599"/>
    <x v="292"/>
    <x v="3"/>
    <s v="South"/>
    <s v="Standard"/>
    <d v="2022-04-23T00:00:00"/>
    <d v="2023-08-14T00:00:00"/>
    <x v="1204"/>
    <n v="7940"/>
    <n v="-5936"/>
    <s v="Pending"/>
    <n v="15"/>
    <d v="2023-08-14T00:00:00"/>
    <n v="0"/>
    <n v="1534"/>
    <n v="-2.96"/>
    <s v="Outlier"/>
    <n v="2023"/>
    <s v="August"/>
  </r>
  <r>
    <n v="2601"/>
    <x v="23"/>
    <x v="4"/>
    <s v="East"/>
    <s v="Basic"/>
    <d v="2022-01-08T00:00:00"/>
    <d v="2023-08-11T00:00:00"/>
    <x v="1205"/>
    <n v="6089"/>
    <n v="-621"/>
    <s v="Paid"/>
    <n v="19"/>
    <d v="2023-08-11T00:00:00"/>
    <n v="1"/>
    <n v="1535"/>
    <n v="-0.11"/>
    <s v="Normal"/>
    <n v="2023"/>
    <s v="August"/>
  </r>
  <r>
    <n v="2602"/>
    <x v="21"/>
    <x v="2"/>
    <s v="East"/>
    <s v="Premium"/>
    <d v="2022-04-02T00:00:00"/>
    <d v="2023-06-02T00:00:00"/>
    <x v="1206"/>
    <n v="7941"/>
    <n v="-4322"/>
    <s v="NA"/>
    <n v="14"/>
    <d v="2023-06-02T00:00:00"/>
    <n v="0"/>
    <n v="1536"/>
    <n v="-1.19"/>
    <s v="Outlier"/>
    <n v="2023"/>
    <s v="June"/>
  </r>
  <r>
    <n v="2605"/>
    <x v="55"/>
    <x v="2"/>
    <s v="West"/>
    <s v="Premium"/>
    <d v="2022-09-15T00:00:00"/>
    <d v="2023-04-26T00:00:00"/>
    <x v="1207"/>
    <n v="1035"/>
    <n v="3696"/>
    <s v="Overdue"/>
    <n v="7"/>
    <d v="2023-04-26T00:00:00"/>
    <n v="1"/>
    <n v="1537"/>
    <n v="0.78"/>
    <s v="Normal"/>
    <n v="2023"/>
    <s v="April"/>
  </r>
  <r>
    <n v="2607"/>
    <x v="227"/>
    <x v="4"/>
    <s v="East"/>
    <s v="Basic"/>
    <d v="2022-07-15T00:00:00"/>
    <d v="2023-09-29T00:00:00"/>
    <x v="1208"/>
    <n v="336"/>
    <n v="147"/>
    <s v="NA"/>
    <n v="14"/>
    <d v="2023-09-29T00:00:00"/>
    <n v="1"/>
    <n v="1538"/>
    <n v="0.3"/>
    <s v="Normal"/>
    <n v="2023"/>
    <s v="September"/>
  </r>
  <r>
    <n v="2609"/>
    <x v="43"/>
    <x v="4"/>
    <s v="East"/>
    <s v="Premium"/>
    <d v="2022-10-06T00:00:00"/>
    <d v="2023-12-07T00:00:00"/>
    <x v="1209"/>
    <n v="2803"/>
    <n v="4706"/>
    <s v="NA"/>
    <n v="14"/>
    <d v="2023-12-07T00:00:00"/>
    <n v="0"/>
    <n v="1539"/>
    <n v="0.63"/>
    <s v="Normal"/>
    <n v="2023"/>
    <s v="December"/>
  </r>
  <r>
    <n v="2610"/>
    <x v="7"/>
    <x v="4"/>
    <s v="East"/>
    <s v="Premium"/>
    <d v="2022-01-18T00:00:00"/>
    <d v="2022-10-03T00:00:00"/>
    <x v="1210"/>
    <n v="4012.75"/>
    <n v="7236"/>
    <s v="NA"/>
    <n v="8"/>
    <d v="2022-10-03T00:00:00"/>
    <n v="1"/>
    <n v="1540"/>
    <n v="1.01"/>
    <s v="Outlier"/>
    <n v="2022"/>
    <s v="October"/>
  </r>
  <r>
    <n v="2611"/>
    <x v="390"/>
    <x v="4"/>
    <s v="South"/>
    <s v="Premium"/>
    <d v="2022-09-28T00:00:00"/>
    <d v="2023-02-02T00:00:00"/>
    <x v="1211"/>
    <n v="2753"/>
    <n v="2016"/>
    <s v="NA"/>
    <n v="4"/>
    <d v="2023-02-02T00:00:00"/>
    <n v="0"/>
    <n v="1541"/>
    <n v="0.42"/>
    <s v="Normal"/>
    <n v="2023"/>
    <s v="February"/>
  </r>
  <r>
    <n v="2612"/>
    <x v="360"/>
    <x v="4"/>
    <s v="East"/>
    <s v="Premium"/>
    <d v="2022-03-11T00:00:00"/>
    <d v="2023-03-08T00:00:00"/>
    <x v="1212"/>
    <n v="6604"/>
    <n v="-3653"/>
    <s v="Pending"/>
    <n v="11"/>
    <d v="2023-03-08T00:00:00"/>
    <n v="0"/>
    <n v="1542"/>
    <n v="-1.24"/>
    <s v="Outlier"/>
    <n v="2023"/>
    <s v="March"/>
  </r>
  <r>
    <n v="2614"/>
    <x v="338"/>
    <x v="2"/>
    <s v="North"/>
    <s v="Standard"/>
    <d v="2022-04-06T00:00:00"/>
    <d v="2022-07-16T00:00:00"/>
    <x v="1213"/>
    <n v="4093"/>
    <n v="-2616"/>
    <s v="Pending"/>
    <n v="3"/>
    <d v="2022-07-16T00:00:00"/>
    <n v="0"/>
    <n v="1543"/>
    <n v="-1.77"/>
    <s v="Outlier"/>
    <n v="2022"/>
    <s v="July"/>
  </r>
  <r>
    <n v="2615"/>
    <x v="49"/>
    <x v="4"/>
    <s v="West"/>
    <s v="Premium"/>
    <d v="2022-02-20T00:00:00"/>
    <d v="2023-04-21T00:00:00"/>
    <x v="1214"/>
    <n v="7757"/>
    <n v="-2045"/>
    <s v="Pending"/>
    <n v="14"/>
    <d v="2023-04-21T00:00:00"/>
    <n v="0"/>
    <n v="1544"/>
    <n v="-0.36"/>
    <s v="Normal"/>
    <n v="2023"/>
    <s v="April"/>
  </r>
  <r>
    <n v="2616"/>
    <x v="21"/>
    <x v="1"/>
    <s v="South"/>
    <s v="Premium"/>
    <d v="2022-04-11T00:00:00"/>
    <d v="2023-08-19T00:00:00"/>
    <x v="1215"/>
    <n v="6537"/>
    <n v="2092"/>
    <s v="Overdue"/>
    <n v="16"/>
    <d v="2023-08-19T00:00:00"/>
    <n v="0"/>
    <n v="1545"/>
    <n v="0.24"/>
    <s v="Normal"/>
    <n v="2023"/>
    <s v="August"/>
  </r>
  <r>
    <n v="2617"/>
    <x v="154"/>
    <x v="1"/>
    <s v="North"/>
    <s v="Standard"/>
    <d v="2022-09-14T00:00:00"/>
    <d v="2023-05-31T00:00:00"/>
    <x v="1216"/>
    <n v="2645"/>
    <n v="2014"/>
    <s v="Paid"/>
    <n v="8"/>
    <d v="2023-05-31T00:00:00"/>
    <n v="0"/>
    <n v="1546"/>
    <n v="0.43"/>
    <s v="Normal"/>
    <n v="2023"/>
    <s v="May"/>
  </r>
  <r>
    <n v="2618"/>
    <x v="317"/>
    <x v="2"/>
    <s v="North"/>
    <s v="Basic"/>
    <d v="2022-04-08T00:00:00"/>
    <d v="2023-03-31T00:00:00"/>
    <x v="1217"/>
    <n v="791"/>
    <n v="34"/>
    <s v="NA"/>
    <n v="11"/>
    <d v="2023-03-31T00:00:00"/>
    <n v="0"/>
    <n v="1547"/>
    <n v="0.04"/>
    <s v="Normal"/>
    <n v="2023"/>
    <s v="March"/>
  </r>
  <r>
    <n v="2619"/>
    <x v="344"/>
    <x v="4"/>
    <s v="North"/>
    <s v="Standard"/>
    <d v="2022-12-03T00:00:00"/>
    <d v="2023-07-18T00:00:00"/>
    <x v="971"/>
    <n v="4651"/>
    <n v="930"/>
    <s v="NA"/>
    <n v="7"/>
    <d v="2023-07-18T00:00:00"/>
    <n v="0"/>
    <n v="1548"/>
    <n v="0.17"/>
    <s v="Normal"/>
    <n v="2023"/>
    <s v="July"/>
  </r>
  <r>
    <n v="2620"/>
    <x v="391"/>
    <x v="1"/>
    <s v="North"/>
    <s v="Premium"/>
    <d v="2022-03-25T00:00:00"/>
    <d v="2023-01-08T00:00:00"/>
    <x v="17"/>
    <n v="4075"/>
    <n v="-4612"/>
    <s v="NA"/>
    <n v="9"/>
    <d v="2023-01-08T00:00:00"/>
    <n v="1"/>
    <n v="1549"/>
    <n v="-0.93"/>
    <s v="Normal"/>
    <n v="2023"/>
    <s v="January"/>
  </r>
  <r>
    <n v="2621"/>
    <x v="296"/>
    <x v="0"/>
    <s v="West"/>
    <s v="Standard"/>
    <d v="2022-07-22T00:00:00"/>
    <d v="2023-10-27T00:00:00"/>
    <x v="1218"/>
    <n v="6608"/>
    <n v="-1848"/>
    <s v="Pending"/>
    <n v="15"/>
    <d v="2023-10-27T00:00:00"/>
    <n v="1"/>
    <n v="1550"/>
    <n v="-0.39"/>
    <s v="Normal"/>
    <n v="2023"/>
    <s v="October"/>
  </r>
  <r>
    <n v="2622"/>
    <x v="162"/>
    <x v="3"/>
    <s v="North"/>
    <s v="Basic"/>
    <d v="2022-12-18T00:00:00"/>
    <d v="2024-02-04T00:00:00"/>
    <x v="240"/>
    <n v="7108"/>
    <n v="-2665"/>
    <s v="NA"/>
    <n v="13"/>
    <d v="2024-02-04T00:00:00"/>
    <n v="0"/>
    <n v="1551"/>
    <n v="-0.6"/>
    <s v="Normal"/>
    <n v="2024"/>
    <s v="February"/>
  </r>
  <r>
    <n v="2623"/>
    <x v="236"/>
    <x v="4"/>
    <s v="South"/>
    <s v="Premium"/>
    <d v="2022-06-24T00:00:00"/>
    <d v="2023-11-08T00:00:00"/>
    <x v="1219"/>
    <n v="5092"/>
    <n v="-2410"/>
    <s v="NA"/>
    <n v="16"/>
    <d v="2023-11-08T00:00:00"/>
    <n v="0"/>
    <n v="1552"/>
    <n v="-0.9"/>
    <s v="Normal"/>
    <n v="2023"/>
    <s v="November"/>
  </r>
  <r>
    <n v="2624"/>
    <x v="367"/>
    <x v="2"/>
    <s v="South"/>
    <s v="Basic"/>
    <d v="2022-12-24T00:00:00"/>
    <d v="2023-08-02T00:00:00"/>
    <x v="479"/>
    <n v="4012.75"/>
    <n v="9779"/>
    <s v="Paid"/>
    <n v="7"/>
    <d v="2023-08-02T00:00:00"/>
    <n v="1"/>
    <n v="1553"/>
    <n v="1.04"/>
    <s v="Outlier"/>
    <n v="2023"/>
    <s v="August"/>
  </r>
  <r>
    <n v="2625"/>
    <x v="248"/>
    <x v="3"/>
    <s v="West"/>
    <s v="Standard"/>
    <d v="2022-04-08T00:00:00"/>
    <d v="2022-12-22T00:00:00"/>
    <x v="1220"/>
    <n v="5788"/>
    <n v="-4174"/>
    <s v="NA"/>
    <n v="8"/>
    <d v="2022-12-22T00:00:00"/>
    <n v="0"/>
    <n v="1554"/>
    <n v="-2.59"/>
    <s v="Outlier"/>
    <n v="2022"/>
    <s v="December"/>
  </r>
  <r>
    <n v="2628"/>
    <x v="243"/>
    <x v="0"/>
    <s v="North"/>
    <s v="Basic"/>
    <d v="2022-03-13T00:00:00"/>
    <d v="2023-06-13T00:00:00"/>
    <x v="1163"/>
    <n v="724"/>
    <n v="-402"/>
    <s v="Paid"/>
    <n v="15"/>
    <d v="2023-06-13T00:00:00"/>
    <n v="1"/>
    <n v="1555"/>
    <n v="-1.25"/>
    <s v="Outlier"/>
    <n v="2023"/>
    <s v="June"/>
  </r>
  <r>
    <n v="2629"/>
    <x v="151"/>
    <x v="2"/>
    <s v="South"/>
    <s v="Standard"/>
    <d v="2022-04-20T00:00:00"/>
    <d v="2022-10-16T00:00:00"/>
    <x v="1221"/>
    <n v="4012.75"/>
    <n v="5158"/>
    <s v="Overdue"/>
    <n v="5"/>
    <d v="2022-10-16T00:00:00"/>
    <n v="0"/>
    <n v="1556"/>
    <n v="1.21"/>
    <s v="Outlier"/>
    <n v="2022"/>
    <s v="October"/>
  </r>
  <r>
    <n v="2630"/>
    <x v="392"/>
    <x v="3"/>
    <s v="East"/>
    <s v="Basic"/>
    <d v="2022-04-20T00:00:00"/>
    <d v="2022-08-03T00:00:00"/>
    <x v="1222"/>
    <n v="3896"/>
    <n v="3185"/>
    <s v="Pending"/>
    <n v="3"/>
    <d v="2022-08-03T00:00:00"/>
    <n v="0"/>
    <n v="1557"/>
    <n v="0.45"/>
    <s v="Normal"/>
    <n v="2022"/>
    <s v="August"/>
  </r>
  <r>
    <n v="2631"/>
    <x v="226"/>
    <x v="3"/>
    <s v="North"/>
    <s v="Basic"/>
    <d v="2022-05-28T00:00:00"/>
    <d v="2023-11-20T00:00:00"/>
    <x v="17"/>
    <n v="5498"/>
    <n v="-5505"/>
    <s v="Paid"/>
    <n v="17"/>
    <d v="2023-11-20T00:00:00"/>
    <n v="1"/>
    <n v="1558"/>
    <n v="-1.1100000000000001"/>
    <s v="Outlier"/>
    <n v="2023"/>
    <s v="November"/>
  </r>
  <r>
    <n v="2632"/>
    <x v="340"/>
    <x v="4"/>
    <s v="East"/>
    <s v="Premium"/>
    <d v="2022-10-08T00:00:00"/>
    <d v="2024-04-07T00:00:00"/>
    <x v="17"/>
    <n v="4400"/>
    <n v="577.01"/>
    <s v="Pending"/>
    <n v="17"/>
    <d v="2024-04-07T00:00:00"/>
    <n v="0"/>
    <n v="1559"/>
    <n v="0.12"/>
    <s v="Normal"/>
    <n v="2024"/>
    <s v="April"/>
  </r>
  <r>
    <n v="2633"/>
    <x v="37"/>
    <x v="4"/>
    <s v="East"/>
    <s v="Standard"/>
    <d v="2022-08-16T00:00:00"/>
    <d v="2024-03-11T00:00:00"/>
    <x v="1223"/>
    <n v="7060"/>
    <n v="1966"/>
    <s v="Paid"/>
    <n v="18"/>
    <d v="2024-03-11T00:00:00"/>
    <n v="0"/>
    <n v="1560"/>
    <n v="0.22"/>
    <s v="Normal"/>
    <n v="2024"/>
    <s v="March"/>
  </r>
  <r>
    <n v="2634"/>
    <x v="18"/>
    <x v="2"/>
    <s v="North"/>
    <s v="Standard"/>
    <d v="2022-12-12T00:00:00"/>
    <d v="2023-09-18T00:00:00"/>
    <x v="1224"/>
    <n v="7846"/>
    <n v="-7445"/>
    <s v="Paid"/>
    <n v="9"/>
    <d v="2023-09-18T00:00:00"/>
    <n v="1"/>
    <n v="1561"/>
    <n v="-18.57"/>
    <s v="Outlier"/>
    <n v="2023"/>
    <s v="September"/>
  </r>
  <r>
    <n v="2635"/>
    <x v="34"/>
    <x v="0"/>
    <s v="South"/>
    <s v="Premium"/>
    <d v="2022-09-07T00:00:00"/>
    <d v="2023-01-18T00:00:00"/>
    <x v="1225"/>
    <n v="89"/>
    <n v="945"/>
    <s v="Paid"/>
    <n v="4"/>
    <d v="2023-01-18T00:00:00"/>
    <n v="1"/>
    <n v="1562"/>
    <n v="0.91"/>
    <s v="Normal"/>
    <n v="2023"/>
    <s v="January"/>
  </r>
  <r>
    <n v="2636"/>
    <x v="140"/>
    <x v="0"/>
    <s v="East"/>
    <s v="Basic"/>
    <d v="2022-10-02T00:00:00"/>
    <d v="2024-01-26T00:00:00"/>
    <x v="1226"/>
    <n v="4012.75"/>
    <n v="2202"/>
    <s v="Overdue"/>
    <n v="15"/>
    <d v="2024-01-26T00:00:00"/>
    <n v="0"/>
    <n v="1563"/>
    <n v="1.44"/>
    <s v="Outlier"/>
    <n v="2024"/>
    <s v="January"/>
  </r>
  <r>
    <n v="2637"/>
    <x v="203"/>
    <x v="0"/>
    <s v="South"/>
    <s v="Standard"/>
    <d v="2022-04-18T00:00:00"/>
    <d v="2023-01-04T00:00:00"/>
    <x v="1227"/>
    <n v="4012.75"/>
    <n v="9197"/>
    <s v="NA"/>
    <n v="8"/>
    <d v="2023-01-04T00:00:00"/>
    <n v="1"/>
    <n v="1564"/>
    <n v="1"/>
    <s v="Outlier"/>
    <n v="2023"/>
    <s v="January"/>
  </r>
  <r>
    <n v="2638"/>
    <x v="121"/>
    <x v="4"/>
    <s v="East"/>
    <s v="Basic"/>
    <d v="2022-06-13T00:00:00"/>
    <d v="2022-10-29T00:00:00"/>
    <x v="1228"/>
    <n v="5509"/>
    <n v="-1013"/>
    <s v="Overdue"/>
    <n v="4"/>
    <d v="2022-10-29T00:00:00"/>
    <n v="1"/>
    <n v="1565"/>
    <n v="-0.23"/>
    <s v="Normal"/>
    <n v="2022"/>
    <s v="October"/>
  </r>
  <r>
    <n v="2639"/>
    <x v="154"/>
    <x v="2"/>
    <s v="East"/>
    <s v="Standard"/>
    <d v="2022-07-04T00:00:00"/>
    <d v="2023-01-19T00:00:00"/>
    <x v="1229"/>
    <n v="5506"/>
    <n v="-1705"/>
    <s v="Pending"/>
    <n v="6"/>
    <d v="2023-01-19T00:00:00"/>
    <n v="1"/>
    <n v="1566"/>
    <n v="-0.45"/>
    <s v="Normal"/>
    <n v="2023"/>
    <s v="January"/>
  </r>
  <r>
    <n v="2640"/>
    <x v="33"/>
    <x v="1"/>
    <s v="North"/>
    <s v="Premium"/>
    <d v="2022-07-01T00:00:00"/>
    <d v="2023-02-16T00:00:00"/>
    <x v="1230"/>
    <n v="3536"/>
    <n v="-1398"/>
    <s v="Pending"/>
    <n v="7"/>
    <d v="2023-02-16T00:00:00"/>
    <n v="1"/>
    <n v="1567"/>
    <n v="-0.65"/>
    <s v="Normal"/>
    <n v="2023"/>
    <s v="February"/>
  </r>
  <r>
    <n v="2641"/>
    <x v="378"/>
    <x v="3"/>
    <s v="South"/>
    <s v="Premium"/>
    <d v="2022-06-05T00:00:00"/>
    <d v="2023-05-23T00:00:00"/>
    <x v="1231"/>
    <n v="4012.75"/>
    <n v="4348"/>
    <s v="Pending"/>
    <n v="11"/>
    <d v="2023-05-23T00:00:00"/>
    <n v="0"/>
    <n v="1568"/>
    <n v="1.18"/>
    <s v="Outlier"/>
    <n v="2023"/>
    <s v="May"/>
  </r>
  <r>
    <n v="2643"/>
    <x v="50"/>
    <x v="0"/>
    <s v="East"/>
    <s v="Premium"/>
    <d v="2022-05-31T00:00:00"/>
    <d v="2022-07-05T00:00:00"/>
    <x v="1232"/>
    <n v="4012.75"/>
    <n v="577.01"/>
    <s v="Paid"/>
    <n v="1"/>
    <d v="2022-07-05T00:00:00"/>
    <n v="1"/>
    <n v="1569"/>
    <n v="0.1"/>
    <s v="Normal"/>
    <n v="2022"/>
    <s v="July"/>
  </r>
  <r>
    <n v="2645"/>
    <x v="48"/>
    <x v="1"/>
    <s v="South"/>
    <s v="Premium"/>
    <d v="2022-08-16T00:00:00"/>
    <d v="2024-01-21T00:00:00"/>
    <x v="1233"/>
    <n v="4423"/>
    <n v="245"/>
    <s v="Paid"/>
    <n v="17"/>
    <d v="2024-01-21T00:00:00"/>
    <n v="1"/>
    <n v="1570"/>
    <n v="0.05"/>
    <s v="Normal"/>
    <n v="2024"/>
    <s v="January"/>
  </r>
  <r>
    <n v="2647"/>
    <x v="100"/>
    <x v="1"/>
    <s v="East"/>
    <s v="Standard"/>
    <d v="2022-11-03T00:00:00"/>
    <d v="2023-10-12T00:00:00"/>
    <x v="1234"/>
    <n v="5406"/>
    <n v="33"/>
    <s v="Paid"/>
    <n v="11"/>
    <d v="2023-10-12T00:00:00"/>
    <n v="1"/>
    <n v="1571"/>
    <n v="0.01"/>
    <s v="Normal"/>
    <n v="2023"/>
    <s v="October"/>
  </r>
  <r>
    <n v="2648"/>
    <x v="333"/>
    <x v="0"/>
    <s v="East"/>
    <s v="Basic"/>
    <d v="2022-09-15T00:00:00"/>
    <d v="2023-03-29T00:00:00"/>
    <x v="1235"/>
    <n v="6144"/>
    <n v="-4290"/>
    <s v="Overdue"/>
    <n v="6"/>
    <d v="2023-03-29T00:00:00"/>
    <n v="0"/>
    <n v="1572"/>
    <n v="-2.31"/>
    <s v="Outlier"/>
    <n v="2023"/>
    <s v="March"/>
  </r>
  <r>
    <n v="2650"/>
    <x v="160"/>
    <x v="3"/>
    <s v="East"/>
    <s v="Premium"/>
    <d v="2022-03-07T00:00:00"/>
    <d v="2022-12-22T00:00:00"/>
    <x v="1236"/>
    <n v="1605"/>
    <n v="1894"/>
    <s v="NA"/>
    <n v="9"/>
    <d v="2022-12-22T00:00:00"/>
    <n v="0"/>
    <n v="1573"/>
    <n v="0.54"/>
    <s v="Normal"/>
    <n v="2022"/>
    <s v="December"/>
  </r>
  <r>
    <n v="2651"/>
    <x v="94"/>
    <x v="2"/>
    <s v="North"/>
    <s v="Premium"/>
    <d v="2022-07-02T00:00:00"/>
    <d v="2022-12-12T00:00:00"/>
    <x v="1237"/>
    <n v="3430"/>
    <n v="-967"/>
    <s v="NA"/>
    <n v="5"/>
    <d v="2022-12-12T00:00:00"/>
    <n v="0"/>
    <n v="1574"/>
    <n v="-0.39"/>
    <s v="Normal"/>
    <n v="2022"/>
    <s v="December"/>
  </r>
  <r>
    <n v="2656"/>
    <x v="122"/>
    <x v="0"/>
    <s v="South"/>
    <s v="Standard"/>
    <d v="2022-05-12T00:00:00"/>
    <d v="2023-01-28T00:00:00"/>
    <x v="1238"/>
    <n v="915"/>
    <n v="8426"/>
    <s v="Pending"/>
    <n v="8"/>
    <d v="2023-01-28T00:00:00"/>
    <n v="1"/>
    <n v="1575"/>
    <n v="0.9"/>
    <s v="Normal"/>
    <n v="2023"/>
    <s v="January"/>
  </r>
  <r>
    <n v="2657"/>
    <x v="102"/>
    <x v="1"/>
    <s v="West"/>
    <s v="Premium"/>
    <d v="2022-03-18T00:00:00"/>
    <d v="2023-02-13T00:00:00"/>
    <x v="53"/>
    <n v="2176"/>
    <n v="7579"/>
    <s v="Overdue"/>
    <n v="10"/>
    <d v="2023-02-13T00:00:00"/>
    <n v="1"/>
    <n v="1576"/>
    <n v="0.78"/>
    <s v="Normal"/>
    <n v="2023"/>
    <s v="February"/>
  </r>
  <r>
    <n v="2658"/>
    <x v="48"/>
    <x v="1"/>
    <s v="North"/>
    <s v="Basic"/>
    <d v="2022-12-28T00:00:00"/>
    <d v="2023-08-06T00:00:00"/>
    <x v="1239"/>
    <n v="4335"/>
    <n v="-4221"/>
    <s v="Overdue"/>
    <n v="7"/>
    <d v="2023-08-06T00:00:00"/>
    <n v="0"/>
    <n v="1577"/>
    <n v="-37.03"/>
    <s v="Outlier"/>
    <n v="2023"/>
    <s v="August"/>
  </r>
  <r>
    <n v="2659"/>
    <x v="238"/>
    <x v="1"/>
    <s v="South"/>
    <s v="Premium"/>
    <d v="2022-02-16T00:00:00"/>
    <d v="2022-05-18T00:00:00"/>
    <x v="1240"/>
    <n v="2382"/>
    <n v="-1990"/>
    <s v="Overdue"/>
    <n v="3"/>
    <d v="2022-05-18T00:00:00"/>
    <n v="1"/>
    <n v="1578"/>
    <n v="-5.08"/>
    <s v="Outlier"/>
    <n v="2022"/>
    <s v="May"/>
  </r>
  <r>
    <n v="2661"/>
    <x v="137"/>
    <x v="4"/>
    <s v="North"/>
    <s v="Premium"/>
    <d v="2022-03-12T00:00:00"/>
    <d v="2022-08-25T00:00:00"/>
    <x v="542"/>
    <n v="632"/>
    <n v="6094"/>
    <s v="Overdue"/>
    <n v="5"/>
    <d v="2022-08-25T00:00:00"/>
    <n v="0"/>
    <n v="1579"/>
    <n v="0.91"/>
    <s v="Normal"/>
    <n v="2022"/>
    <s v="August"/>
  </r>
  <r>
    <n v="2662"/>
    <x v="18"/>
    <x v="1"/>
    <s v="East"/>
    <s v="Standard"/>
    <d v="2022-12-10T00:00:00"/>
    <d v="2023-10-29T00:00:00"/>
    <x v="1241"/>
    <n v="224"/>
    <n v="2523"/>
    <s v="Pending"/>
    <n v="10"/>
    <d v="2023-10-29T00:00:00"/>
    <n v="1"/>
    <n v="1580"/>
    <n v="0.92"/>
    <s v="Normal"/>
    <n v="2023"/>
    <s v="October"/>
  </r>
  <r>
    <n v="2663"/>
    <x v="361"/>
    <x v="4"/>
    <s v="North"/>
    <s v="Basic"/>
    <d v="2022-08-04T00:00:00"/>
    <d v="2023-08-29T00:00:00"/>
    <x v="1242"/>
    <n v="2053"/>
    <n v="-948"/>
    <s v="NA"/>
    <n v="12"/>
    <d v="2023-08-29T00:00:00"/>
    <n v="0"/>
    <n v="1581"/>
    <n v="-0.86"/>
    <s v="Normal"/>
    <n v="2023"/>
    <s v="August"/>
  </r>
  <r>
    <n v="2665"/>
    <x v="257"/>
    <x v="1"/>
    <s v="North"/>
    <s v="Standard"/>
    <d v="2022-11-11T00:00:00"/>
    <d v="2023-02-16T00:00:00"/>
    <x v="17"/>
    <n v="1927"/>
    <n v="-2212"/>
    <s v="NA"/>
    <n v="3"/>
    <d v="2023-02-16T00:00:00"/>
    <n v="0"/>
    <n v="1582"/>
    <n v="-0.45"/>
    <s v="Normal"/>
    <n v="2023"/>
    <s v="February"/>
  </r>
  <r>
    <n v="2666"/>
    <x v="94"/>
    <x v="4"/>
    <s v="South"/>
    <s v="Premium"/>
    <d v="2022-02-22T00:00:00"/>
    <d v="2023-05-23T00:00:00"/>
    <x v="69"/>
    <n v="5458"/>
    <n v="-5411"/>
    <s v="Paid"/>
    <n v="15"/>
    <d v="2023-05-23T00:00:00"/>
    <n v="1"/>
    <n v="1583"/>
    <n v="-115.13"/>
    <s v="Outlier"/>
    <n v="2023"/>
    <s v="May"/>
  </r>
  <r>
    <n v="2668"/>
    <x v="173"/>
    <x v="1"/>
    <s v="West"/>
    <s v="Standard"/>
    <d v="2022-04-22T00:00:00"/>
    <d v="2023-10-14T00:00:00"/>
    <x v="1243"/>
    <n v="3316"/>
    <n v="4487"/>
    <s v="Overdue"/>
    <n v="17"/>
    <d v="2023-10-14T00:00:00"/>
    <n v="0"/>
    <n v="1584"/>
    <n v="0.57999999999999996"/>
    <s v="Normal"/>
    <n v="2023"/>
    <s v="October"/>
  </r>
  <r>
    <n v="2673"/>
    <x v="154"/>
    <x v="4"/>
    <s v="South"/>
    <s v="Basic"/>
    <d v="2022-01-29T00:00:00"/>
    <d v="2022-10-06T00:00:00"/>
    <x v="1244"/>
    <n v="3310"/>
    <n v="-153"/>
    <s v="Pending"/>
    <n v="8"/>
    <d v="2022-10-06T00:00:00"/>
    <n v="1"/>
    <n v="1585"/>
    <n v="-0.05"/>
    <s v="Normal"/>
    <n v="2022"/>
    <s v="October"/>
  </r>
  <r>
    <n v="2674"/>
    <x v="267"/>
    <x v="0"/>
    <s v="West"/>
    <s v="Premium"/>
    <d v="2022-08-19T00:00:00"/>
    <d v="2024-01-31T00:00:00"/>
    <x v="978"/>
    <n v="5854"/>
    <n v="1003"/>
    <s v="Pending"/>
    <n v="17"/>
    <d v="2024-01-31T00:00:00"/>
    <n v="0"/>
    <n v="1586"/>
    <n v="0.15"/>
    <s v="Normal"/>
    <n v="2024"/>
    <s v="January"/>
  </r>
  <r>
    <n v="2675"/>
    <x v="161"/>
    <x v="3"/>
    <s v="East"/>
    <s v="Basic"/>
    <d v="2022-12-04T00:00:00"/>
    <d v="2023-09-10T00:00:00"/>
    <x v="1245"/>
    <n v="573"/>
    <n v="9328"/>
    <s v="Pending"/>
    <n v="9"/>
    <d v="2023-09-10T00:00:00"/>
    <n v="0"/>
    <n v="1587"/>
    <n v="0.94"/>
    <s v="Normal"/>
    <n v="2023"/>
    <s v="September"/>
  </r>
  <r>
    <n v="2676"/>
    <x v="40"/>
    <x v="0"/>
    <s v="South"/>
    <s v="Basic"/>
    <d v="2022-12-12T00:00:00"/>
    <d v="2023-07-27T00:00:00"/>
    <x v="1246"/>
    <n v="4012.75"/>
    <n v="9854"/>
    <s v="Pending"/>
    <n v="7"/>
    <d v="2023-07-27T00:00:00"/>
    <n v="0"/>
    <n v="1588"/>
    <n v="1.07"/>
    <s v="Outlier"/>
    <n v="2023"/>
    <s v="July"/>
  </r>
  <r>
    <n v="2677"/>
    <x v="250"/>
    <x v="0"/>
    <s v="North"/>
    <s v="Standard"/>
    <d v="2022-05-01T00:00:00"/>
    <d v="2023-11-23T00:00:00"/>
    <x v="1247"/>
    <n v="227"/>
    <n v="6168"/>
    <s v="NA"/>
    <n v="18"/>
    <d v="2023-11-23T00:00:00"/>
    <n v="0"/>
    <n v="1589"/>
    <n v="0.96"/>
    <s v="Normal"/>
    <n v="2023"/>
    <s v="November"/>
  </r>
  <r>
    <n v="2679"/>
    <x v="273"/>
    <x v="3"/>
    <s v="West"/>
    <s v="Standard"/>
    <d v="2022-10-30T00:00:00"/>
    <d v="2023-10-20T00:00:00"/>
    <x v="17"/>
    <n v="3234"/>
    <n v="-4416"/>
    <s v="NA"/>
    <n v="11"/>
    <d v="2023-10-20T00:00:00"/>
    <n v="0"/>
    <n v="1590"/>
    <n v="-0.89"/>
    <s v="Normal"/>
    <n v="2023"/>
    <s v="October"/>
  </r>
  <r>
    <n v="2680"/>
    <x v="360"/>
    <x v="3"/>
    <s v="East"/>
    <s v="Standard"/>
    <d v="2022-03-23T00:00:00"/>
    <d v="2022-11-19T00:00:00"/>
    <x v="1248"/>
    <n v="6635"/>
    <n v="-2615"/>
    <s v="Overdue"/>
    <n v="7"/>
    <d v="2022-11-19T00:00:00"/>
    <n v="1"/>
    <n v="1591"/>
    <n v="-0.65"/>
    <s v="Normal"/>
    <n v="2022"/>
    <s v="November"/>
  </r>
  <r>
    <n v="2683"/>
    <x v="81"/>
    <x v="2"/>
    <s v="South"/>
    <s v="Premium"/>
    <d v="2022-09-04T00:00:00"/>
    <d v="2022-10-09T00:00:00"/>
    <x v="1249"/>
    <n v="988"/>
    <n v="2639"/>
    <s v="Pending"/>
    <n v="1"/>
    <d v="2022-10-09T00:00:00"/>
    <n v="1"/>
    <n v="1592"/>
    <n v="0.73"/>
    <s v="Normal"/>
    <n v="2022"/>
    <s v="October"/>
  </r>
  <r>
    <n v="2684"/>
    <x v="132"/>
    <x v="0"/>
    <s v="South"/>
    <s v="Premium"/>
    <d v="2022-12-13T00:00:00"/>
    <d v="2023-07-20T00:00:00"/>
    <x v="25"/>
    <n v="6855"/>
    <n v="8"/>
    <s v="Paid"/>
    <n v="7"/>
    <d v="2023-07-20T00:00:00"/>
    <n v="1"/>
    <n v="1593"/>
    <n v="0"/>
    <s v="Normal"/>
    <n v="2023"/>
    <s v="July"/>
  </r>
  <r>
    <n v="2686"/>
    <x v="336"/>
    <x v="3"/>
    <s v="South"/>
    <s v="Standard"/>
    <d v="2022-03-22T00:00:00"/>
    <d v="2022-09-05T00:00:00"/>
    <x v="235"/>
    <n v="7148"/>
    <n v="577.01"/>
    <s v="Pending"/>
    <n v="5"/>
    <d v="2022-09-05T00:00:00"/>
    <n v="0"/>
    <n v="1594"/>
    <n v="7.0000000000000007E-2"/>
    <s v="Normal"/>
    <n v="2022"/>
    <s v="September"/>
  </r>
  <r>
    <n v="2687"/>
    <x v="194"/>
    <x v="0"/>
    <s v="East"/>
    <s v="Basic"/>
    <d v="2022-10-20T00:00:00"/>
    <d v="2023-01-12T00:00:00"/>
    <x v="1250"/>
    <n v="7390"/>
    <n v="-6924"/>
    <s v="NA"/>
    <n v="2"/>
    <d v="2023-01-12T00:00:00"/>
    <n v="0"/>
    <n v="1595"/>
    <n v="-14.86"/>
    <s v="Outlier"/>
    <n v="2023"/>
    <s v="January"/>
  </r>
  <r>
    <n v="2689"/>
    <x v="340"/>
    <x v="1"/>
    <s v="East"/>
    <s v="Standard"/>
    <d v="2022-12-26T00:00:00"/>
    <d v="2024-06-24T00:00:00"/>
    <x v="1251"/>
    <n v="3578"/>
    <n v="-2604"/>
    <s v="Paid"/>
    <n v="17"/>
    <d v="2024-06-24T00:00:00"/>
    <n v="0"/>
    <n v="1596"/>
    <n v="-2.67"/>
    <s v="Outlier"/>
    <n v="2024"/>
    <s v="June"/>
  </r>
  <r>
    <n v="2691"/>
    <x v="319"/>
    <x v="0"/>
    <s v="South"/>
    <s v="Standard"/>
    <d v="2022-09-25T00:00:00"/>
    <d v="2022-12-07T00:00:00"/>
    <x v="1252"/>
    <n v="4012.75"/>
    <n v="3518"/>
    <s v="Overdue"/>
    <n v="2"/>
    <d v="2022-12-07T00:00:00"/>
    <n v="0"/>
    <n v="1597"/>
    <n v="1.34"/>
    <s v="Outlier"/>
    <n v="2022"/>
    <s v="December"/>
  </r>
  <r>
    <n v="2694"/>
    <x v="361"/>
    <x v="3"/>
    <s v="West"/>
    <s v="Premium"/>
    <d v="2022-09-15T00:00:00"/>
    <d v="2023-11-15T00:00:00"/>
    <x v="584"/>
    <n v="4012.75"/>
    <n v="4877"/>
    <s v="Overdue"/>
    <n v="14"/>
    <d v="2023-11-15T00:00:00"/>
    <n v="0"/>
    <n v="1598"/>
    <n v="1.1100000000000001"/>
    <s v="Outlier"/>
    <n v="2023"/>
    <s v="November"/>
  </r>
  <r>
    <n v="2695"/>
    <x v="276"/>
    <x v="1"/>
    <s v="East"/>
    <s v="Basic"/>
    <d v="2022-07-26T00:00:00"/>
    <d v="2023-10-31T00:00:00"/>
    <x v="17"/>
    <n v="390"/>
    <n v="-1741"/>
    <s v="NA"/>
    <n v="15"/>
    <d v="2023-10-31T00:00:00"/>
    <n v="0"/>
    <n v="1599"/>
    <n v="-0.35"/>
    <s v="Normal"/>
    <n v="2023"/>
    <s v="October"/>
  </r>
  <r>
    <n v="2696"/>
    <x v="147"/>
    <x v="0"/>
    <s v="North"/>
    <s v="Basic"/>
    <d v="2022-05-11T00:00:00"/>
    <d v="2023-07-13T00:00:00"/>
    <x v="1253"/>
    <n v="2975"/>
    <n v="6485"/>
    <s v="Pending"/>
    <n v="14"/>
    <d v="2023-07-13T00:00:00"/>
    <n v="1"/>
    <n v="1600"/>
    <n v="0.69"/>
    <s v="Normal"/>
    <n v="2023"/>
    <s v="July"/>
  </r>
  <r>
    <n v="2698"/>
    <x v="152"/>
    <x v="1"/>
    <s v="West"/>
    <s v="Standard"/>
    <d v="2022-10-17T00:00:00"/>
    <d v="2023-01-06T00:00:00"/>
    <x v="1254"/>
    <n v="6149"/>
    <n v="-2291"/>
    <s v="Pending"/>
    <n v="2"/>
    <d v="2023-01-06T00:00:00"/>
    <n v="1"/>
    <n v="1601"/>
    <n v="-0.59"/>
    <s v="Normal"/>
    <n v="2023"/>
    <s v="January"/>
  </r>
  <r>
    <n v="2700"/>
    <x v="6"/>
    <x v="3"/>
    <s v="East"/>
    <s v="Basic"/>
    <d v="2022-02-13T00:00:00"/>
    <d v="2023-02-24T00:00:00"/>
    <x v="1255"/>
    <n v="4872"/>
    <n v="1063"/>
    <s v="NA"/>
    <n v="12"/>
    <d v="2023-02-24T00:00:00"/>
    <n v="0"/>
    <n v="1602"/>
    <n v="0.18"/>
    <s v="Normal"/>
    <n v="2023"/>
    <s v="February"/>
  </r>
  <r>
    <n v="2701"/>
    <x v="34"/>
    <x v="4"/>
    <s v="West"/>
    <s v="Premium"/>
    <d v="2022-02-13T00:00:00"/>
    <d v="2023-07-28T00:00:00"/>
    <x v="1256"/>
    <n v="2983"/>
    <n v="5413"/>
    <s v="Overdue"/>
    <n v="17"/>
    <d v="2023-07-28T00:00:00"/>
    <n v="1"/>
    <n v="1603"/>
    <n v="0.64"/>
    <s v="Normal"/>
    <n v="2023"/>
    <s v="July"/>
  </r>
  <r>
    <n v="2702"/>
    <x v="235"/>
    <x v="1"/>
    <s v="South"/>
    <s v="Standard"/>
    <d v="2022-05-18T00:00:00"/>
    <d v="2023-03-26T00:00:00"/>
    <x v="1257"/>
    <n v="541"/>
    <n v="5492"/>
    <s v="Pending"/>
    <n v="10"/>
    <d v="2023-03-26T00:00:00"/>
    <n v="1"/>
    <n v="1604"/>
    <n v="0.91"/>
    <s v="Normal"/>
    <n v="2023"/>
    <s v="March"/>
  </r>
  <r>
    <n v="2703"/>
    <x v="32"/>
    <x v="3"/>
    <s v="North"/>
    <s v="Standard"/>
    <d v="2022-07-07T00:00:00"/>
    <d v="2023-09-23T00:00:00"/>
    <x v="1258"/>
    <n v="6519"/>
    <n v="3129"/>
    <s v="Pending"/>
    <n v="14"/>
    <d v="2023-09-23T00:00:00"/>
    <n v="1"/>
    <n v="1605"/>
    <n v="0.32"/>
    <s v="Normal"/>
    <n v="2023"/>
    <s v="September"/>
  </r>
  <r>
    <n v="2704"/>
    <x v="293"/>
    <x v="1"/>
    <s v="South"/>
    <s v="Basic"/>
    <d v="2022-05-25T00:00:00"/>
    <d v="2023-03-14T00:00:00"/>
    <x v="1259"/>
    <n v="4012.75"/>
    <n v="2681"/>
    <s v="Paid"/>
    <n v="9"/>
    <d v="2023-03-14T00:00:00"/>
    <n v="0"/>
    <n v="1606"/>
    <n v="1.56"/>
    <s v="Outlier"/>
    <n v="2023"/>
    <s v="March"/>
  </r>
  <r>
    <n v="2706"/>
    <x v="33"/>
    <x v="4"/>
    <s v="East"/>
    <s v="Premium"/>
    <d v="2022-08-03T00:00:00"/>
    <d v="2022-09-27T00:00:00"/>
    <x v="1260"/>
    <n v="107"/>
    <n v="975"/>
    <s v="Paid"/>
    <n v="1"/>
    <d v="2022-09-27T00:00:00"/>
    <n v="1"/>
    <n v="1607"/>
    <n v="0.9"/>
    <s v="Normal"/>
    <n v="2022"/>
    <s v="September"/>
  </r>
  <r>
    <n v="2707"/>
    <x v="49"/>
    <x v="0"/>
    <s v="South"/>
    <s v="Basic"/>
    <d v="2022-12-18T00:00:00"/>
    <d v="2024-03-12T00:00:00"/>
    <x v="17"/>
    <n v="6612"/>
    <n v="-6900"/>
    <s v="Paid"/>
    <n v="14"/>
    <d v="2024-03-12T00:00:00"/>
    <n v="0"/>
    <n v="1608"/>
    <n v="-1.39"/>
    <s v="Outlier"/>
    <n v="2024"/>
    <s v="March"/>
  </r>
  <r>
    <n v="2709"/>
    <x v="190"/>
    <x v="1"/>
    <s v="West"/>
    <s v="Basic"/>
    <d v="2022-11-25T00:00:00"/>
    <d v="2024-06-27T00:00:00"/>
    <x v="1261"/>
    <n v="2106"/>
    <n v="4408"/>
    <s v="NA"/>
    <n v="19"/>
    <d v="2024-06-27T00:00:00"/>
    <n v="1"/>
    <n v="1609"/>
    <n v="0.68"/>
    <s v="Normal"/>
    <n v="2024"/>
    <s v="June"/>
  </r>
  <r>
    <n v="2710"/>
    <x v="198"/>
    <x v="1"/>
    <s v="North"/>
    <s v="Basic"/>
    <d v="2022-06-21T00:00:00"/>
    <d v="2023-10-15T00:00:00"/>
    <x v="1262"/>
    <n v="2880"/>
    <n v="1141"/>
    <s v="Paid"/>
    <n v="15"/>
    <d v="2023-10-15T00:00:00"/>
    <n v="1"/>
    <n v="1610"/>
    <n v="0.28000000000000003"/>
    <s v="Normal"/>
    <n v="2023"/>
    <s v="October"/>
  </r>
  <r>
    <n v="2711"/>
    <x v="367"/>
    <x v="0"/>
    <s v="East"/>
    <s v="Standard"/>
    <d v="2022-04-18T00:00:00"/>
    <d v="2022-10-20T00:00:00"/>
    <x v="17"/>
    <n v="4235"/>
    <n v="-5424"/>
    <s v="Paid"/>
    <n v="6"/>
    <d v="2022-10-20T00:00:00"/>
    <n v="0"/>
    <n v="1611"/>
    <n v="-1.0900000000000001"/>
    <s v="Outlier"/>
    <n v="2022"/>
    <s v="October"/>
  </r>
  <r>
    <n v="2717"/>
    <x v="210"/>
    <x v="1"/>
    <s v="West"/>
    <s v="Standard"/>
    <d v="2022-07-25T00:00:00"/>
    <d v="2023-04-07T00:00:00"/>
    <x v="1263"/>
    <n v="5609"/>
    <n v="-4957"/>
    <s v="Overdue"/>
    <n v="8"/>
    <d v="2023-04-07T00:00:00"/>
    <n v="0"/>
    <n v="1612"/>
    <n v="-7.6"/>
    <s v="Outlier"/>
    <n v="2023"/>
    <s v="April"/>
  </r>
  <r>
    <n v="2718"/>
    <x v="156"/>
    <x v="2"/>
    <s v="South"/>
    <s v="Basic"/>
    <d v="2022-09-09T00:00:00"/>
    <d v="2023-07-31T00:00:00"/>
    <x v="1264"/>
    <n v="6147"/>
    <n v="-3771"/>
    <s v="Pending"/>
    <n v="10"/>
    <d v="2023-07-31T00:00:00"/>
    <n v="0"/>
    <n v="1613"/>
    <n v="-1.59"/>
    <s v="Outlier"/>
    <n v="2023"/>
    <s v="July"/>
  </r>
  <r>
    <n v="2719"/>
    <x v="393"/>
    <x v="2"/>
    <s v="North"/>
    <s v="Standard"/>
    <d v="2022-11-29T00:00:00"/>
    <d v="2023-12-29T00:00:00"/>
    <x v="1265"/>
    <n v="5965"/>
    <n v="699"/>
    <s v="Pending"/>
    <n v="13"/>
    <d v="2023-12-29T00:00:00"/>
    <n v="0"/>
    <n v="1614"/>
    <n v="0.1"/>
    <s v="Normal"/>
    <n v="2023"/>
    <s v="December"/>
  </r>
  <r>
    <n v="2720"/>
    <x v="169"/>
    <x v="3"/>
    <s v="West"/>
    <s v="Basic"/>
    <d v="2022-06-07T00:00:00"/>
    <d v="2023-01-12T00:00:00"/>
    <x v="298"/>
    <n v="4841"/>
    <n v="-1326"/>
    <s v="NA"/>
    <n v="7"/>
    <d v="2023-01-12T00:00:00"/>
    <n v="0"/>
    <n v="1615"/>
    <n v="-0.38"/>
    <s v="Normal"/>
    <n v="2023"/>
    <s v="January"/>
  </r>
  <r>
    <n v="2722"/>
    <x v="38"/>
    <x v="3"/>
    <s v="South"/>
    <s v="Basic"/>
    <d v="2022-01-25T00:00:00"/>
    <d v="2023-03-12T00:00:00"/>
    <x v="438"/>
    <n v="4100"/>
    <n v="550"/>
    <s v="NA"/>
    <n v="13"/>
    <d v="2023-03-12T00:00:00"/>
    <n v="1"/>
    <n v="1616"/>
    <n v="0.12"/>
    <s v="Normal"/>
    <n v="2023"/>
    <s v="March"/>
  </r>
  <r>
    <n v="2723"/>
    <x v="394"/>
    <x v="3"/>
    <s v="West"/>
    <s v="Basic"/>
    <d v="2022-10-10T00:00:00"/>
    <d v="2023-10-11T00:00:00"/>
    <x v="1266"/>
    <n v="2198"/>
    <n v="3804"/>
    <s v="Overdue"/>
    <n v="12"/>
    <d v="2023-10-11T00:00:00"/>
    <n v="0"/>
    <n v="1617"/>
    <n v="0.63"/>
    <s v="Normal"/>
    <n v="2023"/>
    <s v="October"/>
  </r>
  <r>
    <n v="2725"/>
    <x v="11"/>
    <x v="1"/>
    <s v="South"/>
    <s v="Basic"/>
    <d v="2022-01-22T00:00:00"/>
    <d v="2023-09-05T00:00:00"/>
    <x v="1267"/>
    <n v="155"/>
    <n v="1551"/>
    <s v="Pending"/>
    <n v="19"/>
    <d v="2023-09-05T00:00:00"/>
    <n v="1"/>
    <n v="1618"/>
    <n v="0.91"/>
    <s v="Normal"/>
    <n v="2023"/>
    <s v="September"/>
  </r>
  <r>
    <n v="2726"/>
    <x v="208"/>
    <x v="2"/>
    <s v="South"/>
    <s v="Premium"/>
    <d v="2022-01-05T00:00:00"/>
    <d v="2022-08-06T00:00:00"/>
    <x v="578"/>
    <n v="2534"/>
    <n v="2104"/>
    <s v="NA"/>
    <n v="7"/>
    <d v="2022-08-06T00:00:00"/>
    <n v="1"/>
    <n v="1619"/>
    <n v="0.45"/>
    <s v="Normal"/>
    <n v="2022"/>
    <s v="August"/>
  </r>
  <r>
    <n v="2727"/>
    <x v="45"/>
    <x v="2"/>
    <s v="North"/>
    <s v="Premium"/>
    <d v="2022-12-21T00:00:00"/>
    <d v="2023-09-30T00:00:00"/>
    <x v="596"/>
    <n v="7249"/>
    <n v="727"/>
    <s v="Overdue"/>
    <n v="9"/>
    <d v="2023-09-30T00:00:00"/>
    <n v="0"/>
    <n v="1620"/>
    <n v="0.09"/>
    <s v="Normal"/>
    <n v="2023"/>
    <s v="September"/>
  </r>
  <r>
    <n v="2728"/>
    <x v="395"/>
    <x v="0"/>
    <s v="North"/>
    <s v="Basic"/>
    <d v="2022-03-11T00:00:00"/>
    <d v="2022-12-13T00:00:00"/>
    <x v="1268"/>
    <n v="504"/>
    <n v="4186"/>
    <s v="Overdue"/>
    <n v="9"/>
    <d v="2022-12-13T00:00:00"/>
    <n v="1"/>
    <n v="1621"/>
    <n v="0.89"/>
    <s v="Normal"/>
    <n v="2022"/>
    <s v="December"/>
  </r>
  <r>
    <n v="2730"/>
    <x v="349"/>
    <x v="3"/>
    <s v="South"/>
    <s v="Premium"/>
    <d v="2022-05-05T00:00:00"/>
    <d v="2023-11-13T00:00:00"/>
    <x v="17"/>
    <n v="4012.75"/>
    <n v="846"/>
    <s v="Overdue"/>
    <n v="18"/>
    <d v="2023-11-13T00:00:00"/>
    <n v="0"/>
    <n v="1622"/>
    <n v="0.17"/>
    <s v="Normal"/>
    <n v="2023"/>
    <s v="November"/>
  </r>
  <r>
    <n v="2733"/>
    <x v="110"/>
    <x v="4"/>
    <s v="South"/>
    <s v="Premium"/>
    <d v="2022-09-03T00:00:00"/>
    <d v="2024-02-03T00:00:00"/>
    <x v="1269"/>
    <n v="4997"/>
    <n v="-397"/>
    <s v="Pending"/>
    <n v="17"/>
    <d v="2024-02-03T00:00:00"/>
    <n v="1"/>
    <n v="1623"/>
    <n v="-0.09"/>
    <s v="Normal"/>
    <n v="2024"/>
    <s v="February"/>
  </r>
  <r>
    <n v="2735"/>
    <x v="29"/>
    <x v="3"/>
    <s v="North"/>
    <s v="Premium"/>
    <d v="2022-12-08T00:00:00"/>
    <d v="2024-06-11T00:00:00"/>
    <x v="1270"/>
    <n v="467"/>
    <n v="6978"/>
    <s v="Pending"/>
    <n v="18"/>
    <d v="2024-06-11T00:00:00"/>
    <n v="1"/>
    <n v="1624"/>
    <n v="0.94"/>
    <s v="Normal"/>
    <n v="2024"/>
    <s v="June"/>
  </r>
  <r>
    <n v="2736"/>
    <x v="19"/>
    <x v="4"/>
    <s v="East"/>
    <s v="Standard"/>
    <d v="2022-10-03T00:00:00"/>
    <d v="2023-07-27T00:00:00"/>
    <x v="1271"/>
    <n v="7914"/>
    <n v="-209"/>
    <s v="Pending"/>
    <n v="9"/>
    <d v="2023-07-27T00:00:00"/>
    <n v="0"/>
    <n v="1625"/>
    <n v="-0.03"/>
    <s v="Normal"/>
    <n v="2023"/>
    <s v="July"/>
  </r>
  <r>
    <n v="2738"/>
    <x v="292"/>
    <x v="1"/>
    <s v="North"/>
    <s v="Basic"/>
    <d v="2022-03-03T00:00:00"/>
    <d v="2023-08-14T00:00:00"/>
    <x v="17"/>
    <n v="7156"/>
    <n v="-7703"/>
    <s v="NA"/>
    <n v="17"/>
    <d v="2023-08-14T00:00:00"/>
    <n v="0"/>
    <n v="1626"/>
    <n v="-1.55"/>
    <s v="Outlier"/>
    <n v="2023"/>
    <s v="August"/>
  </r>
  <r>
    <n v="2739"/>
    <x v="374"/>
    <x v="2"/>
    <s v="West"/>
    <s v="Premium"/>
    <d v="2022-05-04T00:00:00"/>
    <d v="2023-01-27T00:00:00"/>
    <x v="783"/>
    <n v="3339"/>
    <n v="4200"/>
    <s v="Paid"/>
    <n v="8"/>
    <d v="2023-01-27T00:00:00"/>
    <n v="1"/>
    <n v="1627"/>
    <n v="0.56000000000000005"/>
    <s v="Normal"/>
    <n v="2023"/>
    <s v="January"/>
  </r>
  <r>
    <n v="2740"/>
    <x v="377"/>
    <x v="0"/>
    <s v="South"/>
    <s v="Premium"/>
    <d v="2022-06-09T00:00:00"/>
    <d v="2023-11-13T00:00:00"/>
    <x v="1272"/>
    <n v="3338"/>
    <n v="2179"/>
    <s v="NA"/>
    <n v="17"/>
    <d v="2023-11-13T00:00:00"/>
    <n v="1"/>
    <n v="1628"/>
    <n v="0.39"/>
    <s v="Normal"/>
    <n v="2023"/>
    <s v="November"/>
  </r>
  <r>
    <n v="2741"/>
    <x v="25"/>
    <x v="4"/>
    <s v="East"/>
    <s v="Premium"/>
    <d v="2022-07-17T00:00:00"/>
    <d v="2023-10-30T00:00:00"/>
    <x v="1273"/>
    <n v="7212"/>
    <n v="-4760"/>
    <s v="Overdue"/>
    <n v="15"/>
    <d v="2023-10-30T00:00:00"/>
    <n v="0"/>
    <n v="1629"/>
    <n v="-1.94"/>
    <s v="Outlier"/>
    <n v="2023"/>
    <s v="October"/>
  </r>
  <r>
    <n v="2743"/>
    <x v="287"/>
    <x v="2"/>
    <s v="West"/>
    <s v="Standard"/>
    <d v="2022-08-14T00:00:00"/>
    <d v="2023-01-05T00:00:00"/>
    <x v="1274"/>
    <n v="175"/>
    <n v="4149"/>
    <s v="Overdue"/>
    <n v="4"/>
    <d v="2023-01-05T00:00:00"/>
    <n v="1"/>
    <n v="1630"/>
    <n v="0.96"/>
    <s v="Normal"/>
    <n v="2023"/>
    <s v="January"/>
  </r>
  <r>
    <n v="2744"/>
    <x v="234"/>
    <x v="1"/>
    <s v="South"/>
    <s v="Basic"/>
    <d v="2022-07-31T00:00:00"/>
    <d v="2023-06-16T00:00:00"/>
    <x v="1275"/>
    <n v="4012.75"/>
    <n v="577.01"/>
    <s v="Pending"/>
    <n v="10"/>
    <d v="2023-06-16T00:00:00"/>
    <n v="1"/>
    <n v="1631"/>
    <n v="0.09"/>
    <s v="Normal"/>
    <n v="2023"/>
    <s v="June"/>
  </r>
  <r>
    <n v="2749"/>
    <x v="295"/>
    <x v="0"/>
    <s v="West"/>
    <s v="Basic"/>
    <d v="2022-08-21T00:00:00"/>
    <d v="2023-02-02T00:00:00"/>
    <x v="1276"/>
    <n v="5738"/>
    <n v="-746"/>
    <s v="NA"/>
    <n v="5"/>
    <d v="2023-02-02T00:00:00"/>
    <n v="0"/>
    <n v="1632"/>
    <n v="-0.15"/>
    <s v="Normal"/>
    <n v="2023"/>
    <s v="February"/>
  </r>
  <r>
    <n v="2750"/>
    <x v="306"/>
    <x v="1"/>
    <s v="South"/>
    <s v="Standard"/>
    <d v="2022-11-04T00:00:00"/>
    <d v="2023-03-23T00:00:00"/>
    <x v="1277"/>
    <n v="1904"/>
    <n v="-671"/>
    <s v="Paid"/>
    <n v="4"/>
    <d v="2023-03-23T00:00:00"/>
    <n v="0"/>
    <n v="1633"/>
    <n v="-0.54"/>
    <s v="Normal"/>
    <n v="2023"/>
    <s v="March"/>
  </r>
  <r>
    <n v="2752"/>
    <x v="303"/>
    <x v="4"/>
    <s v="North"/>
    <s v="Standard"/>
    <d v="2022-03-01T00:00:00"/>
    <d v="2022-11-13T00:00:00"/>
    <x v="1278"/>
    <n v="2627"/>
    <n v="4620"/>
    <s v="Overdue"/>
    <n v="8"/>
    <d v="2022-11-13T00:00:00"/>
    <n v="1"/>
    <n v="1634"/>
    <n v="0.64"/>
    <s v="Normal"/>
    <n v="2022"/>
    <s v="November"/>
  </r>
  <r>
    <n v="2754"/>
    <x v="8"/>
    <x v="2"/>
    <s v="North"/>
    <s v="Standard"/>
    <d v="2022-11-23T00:00:00"/>
    <d v="2023-02-14T00:00:00"/>
    <x v="843"/>
    <n v="4012.75"/>
    <n v="4920"/>
    <s v="Pending"/>
    <n v="2"/>
    <d v="2023-02-14T00:00:00"/>
    <n v="1"/>
    <n v="1635"/>
    <n v="1.1399999999999999"/>
    <s v="Outlier"/>
    <n v="2023"/>
    <s v="February"/>
  </r>
  <r>
    <n v="2755"/>
    <x v="107"/>
    <x v="4"/>
    <s v="West"/>
    <s v="Premium"/>
    <d v="2022-05-10T00:00:00"/>
    <d v="2022-11-03T00:00:00"/>
    <x v="1279"/>
    <n v="4012.75"/>
    <n v="3127"/>
    <s v="Pending"/>
    <n v="5"/>
    <d v="2022-11-03T00:00:00"/>
    <n v="1"/>
    <n v="1636"/>
    <n v="1.3"/>
    <s v="Outlier"/>
    <n v="2022"/>
    <s v="November"/>
  </r>
  <r>
    <n v="2756"/>
    <x v="124"/>
    <x v="2"/>
    <s v="North"/>
    <s v="Premium"/>
    <d v="2022-03-30T00:00:00"/>
    <d v="2023-03-05T00:00:00"/>
    <x v="1280"/>
    <n v="7379"/>
    <n v="-4644"/>
    <s v="Paid"/>
    <n v="11"/>
    <d v="2023-03-05T00:00:00"/>
    <n v="1"/>
    <n v="1637"/>
    <n v="-1.7"/>
    <s v="Outlier"/>
    <n v="2023"/>
    <s v="March"/>
  </r>
  <r>
    <n v="2757"/>
    <x v="354"/>
    <x v="4"/>
    <s v="West"/>
    <s v="Basic"/>
    <d v="2022-06-22T00:00:00"/>
    <d v="2023-01-26T00:00:00"/>
    <x v="1281"/>
    <n v="3755"/>
    <n v="3743"/>
    <s v="NA"/>
    <n v="7"/>
    <d v="2023-01-26T00:00:00"/>
    <n v="0"/>
    <n v="1638"/>
    <n v="0.5"/>
    <s v="Normal"/>
    <n v="2023"/>
    <s v="January"/>
  </r>
  <r>
    <n v="2759"/>
    <x v="315"/>
    <x v="4"/>
    <s v="North"/>
    <s v="Premium"/>
    <d v="2022-07-20T00:00:00"/>
    <d v="2023-09-11T00:00:00"/>
    <x v="1282"/>
    <n v="4205"/>
    <n v="4228"/>
    <s v="Pending"/>
    <n v="13"/>
    <d v="2023-09-11T00:00:00"/>
    <n v="1"/>
    <n v="1639"/>
    <n v="0.5"/>
    <s v="Normal"/>
    <n v="2023"/>
    <s v="September"/>
  </r>
  <r>
    <n v="2760"/>
    <x v="0"/>
    <x v="0"/>
    <s v="North"/>
    <s v="Standard"/>
    <d v="2022-07-25T00:00:00"/>
    <d v="2023-07-05T00:00:00"/>
    <x v="17"/>
    <n v="7431"/>
    <n v="-7875"/>
    <s v="Pending"/>
    <n v="11"/>
    <d v="2023-07-05T00:00:00"/>
    <n v="1"/>
    <n v="1640"/>
    <n v="-1.59"/>
    <s v="Outlier"/>
    <n v="2023"/>
    <s v="July"/>
  </r>
  <r>
    <n v="2761"/>
    <x v="21"/>
    <x v="0"/>
    <s v="West"/>
    <s v="Premium"/>
    <d v="2022-04-11T00:00:00"/>
    <d v="2022-06-04T00:00:00"/>
    <x v="17"/>
    <n v="7504"/>
    <n v="-8736"/>
    <s v="NA"/>
    <n v="1"/>
    <d v="2022-06-04T00:00:00"/>
    <n v="1"/>
    <n v="1641"/>
    <n v="-1.76"/>
    <s v="Outlier"/>
    <n v="2022"/>
    <s v="June"/>
  </r>
  <r>
    <n v="2762"/>
    <x v="180"/>
    <x v="0"/>
    <s v="North"/>
    <s v="Premium"/>
    <d v="2022-03-21T00:00:00"/>
    <d v="2022-09-13T00:00:00"/>
    <x v="17"/>
    <n v="83"/>
    <n v="-1746"/>
    <s v="Overdue"/>
    <n v="5"/>
    <d v="2022-09-13T00:00:00"/>
    <n v="0"/>
    <n v="1642"/>
    <n v="-0.35"/>
    <s v="Normal"/>
    <n v="2022"/>
    <s v="September"/>
  </r>
  <r>
    <n v="2763"/>
    <x v="393"/>
    <x v="3"/>
    <s v="South"/>
    <s v="Basic"/>
    <d v="2022-06-27T00:00:00"/>
    <d v="2023-02-26T00:00:00"/>
    <x v="1283"/>
    <n v="4703"/>
    <n v="993"/>
    <s v="NA"/>
    <n v="7"/>
    <d v="2023-02-26T00:00:00"/>
    <n v="0"/>
    <n v="1643"/>
    <n v="0.17"/>
    <s v="Normal"/>
    <n v="2023"/>
    <s v="February"/>
  </r>
  <r>
    <n v="2764"/>
    <x v="284"/>
    <x v="1"/>
    <s v="North"/>
    <s v="Premium"/>
    <d v="2022-12-15T00:00:00"/>
    <d v="2024-06-07T00:00:00"/>
    <x v="1284"/>
    <n v="4515"/>
    <n v="-828"/>
    <s v="Overdue"/>
    <n v="17"/>
    <d v="2024-06-07T00:00:00"/>
    <n v="1"/>
    <n v="1644"/>
    <n v="-0.22"/>
    <s v="Normal"/>
    <n v="2024"/>
    <s v="June"/>
  </r>
  <r>
    <n v="2769"/>
    <x v="24"/>
    <x v="3"/>
    <s v="South"/>
    <s v="Basic"/>
    <d v="2022-11-26T00:00:00"/>
    <d v="2024-06-29T00:00:00"/>
    <x v="1285"/>
    <n v="7045"/>
    <n v="-4047"/>
    <s v="NA"/>
    <n v="19"/>
    <d v="2024-06-29T00:00:00"/>
    <n v="1"/>
    <n v="1645"/>
    <n v="-1.35"/>
    <s v="Outlier"/>
    <n v="2024"/>
    <s v="June"/>
  </r>
  <r>
    <n v="2770"/>
    <x v="194"/>
    <x v="1"/>
    <s v="South"/>
    <s v="Premium"/>
    <d v="2022-02-11T00:00:00"/>
    <d v="2023-04-07T00:00:00"/>
    <x v="1286"/>
    <n v="6178"/>
    <n v="-3275"/>
    <s v="Pending"/>
    <n v="13"/>
    <d v="2023-04-07T00:00:00"/>
    <n v="0"/>
    <n v="1646"/>
    <n v="-1.1299999999999999"/>
    <s v="Outlier"/>
    <n v="2023"/>
    <s v="April"/>
  </r>
  <r>
    <n v="2771"/>
    <x v="352"/>
    <x v="1"/>
    <s v="West"/>
    <s v="Standard"/>
    <d v="2022-04-09T00:00:00"/>
    <d v="2022-12-10T00:00:00"/>
    <x v="1287"/>
    <n v="2321"/>
    <n v="-556"/>
    <s v="Paid"/>
    <n v="8"/>
    <d v="2022-12-10T00:00:00"/>
    <n v="1"/>
    <n v="1647"/>
    <n v="-0.32"/>
    <s v="Normal"/>
    <n v="2022"/>
    <s v="December"/>
  </r>
  <r>
    <n v="2773"/>
    <x v="311"/>
    <x v="2"/>
    <s v="South"/>
    <s v="Premium"/>
    <d v="2022-05-25T00:00:00"/>
    <d v="2023-03-09T00:00:00"/>
    <x v="17"/>
    <n v="580"/>
    <n v="-2258"/>
    <s v="Pending"/>
    <n v="9"/>
    <d v="2023-03-09T00:00:00"/>
    <n v="1"/>
    <n v="1648"/>
    <n v="-0.45"/>
    <s v="Normal"/>
    <n v="2023"/>
    <s v="March"/>
  </r>
  <r>
    <n v="2775"/>
    <x v="142"/>
    <x v="3"/>
    <s v="East"/>
    <s v="Basic"/>
    <d v="2022-08-26T00:00:00"/>
    <d v="2022-11-19T00:00:00"/>
    <x v="1288"/>
    <n v="4012.75"/>
    <n v="7186"/>
    <s v="Pending"/>
    <n v="2"/>
    <d v="2022-11-19T00:00:00"/>
    <n v="0"/>
    <n v="1649"/>
    <n v="1.02"/>
    <s v="Outlier"/>
    <n v="2022"/>
    <s v="November"/>
  </r>
  <r>
    <n v="2776"/>
    <x v="359"/>
    <x v="2"/>
    <s v="East"/>
    <s v="Premium"/>
    <d v="2022-02-08T00:00:00"/>
    <d v="2022-06-05T00:00:00"/>
    <x v="1289"/>
    <n v="1883"/>
    <n v="2580"/>
    <s v="Paid"/>
    <n v="3"/>
    <d v="2022-06-05T00:00:00"/>
    <n v="0"/>
    <n v="1650"/>
    <n v="0.57999999999999996"/>
    <s v="Normal"/>
    <n v="2022"/>
    <s v="June"/>
  </r>
  <r>
    <n v="2779"/>
    <x v="283"/>
    <x v="0"/>
    <s v="East"/>
    <s v="Standard"/>
    <d v="2022-10-31T00:00:00"/>
    <d v="2024-06-14T00:00:00"/>
    <x v="17"/>
    <n v="7397"/>
    <n v="-8463"/>
    <s v="Pending"/>
    <n v="19"/>
    <d v="2024-06-14T00:00:00"/>
    <n v="1"/>
    <n v="1651"/>
    <n v="-1.7"/>
    <s v="Outlier"/>
    <n v="2024"/>
    <s v="June"/>
  </r>
  <r>
    <n v="2781"/>
    <x v="251"/>
    <x v="3"/>
    <s v="East"/>
    <s v="Premium"/>
    <d v="2022-01-02T00:00:00"/>
    <d v="2022-07-14T00:00:00"/>
    <x v="17"/>
    <n v="7996"/>
    <n v="-8351"/>
    <s v="Pending"/>
    <n v="6"/>
    <d v="2022-07-14T00:00:00"/>
    <n v="1"/>
    <n v="1652"/>
    <n v="-1.68"/>
    <s v="Outlier"/>
    <n v="2022"/>
    <s v="July"/>
  </r>
  <r>
    <n v="2782"/>
    <x v="37"/>
    <x v="3"/>
    <s v="West"/>
    <s v="Premium"/>
    <d v="2022-09-26T00:00:00"/>
    <d v="2023-08-18T00:00:00"/>
    <x v="1290"/>
    <n v="4131"/>
    <n v="-1206"/>
    <s v="Pending"/>
    <n v="10"/>
    <d v="2023-08-18T00:00:00"/>
    <n v="1"/>
    <n v="1653"/>
    <n v="-0.41"/>
    <s v="Normal"/>
    <n v="2023"/>
    <s v="August"/>
  </r>
  <r>
    <n v="2784"/>
    <x v="209"/>
    <x v="1"/>
    <s v="South"/>
    <s v="Standard"/>
    <d v="2022-11-16T00:00:00"/>
    <d v="2023-01-08T00:00:00"/>
    <x v="1291"/>
    <n v="907"/>
    <n v="6076"/>
    <s v="Pending"/>
    <n v="1"/>
    <d v="2023-01-08T00:00:00"/>
    <n v="0"/>
    <n v="1654"/>
    <n v="0.87"/>
    <s v="Normal"/>
    <n v="2023"/>
    <s v="January"/>
  </r>
  <r>
    <n v="2789"/>
    <x v="277"/>
    <x v="4"/>
    <s v="North"/>
    <s v="Standard"/>
    <d v="2022-10-01T00:00:00"/>
    <d v="2024-04-03T00:00:00"/>
    <x v="1056"/>
    <n v="2336"/>
    <n v="-157"/>
    <s v="Paid"/>
    <n v="18"/>
    <d v="2024-04-03T00:00:00"/>
    <n v="1"/>
    <n v="1655"/>
    <n v="-7.0000000000000007E-2"/>
    <s v="Normal"/>
    <n v="2024"/>
    <s v="April"/>
  </r>
  <r>
    <n v="2790"/>
    <x v="396"/>
    <x v="4"/>
    <s v="West"/>
    <s v="Basic"/>
    <d v="2022-03-20T00:00:00"/>
    <d v="2023-02-10T00:00:00"/>
    <x v="1292"/>
    <n v="2142"/>
    <n v="6496"/>
    <s v="Overdue"/>
    <n v="10"/>
    <d v="2023-02-10T00:00:00"/>
    <n v="1"/>
    <n v="1656"/>
    <n v="0.75"/>
    <s v="Normal"/>
    <n v="2023"/>
    <s v="February"/>
  </r>
  <r>
    <n v="2792"/>
    <x v="348"/>
    <x v="1"/>
    <s v="North"/>
    <s v="Standard"/>
    <d v="2022-03-08T00:00:00"/>
    <d v="2022-11-02T00:00:00"/>
    <x v="1293"/>
    <n v="5424"/>
    <n v="577.01"/>
    <s v="Pending"/>
    <n v="7"/>
    <d v="2022-11-02T00:00:00"/>
    <n v="1"/>
    <n v="1657"/>
    <n v="0.24"/>
    <s v="Normal"/>
    <n v="2022"/>
    <s v="November"/>
  </r>
  <r>
    <n v="2793"/>
    <x v="217"/>
    <x v="2"/>
    <s v="West"/>
    <s v="Standard"/>
    <d v="2022-08-09T00:00:00"/>
    <d v="2024-01-14T00:00:00"/>
    <x v="17"/>
    <n v="4012.75"/>
    <n v="-483"/>
    <s v="Paid"/>
    <n v="17"/>
    <d v="2024-01-14T00:00:00"/>
    <n v="0"/>
    <n v="1658"/>
    <n v="-0.1"/>
    <s v="Normal"/>
    <n v="2024"/>
    <s v="January"/>
  </r>
  <r>
    <n v="2795"/>
    <x v="181"/>
    <x v="4"/>
    <s v="West"/>
    <s v="Standard"/>
    <d v="2022-06-18T00:00:00"/>
    <d v="2024-01-11T00:00:00"/>
    <x v="1294"/>
    <n v="5401"/>
    <n v="2981"/>
    <s v="Pending"/>
    <n v="18"/>
    <d v="2024-01-11T00:00:00"/>
    <n v="1"/>
    <n v="1659"/>
    <n v="0.36"/>
    <s v="Normal"/>
    <n v="2024"/>
    <s v="January"/>
  </r>
  <r>
    <n v="2796"/>
    <x v="367"/>
    <x v="3"/>
    <s v="North"/>
    <s v="Basic"/>
    <d v="2022-01-14T00:00:00"/>
    <d v="2022-04-27T00:00:00"/>
    <x v="1295"/>
    <n v="4012.75"/>
    <n v="6293"/>
    <s v="Overdue"/>
    <n v="3"/>
    <d v="2022-04-27T00:00:00"/>
    <n v="0"/>
    <n v="1660"/>
    <n v="1.07"/>
    <s v="Outlier"/>
    <n v="2022"/>
    <s v="April"/>
  </r>
  <r>
    <n v="2798"/>
    <x v="389"/>
    <x v="4"/>
    <s v="East"/>
    <s v="Basic"/>
    <d v="2022-01-31T00:00:00"/>
    <d v="2022-07-27T00:00:00"/>
    <x v="1296"/>
    <n v="1348"/>
    <n v="2234"/>
    <s v="Pending"/>
    <n v="5"/>
    <d v="2022-07-27T00:00:00"/>
    <n v="1"/>
    <n v="1661"/>
    <n v="0.62"/>
    <s v="Normal"/>
    <n v="2022"/>
    <s v="July"/>
  </r>
  <r>
    <n v="2799"/>
    <x v="225"/>
    <x v="2"/>
    <s v="South"/>
    <s v="Basic"/>
    <d v="2022-05-02T00:00:00"/>
    <d v="2023-11-03T00:00:00"/>
    <x v="1297"/>
    <n v="291"/>
    <n v="8108"/>
    <s v="Overdue"/>
    <n v="18"/>
    <d v="2023-11-03T00:00:00"/>
    <n v="0"/>
    <n v="1662"/>
    <n v="0.97"/>
    <s v="Normal"/>
    <n v="2023"/>
    <s v="November"/>
  </r>
  <r>
    <n v="2800"/>
    <x v="348"/>
    <x v="2"/>
    <s v="East"/>
    <s v="Premium"/>
    <d v="2022-05-24T00:00:00"/>
    <d v="2023-01-22T00:00:00"/>
    <x v="107"/>
    <n v="5391"/>
    <n v="-2561"/>
    <s v="Overdue"/>
    <n v="7"/>
    <d v="2023-01-22T00:00:00"/>
    <n v="0"/>
    <n v="1663"/>
    <n v="-0.9"/>
    <s v="Normal"/>
    <n v="2023"/>
    <s v="January"/>
  </r>
  <r>
    <n v="2803"/>
    <x v="380"/>
    <x v="4"/>
    <s v="West"/>
    <s v="Premium"/>
    <d v="2022-03-29T00:00:00"/>
    <d v="2023-08-30T00:00:00"/>
    <x v="1298"/>
    <n v="1264"/>
    <n v="4425"/>
    <s v="Paid"/>
    <n v="17"/>
    <d v="2023-08-30T00:00:00"/>
    <n v="0"/>
    <n v="1664"/>
    <n v="0.78"/>
    <s v="Normal"/>
    <n v="2023"/>
    <s v="August"/>
  </r>
  <r>
    <n v="2804"/>
    <x v="139"/>
    <x v="3"/>
    <s v="South"/>
    <s v="Basic"/>
    <d v="2022-08-29T00:00:00"/>
    <d v="2024-02-16T00:00:00"/>
    <x v="1299"/>
    <n v="2559"/>
    <n v="886"/>
    <s v="Paid"/>
    <n v="17"/>
    <d v="2024-02-16T00:00:00"/>
    <n v="1"/>
    <n v="1665"/>
    <n v="0.26"/>
    <s v="Normal"/>
    <n v="2024"/>
    <s v="February"/>
  </r>
  <r>
    <n v="2805"/>
    <x v="162"/>
    <x v="0"/>
    <s v="North"/>
    <s v="Standard"/>
    <d v="2022-12-15T00:00:00"/>
    <d v="2023-01-30T00:00:00"/>
    <x v="17"/>
    <n v="690"/>
    <n v="-1742"/>
    <s v="Pending"/>
    <n v="1"/>
    <d v="2023-01-30T00:00:00"/>
    <n v="1"/>
    <n v="1666"/>
    <n v="-0.35"/>
    <s v="Normal"/>
    <n v="2023"/>
    <s v="January"/>
  </r>
  <r>
    <n v="2806"/>
    <x v="289"/>
    <x v="4"/>
    <s v="South"/>
    <s v="Basic"/>
    <d v="2022-11-14T00:00:00"/>
    <d v="2024-03-30T00:00:00"/>
    <x v="1300"/>
    <n v="4261"/>
    <n v="490"/>
    <s v="Paid"/>
    <n v="16"/>
    <d v="2024-03-30T00:00:00"/>
    <n v="0"/>
    <n v="1667"/>
    <n v="0.1"/>
    <s v="Normal"/>
    <n v="2024"/>
    <s v="March"/>
  </r>
  <r>
    <n v="2807"/>
    <x v="9"/>
    <x v="1"/>
    <s v="East"/>
    <s v="Standard"/>
    <d v="2022-04-11T00:00:00"/>
    <d v="2023-08-09T00:00:00"/>
    <x v="1301"/>
    <n v="4917"/>
    <n v="4305"/>
    <s v="Overdue"/>
    <n v="15"/>
    <d v="2023-08-09T00:00:00"/>
    <n v="0"/>
    <n v="1668"/>
    <n v="0.47"/>
    <s v="Normal"/>
    <n v="2023"/>
    <s v="August"/>
  </r>
  <r>
    <n v="2809"/>
    <x v="32"/>
    <x v="2"/>
    <s v="North"/>
    <s v="Standard"/>
    <d v="2022-12-22T00:00:00"/>
    <d v="2024-07-19T00:00:00"/>
    <x v="1000"/>
    <n v="319"/>
    <n v="577.01"/>
    <s v="Pending"/>
    <n v="18"/>
    <d v="2024-07-19T00:00:00"/>
    <n v="1"/>
    <n v="1669"/>
    <n v="0.08"/>
    <s v="Normal"/>
    <n v="2024"/>
    <s v="July"/>
  </r>
  <r>
    <n v="2810"/>
    <x v="19"/>
    <x v="2"/>
    <s v="South"/>
    <s v="Basic"/>
    <d v="2022-08-28T00:00:00"/>
    <d v="2023-11-13T00:00:00"/>
    <x v="1302"/>
    <n v="3440"/>
    <n v="157"/>
    <s v="Paid"/>
    <n v="14"/>
    <d v="2023-11-13T00:00:00"/>
    <n v="1"/>
    <n v="1670"/>
    <n v="0.04"/>
    <s v="Normal"/>
    <n v="2023"/>
    <s v="November"/>
  </r>
  <r>
    <n v="2811"/>
    <x v="141"/>
    <x v="3"/>
    <s v="North"/>
    <s v="Standard"/>
    <d v="2022-04-14T00:00:00"/>
    <d v="2023-07-08T00:00:00"/>
    <x v="1303"/>
    <n v="5088"/>
    <n v="1383"/>
    <s v="Overdue"/>
    <n v="14"/>
    <d v="2023-07-08T00:00:00"/>
    <n v="1"/>
    <n v="1671"/>
    <n v="0.21"/>
    <s v="Normal"/>
    <n v="2023"/>
    <s v="July"/>
  </r>
  <r>
    <n v="2812"/>
    <x v="227"/>
    <x v="2"/>
    <s v="West"/>
    <s v="Basic"/>
    <d v="2022-05-06T00:00:00"/>
    <d v="2023-08-15T00:00:00"/>
    <x v="1304"/>
    <n v="1433"/>
    <n v="7952"/>
    <s v="Paid"/>
    <n v="15"/>
    <d v="2023-08-15T00:00:00"/>
    <n v="0"/>
    <n v="1672"/>
    <n v="0.85"/>
    <s v="Normal"/>
    <n v="2023"/>
    <s v="August"/>
  </r>
  <r>
    <n v="2816"/>
    <x v="378"/>
    <x v="4"/>
    <s v="West"/>
    <s v="Basic"/>
    <d v="2022-08-07T00:00:00"/>
    <d v="2023-12-18T00:00:00"/>
    <x v="1305"/>
    <n v="4012.75"/>
    <n v="1022"/>
    <s v="Overdue"/>
    <n v="16"/>
    <d v="2023-12-18T00:00:00"/>
    <n v="0"/>
    <n v="1673"/>
    <n v="1.75"/>
    <s v="Outlier"/>
    <n v="2023"/>
    <s v="December"/>
  </r>
  <r>
    <n v="2820"/>
    <x v="88"/>
    <x v="2"/>
    <s v="North"/>
    <s v="Premium"/>
    <d v="2022-09-29T00:00:00"/>
    <d v="2024-04-29T00:00:00"/>
    <x v="17"/>
    <n v="6989"/>
    <n v="-7376"/>
    <s v="NA"/>
    <n v="19"/>
    <d v="2024-04-29T00:00:00"/>
    <n v="1"/>
    <n v="1674"/>
    <n v="-1.48"/>
    <s v="Outlier"/>
    <n v="2024"/>
    <s v="April"/>
  </r>
  <r>
    <n v="2821"/>
    <x v="223"/>
    <x v="0"/>
    <s v="East"/>
    <s v="Basic"/>
    <d v="2022-03-03T00:00:00"/>
    <d v="2022-11-09T00:00:00"/>
    <x v="1306"/>
    <n v="6233"/>
    <n v="-1202"/>
    <s v="Paid"/>
    <n v="8"/>
    <d v="2022-11-09T00:00:00"/>
    <n v="0"/>
    <n v="1675"/>
    <n v="-0.24"/>
    <s v="Normal"/>
    <n v="2022"/>
    <s v="November"/>
  </r>
  <r>
    <n v="2822"/>
    <x v="8"/>
    <x v="2"/>
    <s v="North"/>
    <s v="Standard"/>
    <d v="2022-03-10T00:00:00"/>
    <d v="2023-06-06T00:00:00"/>
    <x v="1155"/>
    <n v="1280"/>
    <n v="403"/>
    <s v="Paid"/>
    <n v="14"/>
    <d v="2023-06-06T00:00:00"/>
    <n v="0"/>
    <n v="1676"/>
    <n v="0.24"/>
    <s v="Normal"/>
    <n v="2023"/>
    <s v="June"/>
  </r>
  <r>
    <n v="2823"/>
    <x v="14"/>
    <x v="2"/>
    <s v="North"/>
    <s v="Standard"/>
    <d v="2022-10-07T00:00:00"/>
    <d v="2024-04-12T00:00:00"/>
    <x v="572"/>
    <n v="6090"/>
    <n v="-5079"/>
    <s v="Paid"/>
    <n v="18"/>
    <d v="2024-04-12T00:00:00"/>
    <n v="1"/>
    <n v="1677"/>
    <n v="-5.0199999999999996"/>
    <s v="Outlier"/>
    <n v="2024"/>
    <s v="April"/>
  </r>
  <r>
    <n v="2824"/>
    <x v="170"/>
    <x v="1"/>
    <s v="West"/>
    <s v="Basic"/>
    <d v="2022-12-31T00:00:00"/>
    <d v="2023-06-10T00:00:00"/>
    <x v="1307"/>
    <n v="711"/>
    <n v="1011"/>
    <s v="Paid"/>
    <n v="5"/>
    <d v="2023-06-10T00:00:00"/>
    <n v="1"/>
    <n v="1678"/>
    <n v="0.59"/>
    <s v="Normal"/>
    <n v="2023"/>
    <s v="June"/>
  </r>
  <r>
    <n v="2825"/>
    <x v="47"/>
    <x v="3"/>
    <s v="West"/>
    <s v="Basic"/>
    <d v="2022-03-19T00:00:00"/>
    <d v="2023-09-11T00:00:00"/>
    <x v="1308"/>
    <n v="6363"/>
    <n v="-985"/>
    <s v="NA"/>
    <n v="17"/>
    <d v="2023-09-11T00:00:00"/>
    <n v="1"/>
    <n v="1679"/>
    <n v="-0.18"/>
    <s v="Normal"/>
    <n v="2023"/>
    <s v="September"/>
  </r>
  <r>
    <n v="2827"/>
    <x v="395"/>
    <x v="3"/>
    <s v="South"/>
    <s v="Standard"/>
    <d v="2022-12-23T00:00:00"/>
    <d v="2023-01-26T00:00:00"/>
    <x v="17"/>
    <n v="7949"/>
    <n v="-8071"/>
    <s v="Overdue"/>
    <n v="1"/>
    <d v="2023-01-26T00:00:00"/>
    <n v="1"/>
    <n v="1680"/>
    <n v="-1.62"/>
    <s v="Outlier"/>
    <n v="2023"/>
    <s v="January"/>
  </r>
  <r>
    <n v="2829"/>
    <x v="248"/>
    <x v="4"/>
    <s v="South"/>
    <s v="Standard"/>
    <d v="2022-12-23T00:00:00"/>
    <d v="2023-02-14T00:00:00"/>
    <x v="1309"/>
    <n v="6990"/>
    <n v="-4411"/>
    <s v="NA"/>
    <n v="1"/>
    <d v="2023-02-14T00:00:00"/>
    <n v="0"/>
    <n v="1681"/>
    <n v="-1.71"/>
    <s v="Outlier"/>
    <n v="2023"/>
    <s v="February"/>
  </r>
  <r>
    <n v="2832"/>
    <x v="323"/>
    <x v="4"/>
    <s v="West"/>
    <s v="Basic"/>
    <d v="2022-02-26T00:00:00"/>
    <d v="2022-05-07T00:00:00"/>
    <x v="1310"/>
    <n v="3149"/>
    <n v="-522"/>
    <s v="Overdue"/>
    <n v="2"/>
    <d v="2022-05-07T00:00:00"/>
    <n v="1"/>
    <n v="1682"/>
    <n v="-0.2"/>
    <s v="Normal"/>
    <n v="2022"/>
    <s v="May"/>
  </r>
  <r>
    <n v="2835"/>
    <x v="130"/>
    <x v="4"/>
    <s v="West"/>
    <s v="Basic"/>
    <d v="2022-01-10T00:00:00"/>
    <d v="2022-08-10T00:00:00"/>
    <x v="1311"/>
    <n v="900"/>
    <n v="400"/>
    <s v="Paid"/>
    <n v="7"/>
    <d v="2022-08-10T00:00:00"/>
    <n v="0"/>
    <n v="1683"/>
    <n v="0.31"/>
    <s v="Normal"/>
    <n v="2022"/>
    <s v="August"/>
  </r>
  <r>
    <n v="2837"/>
    <x v="390"/>
    <x v="0"/>
    <s v="West"/>
    <s v="Premium"/>
    <d v="2022-03-18T00:00:00"/>
    <d v="2022-12-16T00:00:00"/>
    <x v="1312"/>
    <n v="4012.75"/>
    <n v="8728"/>
    <s v="Overdue"/>
    <n v="8"/>
    <d v="2022-12-16T00:00:00"/>
    <n v="1"/>
    <n v="1684"/>
    <n v="1.1100000000000001"/>
    <s v="Outlier"/>
    <n v="2022"/>
    <s v="December"/>
  </r>
  <r>
    <n v="2839"/>
    <x v="233"/>
    <x v="4"/>
    <s v="South"/>
    <s v="Basic"/>
    <d v="2022-02-04T00:00:00"/>
    <d v="2023-06-16T00:00:00"/>
    <x v="240"/>
    <n v="4288"/>
    <n v="155"/>
    <s v="Pending"/>
    <n v="16"/>
    <d v="2023-06-16T00:00:00"/>
    <n v="0"/>
    <n v="1685"/>
    <n v="0.03"/>
    <s v="Normal"/>
    <n v="2023"/>
    <s v="June"/>
  </r>
  <r>
    <n v="2840"/>
    <x v="42"/>
    <x v="4"/>
    <s v="North"/>
    <s v="Premium"/>
    <d v="2022-01-07T00:00:00"/>
    <d v="2022-12-12T00:00:00"/>
    <x v="1313"/>
    <n v="4012.75"/>
    <n v="7823"/>
    <s v="Paid"/>
    <n v="11"/>
    <d v="2022-12-12T00:00:00"/>
    <n v="0"/>
    <n v="1686"/>
    <n v="1.07"/>
    <s v="Outlier"/>
    <n v="2022"/>
    <s v="December"/>
  </r>
  <r>
    <n v="2841"/>
    <x v="326"/>
    <x v="3"/>
    <s v="East"/>
    <s v="Basic"/>
    <d v="2022-12-27T00:00:00"/>
    <d v="2024-05-13T00:00:00"/>
    <x v="1105"/>
    <n v="4269"/>
    <n v="5635"/>
    <s v="NA"/>
    <n v="16"/>
    <d v="2024-05-13T00:00:00"/>
    <n v="1"/>
    <n v="1687"/>
    <n v="0.56999999999999995"/>
    <s v="Normal"/>
    <n v="2024"/>
    <s v="May"/>
  </r>
  <r>
    <n v="2843"/>
    <x v="277"/>
    <x v="2"/>
    <s v="East"/>
    <s v="Basic"/>
    <d v="2022-11-05T00:00:00"/>
    <d v="2023-02-21T00:00:00"/>
    <x v="737"/>
    <n v="2780"/>
    <n v="-1511"/>
    <s v="Paid"/>
    <n v="3"/>
    <d v="2023-02-21T00:00:00"/>
    <n v="0"/>
    <n v="1688"/>
    <n v="-1.19"/>
    <s v="Outlier"/>
    <n v="2023"/>
    <s v="February"/>
  </r>
  <r>
    <n v="2844"/>
    <x v="202"/>
    <x v="1"/>
    <s v="South"/>
    <s v="Basic"/>
    <d v="2022-03-17T00:00:00"/>
    <d v="2022-12-05T00:00:00"/>
    <x v="17"/>
    <n v="3954"/>
    <n v="-5950"/>
    <s v="Paid"/>
    <n v="8"/>
    <d v="2022-12-05T00:00:00"/>
    <n v="1"/>
    <n v="1689"/>
    <n v="-1.2"/>
    <s v="Outlier"/>
    <n v="2022"/>
    <s v="December"/>
  </r>
  <r>
    <n v="2845"/>
    <x v="362"/>
    <x v="2"/>
    <s v="West"/>
    <s v="Basic"/>
    <d v="2022-01-15T00:00:00"/>
    <d v="2023-01-23T00:00:00"/>
    <x v="805"/>
    <n v="4857"/>
    <n v="577.01"/>
    <s v="Overdue"/>
    <n v="12"/>
    <d v="2023-01-23T00:00:00"/>
    <n v="0"/>
    <n v="1690"/>
    <n v="1.2"/>
    <s v="Outlier"/>
    <n v="2023"/>
    <s v="January"/>
  </r>
  <r>
    <n v="2846"/>
    <x v="125"/>
    <x v="4"/>
    <s v="West"/>
    <s v="Premium"/>
    <d v="2022-11-12T00:00:00"/>
    <d v="2024-02-13T00:00:00"/>
    <x v="1314"/>
    <n v="4942"/>
    <n v="-2257"/>
    <s v="Paid"/>
    <n v="15"/>
    <d v="2024-02-13T00:00:00"/>
    <n v="1"/>
    <n v="1691"/>
    <n v="-0.84"/>
    <s v="Normal"/>
    <n v="2024"/>
    <s v="February"/>
  </r>
  <r>
    <n v="2847"/>
    <x v="239"/>
    <x v="0"/>
    <s v="North"/>
    <s v="Premium"/>
    <d v="2022-03-11T00:00:00"/>
    <d v="2022-04-12T00:00:00"/>
    <x v="1315"/>
    <n v="3168"/>
    <n v="2508"/>
    <s v="Pending"/>
    <n v="1"/>
    <d v="2022-04-12T00:00:00"/>
    <n v="1"/>
    <n v="1692"/>
    <n v="0.44"/>
    <s v="Normal"/>
    <n v="2022"/>
    <s v="April"/>
  </r>
  <r>
    <n v="2848"/>
    <x v="253"/>
    <x v="4"/>
    <s v="South"/>
    <s v="Standard"/>
    <d v="2022-11-19T00:00:00"/>
    <d v="2023-01-16T00:00:00"/>
    <x v="1316"/>
    <n v="7108"/>
    <n v="-4625"/>
    <s v="NA"/>
    <n v="1"/>
    <d v="2023-01-16T00:00:00"/>
    <n v="1"/>
    <n v="1693"/>
    <n v="-1.86"/>
    <s v="Outlier"/>
    <n v="2023"/>
    <s v="January"/>
  </r>
  <r>
    <n v="2849"/>
    <x v="241"/>
    <x v="4"/>
    <s v="North"/>
    <s v="Basic"/>
    <d v="2022-07-01T00:00:00"/>
    <d v="2022-09-03T00:00:00"/>
    <x v="1317"/>
    <n v="7904"/>
    <n v="1183"/>
    <s v="Paid"/>
    <n v="2"/>
    <d v="2022-09-03T00:00:00"/>
    <n v="0"/>
    <n v="1694"/>
    <n v="0.13"/>
    <s v="Normal"/>
    <n v="2022"/>
    <s v="September"/>
  </r>
  <r>
    <n v="2850"/>
    <x v="42"/>
    <x v="1"/>
    <s v="East"/>
    <s v="Basic"/>
    <d v="2022-02-11T00:00:00"/>
    <d v="2022-12-10T00:00:00"/>
    <x v="1318"/>
    <n v="6120"/>
    <n v="-4858"/>
    <s v="Pending"/>
    <n v="9"/>
    <d v="2022-12-10T00:00:00"/>
    <n v="1"/>
    <n v="1695"/>
    <n v="-3.85"/>
    <s v="Outlier"/>
    <n v="2022"/>
    <s v="December"/>
  </r>
  <r>
    <n v="2852"/>
    <x v="205"/>
    <x v="4"/>
    <s v="South"/>
    <s v="Standard"/>
    <d v="2022-08-17T00:00:00"/>
    <d v="2022-10-31T00:00:00"/>
    <x v="1319"/>
    <n v="4954"/>
    <n v="2540"/>
    <s v="Paid"/>
    <n v="2"/>
    <d v="2022-10-31T00:00:00"/>
    <n v="1"/>
    <n v="1696"/>
    <n v="0.34"/>
    <s v="Normal"/>
    <n v="2022"/>
    <s v="October"/>
  </r>
  <r>
    <n v="2853"/>
    <x v="41"/>
    <x v="3"/>
    <s v="West"/>
    <s v="Standard"/>
    <d v="2022-12-22T00:00:00"/>
    <d v="2024-04-01T00:00:00"/>
    <x v="1320"/>
    <n v="3326"/>
    <n v="1761"/>
    <s v="Overdue"/>
    <n v="15"/>
    <d v="2024-04-01T00:00:00"/>
    <n v="0"/>
    <n v="1697"/>
    <n v="0.35"/>
    <s v="Normal"/>
    <n v="2024"/>
    <s v="April"/>
  </r>
  <r>
    <n v="2854"/>
    <x v="58"/>
    <x v="1"/>
    <s v="North"/>
    <s v="Basic"/>
    <d v="2022-10-30T00:00:00"/>
    <d v="2023-02-08T00:00:00"/>
    <x v="1321"/>
    <n v="4012.75"/>
    <n v="5476"/>
    <s v="NA"/>
    <n v="3"/>
    <d v="2023-02-08T00:00:00"/>
    <n v="1"/>
    <n v="1698"/>
    <n v="1.1200000000000001"/>
    <s v="Outlier"/>
    <n v="2023"/>
    <s v="February"/>
  </r>
  <r>
    <n v="2856"/>
    <x v="191"/>
    <x v="3"/>
    <s v="East"/>
    <s v="Basic"/>
    <d v="2022-12-11T00:00:00"/>
    <d v="2023-12-27T00:00:00"/>
    <x v="1322"/>
    <n v="1798"/>
    <n v="1662"/>
    <s v="Pending"/>
    <n v="12"/>
    <d v="2023-12-27T00:00:00"/>
    <n v="1"/>
    <n v="1699"/>
    <n v="0.48"/>
    <s v="Normal"/>
    <n v="2023"/>
    <s v="December"/>
  </r>
  <r>
    <n v="2858"/>
    <x v="113"/>
    <x v="4"/>
    <s v="South"/>
    <s v="Premium"/>
    <d v="2022-04-03T00:00:00"/>
    <d v="2023-06-04T00:00:00"/>
    <x v="180"/>
    <n v="1222"/>
    <n v="3746"/>
    <s v="Overdue"/>
    <n v="14"/>
    <d v="2023-06-04T00:00:00"/>
    <n v="0"/>
    <n v="1700"/>
    <n v="0.75"/>
    <s v="Normal"/>
    <n v="2023"/>
    <s v="June"/>
  </r>
  <r>
    <n v="2861"/>
    <x v="275"/>
    <x v="2"/>
    <s v="East"/>
    <s v="Premium"/>
    <d v="2022-05-12T00:00:00"/>
    <d v="2023-06-18T00:00:00"/>
    <x v="1323"/>
    <n v="7709"/>
    <n v="577.01"/>
    <s v="Pending"/>
    <n v="13"/>
    <d v="2023-06-18T00:00:00"/>
    <n v="1"/>
    <n v="1701"/>
    <n v="0.1"/>
    <s v="Normal"/>
    <n v="2023"/>
    <s v="June"/>
  </r>
  <r>
    <n v="2862"/>
    <x v="218"/>
    <x v="0"/>
    <s v="West"/>
    <s v="Premium"/>
    <d v="2022-05-11T00:00:00"/>
    <d v="2023-04-03T00:00:00"/>
    <x v="17"/>
    <n v="4903"/>
    <n v="-6216"/>
    <s v="NA"/>
    <n v="10"/>
    <d v="2023-04-03T00:00:00"/>
    <n v="1"/>
    <n v="1702"/>
    <n v="-1.25"/>
    <s v="Outlier"/>
    <n v="2023"/>
    <s v="April"/>
  </r>
  <r>
    <n v="2863"/>
    <x v="363"/>
    <x v="4"/>
    <s v="East"/>
    <s v="Standard"/>
    <d v="2022-12-28T00:00:00"/>
    <d v="2024-07-20T00:00:00"/>
    <x v="1324"/>
    <n v="573"/>
    <n v="4560"/>
    <s v="NA"/>
    <n v="18"/>
    <d v="2024-07-20T00:00:00"/>
    <n v="0"/>
    <n v="1703"/>
    <n v="0.89"/>
    <s v="Normal"/>
    <n v="2024"/>
    <s v="July"/>
  </r>
  <r>
    <n v="2865"/>
    <x v="298"/>
    <x v="4"/>
    <s v="West"/>
    <s v="Standard"/>
    <d v="2022-02-18T00:00:00"/>
    <d v="2023-09-26T00:00:00"/>
    <x v="1325"/>
    <n v="4012.75"/>
    <n v="577.01"/>
    <s v="Paid"/>
    <n v="19"/>
    <d v="2023-09-26T00:00:00"/>
    <n v="1"/>
    <n v="1704"/>
    <n v="0.21"/>
    <s v="Normal"/>
    <n v="2023"/>
    <s v="September"/>
  </r>
  <r>
    <n v="2866"/>
    <x v="272"/>
    <x v="4"/>
    <s v="East"/>
    <s v="Premium"/>
    <d v="2022-12-24T00:00:00"/>
    <d v="2024-06-24T00:00:00"/>
    <x v="1326"/>
    <n v="4012"/>
    <n v="5936"/>
    <s v="Overdue"/>
    <n v="18"/>
    <d v="2024-06-24T00:00:00"/>
    <n v="1"/>
    <n v="1705"/>
    <n v="0.6"/>
    <s v="Normal"/>
    <n v="2024"/>
    <s v="June"/>
  </r>
  <r>
    <n v="2867"/>
    <x v="180"/>
    <x v="4"/>
    <s v="North"/>
    <s v="Standard"/>
    <d v="2022-10-14T00:00:00"/>
    <d v="2022-12-24T00:00:00"/>
    <x v="1327"/>
    <n v="1290"/>
    <n v="2810"/>
    <s v="Overdue"/>
    <n v="2"/>
    <d v="2022-12-24T00:00:00"/>
    <n v="0"/>
    <n v="1706"/>
    <n v="0.69"/>
    <s v="Normal"/>
    <n v="2022"/>
    <s v="December"/>
  </r>
  <r>
    <n v="2868"/>
    <x v="73"/>
    <x v="1"/>
    <s v="East"/>
    <s v="Standard"/>
    <d v="2022-05-02T00:00:00"/>
    <d v="2023-04-22T00:00:00"/>
    <x v="1328"/>
    <n v="5230"/>
    <n v="2775"/>
    <s v="Overdue"/>
    <n v="11"/>
    <d v="2023-04-22T00:00:00"/>
    <n v="1"/>
    <n v="1707"/>
    <n v="0.35"/>
    <s v="Normal"/>
    <n v="2023"/>
    <s v="April"/>
  </r>
  <r>
    <n v="2869"/>
    <x v="203"/>
    <x v="1"/>
    <s v="North"/>
    <s v="Basic"/>
    <d v="2022-06-23T00:00:00"/>
    <d v="2024-01-27T00:00:00"/>
    <x v="17"/>
    <n v="2716"/>
    <n v="-3600"/>
    <s v="Overdue"/>
    <n v="19"/>
    <d v="2024-01-27T00:00:00"/>
    <n v="1"/>
    <n v="1708"/>
    <n v="-0.72"/>
    <s v="Normal"/>
    <n v="2024"/>
    <s v="January"/>
  </r>
  <r>
    <n v="2870"/>
    <x v="103"/>
    <x v="2"/>
    <s v="West"/>
    <s v="Premium"/>
    <d v="2022-11-14T00:00:00"/>
    <d v="2023-10-13T00:00:00"/>
    <x v="1329"/>
    <n v="7254"/>
    <n v="1303"/>
    <s v="Overdue"/>
    <n v="10"/>
    <d v="2023-10-13T00:00:00"/>
    <n v="1"/>
    <n v="1709"/>
    <n v="0.15"/>
    <s v="Normal"/>
    <n v="2023"/>
    <s v="October"/>
  </r>
  <r>
    <n v="2872"/>
    <x v="378"/>
    <x v="2"/>
    <s v="North"/>
    <s v="Basic"/>
    <d v="2022-06-01T00:00:00"/>
    <d v="2023-08-23T00:00:00"/>
    <x v="1330"/>
    <n v="4012.75"/>
    <n v="4945"/>
    <s v="Overdue"/>
    <n v="14"/>
    <d v="2023-08-23T00:00:00"/>
    <n v="1"/>
    <n v="1710"/>
    <n v="1.0900000000000001"/>
    <s v="Outlier"/>
    <n v="2023"/>
    <s v="August"/>
  </r>
  <r>
    <n v="2873"/>
    <x v="396"/>
    <x v="3"/>
    <s v="West"/>
    <s v="Standard"/>
    <d v="2022-10-08T00:00:00"/>
    <d v="2023-11-18T00:00:00"/>
    <x v="1331"/>
    <n v="1703"/>
    <n v="577.01"/>
    <s v="NA"/>
    <n v="13"/>
    <d v="2023-11-18T00:00:00"/>
    <n v="0"/>
    <n v="1711"/>
    <n v="0.16"/>
    <s v="Normal"/>
    <n v="2023"/>
    <s v="November"/>
  </r>
  <r>
    <n v="2874"/>
    <x v="289"/>
    <x v="2"/>
    <s v="West"/>
    <s v="Standard"/>
    <d v="2022-04-25T00:00:00"/>
    <d v="2023-08-02T00:00:00"/>
    <x v="1332"/>
    <n v="7412"/>
    <n v="-1853"/>
    <s v="Paid"/>
    <n v="15"/>
    <d v="2023-08-02T00:00:00"/>
    <n v="1"/>
    <n v="1712"/>
    <n v="-0.33"/>
    <s v="Normal"/>
    <n v="2023"/>
    <s v="August"/>
  </r>
  <r>
    <n v="2875"/>
    <x v="131"/>
    <x v="1"/>
    <s v="West"/>
    <s v="Premium"/>
    <d v="2022-08-29T00:00:00"/>
    <d v="2022-10-25T00:00:00"/>
    <x v="937"/>
    <n v="3191"/>
    <n v="3093"/>
    <s v="NA"/>
    <n v="1"/>
    <d v="2022-10-25T00:00:00"/>
    <n v="0"/>
    <n v="1713"/>
    <n v="0.49"/>
    <s v="Normal"/>
    <n v="2022"/>
    <s v="October"/>
  </r>
  <r>
    <n v="2877"/>
    <x v="356"/>
    <x v="0"/>
    <s v="West"/>
    <s v="Premium"/>
    <d v="2022-03-17T00:00:00"/>
    <d v="2022-10-17T00:00:00"/>
    <x v="1333"/>
    <n v="1208"/>
    <n v="1649"/>
    <s v="NA"/>
    <n v="7"/>
    <d v="2022-10-17T00:00:00"/>
    <n v="0"/>
    <n v="1714"/>
    <n v="0.57999999999999996"/>
    <s v="Normal"/>
    <n v="2022"/>
    <s v="October"/>
  </r>
  <r>
    <n v="2878"/>
    <x v="239"/>
    <x v="3"/>
    <s v="North"/>
    <s v="Basic"/>
    <d v="2022-07-03T00:00:00"/>
    <d v="2023-09-19T00:00:00"/>
    <x v="613"/>
    <n v="590"/>
    <n v="7546"/>
    <s v="NA"/>
    <n v="14"/>
    <d v="2023-09-19T00:00:00"/>
    <n v="1"/>
    <n v="1715"/>
    <n v="0.93"/>
    <s v="Normal"/>
    <n v="2023"/>
    <s v="September"/>
  </r>
  <r>
    <n v="2880"/>
    <x v="26"/>
    <x v="1"/>
    <s v="West"/>
    <s v="Basic"/>
    <d v="2022-06-30T00:00:00"/>
    <d v="2023-09-12T00:00:00"/>
    <x v="1334"/>
    <n v="2547"/>
    <n v="6243"/>
    <s v="Overdue"/>
    <n v="14"/>
    <d v="2023-09-12T00:00:00"/>
    <n v="0"/>
    <n v="1716"/>
    <n v="0.71"/>
    <s v="Normal"/>
    <n v="2023"/>
    <s v="September"/>
  </r>
  <r>
    <n v="2883"/>
    <x v="157"/>
    <x v="3"/>
    <s v="South"/>
    <s v="Standard"/>
    <d v="2022-01-29T00:00:00"/>
    <d v="2023-08-18T00:00:00"/>
    <x v="1335"/>
    <n v="1515"/>
    <n v="7125"/>
    <s v="Pending"/>
    <n v="18"/>
    <d v="2023-08-18T00:00:00"/>
    <n v="0"/>
    <n v="1717"/>
    <n v="0.82"/>
    <s v="Normal"/>
    <n v="2023"/>
    <s v="August"/>
  </r>
  <r>
    <n v="2884"/>
    <x v="55"/>
    <x v="3"/>
    <s v="South"/>
    <s v="Premium"/>
    <d v="2022-10-21T00:00:00"/>
    <d v="2024-02-12T00:00:00"/>
    <x v="1336"/>
    <n v="5601"/>
    <n v="2921"/>
    <s v="Paid"/>
    <n v="15"/>
    <d v="2024-02-12T00:00:00"/>
    <n v="0"/>
    <n v="1718"/>
    <n v="0.34"/>
    <s v="Normal"/>
    <n v="2024"/>
    <s v="February"/>
  </r>
  <r>
    <n v="2885"/>
    <x v="190"/>
    <x v="3"/>
    <s v="West"/>
    <s v="Premium"/>
    <d v="2022-05-28T00:00:00"/>
    <d v="2023-07-07T00:00:00"/>
    <x v="1337"/>
    <n v="4678"/>
    <n v="-1315"/>
    <s v="Pending"/>
    <n v="13"/>
    <d v="2023-07-07T00:00:00"/>
    <n v="0"/>
    <n v="1719"/>
    <n v="-0.39"/>
    <s v="Normal"/>
    <n v="2023"/>
    <s v="July"/>
  </r>
  <r>
    <n v="2886"/>
    <x v="383"/>
    <x v="1"/>
    <s v="West"/>
    <s v="Premium"/>
    <d v="2022-11-15T00:00:00"/>
    <d v="2024-04-17T00:00:00"/>
    <x v="1338"/>
    <n v="4785"/>
    <n v="577.01"/>
    <s v="Pending"/>
    <n v="17"/>
    <d v="2024-04-17T00:00:00"/>
    <n v="1"/>
    <n v="1720"/>
    <n v="0.36"/>
    <s v="Normal"/>
    <n v="2024"/>
    <s v="April"/>
  </r>
  <r>
    <n v="2887"/>
    <x v="347"/>
    <x v="2"/>
    <s v="South"/>
    <s v="Premium"/>
    <d v="2022-10-05T00:00:00"/>
    <d v="2024-02-20T00:00:00"/>
    <x v="1339"/>
    <n v="1178"/>
    <n v="8408"/>
    <s v="Overdue"/>
    <n v="16"/>
    <d v="2024-02-20T00:00:00"/>
    <n v="1"/>
    <n v="1721"/>
    <n v="0.88"/>
    <s v="Normal"/>
    <n v="2024"/>
    <s v="February"/>
  </r>
  <r>
    <n v="2889"/>
    <x v="275"/>
    <x v="1"/>
    <s v="East"/>
    <s v="Premium"/>
    <d v="2022-03-07T00:00:00"/>
    <d v="2022-05-01T00:00:00"/>
    <x v="823"/>
    <n v="1158"/>
    <n v="6740"/>
    <s v="Paid"/>
    <n v="1"/>
    <d v="2022-05-01T00:00:00"/>
    <n v="1"/>
    <n v="1722"/>
    <n v="0.85"/>
    <s v="Normal"/>
    <n v="2022"/>
    <s v="May"/>
  </r>
  <r>
    <n v="2891"/>
    <x v="150"/>
    <x v="4"/>
    <s v="East"/>
    <s v="Standard"/>
    <d v="2022-12-12T00:00:00"/>
    <d v="2023-11-21T00:00:00"/>
    <x v="17"/>
    <n v="4276"/>
    <n v="-5486"/>
    <s v="NA"/>
    <n v="11"/>
    <d v="2023-11-21T00:00:00"/>
    <n v="0"/>
    <n v="1723"/>
    <n v="-1.1000000000000001"/>
    <s v="Outlier"/>
    <n v="2023"/>
    <s v="November"/>
  </r>
  <r>
    <n v="2897"/>
    <x v="360"/>
    <x v="0"/>
    <s v="North"/>
    <s v="Premium"/>
    <d v="2022-06-20T00:00:00"/>
    <d v="2023-07-07T00:00:00"/>
    <x v="1340"/>
    <n v="5352"/>
    <n v="-495"/>
    <s v="NA"/>
    <n v="12"/>
    <d v="2023-07-07T00:00:00"/>
    <n v="1"/>
    <n v="1724"/>
    <n v="-0.1"/>
    <s v="Normal"/>
    <n v="2023"/>
    <s v="July"/>
  </r>
  <r>
    <n v="2901"/>
    <x v="120"/>
    <x v="4"/>
    <s v="East"/>
    <s v="Premium"/>
    <d v="2022-05-17T00:00:00"/>
    <d v="2023-10-14T00:00:00"/>
    <x v="1341"/>
    <n v="5743"/>
    <n v="381"/>
    <s v="NA"/>
    <n v="16"/>
    <d v="2023-10-14T00:00:00"/>
    <n v="0"/>
    <n v="1725"/>
    <n v="0.06"/>
    <s v="Normal"/>
    <n v="2023"/>
    <s v="October"/>
  </r>
  <r>
    <n v="2903"/>
    <x v="176"/>
    <x v="3"/>
    <s v="North"/>
    <s v="Premium"/>
    <d v="2022-10-20T00:00:00"/>
    <d v="2023-12-09T00:00:00"/>
    <x v="1342"/>
    <n v="3862"/>
    <n v="-361"/>
    <s v="Overdue"/>
    <n v="13"/>
    <d v="2023-12-09T00:00:00"/>
    <n v="0"/>
    <n v="1726"/>
    <n v="-0.1"/>
    <s v="Normal"/>
    <n v="2023"/>
    <s v="December"/>
  </r>
  <r>
    <n v="2905"/>
    <x v="44"/>
    <x v="0"/>
    <s v="North"/>
    <s v="Standard"/>
    <d v="2022-10-29T00:00:00"/>
    <d v="2023-04-19T00:00:00"/>
    <x v="1343"/>
    <n v="6754"/>
    <n v="577.01"/>
    <s v="Pending"/>
    <n v="5"/>
    <d v="2023-04-19T00:00:00"/>
    <n v="0"/>
    <n v="1727"/>
    <n v="0.21"/>
    <s v="Normal"/>
    <n v="2023"/>
    <s v="April"/>
  </r>
  <r>
    <n v="2907"/>
    <x v="136"/>
    <x v="1"/>
    <s v="West"/>
    <s v="Basic"/>
    <d v="2022-03-23T00:00:00"/>
    <d v="2023-01-06T00:00:00"/>
    <x v="853"/>
    <n v="4823"/>
    <n v="4641"/>
    <s v="Paid"/>
    <n v="9"/>
    <d v="2023-01-06T00:00:00"/>
    <n v="1"/>
    <n v="1728"/>
    <n v="0.49"/>
    <s v="Normal"/>
    <n v="2023"/>
    <s v="January"/>
  </r>
  <r>
    <n v="2910"/>
    <x v="148"/>
    <x v="1"/>
    <s v="South"/>
    <s v="Basic"/>
    <d v="2022-12-17T00:00:00"/>
    <d v="2024-06-17T00:00:00"/>
    <x v="17"/>
    <n v="2062"/>
    <n v="-3074"/>
    <s v="Pending"/>
    <n v="18"/>
    <d v="2024-06-17T00:00:00"/>
    <n v="1"/>
    <n v="1729"/>
    <n v="-0.62"/>
    <s v="Normal"/>
    <n v="2024"/>
    <s v="June"/>
  </r>
  <r>
    <n v="2911"/>
    <x v="87"/>
    <x v="0"/>
    <s v="West"/>
    <s v="Standard"/>
    <d v="2022-09-01T00:00:00"/>
    <d v="2023-08-11T00:00:00"/>
    <x v="1344"/>
    <n v="4012.75"/>
    <n v="7859"/>
    <s v="Paid"/>
    <n v="11"/>
    <d v="2023-08-11T00:00:00"/>
    <n v="1"/>
    <n v="1730"/>
    <n v="1.04"/>
    <s v="Outlier"/>
    <n v="2023"/>
    <s v="August"/>
  </r>
  <r>
    <n v="2912"/>
    <x v="356"/>
    <x v="1"/>
    <s v="East"/>
    <s v="Premium"/>
    <d v="2022-09-06T00:00:00"/>
    <d v="2023-01-30T00:00:00"/>
    <x v="1345"/>
    <n v="1759"/>
    <n v="7729"/>
    <s v="Paid"/>
    <n v="4"/>
    <d v="2023-01-30T00:00:00"/>
    <n v="0"/>
    <n v="1731"/>
    <n v="0.81"/>
    <s v="Normal"/>
    <n v="2023"/>
    <s v="January"/>
  </r>
  <r>
    <n v="2913"/>
    <x v="110"/>
    <x v="1"/>
    <s v="East"/>
    <s v="Premium"/>
    <d v="2022-06-28T00:00:00"/>
    <d v="2023-04-04T00:00:00"/>
    <x v="1346"/>
    <n v="5901"/>
    <n v="2616"/>
    <s v="Paid"/>
    <n v="9"/>
    <d v="2023-04-04T00:00:00"/>
    <n v="1"/>
    <n v="1732"/>
    <n v="0.31"/>
    <s v="Normal"/>
    <n v="2023"/>
    <s v="April"/>
  </r>
  <r>
    <n v="2916"/>
    <x v="394"/>
    <x v="3"/>
    <s v="South"/>
    <s v="Standard"/>
    <d v="2022-11-03T00:00:00"/>
    <d v="2024-03-07T00:00:00"/>
    <x v="1347"/>
    <n v="4639"/>
    <n v="3706"/>
    <s v="Pending"/>
    <n v="16"/>
    <d v="2024-03-07T00:00:00"/>
    <n v="0"/>
    <n v="1733"/>
    <n v="0.44"/>
    <s v="Normal"/>
    <n v="2024"/>
    <s v="March"/>
  </r>
  <r>
    <n v="2918"/>
    <x v="109"/>
    <x v="4"/>
    <s v="West"/>
    <s v="Standard"/>
    <d v="2022-11-07T00:00:00"/>
    <d v="2023-10-09T00:00:00"/>
    <x v="1348"/>
    <n v="7848"/>
    <n v="577.01"/>
    <s v="Pending"/>
    <n v="11"/>
    <d v="2023-10-09T00:00:00"/>
    <n v="0"/>
    <n v="1734"/>
    <n v="0.42"/>
    <s v="Normal"/>
    <n v="2023"/>
    <s v="October"/>
  </r>
  <r>
    <n v="2919"/>
    <x v="253"/>
    <x v="3"/>
    <s v="South"/>
    <s v="Premium"/>
    <d v="2022-11-29T00:00:00"/>
    <d v="2024-03-12T00:00:00"/>
    <x v="1349"/>
    <n v="423"/>
    <n v="3181"/>
    <s v="NA"/>
    <n v="15"/>
    <d v="2024-03-12T00:00:00"/>
    <n v="0"/>
    <n v="1735"/>
    <n v="0.88"/>
    <s v="Normal"/>
    <n v="2024"/>
    <s v="March"/>
  </r>
  <r>
    <n v="2920"/>
    <x v="270"/>
    <x v="4"/>
    <s v="East"/>
    <s v="Premium"/>
    <d v="2022-12-24T00:00:00"/>
    <d v="2023-02-15T00:00:00"/>
    <x v="17"/>
    <n v="6245"/>
    <n v="-7137"/>
    <s v="Paid"/>
    <n v="1"/>
    <d v="2023-02-15T00:00:00"/>
    <n v="1"/>
    <n v="1736"/>
    <n v="-1.44"/>
    <s v="Outlier"/>
    <n v="2023"/>
    <s v="February"/>
  </r>
  <r>
    <n v="2922"/>
    <x v="255"/>
    <x v="0"/>
    <s v="East"/>
    <s v="Standard"/>
    <d v="2022-12-28T00:00:00"/>
    <d v="2023-03-03T00:00:00"/>
    <x v="1350"/>
    <n v="4737"/>
    <n v="577.01"/>
    <s v="Overdue"/>
    <n v="2"/>
    <d v="2023-03-03T00:00:00"/>
    <n v="1"/>
    <n v="1737"/>
    <n v="0.56999999999999995"/>
    <s v="Normal"/>
    <n v="2023"/>
    <s v="March"/>
  </r>
  <r>
    <n v="2923"/>
    <x v="128"/>
    <x v="4"/>
    <s v="West"/>
    <s v="Standard"/>
    <d v="2022-05-02T00:00:00"/>
    <d v="2022-12-13T00:00:00"/>
    <x v="1351"/>
    <n v="552"/>
    <n v="2307"/>
    <s v="Pending"/>
    <n v="7"/>
    <d v="2022-12-13T00:00:00"/>
    <n v="0"/>
    <n v="1738"/>
    <n v="0.81"/>
    <s v="Normal"/>
    <n v="2022"/>
    <s v="December"/>
  </r>
  <r>
    <n v="2925"/>
    <x v="176"/>
    <x v="3"/>
    <s v="West"/>
    <s v="Premium"/>
    <d v="2022-09-21T00:00:00"/>
    <d v="2023-12-08T00:00:00"/>
    <x v="17"/>
    <n v="7084"/>
    <n v="-9018"/>
    <s v="Pending"/>
    <n v="14"/>
    <d v="2023-12-08T00:00:00"/>
    <n v="0"/>
    <n v="1739"/>
    <n v="-1.82"/>
    <s v="Outlier"/>
    <n v="2023"/>
    <s v="December"/>
  </r>
  <r>
    <n v="2927"/>
    <x v="243"/>
    <x v="4"/>
    <s v="South"/>
    <s v="Standard"/>
    <d v="2022-06-01T00:00:00"/>
    <d v="2022-07-09T00:00:00"/>
    <x v="1352"/>
    <n v="4446"/>
    <n v="555"/>
    <s v="NA"/>
    <n v="1"/>
    <d v="2022-07-09T00:00:00"/>
    <n v="0"/>
    <n v="1740"/>
    <n v="0.11"/>
    <s v="Normal"/>
    <n v="2022"/>
    <s v="July"/>
  </r>
  <r>
    <n v="2928"/>
    <x v="280"/>
    <x v="4"/>
    <s v="South"/>
    <s v="Premium"/>
    <d v="2022-06-09T00:00:00"/>
    <d v="2023-09-14T00:00:00"/>
    <x v="1353"/>
    <n v="7179"/>
    <n v="-4901"/>
    <s v="NA"/>
    <n v="15"/>
    <d v="2023-09-14T00:00:00"/>
    <n v="1"/>
    <n v="1741"/>
    <n v="-2.15"/>
    <s v="Outlier"/>
    <n v="2023"/>
    <s v="September"/>
  </r>
  <r>
    <n v="2929"/>
    <x v="236"/>
    <x v="4"/>
    <s v="South"/>
    <s v="Premium"/>
    <d v="2022-03-12T00:00:00"/>
    <d v="2023-03-04T00:00:00"/>
    <x v="17"/>
    <n v="1915"/>
    <n v="-3361"/>
    <s v="NA"/>
    <n v="11"/>
    <d v="2023-03-04T00:00:00"/>
    <n v="1"/>
    <n v="1742"/>
    <n v="-0.68"/>
    <s v="Normal"/>
    <n v="2023"/>
    <s v="March"/>
  </r>
  <r>
    <n v="2931"/>
    <x v="397"/>
    <x v="3"/>
    <s v="South"/>
    <s v="Standard"/>
    <d v="2022-06-29T00:00:00"/>
    <d v="2022-10-23T00:00:00"/>
    <x v="1354"/>
    <n v="7460"/>
    <n v="1622"/>
    <s v="Paid"/>
    <n v="3"/>
    <d v="2022-10-23T00:00:00"/>
    <n v="1"/>
    <n v="1743"/>
    <n v="0.18"/>
    <s v="Normal"/>
    <n v="2022"/>
    <s v="October"/>
  </r>
  <r>
    <n v="2932"/>
    <x v="102"/>
    <x v="1"/>
    <s v="East"/>
    <s v="Premium"/>
    <d v="2022-08-20T00:00:00"/>
    <d v="2022-10-20T00:00:00"/>
    <x v="17"/>
    <n v="1440"/>
    <n v="-1459"/>
    <s v="Paid"/>
    <n v="2"/>
    <d v="2022-10-20T00:00:00"/>
    <n v="0"/>
    <n v="1744"/>
    <n v="-0.28999999999999998"/>
    <s v="Normal"/>
    <n v="2022"/>
    <s v="October"/>
  </r>
  <r>
    <n v="2935"/>
    <x v="398"/>
    <x v="2"/>
    <s v="West"/>
    <s v="Premium"/>
    <d v="2022-03-18T00:00:00"/>
    <d v="2022-11-16T00:00:00"/>
    <x v="1355"/>
    <n v="4012.75"/>
    <n v="3552"/>
    <s v="NA"/>
    <n v="7"/>
    <d v="2022-11-16T00:00:00"/>
    <n v="1"/>
    <n v="1745"/>
    <n v="1.29"/>
    <s v="Outlier"/>
    <n v="2022"/>
    <s v="November"/>
  </r>
  <r>
    <n v="2936"/>
    <x v="268"/>
    <x v="4"/>
    <s v="West"/>
    <s v="Premium"/>
    <d v="2022-02-24T00:00:00"/>
    <d v="2022-09-19T00:00:00"/>
    <x v="1356"/>
    <n v="760"/>
    <n v="161"/>
    <s v="Overdue"/>
    <n v="6"/>
    <d v="2022-09-19T00:00:00"/>
    <n v="1"/>
    <n v="1746"/>
    <n v="0.17"/>
    <s v="Normal"/>
    <n v="2022"/>
    <s v="September"/>
  </r>
  <r>
    <n v="2937"/>
    <x v="123"/>
    <x v="2"/>
    <s v="North"/>
    <s v="Basic"/>
    <d v="2022-09-09T00:00:00"/>
    <d v="2024-01-03T00:00:00"/>
    <x v="17"/>
    <n v="3685"/>
    <n v="577.01"/>
    <s v="Overdue"/>
    <n v="15"/>
    <d v="2024-01-03T00:00:00"/>
    <n v="0"/>
    <n v="1747"/>
    <n v="0.12"/>
    <s v="Normal"/>
    <n v="2024"/>
    <s v="January"/>
  </r>
  <r>
    <n v="2939"/>
    <x v="195"/>
    <x v="3"/>
    <s v="South"/>
    <s v="Premium"/>
    <d v="2022-07-10T00:00:00"/>
    <d v="2023-09-03T00:00:00"/>
    <x v="1357"/>
    <n v="3596"/>
    <n v="3017"/>
    <s v="Overdue"/>
    <n v="13"/>
    <d v="2023-09-03T00:00:00"/>
    <n v="1"/>
    <n v="1748"/>
    <n v="0.46"/>
    <s v="Normal"/>
    <n v="2023"/>
    <s v="September"/>
  </r>
  <r>
    <n v="2941"/>
    <x v="236"/>
    <x v="0"/>
    <s v="North"/>
    <s v="Basic"/>
    <d v="2022-05-23T00:00:00"/>
    <d v="2023-10-04T00:00:00"/>
    <x v="17"/>
    <n v="4012.75"/>
    <n v="-300"/>
    <s v="Pending"/>
    <n v="16"/>
    <d v="2023-10-04T00:00:00"/>
    <n v="0"/>
    <n v="1749"/>
    <n v="-0.06"/>
    <s v="Normal"/>
    <n v="2023"/>
    <s v="October"/>
  </r>
  <r>
    <n v="2943"/>
    <x v="171"/>
    <x v="2"/>
    <s v="West"/>
    <s v="Standard"/>
    <d v="2022-09-06T00:00:00"/>
    <d v="2022-11-07T00:00:00"/>
    <x v="1358"/>
    <n v="6077"/>
    <n v="-218"/>
    <s v="NA"/>
    <n v="2"/>
    <d v="2022-11-07T00:00:00"/>
    <n v="1"/>
    <n v="1750"/>
    <n v="-0.04"/>
    <s v="Normal"/>
    <n v="2022"/>
    <s v="November"/>
  </r>
  <r>
    <n v="2944"/>
    <x v="332"/>
    <x v="3"/>
    <s v="West"/>
    <s v="Standard"/>
    <d v="2022-02-25T00:00:00"/>
    <d v="2022-05-11T00:00:00"/>
    <x v="1199"/>
    <n v="7652"/>
    <n v="-6257"/>
    <s v="Pending"/>
    <n v="2"/>
    <d v="2022-05-11T00:00:00"/>
    <n v="1"/>
    <n v="1751"/>
    <n v="-4.49"/>
    <s v="Outlier"/>
    <n v="2022"/>
    <s v="May"/>
  </r>
  <r>
    <n v="2948"/>
    <x v="356"/>
    <x v="2"/>
    <s v="West"/>
    <s v="Basic"/>
    <d v="2022-09-17T00:00:00"/>
    <d v="2024-01-31T00:00:00"/>
    <x v="17"/>
    <n v="4012.75"/>
    <n v="368"/>
    <s v="Pending"/>
    <n v="16"/>
    <d v="2024-01-31T00:00:00"/>
    <n v="1"/>
    <n v="1752"/>
    <n v="7.0000000000000007E-2"/>
    <s v="Normal"/>
    <n v="2024"/>
    <s v="January"/>
  </r>
  <r>
    <n v="2949"/>
    <x v="120"/>
    <x v="3"/>
    <s v="West"/>
    <s v="Basic"/>
    <d v="2022-06-19T00:00:00"/>
    <d v="2023-07-11T00:00:00"/>
    <x v="1359"/>
    <n v="4012.75"/>
    <n v="8158"/>
    <s v="NA"/>
    <n v="12"/>
    <d v="2023-07-11T00:00:00"/>
    <n v="1"/>
    <n v="1753"/>
    <n v="1.0900000000000001"/>
    <s v="Outlier"/>
    <n v="2023"/>
    <s v="July"/>
  </r>
  <r>
    <n v="2951"/>
    <x v="253"/>
    <x v="1"/>
    <s v="North"/>
    <s v="Premium"/>
    <d v="2022-07-28T00:00:00"/>
    <d v="2024-01-10T00:00:00"/>
    <x v="1360"/>
    <n v="4012"/>
    <n v="-1170"/>
    <s v="NA"/>
    <n v="17"/>
    <d v="2024-01-10T00:00:00"/>
    <n v="1"/>
    <n v="1754"/>
    <n v="-0.41"/>
    <s v="Normal"/>
    <n v="2024"/>
    <s v="January"/>
  </r>
  <r>
    <n v="2953"/>
    <x v="3"/>
    <x v="4"/>
    <s v="North"/>
    <s v="Premium"/>
    <d v="2022-06-24T00:00:00"/>
    <d v="2023-05-12T00:00:00"/>
    <x v="1361"/>
    <n v="354"/>
    <n v="9185"/>
    <s v="NA"/>
    <n v="10"/>
    <d v="2023-05-12T00:00:00"/>
    <n v="0"/>
    <n v="1755"/>
    <n v="0.96"/>
    <s v="Normal"/>
    <n v="2023"/>
    <s v="May"/>
  </r>
  <r>
    <n v="2955"/>
    <x v="298"/>
    <x v="3"/>
    <s v="North"/>
    <s v="Standard"/>
    <d v="2022-01-10T00:00:00"/>
    <d v="2023-02-23T00:00:00"/>
    <x v="17"/>
    <n v="7037"/>
    <n v="-7550"/>
    <s v="Paid"/>
    <n v="13"/>
    <d v="2023-02-23T00:00:00"/>
    <n v="1"/>
    <n v="1756"/>
    <n v="-1.52"/>
    <s v="Outlier"/>
    <n v="2023"/>
    <s v="February"/>
  </r>
  <r>
    <n v="2956"/>
    <x v="356"/>
    <x v="4"/>
    <s v="South"/>
    <s v="Premium"/>
    <d v="2022-09-03T00:00:00"/>
    <d v="2023-05-03T00:00:00"/>
    <x v="436"/>
    <n v="7459"/>
    <n v="577.01"/>
    <s v="NA"/>
    <n v="8"/>
    <d v="2023-05-03T00:00:00"/>
    <n v="0"/>
    <n v="1757"/>
    <n v="0.28999999999999998"/>
    <s v="Normal"/>
    <n v="2023"/>
    <s v="May"/>
  </r>
  <r>
    <n v="2958"/>
    <x v="11"/>
    <x v="3"/>
    <s v="South"/>
    <s v="Standard"/>
    <d v="2022-09-04T00:00:00"/>
    <d v="2022-12-25T00:00:00"/>
    <x v="1362"/>
    <n v="4012.75"/>
    <n v="3078"/>
    <s v="Paid"/>
    <n v="3"/>
    <d v="2022-12-25T00:00:00"/>
    <n v="1"/>
    <n v="1758"/>
    <n v="1.1100000000000001"/>
    <s v="Outlier"/>
    <n v="2022"/>
    <s v="December"/>
  </r>
  <r>
    <n v="2960"/>
    <x v="67"/>
    <x v="4"/>
    <s v="East"/>
    <s v="Standard"/>
    <d v="2022-12-16T00:00:00"/>
    <d v="2024-06-27T00:00:00"/>
    <x v="1363"/>
    <n v="3591"/>
    <n v="5639"/>
    <s v="NA"/>
    <n v="18"/>
    <d v="2024-06-27T00:00:00"/>
    <n v="1"/>
    <n v="1759"/>
    <n v="0.61"/>
    <s v="Normal"/>
    <n v="2024"/>
    <s v="June"/>
  </r>
  <r>
    <n v="2961"/>
    <x v="201"/>
    <x v="0"/>
    <s v="West"/>
    <s v="Basic"/>
    <d v="2022-02-25T00:00:00"/>
    <d v="2022-07-30T00:00:00"/>
    <x v="914"/>
    <n v="3468"/>
    <n v="200"/>
    <s v="NA"/>
    <n v="5"/>
    <d v="2022-07-30T00:00:00"/>
    <n v="0"/>
    <n v="1760"/>
    <n v="0.05"/>
    <s v="Normal"/>
    <n v="2022"/>
    <s v="July"/>
  </r>
  <r>
    <n v="2963"/>
    <x v="336"/>
    <x v="3"/>
    <s v="East"/>
    <s v="Basic"/>
    <d v="2022-02-09T00:00:00"/>
    <d v="2022-10-11T00:00:00"/>
    <x v="1364"/>
    <n v="6170"/>
    <n v="-498"/>
    <s v="NA"/>
    <n v="8"/>
    <d v="2022-10-11T00:00:00"/>
    <n v="1"/>
    <n v="1761"/>
    <n v="-0.09"/>
    <s v="Normal"/>
    <n v="2022"/>
    <s v="October"/>
  </r>
  <r>
    <n v="2964"/>
    <x v="292"/>
    <x v="2"/>
    <s v="West"/>
    <s v="Standard"/>
    <d v="2022-08-09T00:00:00"/>
    <d v="2024-01-27T00:00:00"/>
    <x v="1365"/>
    <n v="3372"/>
    <n v="1742"/>
    <s v="Paid"/>
    <n v="17"/>
    <d v="2024-01-27T00:00:00"/>
    <n v="1"/>
    <n v="1762"/>
    <n v="0.34"/>
    <s v="Normal"/>
    <n v="2024"/>
    <s v="January"/>
  </r>
  <r>
    <n v="2969"/>
    <x v="320"/>
    <x v="4"/>
    <s v="South"/>
    <s v="Premium"/>
    <d v="2022-04-01T00:00:00"/>
    <d v="2022-10-16T00:00:00"/>
    <x v="1366"/>
    <n v="4054"/>
    <n v="-494"/>
    <s v="Overdue"/>
    <n v="6"/>
    <d v="2022-10-16T00:00:00"/>
    <n v="0"/>
    <n v="1763"/>
    <n v="-0.14000000000000001"/>
    <s v="Normal"/>
    <n v="2022"/>
    <s v="October"/>
  </r>
  <r>
    <n v="2972"/>
    <x v="374"/>
    <x v="0"/>
    <s v="East"/>
    <s v="Standard"/>
    <d v="2022-06-23T00:00:00"/>
    <d v="2024-01-09T00:00:00"/>
    <x v="869"/>
    <n v="4778"/>
    <n v="-2018"/>
    <s v="Paid"/>
    <n v="18"/>
    <d v="2024-01-09T00:00:00"/>
    <n v="1"/>
    <n v="1764"/>
    <n v="-0.73"/>
    <s v="Normal"/>
    <n v="2024"/>
    <s v="January"/>
  </r>
  <r>
    <n v="2973"/>
    <x v="342"/>
    <x v="4"/>
    <s v="West"/>
    <s v="Basic"/>
    <d v="2022-04-28T00:00:00"/>
    <d v="2022-10-20T00:00:00"/>
    <x v="17"/>
    <n v="6238"/>
    <n v="-6902"/>
    <s v="Pending"/>
    <n v="5"/>
    <d v="2022-10-20T00:00:00"/>
    <n v="1"/>
    <n v="1765"/>
    <n v="-1.39"/>
    <s v="Outlier"/>
    <n v="2022"/>
    <s v="October"/>
  </r>
  <r>
    <n v="2974"/>
    <x v="120"/>
    <x v="2"/>
    <s v="North"/>
    <s v="Basic"/>
    <d v="2022-06-08T00:00:00"/>
    <d v="2022-11-18T00:00:00"/>
    <x v="1367"/>
    <n v="2153"/>
    <n v="329"/>
    <s v="NA"/>
    <n v="5"/>
    <d v="2022-11-18T00:00:00"/>
    <n v="0"/>
    <n v="1766"/>
    <n v="0.13"/>
    <s v="Normal"/>
    <n v="2022"/>
    <s v="November"/>
  </r>
  <r>
    <n v="2977"/>
    <x v="214"/>
    <x v="4"/>
    <s v="North"/>
    <s v="Standard"/>
    <d v="2022-11-10T00:00:00"/>
    <d v="2023-11-09T00:00:00"/>
    <x v="1368"/>
    <n v="97"/>
    <n v="6484"/>
    <s v="Paid"/>
    <n v="11"/>
    <d v="2023-11-09T00:00:00"/>
    <n v="1"/>
    <n v="1767"/>
    <n v="0.99"/>
    <s v="Normal"/>
    <n v="2023"/>
    <s v="November"/>
  </r>
  <r>
    <n v="2978"/>
    <x v="291"/>
    <x v="3"/>
    <s v="West"/>
    <s v="Basic"/>
    <d v="2022-11-19T00:00:00"/>
    <d v="2023-10-30T00:00:00"/>
    <x v="1369"/>
    <n v="4366"/>
    <n v="577.01"/>
    <s v="NA"/>
    <n v="11"/>
    <d v="2023-10-30T00:00:00"/>
    <n v="0"/>
    <n v="1768"/>
    <n v="7.0000000000000007E-2"/>
    <s v="Normal"/>
    <n v="2023"/>
    <s v="October"/>
  </r>
  <r>
    <n v="2979"/>
    <x v="166"/>
    <x v="1"/>
    <s v="East"/>
    <s v="Standard"/>
    <d v="2022-08-19T00:00:00"/>
    <d v="2023-01-12T00:00:00"/>
    <x v="1370"/>
    <n v="4012.75"/>
    <n v="8761"/>
    <s v="NA"/>
    <n v="4"/>
    <d v="2023-01-12T00:00:00"/>
    <n v="1"/>
    <n v="1769"/>
    <n v="1.1000000000000001"/>
    <s v="Outlier"/>
    <n v="2023"/>
    <s v="January"/>
  </r>
  <r>
    <n v="2983"/>
    <x v="211"/>
    <x v="0"/>
    <s v="North"/>
    <s v="Standard"/>
    <d v="2022-03-29T00:00:00"/>
    <d v="2023-11-16T00:00:00"/>
    <x v="1371"/>
    <n v="7597"/>
    <n v="-4438"/>
    <s v="NA"/>
    <n v="19"/>
    <d v="2023-11-16T00:00:00"/>
    <n v="0"/>
    <n v="1770"/>
    <n v="-1.4"/>
    <s v="Outlier"/>
    <n v="2023"/>
    <s v="November"/>
  </r>
  <r>
    <n v="2985"/>
    <x v="370"/>
    <x v="2"/>
    <s v="South"/>
    <s v="Standard"/>
    <d v="2022-09-21T00:00:00"/>
    <d v="2023-03-29T00:00:00"/>
    <x v="17"/>
    <n v="884"/>
    <n v="-1463"/>
    <s v="Pending"/>
    <n v="6"/>
    <d v="2023-03-29T00:00:00"/>
    <n v="0"/>
    <n v="1771"/>
    <n v="-0.28999999999999998"/>
    <s v="Normal"/>
    <n v="2023"/>
    <s v="March"/>
  </r>
  <r>
    <n v="2986"/>
    <x v="264"/>
    <x v="2"/>
    <s v="West"/>
    <s v="Premium"/>
    <d v="2022-06-06T00:00:00"/>
    <d v="2022-07-06T00:00:00"/>
    <x v="1372"/>
    <n v="7267"/>
    <n v="-4040"/>
    <s v="Overdue"/>
    <n v="1"/>
    <d v="2022-07-06T00:00:00"/>
    <n v="0"/>
    <n v="1772"/>
    <n v="-1.25"/>
    <s v="Outlier"/>
    <n v="2022"/>
    <s v="July"/>
  </r>
  <r>
    <n v="2987"/>
    <x v="331"/>
    <x v="2"/>
    <s v="South"/>
    <s v="Standard"/>
    <d v="2022-10-31T00:00:00"/>
    <d v="2024-06-21T00:00:00"/>
    <x v="1373"/>
    <n v="7726"/>
    <n v="-4663"/>
    <s v="Overdue"/>
    <n v="19"/>
    <d v="2024-06-21T00:00:00"/>
    <n v="0"/>
    <n v="1773"/>
    <n v="-1.52"/>
    <s v="Outlier"/>
    <n v="2024"/>
    <s v="June"/>
  </r>
  <r>
    <n v="2988"/>
    <x v="218"/>
    <x v="2"/>
    <s v="East"/>
    <s v="Standard"/>
    <d v="2022-06-04T00:00:00"/>
    <d v="2022-11-25T00:00:00"/>
    <x v="141"/>
    <n v="3352"/>
    <n v="-2348"/>
    <s v="NA"/>
    <n v="5"/>
    <d v="2022-11-25T00:00:00"/>
    <n v="1"/>
    <n v="1774"/>
    <n v="-2.34"/>
    <s v="Outlier"/>
    <n v="2022"/>
    <s v="November"/>
  </r>
  <r>
    <n v="2989"/>
    <x v="145"/>
    <x v="3"/>
    <s v="East"/>
    <s v="Premium"/>
    <d v="2022-06-19T00:00:00"/>
    <d v="2022-08-31T00:00:00"/>
    <x v="1374"/>
    <n v="736"/>
    <n v="-584"/>
    <s v="NA"/>
    <n v="2"/>
    <d v="2022-08-31T00:00:00"/>
    <n v="0"/>
    <n v="1775"/>
    <n v="-3.84"/>
    <s v="Outlier"/>
    <n v="2022"/>
    <s v="August"/>
  </r>
  <r>
    <n v="2990"/>
    <x v="46"/>
    <x v="2"/>
    <s v="West"/>
    <s v="Standard"/>
    <d v="2022-02-03T00:00:00"/>
    <d v="2022-04-20T00:00:00"/>
    <x v="17"/>
    <n v="4012.75"/>
    <n v="-106"/>
    <s v="NA"/>
    <n v="2"/>
    <d v="2022-04-20T00:00:00"/>
    <n v="1"/>
    <n v="1776"/>
    <n v="-0.02"/>
    <s v="Normal"/>
    <n v="2022"/>
    <s v="April"/>
  </r>
  <r>
    <n v="2991"/>
    <x v="335"/>
    <x v="0"/>
    <s v="West"/>
    <s v="Basic"/>
    <d v="2022-11-16T00:00:00"/>
    <d v="2023-11-30T00:00:00"/>
    <x v="1375"/>
    <n v="4477"/>
    <n v="3354"/>
    <s v="Paid"/>
    <n v="12"/>
    <d v="2023-11-30T00:00:00"/>
    <n v="0"/>
    <n v="1777"/>
    <n v="0.43"/>
    <s v="Normal"/>
    <n v="2023"/>
    <s v="November"/>
  </r>
  <r>
    <n v="2992"/>
    <x v="59"/>
    <x v="0"/>
    <s v="East"/>
    <s v="Premium"/>
    <d v="2022-06-10T00:00:00"/>
    <d v="2024-01-29T00:00:00"/>
    <x v="1376"/>
    <n v="7479"/>
    <n v="577.01"/>
    <s v="Paid"/>
    <n v="19"/>
    <d v="2024-01-29T00:00:00"/>
    <n v="0"/>
    <n v="1778"/>
    <n v="0.09"/>
    <s v="Normal"/>
    <n v="2024"/>
    <s v="January"/>
  </r>
  <r>
    <n v="2996"/>
    <x v="344"/>
    <x v="0"/>
    <s v="South"/>
    <s v="Standard"/>
    <d v="2022-10-29T00:00:00"/>
    <d v="2024-03-21T00:00:00"/>
    <x v="1377"/>
    <n v="6046"/>
    <n v="-102"/>
    <s v="Overdue"/>
    <n v="16"/>
    <d v="2024-03-21T00:00:00"/>
    <n v="1"/>
    <n v="1779"/>
    <n v="-0.02"/>
    <s v="Normal"/>
    <n v="2024"/>
    <s v="March"/>
  </r>
  <r>
    <n v="2997"/>
    <x v="249"/>
    <x v="4"/>
    <s v="North"/>
    <s v="Premium"/>
    <d v="2022-10-14T00:00:00"/>
    <d v="2023-07-11T00:00:00"/>
    <x v="1378"/>
    <n v="6185"/>
    <n v="-2064"/>
    <s v="Overdue"/>
    <n v="8"/>
    <d v="2023-07-11T00:00:00"/>
    <n v="1"/>
    <n v="1780"/>
    <n v="-0.5"/>
    <s v="Normal"/>
    <n v="2023"/>
    <s v="July"/>
  </r>
  <r>
    <n v="2998"/>
    <x v="150"/>
    <x v="0"/>
    <s v="North"/>
    <s v="Standard"/>
    <d v="2022-05-25T00:00:00"/>
    <d v="2022-08-12T00:00:00"/>
    <x v="1379"/>
    <n v="5372"/>
    <n v="-2950"/>
    <s v="NA"/>
    <n v="2"/>
    <d v="2022-08-12T00:00:00"/>
    <n v="0"/>
    <n v="1781"/>
    <n v="-1.22"/>
    <s v="Outlier"/>
    <n v="2022"/>
    <s v="August"/>
  </r>
  <r>
    <n v="3001"/>
    <x v="210"/>
    <x v="3"/>
    <s v="East"/>
    <s v="Basic"/>
    <d v="2022-06-21T00:00:00"/>
    <d v="2023-08-11T00:00:00"/>
    <x v="17"/>
    <n v="7492"/>
    <n v="-9161"/>
    <s v="NA"/>
    <n v="13"/>
    <d v="2023-08-11T00:00:00"/>
    <n v="1"/>
    <n v="1782"/>
    <n v="-1.84"/>
    <s v="Outlier"/>
    <n v="2023"/>
    <s v="August"/>
  </r>
  <r>
    <n v="3005"/>
    <x v="379"/>
    <x v="1"/>
    <s v="West"/>
    <s v="Premium"/>
    <d v="2022-06-06T00:00:00"/>
    <d v="2022-10-17T00:00:00"/>
    <x v="188"/>
    <n v="5335"/>
    <n v="-2876"/>
    <s v="Pending"/>
    <n v="4"/>
    <d v="2022-10-17T00:00:00"/>
    <n v="1"/>
    <n v="1783"/>
    <n v="-1.17"/>
    <s v="Outlier"/>
    <n v="2022"/>
    <s v="October"/>
  </r>
  <r>
    <n v="3007"/>
    <x v="375"/>
    <x v="4"/>
    <s v="North"/>
    <s v="Standard"/>
    <d v="2022-07-19T00:00:00"/>
    <d v="2022-10-08T00:00:00"/>
    <x v="1380"/>
    <n v="4931"/>
    <n v="-3310"/>
    <s v="Paid"/>
    <n v="2"/>
    <d v="2022-10-08T00:00:00"/>
    <n v="1"/>
    <n v="1784"/>
    <n v="-2.04"/>
    <s v="Outlier"/>
    <n v="2022"/>
    <s v="October"/>
  </r>
  <r>
    <n v="3008"/>
    <x v="270"/>
    <x v="2"/>
    <s v="South"/>
    <s v="Standard"/>
    <d v="2022-08-30T00:00:00"/>
    <d v="2022-11-15T00:00:00"/>
    <x v="1381"/>
    <n v="480"/>
    <n v="3368"/>
    <s v="Overdue"/>
    <n v="2"/>
    <d v="2022-11-15T00:00:00"/>
    <n v="1"/>
    <n v="1785"/>
    <n v="0.88"/>
    <s v="Normal"/>
    <n v="2022"/>
    <s v="November"/>
  </r>
  <r>
    <n v="3009"/>
    <x v="117"/>
    <x v="3"/>
    <s v="East"/>
    <s v="Basic"/>
    <d v="2022-11-07T00:00:00"/>
    <d v="2024-03-20T00:00:00"/>
    <x v="1382"/>
    <n v="6216"/>
    <n v="3325"/>
    <s v="NA"/>
    <n v="16"/>
    <d v="2024-03-20T00:00:00"/>
    <n v="1"/>
    <n v="1786"/>
    <n v="0.35"/>
    <s v="Normal"/>
    <n v="2024"/>
    <s v="March"/>
  </r>
  <r>
    <n v="3012"/>
    <x v="272"/>
    <x v="3"/>
    <s v="North"/>
    <s v="Basic"/>
    <d v="2022-12-29T00:00:00"/>
    <d v="2024-05-30T00:00:00"/>
    <x v="1383"/>
    <n v="173"/>
    <n v="8009"/>
    <s v="NA"/>
    <n v="17"/>
    <d v="2024-05-30T00:00:00"/>
    <n v="1"/>
    <n v="1787"/>
    <n v="0.98"/>
    <s v="Normal"/>
    <n v="2024"/>
    <s v="May"/>
  </r>
  <r>
    <n v="3014"/>
    <x v="190"/>
    <x v="2"/>
    <s v="South"/>
    <s v="Basic"/>
    <d v="2022-10-02T00:00:00"/>
    <d v="2023-02-12T00:00:00"/>
    <x v="968"/>
    <n v="2081"/>
    <n v="-1916"/>
    <s v="Pending"/>
    <n v="4"/>
    <d v="2023-02-12T00:00:00"/>
    <n v="0"/>
    <n v="1788"/>
    <n v="-11.61"/>
    <s v="Outlier"/>
    <n v="2023"/>
    <s v="February"/>
  </r>
  <r>
    <n v="3015"/>
    <x v="78"/>
    <x v="0"/>
    <s v="South"/>
    <s v="Basic"/>
    <d v="2022-10-29T00:00:00"/>
    <d v="2023-10-14T00:00:00"/>
    <x v="1384"/>
    <n v="2352"/>
    <n v="577.01"/>
    <s v="Paid"/>
    <n v="11"/>
    <d v="2023-10-14T00:00:00"/>
    <n v="0"/>
    <n v="1789"/>
    <n v="0.11"/>
    <s v="Normal"/>
    <n v="2023"/>
    <s v="October"/>
  </r>
  <r>
    <n v="3018"/>
    <x v="374"/>
    <x v="1"/>
    <s v="South"/>
    <s v="Premium"/>
    <d v="2022-09-05T00:00:00"/>
    <d v="2022-11-11T00:00:00"/>
    <x v="1385"/>
    <n v="3126"/>
    <n v="-1494"/>
    <s v="NA"/>
    <n v="2"/>
    <d v="2022-11-11T00:00:00"/>
    <n v="0"/>
    <n v="1790"/>
    <n v="-0.92"/>
    <s v="Normal"/>
    <n v="2022"/>
    <s v="November"/>
  </r>
  <r>
    <n v="3022"/>
    <x v="317"/>
    <x v="1"/>
    <s v="East"/>
    <s v="Standard"/>
    <d v="2022-01-05T00:00:00"/>
    <d v="2022-09-16T00:00:00"/>
    <x v="1386"/>
    <n v="151"/>
    <n v="6566"/>
    <s v="NA"/>
    <n v="8"/>
    <d v="2022-09-16T00:00:00"/>
    <n v="1"/>
    <n v="1791"/>
    <n v="0.98"/>
    <s v="Normal"/>
    <n v="2022"/>
    <s v="September"/>
  </r>
  <r>
    <n v="3023"/>
    <x v="144"/>
    <x v="4"/>
    <s v="West"/>
    <s v="Premium"/>
    <d v="2022-06-05T00:00:00"/>
    <d v="2023-09-06T00:00:00"/>
    <x v="1387"/>
    <n v="1339"/>
    <n v="7900"/>
    <s v="NA"/>
    <n v="15"/>
    <d v="2023-09-06T00:00:00"/>
    <n v="0"/>
    <n v="1792"/>
    <n v="0.86"/>
    <s v="Normal"/>
    <n v="2023"/>
    <s v="September"/>
  </r>
  <r>
    <n v="3026"/>
    <x v="371"/>
    <x v="3"/>
    <s v="West"/>
    <s v="Basic"/>
    <d v="2022-03-06T00:00:00"/>
    <d v="2023-09-04T00:00:00"/>
    <x v="1388"/>
    <n v="4012.75"/>
    <n v="8438"/>
    <s v="Pending"/>
    <n v="17"/>
    <d v="2023-09-04T00:00:00"/>
    <n v="0"/>
    <n v="1793"/>
    <n v="1.05"/>
    <s v="Outlier"/>
    <n v="2023"/>
    <s v="September"/>
  </r>
  <r>
    <n v="3029"/>
    <x v="306"/>
    <x v="4"/>
    <s v="East"/>
    <s v="Basic"/>
    <d v="2022-05-17T00:00:00"/>
    <d v="2023-09-05T00:00:00"/>
    <x v="587"/>
    <n v="211"/>
    <n v="9336"/>
    <s v="NA"/>
    <n v="15"/>
    <d v="2023-09-05T00:00:00"/>
    <n v="0"/>
    <n v="1794"/>
    <n v="0.98"/>
    <s v="Normal"/>
    <n v="2023"/>
    <s v="September"/>
  </r>
  <r>
    <n v="3032"/>
    <x v="389"/>
    <x v="3"/>
    <s v="North"/>
    <s v="Premium"/>
    <d v="2022-10-28T00:00:00"/>
    <d v="2023-12-03T00:00:00"/>
    <x v="1389"/>
    <n v="3042"/>
    <n v="2338"/>
    <s v="Overdue"/>
    <n v="13"/>
    <d v="2023-12-03T00:00:00"/>
    <n v="1"/>
    <n v="1795"/>
    <n v="0.43"/>
    <s v="Normal"/>
    <n v="2023"/>
    <s v="December"/>
  </r>
  <r>
    <n v="3033"/>
    <x v="289"/>
    <x v="0"/>
    <s v="West"/>
    <s v="Basic"/>
    <d v="2022-02-24T00:00:00"/>
    <d v="2022-07-13T00:00:00"/>
    <x v="1390"/>
    <n v="2487"/>
    <n v="7481"/>
    <s v="NA"/>
    <n v="4"/>
    <d v="2022-07-13T00:00:00"/>
    <n v="1"/>
    <n v="1796"/>
    <n v="0.75"/>
    <s v="Normal"/>
    <n v="2022"/>
    <s v="July"/>
  </r>
  <r>
    <n v="3034"/>
    <x v="129"/>
    <x v="2"/>
    <s v="South"/>
    <s v="Premium"/>
    <d v="2022-09-09T00:00:00"/>
    <d v="2023-01-04T00:00:00"/>
    <x v="1391"/>
    <n v="1571"/>
    <n v="3398"/>
    <s v="NA"/>
    <n v="3"/>
    <d v="2023-01-04T00:00:00"/>
    <n v="1"/>
    <n v="1797"/>
    <n v="0.68"/>
    <s v="Normal"/>
    <n v="2023"/>
    <s v="January"/>
  </r>
  <r>
    <n v="3035"/>
    <x v="107"/>
    <x v="4"/>
    <s v="East"/>
    <s v="Standard"/>
    <d v="2022-04-22T00:00:00"/>
    <d v="2022-10-11T00:00:00"/>
    <x v="1392"/>
    <n v="4829"/>
    <n v="219"/>
    <s v="Overdue"/>
    <n v="5"/>
    <d v="2022-10-11T00:00:00"/>
    <n v="1"/>
    <n v="1798"/>
    <n v="0.04"/>
    <s v="Normal"/>
    <n v="2022"/>
    <s v="October"/>
  </r>
  <r>
    <n v="3036"/>
    <x v="77"/>
    <x v="1"/>
    <s v="East"/>
    <s v="Premium"/>
    <d v="2022-08-01T00:00:00"/>
    <d v="2024-01-29T00:00:00"/>
    <x v="1393"/>
    <n v="4012.75"/>
    <n v="3931"/>
    <s v="Paid"/>
    <n v="17"/>
    <d v="2024-01-29T00:00:00"/>
    <n v="1"/>
    <n v="1799"/>
    <n v="1.22"/>
    <s v="Outlier"/>
    <n v="2024"/>
    <s v="January"/>
  </r>
  <r>
    <n v="3037"/>
    <x v="47"/>
    <x v="0"/>
    <s v="North"/>
    <s v="Basic"/>
    <d v="2022-10-28T00:00:00"/>
    <d v="2024-03-02T00:00:00"/>
    <x v="1394"/>
    <n v="6950"/>
    <n v="294"/>
    <s v="Pending"/>
    <n v="16"/>
    <d v="2024-03-02T00:00:00"/>
    <n v="0"/>
    <n v="1800"/>
    <n v="0.04"/>
    <s v="Normal"/>
    <n v="2024"/>
    <s v="March"/>
  </r>
  <r>
    <n v="3038"/>
    <x v="206"/>
    <x v="2"/>
    <s v="South"/>
    <s v="Standard"/>
    <d v="2022-11-07T00:00:00"/>
    <d v="2023-07-27T00:00:00"/>
    <x v="17"/>
    <n v="7883"/>
    <n v="-9639"/>
    <s v="Paid"/>
    <n v="8"/>
    <d v="2023-07-27T00:00:00"/>
    <n v="0"/>
    <n v="1801"/>
    <n v="-1.94"/>
    <s v="Outlier"/>
    <n v="2023"/>
    <s v="July"/>
  </r>
  <r>
    <n v="3039"/>
    <x v="269"/>
    <x v="2"/>
    <s v="North"/>
    <s v="Basic"/>
    <d v="2022-09-15T00:00:00"/>
    <d v="2023-10-24T00:00:00"/>
    <x v="1395"/>
    <n v="2991"/>
    <n v="6509"/>
    <s v="NA"/>
    <n v="13"/>
    <d v="2023-10-24T00:00:00"/>
    <n v="1"/>
    <n v="1802"/>
    <n v="0.69"/>
    <s v="Normal"/>
    <n v="2023"/>
    <s v="October"/>
  </r>
  <r>
    <n v="3041"/>
    <x v="386"/>
    <x v="3"/>
    <s v="West"/>
    <s v="Standard"/>
    <d v="2022-08-19T00:00:00"/>
    <d v="2022-11-02T00:00:00"/>
    <x v="1396"/>
    <n v="4988"/>
    <n v="-3780"/>
    <s v="Overdue"/>
    <n v="2"/>
    <d v="2022-11-02T00:00:00"/>
    <n v="0"/>
    <n v="1803"/>
    <n v="-3.13"/>
    <s v="Outlier"/>
    <n v="2022"/>
    <s v="November"/>
  </r>
  <r>
    <n v="3042"/>
    <x v="274"/>
    <x v="4"/>
    <s v="East"/>
    <s v="Premium"/>
    <d v="2022-02-05T00:00:00"/>
    <d v="2022-06-25T00:00:00"/>
    <x v="1397"/>
    <n v="2105"/>
    <n v="6927"/>
    <s v="Overdue"/>
    <n v="4"/>
    <d v="2022-06-25T00:00:00"/>
    <n v="0"/>
    <n v="1804"/>
    <n v="0.77"/>
    <s v="Normal"/>
    <n v="2022"/>
    <s v="June"/>
  </r>
  <r>
    <n v="3046"/>
    <x v="240"/>
    <x v="3"/>
    <s v="North"/>
    <s v="Premium"/>
    <d v="2022-06-12T00:00:00"/>
    <d v="2023-07-04T00:00:00"/>
    <x v="1398"/>
    <n v="5873"/>
    <n v="-1356"/>
    <s v="Paid"/>
    <n v="12"/>
    <d v="2023-07-04T00:00:00"/>
    <n v="0"/>
    <n v="1805"/>
    <n v="-0.3"/>
    <s v="Normal"/>
    <n v="2023"/>
    <s v="July"/>
  </r>
  <r>
    <n v="3050"/>
    <x v="179"/>
    <x v="2"/>
    <s v="East"/>
    <s v="Premium"/>
    <d v="2022-02-18T00:00:00"/>
    <d v="2023-07-05T00:00:00"/>
    <x v="1399"/>
    <n v="3877"/>
    <n v="-3136"/>
    <s v="Overdue"/>
    <n v="16"/>
    <d v="2023-07-05T00:00:00"/>
    <n v="1"/>
    <n v="1806"/>
    <n v="-4.2300000000000004"/>
    <s v="Outlier"/>
    <n v="2023"/>
    <s v="July"/>
  </r>
  <r>
    <n v="3052"/>
    <x v="292"/>
    <x v="1"/>
    <s v="West"/>
    <s v="Premium"/>
    <d v="2022-10-31T00:00:00"/>
    <d v="2023-08-04T00:00:00"/>
    <x v="1400"/>
    <n v="1291"/>
    <n v="4959"/>
    <s v="Overdue"/>
    <n v="9"/>
    <d v="2023-08-04T00:00:00"/>
    <n v="1"/>
    <n v="1807"/>
    <n v="0.79"/>
    <s v="Normal"/>
    <n v="2023"/>
    <s v="August"/>
  </r>
  <r>
    <n v="3055"/>
    <x v="67"/>
    <x v="3"/>
    <s v="West"/>
    <s v="Standard"/>
    <d v="2022-06-26T00:00:00"/>
    <d v="2022-09-29T00:00:00"/>
    <x v="1401"/>
    <n v="589"/>
    <n v="3723"/>
    <s v="Paid"/>
    <n v="3"/>
    <d v="2022-09-29T00:00:00"/>
    <n v="1"/>
    <n v="1808"/>
    <n v="0.86"/>
    <s v="Normal"/>
    <n v="2022"/>
    <s v="September"/>
  </r>
  <r>
    <n v="3058"/>
    <x v="307"/>
    <x v="2"/>
    <s v="South"/>
    <s v="Basic"/>
    <d v="2022-07-04T00:00:00"/>
    <d v="2023-10-13T00:00:00"/>
    <x v="1402"/>
    <n v="6446"/>
    <n v="-230"/>
    <s v="Pending"/>
    <n v="15"/>
    <d v="2023-10-13T00:00:00"/>
    <n v="0"/>
    <n v="1809"/>
    <n v="-0.04"/>
    <s v="Normal"/>
    <n v="2023"/>
    <s v="October"/>
  </r>
  <r>
    <n v="3059"/>
    <x v="108"/>
    <x v="2"/>
    <s v="West"/>
    <s v="Standard"/>
    <d v="2022-04-08T00:00:00"/>
    <d v="2023-01-26T00:00:00"/>
    <x v="1403"/>
    <n v="3807"/>
    <n v="6086"/>
    <s v="Paid"/>
    <n v="9"/>
    <d v="2023-01-26T00:00:00"/>
    <n v="1"/>
    <n v="1810"/>
    <n v="0.62"/>
    <s v="Normal"/>
    <n v="2023"/>
    <s v="January"/>
  </r>
  <r>
    <n v="3060"/>
    <x v="364"/>
    <x v="1"/>
    <s v="North"/>
    <s v="Standard"/>
    <d v="2022-11-25T00:00:00"/>
    <d v="2024-05-23T00:00:00"/>
    <x v="812"/>
    <n v="2367"/>
    <n v="7293"/>
    <s v="Overdue"/>
    <n v="17"/>
    <d v="2024-05-23T00:00:00"/>
    <n v="0"/>
    <n v="1811"/>
    <n v="0.75"/>
    <s v="Normal"/>
    <n v="2024"/>
    <s v="May"/>
  </r>
  <r>
    <n v="3061"/>
    <x v="61"/>
    <x v="1"/>
    <s v="North"/>
    <s v="Premium"/>
    <d v="2022-03-21T00:00:00"/>
    <d v="2023-11-01T00:00:00"/>
    <x v="1404"/>
    <n v="2040"/>
    <n v="-1325"/>
    <s v="NA"/>
    <n v="19"/>
    <d v="2023-11-01T00:00:00"/>
    <n v="1"/>
    <n v="1812"/>
    <n v="-1.85"/>
    <s v="Outlier"/>
    <n v="2023"/>
    <s v="November"/>
  </r>
  <r>
    <n v="3062"/>
    <x v="123"/>
    <x v="4"/>
    <s v="East"/>
    <s v="Premium"/>
    <d v="2022-09-12T00:00:00"/>
    <d v="2023-12-11T00:00:00"/>
    <x v="1405"/>
    <n v="3427"/>
    <n v="-665"/>
    <s v="Pending"/>
    <n v="14"/>
    <d v="2023-12-11T00:00:00"/>
    <n v="1"/>
    <n v="1813"/>
    <n v="-0.24"/>
    <s v="Normal"/>
    <n v="2023"/>
    <s v="December"/>
  </r>
  <r>
    <n v="3063"/>
    <x v="173"/>
    <x v="2"/>
    <s v="West"/>
    <s v="Standard"/>
    <d v="2022-03-04T00:00:00"/>
    <d v="2023-04-13T00:00:00"/>
    <x v="1406"/>
    <n v="2213"/>
    <n v="6486"/>
    <s v="Paid"/>
    <n v="13"/>
    <d v="2023-04-13T00:00:00"/>
    <n v="1"/>
    <n v="1814"/>
    <n v="0.75"/>
    <s v="Normal"/>
    <n v="2023"/>
    <s v="April"/>
  </r>
  <r>
    <n v="3064"/>
    <x v="285"/>
    <x v="1"/>
    <s v="West"/>
    <s v="Premium"/>
    <d v="2022-04-16T00:00:00"/>
    <d v="2022-10-18T00:00:00"/>
    <x v="17"/>
    <n v="7033"/>
    <n v="-7736"/>
    <s v="Pending"/>
    <n v="6"/>
    <d v="2022-10-18T00:00:00"/>
    <n v="1"/>
    <n v="1815"/>
    <n v="-1.56"/>
    <s v="Outlier"/>
    <n v="2022"/>
    <s v="October"/>
  </r>
  <r>
    <n v="3066"/>
    <x v="15"/>
    <x v="0"/>
    <s v="North"/>
    <s v="Premium"/>
    <d v="2022-08-03T00:00:00"/>
    <d v="2022-12-26T00:00:00"/>
    <x v="1407"/>
    <n v="3943"/>
    <n v="3647"/>
    <s v="Overdue"/>
    <n v="4"/>
    <d v="2022-12-26T00:00:00"/>
    <n v="0"/>
    <n v="1816"/>
    <n v="0.48"/>
    <s v="Normal"/>
    <n v="2022"/>
    <s v="December"/>
  </r>
  <r>
    <n v="3069"/>
    <x v="107"/>
    <x v="0"/>
    <s v="East"/>
    <s v="Basic"/>
    <d v="2022-11-29T00:00:00"/>
    <d v="2024-06-07T00:00:00"/>
    <x v="1408"/>
    <n v="4722"/>
    <n v="577.01"/>
    <s v="Overdue"/>
    <n v="18"/>
    <d v="2024-06-07T00:00:00"/>
    <n v="0"/>
    <n v="1817"/>
    <n v="0.09"/>
    <s v="Normal"/>
    <n v="2024"/>
    <s v="June"/>
  </r>
  <r>
    <n v="3070"/>
    <x v="154"/>
    <x v="2"/>
    <s v="East"/>
    <s v="Basic"/>
    <d v="2022-04-17T00:00:00"/>
    <d v="2023-04-16T00:00:00"/>
    <x v="1409"/>
    <n v="4012.75"/>
    <n v="10215"/>
    <s v="Pending"/>
    <n v="11"/>
    <d v="2023-04-16T00:00:00"/>
    <n v="1"/>
    <n v="1818"/>
    <n v="1.03"/>
    <s v="Outlier"/>
    <n v="2023"/>
    <s v="April"/>
  </r>
  <r>
    <n v="3071"/>
    <x v="168"/>
    <x v="1"/>
    <s v="South"/>
    <s v="Standard"/>
    <d v="2022-11-05T00:00:00"/>
    <d v="2024-04-06T00:00:00"/>
    <x v="1410"/>
    <n v="3424"/>
    <n v="577.01"/>
    <s v="Paid"/>
    <n v="17"/>
    <d v="2024-04-06T00:00:00"/>
    <n v="0"/>
    <n v="1819"/>
    <n v="0.25"/>
    <s v="Normal"/>
    <n v="2024"/>
    <s v="April"/>
  </r>
  <r>
    <n v="3072"/>
    <x v="323"/>
    <x v="4"/>
    <s v="North"/>
    <s v="Standard"/>
    <d v="2022-01-17T00:00:00"/>
    <d v="2022-08-25T00:00:00"/>
    <x v="1411"/>
    <n v="524"/>
    <n v="-246"/>
    <s v="Pending"/>
    <n v="7"/>
    <d v="2022-08-25T00:00:00"/>
    <n v="0"/>
    <n v="1820"/>
    <n v="-0.88"/>
    <s v="Normal"/>
    <n v="2022"/>
    <s v="August"/>
  </r>
  <r>
    <n v="3073"/>
    <x v="201"/>
    <x v="1"/>
    <s v="North"/>
    <s v="Standard"/>
    <d v="2022-03-17T00:00:00"/>
    <d v="2023-08-21T00:00:00"/>
    <x v="1412"/>
    <n v="3509"/>
    <n v="1247"/>
    <s v="Pending"/>
    <n v="17"/>
    <d v="2023-08-21T00:00:00"/>
    <n v="0"/>
    <n v="1821"/>
    <n v="0.26"/>
    <s v="Normal"/>
    <n v="2023"/>
    <s v="August"/>
  </r>
  <r>
    <n v="3076"/>
    <x v="69"/>
    <x v="4"/>
    <s v="North"/>
    <s v="Standard"/>
    <d v="2022-01-24T00:00:00"/>
    <d v="2022-12-31T00:00:00"/>
    <x v="17"/>
    <n v="7651"/>
    <n v="-9470"/>
    <s v="NA"/>
    <n v="11"/>
    <d v="2022-12-31T00:00:00"/>
    <n v="1"/>
    <n v="1822"/>
    <n v="-1.91"/>
    <s v="Outlier"/>
    <n v="2022"/>
    <s v="December"/>
  </r>
  <r>
    <n v="3077"/>
    <x v="397"/>
    <x v="1"/>
    <s v="West"/>
    <s v="Basic"/>
    <d v="2022-08-01T00:00:00"/>
    <d v="2023-12-14T00:00:00"/>
    <x v="1413"/>
    <n v="4012.75"/>
    <n v="2151"/>
    <s v="Paid"/>
    <n v="16"/>
    <d v="2023-12-14T00:00:00"/>
    <n v="1"/>
    <n v="1823"/>
    <n v="1.59"/>
    <s v="Outlier"/>
    <n v="2023"/>
    <s v="December"/>
  </r>
  <r>
    <n v="3078"/>
    <x v="168"/>
    <x v="1"/>
    <s v="East"/>
    <s v="Standard"/>
    <d v="2022-04-09T00:00:00"/>
    <d v="2022-12-26T00:00:00"/>
    <x v="918"/>
    <n v="4012.75"/>
    <n v="8052"/>
    <s v="Paid"/>
    <n v="8"/>
    <d v="2022-12-26T00:00:00"/>
    <n v="0"/>
    <n v="1824"/>
    <n v="1.1100000000000001"/>
    <s v="Outlier"/>
    <n v="2022"/>
    <s v="December"/>
  </r>
  <r>
    <n v="3079"/>
    <x v="282"/>
    <x v="2"/>
    <s v="East"/>
    <s v="Premium"/>
    <d v="2022-04-22T00:00:00"/>
    <d v="2023-06-24T00:00:00"/>
    <x v="1414"/>
    <n v="5734"/>
    <n v="902"/>
    <s v="Overdue"/>
    <n v="14"/>
    <d v="2023-06-24T00:00:00"/>
    <n v="0"/>
    <n v="1825"/>
    <n v="0.14000000000000001"/>
    <s v="Normal"/>
    <n v="2023"/>
    <s v="June"/>
  </r>
  <r>
    <n v="3080"/>
    <x v="95"/>
    <x v="1"/>
    <s v="West"/>
    <s v="Premium"/>
    <d v="2022-01-09T00:00:00"/>
    <d v="2022-11-11T00:00:00"/>
    <x v="17"/>
    <n v="5879"/>
    <n v="-7051"/>
    <s v="Overdue"/>
    <n v="10"/>
    <d v="2022-11-11T00:00:00"/>
    <n v="0"/>
    <n v="1826"/>
    <n v="-1.42"/>
    <s v="Outlier"/>
    <n v="2022"/>
    <s v="November"/>
  </r>
  <r>
    <n v="3081"/>
    <x v="325"/>
    <x v="2"/>
    <s v="North"/>
    <s v="Premium"/>
    <d v="2022-04-20T00:00:00"/>
    <d v="2022-10-12T00:00:00"/>
    <x v="1415"/>
    <n v="1249"/>
    <n v="5753"/>
    <s v="Paid"/>
    <n v="5"/>
    <d v="2022-10-12T00:00:00"/>
    <n v="1"/>
    <n v="1827"/>
    <n v="0.82"/>
    <s v="Normal"/>
    <n v="2022"/>
    <s v="October"/>
  </r>
  <r>
    <n v="3082"/>
    <x v="228"/>
    <x v="2"/>
    <s v="South"/>
    <s v="Premium"/>
    <d v="2022-11-12T00:00:00"/>
    <d v="2023-05-23T00:00:00"/>
    <x v="1416"/>
    <n v="2120"/>
    <n v="6733"/>
    <s v="Paid"/>
    <n v="6"/>
    <d v="2023-05-23T00:00:00"/>
    <n v="1"/>
    <n v="1828"/>
    <n v="0.76"/>
    <s v="Normal"/>
    <n v="2023"/>
    <s v="May"/>
  </r>
  <r>
    <n v="3085"/>
    <x v="32"/>
    <x v="1"/>
    <s v="North"/>
    <s v="Premium"/>
    <d v="2022-01-06T00:00:00"/>
    <d v="2022-07-15T00:00:00"/>
    <x v="1417"/>
    <n v="7612"/>
    <n v="-3049"/>
    <s v="Paid"/>
    <n v="6"/>
    <d v="2022-07-15T00:00:00"/>
    <n v="1"/>
    <n v="1829"/>
    <n v="-0.67"/>
    <s v="Normal"/>
    <n v="2022"/>
    <s v="July"/>
  </r>
  <r>
    <n v="3088"/>
    <x v="136"/>
    <x v="0"/>
    <s v="South"/>
    <s v="Premium"/>
    <d v="2022-06-13T00:00:00"/>
    <d v="2023-03-08T00:00:00"/>
    <x v="1418"/>
    <n v="7738"/>
    <n v="-2850"/>
    <s v="NA"/>
    <n v="8"/>
    <d v="2023-03-08T00:00:00"/>
    <n v="1"/>
    <n v="1830"/>
    <n v="-0.57999999999999996"/>
    <s v="Normal"/>
    <n v="2023"/>
    <s v="March"/>
  </r>
  <r>
    <n v="3090"/>
    <x v="296"/>
    <x v="4"/>
    <s v="West"/>
    <s v="Basic"/>
    <d v="2022-09-30T00:00:00"/>
    <d v="2022-11-04T00:00:00"/>
    <x v="1419"/>
    <n v="2813"/>
    <n v="-2794"/>
    <s v="Overdue"/>
    <n v="1"/>
    <d v="2022-11-04T00:00:00"/>
    <n v="0"/>
    <n v="1831"/>
    <n v="-147.05000000000001"/>
    <s v="Outlier"/>
    <n v="2022"/>
    <s v="November"/>
  </r>
  <r>
    <n v="3093"/>
    <x v="398"/>
    <x v="0"/>
    <s v="South"/>
    <s v="Premium"/>
    <d v="2022-01-28T00:00:00"/>
    <d v="2023-01-24T00:00:00"/>
    <x v="1420"/>
    <n v="7435"/>
    <n v="-1141"/>
    <s v="Pending"/>
    <n v="11"/>
    <d v="2023-01-24T00:00:00"/>
    <n v="0"/>
    <n v="1832"/>
    <n v="-0.18"/>
    <s v="Normal"/>
    <n v="2023"/>
    <s v="January"/>
  </r>
  <r>
    <n v="3094"/>
    <x v="291"/>
    <x v="4"/>
    <s v="East"/>
    <s v="Standard"/>
    <d v="2022-07-12T00:00:00"/>
    <d v="2023-02-06T00:00:00"/>
    <x v="1421"/>
    <n v="6507"/>
    <n v="577.01"/>
    <s v="NA"/>
    <n v="6"/>
    <d v="2023-02-06T00:00:00"/>
    <n v="1"/>
    <n v="1833"/>
    <n v="0.71"/>
    <s v="Normal"/>
    <n v="2023"/>
    <s v="February"/>
  </r>
  <r>
    <n v="3095"/>
    <x v="184"/>
    <x v="3"/>
    <s v="North"/>
    <s v="Standard"/>
    <d v="2022-06-16T00:00:00"/>
    <d v="2022-08-31T00:00:00"/>
    <x v="1422"/>
    <n v="4604"/>
    <n v="323"/>
    <s v="Overdue"/>
    <n v="2"/>
    <d v="2022-08-31T00:00:00"/>
    <n v="0"/>
    <n v="1834"/>
    <n v="7.0000000000000007E-2"/>
    <s v="Normal"/>
    <n v="2022"/>
    <s v="August"/>
  </r>
  <r>
    <n v="3096"/>
    <x v="377"/>
    <x v="3"/>
    <s v="East"/>
    <s v="Basic"/>
    <d v="2022-01-29T00:00:00"/>
    <d v="2022-11-19T00:00:00"/>
    <x v="779"/>
    <n v="7084"/>
    <n v="-1768"/>
    <s v="NA"/>
    <n v="9"/>
    <d v="2022-11-19T00:00:00"/>
    <n v="1"/>
    <n v="1835"/>
    <n v="-0.33"/>
    <s v="Normal"/>
    <n v="2022"/>
    <s v="November"/>
  </r>
  <r>
    <n v="3097"/>
    <x v="43"/>
    <x v="2"/>
    <s v="South"/>
    <s v="Premium"/>
    <d v="2022-05-11T00:00:00"/>
    <d v="2022-09-08T00:00:00"/>
    <x v="787"/>
    <n v="4012.75"/>
    <n v="8074"/>
    <s v="Overdue"/>
    <n v="3"/>
    <d v="2022-09-08T00:00:00"/>
    <n v="0"/>
    <n v="1836"/>
    <n v="1.08"/>
    <s v="Outlier"/>
    <n v="2022"/>
    <s v="September"/>
  </r>
  <r>
    <n v="3099"/>
    <x v="267"/>
    <x v="2"/>
    <s v="West"/>
    <s v="Standard"/>
    <d v="2022-11-24T00:00:00"/>
    <d v="2023-03-28T00:00:00"/>
    <x v="234"/>
    <n v="4012.75"/>
    <n v="577.01"/>
    <s v="Pending"/>
    <n v="4"/>
    <d v="2023-03-28T00:00:00"/>
    <n v="1"/>
    <n v="1837"/>
    <n v="0.11"/>
    <s v="Normal"/>
    <n v="2023"/>
    <s v="March"/>
  </r>
  <r>
    <n v="3100"/>
    <x v="220"/>
    <x v="4"/>
    <s v="West"/>
    <s v="Standard"/>
    <d v="2022-07-01T00:00:00"/>
    <d v="2023-06-14T00:00:00"/>
    <x v="17"/>
    <n v="5163"/>
    <n v="-7123"/>
    <s v="Overdue"/>
    <n v="11"/>
    <d v="2023-06-14T00:00:00"/>
    <n v="0"/>
    <n v="1838"/>
    <n v="-1.43"/>
    <s v="Outlier"/>
    <n v="2023"/>
    <s v="June"/>
  </r>
  <r>
    <n v="3101"/>
    <x v="31"/>
    <x v="2"/>
    <s v="North"/>
    <s v="Premium"/>
    <d v="2022-06-05T00:00:00"/>
    <d v="2022-08-27T00:00:00"/>
    <x v="1423"/>
    <n v="710"/>
    <n v="8311"/>
    <s v="NA"/>
    <n v="2"/>
    <d v="2022-08-27T00:00:00"/>
    <n v="0"/>
    <n v="1839"/>
    <n v="0.92"/>
    <s v="Normal"/>
    <n v="2022"/>
    <s v="August"/>
  </r>
  <r>
    <n v="3102"/>
    <x v="285"/>
    <x v="1"/>
    <s v="North"/>
    <s v="Premium"/>
    <d v="2022-01-10T00:00:00"/>
    <d v="2022-11-06T00:00:00"/>
    <x v="1424"/>
    <n v="805"/>
    <n v="825"/>
    <s v="NA"/>
    <n v="9"/>
    <d v="2022-11-06T00:00:00"/>
    <n v="0"/>
    <n v="1840"/>
    <n v="0.51"/>
    <s v="Normal"/>
    <n v="2022"/>
    <s v="November"/>
  </r>
  <r>
    <n v="3103"/>
    <x v="224"/>
    <x v="3"/>
    <s v="South"/>
    <s v="Premium"/>
    <d v="2022-12-01T00:00:00"/>
    <d v="2024-02-07T00:00:00"/>
    <x v="1425"/>
    <n v="4012.75"/>
    <n v="3068"/>
    <s v="NA"/>
    <n v="14"/>
    <d v="2024-02-07T00:00:00"/>
    <n v="1"/>
    <n v="1841"/>
    <n v="1.34"/>
    <s v="Outlier"/>
    <n v="2024"/>
    <s v="February"/>
  </r>
  <r>
    <n v="3104"/>
    <x v="189"/>
    <x v="3"/>
    <s v="West"/>
    <s v="Basic"/>
    <d v="2022-06-28T00:00:00"/>
    <d v="2022-12-30T00:00:00"/>
    <x v="17"/>
    <n v="5964"/>
    <n v="-7625"/>
    <s v="Paid"/>
    <n v="6"/>
    <d v="2022-12-30T00:00:00"/>
    <n v="0"/>
    <n v="1842"/>
    <n v="-1.53"/>
    <s v="Outlier"/>
    <n v="2022"/>
    <s v="December"/>
  </r>
  <r>
    <n v="3105"/>
    <x v="353"/>
    <x v="3"/>
    <s v="South"/>
    <s v="Basic"/>
    <d v="2022-10-13T00:00:00"/>
    <d v="2023-04-22T00:00:00"/>
    <x v="1426"/>
    <n v="2712"/>
    <n v="2567"/>
    <s v="NA"/>
    <n v="6"/>
    <d v="2023-04-22T00:00:00"/>
    <n v="0"/>
    <n v="1843"/>
    <n v="0.49"/>
    <s v="Normal"/>
    <n v="2023"/>
    <s v="April"/>
  </r>
  <r>
    <n v="3106"/>
    <x v="266"/>
    <x v="3"/>
    <s v="East"/>
    <s v="Standard"/>
    <d v="2022-04-20T00:00:00"/>
    <d v="2023-10-11T00:00:00"/>
    <x v="1427"/>
    <n v="1068"/>
    <n v="679"/>
    <s v="NA"/>
    <n v="17"/>
    <d v="2023-10-11T00:00:00"/>
    <n v="1"/>
    <n v="1844"/>
    <n v="0.39"/>
    <s v="Normal"/>
    <n v="2023"/>
    <s v="October"/>
  </r>
  <r>
    <n v="3109"/>
    <x v="213"/>
    <x v="0"/>
    <s v="West"/>
    <s v="Standard"/>
    <d v="2022-09-02T00:00:00"/>
    <d v="2024-04-13T00:00:00"/>
    <x v="1428"/>
    <n v="1914"/>
    <n v="1839"/>
    <s v="Pending"/>
    <n v="19"/>
    <d v="2024-04-13T00:00:00"/>
    <n v="1"/>
    <n v="1845"/>
    <n v="0.49"/>
    <s v="Normal"/>
    <n v="2024"/>
    <s v="April"/>
  </r>
  <r>
    <n v="3111"/>
    <x v="124"/>
    <x v="3"/>
    <s v="East"/>
    <s v="Premium"/>
    <d v="2022-07-06T00:00:00"/>
    <d v="2023-05-21T00:00:00"/>
    <x v="17"/>
    <n v="3538"/>
    <n v="-5141"/>
    <s v="Pending"/>
    <n v="10"/>
    <d v="2023-05-21T00:00:00"/>
    <n v="0"/>
    <n v="1846"/>
    <n v="-1.03"/>
    <s v="Outlier"/>
    <n v="2023"/>
    <s v="May"/>
  </r>
  <r>
    <n v="3113"/>
    <x v="214"/>
    <x v="4"/>
    <s v="East"/>
    <s v="Standard"/>
    <d v="2022-05-04T00:00:00"/>
    <d v="2022-08-05T00:00:00"/>
    <x v="1429"/>
    <n v="7603"/>
    <n v="-261"/>
    <s v="Overdue"/>
    <n v="3"/>
    <d v="2022-08-05T00:00:00"/>
    <n v="0"/>
    <n v="1847"/>
    <n v="-0.04"/>
    <s v="Normal"/>
    <n v="2022"/>
    <s v="August"/>
  </r>
  <r>
    <n v="3114"/>
    <x v="159"/>
    <x v="0"/>
    <s v="West"/>
    <s v="Basic"/>
    <d v="2022-12-08T00:00:00"/>
    <d v="2023-08-06T00:00:00"/>
    <x v="1430"/>
    <n v="1225"/>
    <n v="1043"/>
    <s v="Overdue"/>
    <n v="7"/>
    <d v="2023-08-06T00:00:00"/>
    <n v="0"/>
    <n v="1848"/>
    <n v="0.46"/>
    <s v="Normal"/>
    <n v="2023"/>
    <s v="August"/>
  </r>
  <r>
    <n v="3115"/>
    <x v="343"/>
    <x v="0"/>
    <s v="North"/>
    <s v="Premium"/>
    <d v="2022-05-22T00:00:00"/>
    <d v="2022-08-08T00:00:00"/>
    <x v="1431"/>
    <n v="7149"/>
    <n v="-4099"/>
    <s v="NA"/>
    <n v="2"/>
    <d v="2022-08-08T00:00:00"/>
    <n v="1"/>
    <n v="1849"/>
    <n v="-1.34"/>
    <s v="Outlier"/>
    <n v="2022"/>
    <s v="August"/>
  </r>
  <r>
    <n v="3119"/>
    <x v="298"/>
    <x v="2"/>
    <s v="North"/>
    <s v="Basic"/>
    <d v="2022-03-25T00:00:00"/>
    <d v="2023-03-08T00:00:00"/>
    <x v="1432"/>
    <n v="5911"/>
    <n v="1508"/>
    <s v="Overdue"/>
    <n v="11"/>
    <d v="2023-03-08T00:00:00"/>
    <n v="1"/>
    <n v="1850"/>
    <n v="0.2"/>
    <s v="Normal"/>
    <n v="2023"/>
    <s v="March"/>
  </r>
  <r>
    <n v="3122"/>
    <x v="344"/>
    <x v="1"/>
    <s v="South"/>
    <s v="Premium"/>
    <d v="2022-01-23T00:00:00"/>
    <d v="2022-12-11T00:00:00"/>
    <x v="1433"/>
    <n v="5813"/>
    <n v="-1537"/>
    <s v="Overdue"/>
    <n v="10"/>
    <d v="2022-12-11T00:00:00"/>
    <n v="1"/>
    <n v="1851"/>
    <n v="-0.36"/>
    <s v="Normal"/>
    <n v="2022"/>
    <s v="December"/>
  </r>
  <r>
    <n v="3123"/>
    <x v="20"/>
    <x v="3"/>
    <s v="South"/>
    <s v="Standard"/>
    <d v="2022-05-11T00:00:00"/>
    <d v="2023-10-07T00:00:00"/>
    <x v="17"/>
    <n v="4012.75"/>
    <n v="-599"/>
    <s v="Pending"/>
    <n v="16"/>
    <d v="2023-10-07T00:00:00"/>
    <n v="1"/>
    <n v="1852"/>
    <n v="-0.12"/>
    <s v="Normal"/>
    <n v="2023"/>
    <s v="October"/>
  </r>
  <r>
    <n v="3124"/>
    <x v="55"/>
    <x v="2"/>
    <s v="South"/>
    <s v="Premium"/>
    <d v="2022-04-15T00:00:00"/>
    <d v="2023-01-21T00:00:00"/>
    <x v="255"/>
    <n v="17"/>
    <n v="6504"/>
    <s v="Paid"/>
    <n v="9"/>
    <d v="2023-01-21T00:00:00"/>
    <n v="1"/>
    <n v="1853"/>
    <n v="1"/>
    <s v="Normal"/>
    <n v="2023"/>
    <s v="January"/>
  </r>
  <r>
    <n v="3125"/>
    <x v="145"/>
    <x v="3"/>
    <s v="East"/>
    <s v="Basic"/>
    <d v="2022-01-05T00:00:00"/>
    <d v="2022-08-18T00:00:00"/>
    <x v="1434"/>
    <n v="4012.75"/>
    <n v="8414"/>
    <s v="NA"/>
    <n v="7"/>
    <d v="2022-08-18T00:00:00"/>
    <n v="0"/>
    <n v="1854"/>
    <n v="1.1100000000000001"/>
    <s v="Outlier"/>
    <n v="2022"/>
    <s v="August"/>
  </r>
  <r>
    <n v="3126"/>
    <x v="124"/>
    <x v="1"/>
    <s v="South"/>
    <s v="Premium"/>
    <d v="2022-02-03T00:00:00"/>
    <d v="2022-07-04T00:00:00"/>
    <x v="1435"/>
    <n v="7130"/>
    <n v="-3382"/>
    <s v="Overdue"/>
    <n v="5"/>
    <d v="2022-07-04T00:00:00"/>
    <n v="0"/>
    <n v="1855"/>
    <n v="-0.9"/>
    <s v="Normal"/>
    <n v="2022"/>
    <s v="July"/>
  </r>
  <r>
    <n v="3127"/>
    <x v="68"/>
    <x v="4"/>
    <s v="North"/>
    <s v="Standard"/>
    <d v="2022-07-12T00:00:00"/>
    <d v="2023-09-01T00:00:00"/>
    <x v="1436"/>
    <n v="2505"/>
    <n v="2796"/>
    <s v="Pending"/>
    <n v="13"/>
    <d v="2023-09-01T00:00:00"/>
    <n v="0"/>
    <n v="1856"/>
    <n v="0.53"/>
    <s v="Normal"/>
    <n v="2023"/>
    <s v="September"/>
  </r>
  <r>
    <n v="3128"/>
    <x v="127"/>
    <x v="2"/>
    <s v="South"/>
    <s v="Standard"/>
    <d v="2022-03-12T00:00:00"/>
    <d v="2022-11-20T00:00:00"/>
    <x v="20"/>
    <n v="4012.75"/>
    <n v="577.01"/>
    <s v="NA"/>
    <n v="8"/>
    <d v="2022-11-20T00:00:00"/>
    <n v="0"/>
    <n v="1857"/>
    <n v="0.38"/>
    <s v="Normal"/>
    <n v="2022"/>
    <s v="November"/>
  </r>
  <r>
    <n v="3129"/>
    <x v="160"/>
    <x v="3"/>
    <s v="North"/>
    <s v="Basic"/>
    <d v="2022-07-05T00:00:00"/>
    <d v="2022-10-03T00:00:00"/>
    <x v="17"/>
    <n v="5054"/>
    <n v="-6680"/>
    <s v="Paid"/>
    <n v="2"/>
    <d v="2022-10-03T00:00:00"/>
    <n v="1"/>
    <n v="1858"/>
    <n v="-1.34"/>
    <s v="Outlier"/>
    <n v="2022"/>
    <s v="October"/>
  </r>
  <r>
    <n v="3131"/>
    <x v="23"/>
    <x v="3"/>
    <s v="North"/>
    <s v="Basic"/>
    <d v="2022-05-09T00:00:00"/>
    <d v="2022-07-07T00:00:00"/>
    <x v="635"/>
    <n v="4012.75"/>
    <n v="8930"/>
    <s v="Overdue"/>
    <n v="1"/>
    <d v="2022-07-07T00:00:00"/>
    <n v="1"/>
    <n v="1859"/>
    <n v="1.06"/>
    <s v="Outlier"/>
    <n v="2022"/>
    <s v="July"/>
  </r>
  <r>
    <n v="3134"/>
    <x v="222"/>
    <x v="4"/>
    <s v="West"/>
    <s v="Basic"/>
    <d v="2022-07-20T00:00:00"/>
    <d v="2023-12-17T00:00:00"/>
    <x v="1437"/>
    <n v="2175"/>
    <n v="4292"/>
    <s v="Pending"/>
    <n v="16"/>
    <d v="2023-12-17T00:00:00"/>
    <n v="0"/>
    <n v="1860"/>
    <n v="0.66"/>
    <s v="Normal"/>
    <n v="2023"/>
    <s v="December"/>
  </r>
  <r>
    <n v="3135"/>
    <x v="266"/>
    <x v="0"/>
    <s v="South"/>
    <s v="Premium"/>
    <d v="2022-11-14T00:00:00"/>
    <d v="2023-10-06T00:00:00"/>
    <x v="453"/>
    <n v="772"/>
    <n v="3939"/>
    <s v="Pending"/>
    <n v="10"/>
    <d v="2023-10-06T00:00:00"/>
    <n v="0"/>
    <n v="1861"/>
    <n v="0.84"/>
    <s v="Normal"/>
    <n v="2023"/>
    <s v="October"/>
  </r>
  <r>
    <n v="3137"/>
    <x v="105"/>
    <x v="0"/>
    <s v="West"/>
    <s v="Premium"/>
    <d v="2022-06-16T00:00:00"/>
    <d v="2022-07-31T00:00:00"/>
    <x v="1438"/>
    <n v="4012.75"/>
    <n v="8803"/>
    <s v="Paid"/>
    <n v="1"/>
    <d v="2022-07-31T00:00:00"/>
    <n v="0"/>
    <n v="1862"/>
    <n v="1.1299999999999999"/>
    <s v="Outlier"/>
    <n v="2022"/>
    <s v="July"/>
  </r>
  <r>
    <n v="3139"/>
    <x v="277"/>
    <x v="2"/>
    <s v="West"/>
    <s v="Premium"/>
    <d v="2022-11-08T00:00:00"/>
    <d v="2024-01-04T00:00:00"/>
    <x v="17"/>
    <n v="5041"/>
    <n v="-5829"/>
    <s v="Overdue"/>
    <n v="13"/>
    <d v="2024-01-04T00:00:00"/>
    <n v="1"/>
    <n v="1863"/>
    <n v="-1.17"/>
    <s v="Outlier"/>
    <n v="2024"/>
    <s v="January"/>
  </r>
  <r>
    <n v="3140"/>
    <x v="132"/>
    <x v="2"/>
    <s v="East"/>
    <s v="Premium"/>
    <d v="2022-01-30T00:00:00"/>
    <d v="2023-02-08T00:00:00"/>
    <x v="1439"/>
    <n v="5544"/>
    <n v="-26"/>
    <s v="Pending"/>
    <n v="12"/>
    <d v="2023-02-08T00:00:00"/>
    <n v="0"/>
    <n v="1864"/>
    <n v="0"/>
    <s v="Normal"/>
    <n v="2023"/>
    <s v="February"/>
  </r>
  <r>
    <n v="3141"/>
    <x v="123"/>
    <x v="3"/>
    <s v="South"/>
    <s v="Standard"/>
    <d v="2022-11-18T00:00:00"/>
    <d v="2023-01-21T00:00:00"/>
    <x v="17"/>
    <n v="205"/>
    <n v="-2098"/>
    <s v="Pending"/>
    <n v="2"/>
    <d v="2023-01-21T00:00:00"/>
    <n v="1"/>
    <n v="1865"/>
    <n v="-0.42"/>
    <s v="Normal"/>
    <n v="2023"/>
    <s v="January"/>
  </r>
  <r>
    <n v="3142"/>
    <x v="34"/>
    <x v="3"/>
    <s v="North"/>
    <s v="Standard"/>
    <d v="2022-03-09T00:00:00"/>
    <d v="2022-09-14T00:00:00"/>
    <x v="1440"/>
    <n v="838"/>
    <n v="3531"/>
    <s v="Overdue"/>
    <n v="6"/>
    <d v="2022-09-14T00:00:00"/>
    <n v="1"/>
    <n v="1866"/>
    <n v="0.81"/>
    <s v="Normal"/>
    <n v="2022"/>
    <s v="September"/>
  </r>
  <r>
    <n v="3143"/>
    <x v="110"/>
    <x v="1"/>
    <s v="East"/>
    <s v="Standard"/>
    <d v="2022-07-15T00:00:00"/>
    <d v="2022-12-23T00:00:00"/>
    <x v="1361"/>
    <n v="632"/>
    <n v="8907"/>
    <s v="Overdue"/>
    <n v="5"/>
    <d v="2022-12-23T00:00:00"/>
    <n v="1"/>
    <n v="1867"/>
    <n v="0.93"/>
    <s v="Normal"/>
    <n v="2022"/>
    <s v="December"/>
  </r>
  <r>
    <n v="3144"/>
    <x v="234"/>
    <x v="2"/>
    <s v="South"/>
    <s v="Basic"/>
    <d v="2022-08-13T00:00:00"/>
    <d v="2023-12-18T00:00:00"/>
    <x v="1441"/>
    <n v="6107"/>
    <n v="-4230"/>
    <s v="Pending"/>
    <n v="16"/>
    <d v="2023-12-18T00:00:00"/>
    <n v="1"/>
    <n v="1868"/>
    <n v="-2.25"/>
    <s v="Outlier"/>
    <n v="2023"/>
    <s v="December"/>
  </r>
  <r>
    <n v="3145"/>
    <x v="194"/>
    <x v="2"/>
    <s v="North"/>
    <s v="Basic"/>
    <d v="2022-01-31T00:00:00"/>
    <d v="2023-01-27T00:00:00"/>
    <x v="1442"/>
    <n v="6470"/>
    <n v="577.01"/>
    <s v="Overdue"/>
    <n v="11"/>
    <d v="2023-01-27T00:00:00"/>
    <n v="1"/>
    <n v="1869"/>
    <n v="7.0000000000000007E-2"/>
    <s v="Normal"/>
    <n v="2023"/>
    <s v="January"/>
  </r>
  <r>
    <n v="3146"/>
    <x v="70"/>
    <x v="2"/>
    <s v="East"/>
    <s v="Premium"/>
    <d v="2022-04-09T00:00:00"/>
    <d v="2023-05-09T00:00:00"/>
    <x v="1443"/>
    <n v="4205"/>
    <n v="2215"/>
    <s v="NA"/>
    <n v="13"/>
    <d v="2023-05-09T00:00:00"/>
    <n v="0"/>
    <n v="1870"/>
    <n v="0.35"/>
    <s v="Normal"/>
    <n v="2023"/>
    <s v="May"/>
  </r>
  <r>
    <n v="3147"/>
    <x v="66"/>
    <x v="4"/>
    <s v="North"/>
    <s v="Premium"/>
    <d v="2022-11-23T00:00:00"/>
    <d v="2023-12-24T00:00:00"/>
    <x v="1444"/>
    <n v="5000"/>
    <n v="575"/>
    <s v="Pending"/>
    <n v="13"/>
    <d v="2023-12-24T00:00:00"/>
    <n v="0"/>
    <n v="1871"/>
    <n v="0.1"/>
    <s v="Normal"/>
    <n v="2023"/>
    <s v="December"/>
  </r>
  <r>
    <n v="3148"/>
    <x v="73"/>
    <x v="1"/>
    <s v="East"/>
    <s v="Basic"/>
    <d v="2022-11-07T00:00:00"/>
    <d v="2024-02-21T00:00:00"/>
    <x v="1445"/>
    <n v="7387"/>
    <n v="-3794"/>
    <s v="NA"/>
    <n v="15"/>
    <d v="2024-02-21T00:00:00"/>
    <n v="0"/>
    <n v="1872"/>
    <n v="-1.06"/>
    <s v="Outlier"/>
    <n v="2024"/>
    <s v="February"/>
  </r>
  <r>
    <n v="3150"/>
    <x v="62"/>
    <x v="1"/>
    <s v="North"/>
    <s v="Standard"/>
    <d v="2022-03-22T00:00:00"/>
    <d v="2022-06-01T00:00:00"/>
    <x v="1446"/>
    <n v="4537"/>
    <n v="577.01"/>
    <s v="NA"/>
    <n v="2"/>
    <d v="2022-06-01T00:00:00"/>
    <n v="0"/>
    <n v="1873"/>
    <n v="0.81"/>
    <s v="Normal"/>
    <n v="2022"/>
    <s v="June"/>
  </r>
  <r>
    <n v="3151"/>
    <x v="179"/>
    <x v="0"/>
    <s v="West"/>
    <s v="Premium"/>
    <d v="2022-02-07T00:00:00"/>
    <d v="2022-12-18T00:00:00"/>
    <x v="1447"/>
    <n v="4012.75"/>
    <n v="2372"/>
    <s v="Pending"/>
    <n v="10"/>
    <d v="2022-12-18T00:00:00"/>
    <n v="0"/>
    <n v="1874"/>
    <n v="1.1599999999999999"/>
    <s v="Outlier"/>
    <n v="2022"/>
    <s v="December"/>
  </r>
  <r>
    <n v="3152"/>
    <x v="77"/>
    <x v="1"/>
    <s v="West"/>
    <s v="Basic"/>
    <d v="2022-11-13T00:00:00"/>
    <d v="2023-10-18T00:00:00"/>
    <x v="1448"/>
    <n v="7040"/>
    <n v="-5267"/>
    <s v="Paid"/>
    <n v="11"/>
    <d v="2023-10-18T00:00:00"/>
    <n v="1"/>
    <n v="1875"/>
    <n v="-2.97"/>
    <s v="Outlier"/>
    <n v="2023"/>
    <s v="October"/>
  </r>
  <r>
    <n v="3153"/>
    <x v="103"/>
    <x v="3"/>
    <s v="South"/>
    <s v="Premium"/>
    <d v="2022-12-14T00:00:00"/>
    <d v="2024-03-18T00:00:00"/>
    <x v="1325"/>
    <n v="1064"/>
    <n v="1734"/>
    <s v="Pending"/>
    <n v="15"/>
    <d v="2024-03-18T00:00:00"/>
    <n v="1"/>
    <n v="1876"/>
    <n v="0.62"/>
    <s v="Normal"/>
    <n v="2024"/>
    <s v="March"/>
  </r>
  <r>
    <n v="3154"/>
    <x v="183"/>
    <x v="0"/>
    <s v="East"/>
    <s v="Basic"/>
    <d v="2022-03-29T00:00:00"/>
    <d v="2022-11-03T00:00:00"/>
    <x v="1449"/>
    <n v="4012.75"/>
    <n v="1065"/>
    <s v="NA"/>
    <n v="7"/>
    <d v="2022-11-03T00:00:00"/>
    <n v="0"/>
    <n v="1877"/>
    <n v="1.1000000000000001"/>
    <s v="Outlier"/>
    <n v="2022"/>
    <s v="November"/>
  </r>
  <r>
    <n v="3155"/>
    <x v="371"/>
    <x v="2"/>
    <s v="East"/>
    <s v="Basic"/>
    <d v="2022-05-10T00:00:00"/>
    <d v="2022-12-03T00:00:00"/>
    <x v="1450"/>
    <n v="7362"/>
    <n v="1669"/>
    <s v="Paid"/>
    <n v="6"/>
    <d v="2022-12-03T00:00:00"/>
    <n v="1"/>
    <n v="1878"/>
    <n v="0.18"/>
    <s v="Normal"/>
    <n v="2022"/>
    <s v="December"/>
  </r>
  <r>
    <n v="3156"/>
    <x v="127"/>
    <x v="4"/>
    <s v="West"/>
    <s v="Standard"/>
    <d v="2022-07-29T00:00:00"/>
    <d v="2023-03-08T00:00:00"/>
    <x v="1451"/>
    <n v="304"/>
    <n v="577.01"/>
    <s v="Overdue"/>
    <n v="7"/>
    <d v="2023-03-08T00:00:00"/>
    <n v="1"/>
    <n v="1879"/>
    <n v="0.18"/>
    <s v="Normal"/>
    <n v="2023"/>
    <s v="March"/>
  </r>
  <r>
    <n v="3158"/>
    <x v="231"/>
    <x v="0"/>
    <s v="East"/>
    <s v="Basic"/>
    <d v="2022-05-20T00:00:00"/>
    <d v="2023-06-27T00:00:00"/>
    <x v="1452"/>
    <n v="7606"/>
    <n v="-6624"/>
    <s v="NA"/>
    <n v="13"/>
    <d v="2023-06-27T00:00:00"/>
    <n v="0"/>
    <n v="1880"/>
    <n v="-6.75"/>
    <s v="Outlier"/>
    <n v="2023"/>
    <s v="June"/>
  </r>
  <r>
    <n v="3162"/>
    <x v="250"/>
    <x v="0"/>
    <s v="East"/>
    <s v="Standard"/>
    <d v="2023-01-01T00:00:00"/>
    <d v="2023-12-28T00:00:00"/>
    <x v="17"/>
    <n v="4432"/>
    <n v="-5073"/>
    <s v="Pending"/>
    <n v="11"/>
    <d v="2023-12-28T00:00:00"/>
    <n v="0"/>
    <n v="1881"/>
    <n v="-1.02"/>
    <s v="Outlier"/>
    <n v="2023"/>
    <s v="December"/>
  </r>
  <r>
    <n v="3163"/>
    <x v="170"/>
    <x v="3"/>
    <s v="East"/>
    <s v="Standard"/>
    <d v="2022-07-13T00:00:00"/>
    <d v="2024-01-23T00:00:00"/>
    <x v="17"/>
    <n v="3114"/>
    <n v="-3752"/>
    <s v="Overdue"/>
    <n v="18"/>
    <d v="2024-01-23T00:00:00"/>
    <n v="0"/>
    <n v="1882"/>
    <n v="-0.76"/>
    <s v="Normal"/>
    <n v="2024"/>
    <s v="January"/>
  </r>
  <r>
    <n v="3166"/>
    <x v="63"/>
    <x v="2"/>
    <s v="East"/>
    <s v="Basic"/>
    <d v="2022-04-06T00:00:00"/>
    <d v="2023-05-22T00:00:00"/>
    <x v="1453"/>
    <n v="5291"/>
    <n v="3376"/>
    <s v="Overdue"/>
    <n v="13"/>
    <d v="2023-05-22T00:00:00"/>
    <n v="1"/>
    <n v="1883"/>
    <n v="0.39"/>
    <s v="Normal"/>
    <n v="2023"/>
    <s v="May"/>
  </r>
  <r>
    <n v="3167"/>
    <x v="359"/>
    <x v="4"/>
    <s v="North"/>
    <s v="Premium"/>
    <d v="2022-12-02T00:00:00"/>
    <d v="2023-09-09T00:00:00"/>
    <x v="1454"/>
    <n v="4729"/>
    <n v="-1215"/>
    <s v="Pending"/>
    <n v="9"/>
    <d v="2023-09-09T00:00:00"/>
    <n v="1"/>
    <n v="1884"/>
    <n v="-0.35"/>
    <s v="Normal"/>
    <n v="2023"/>
    <s v="September"/>
  </r>
  <r>
    <n v="3169"/>
    <x v="89"/>
    <x v="3"/>
    <s v="South"/>
    <s v="Basic"/>
    <d v="2022-12-30T00:00:00"/>
    <d v="2023-07-06T00:00:00"/>
    <x v="1455"/>
    <n v="5614"/>
    <n v="577.01"/>
    <s v="NA"/>
    <n v="6"/>
    <d v="2023-07-06T00:00:00"/>
    <n v="1"/>
    <n v="1885"/>
    <n v="0.09"/>
    <s v="Normal"/>
    <n v="2023"/>
    <s v="July"/>
  </r>
  <r>
    <n v="3170"/>
    <x v="164"/>
    <x v="1"/>
    <s v="North"/>
    <s v="Premium"/>
    <d v="2022-01-21T00:00:00"/>
    <d v="2023-02-28T00:00:00"/>
    <x v="36"/>
    <n v="4012.75"/>
    <n v="1331"/>
    <s v="Paid"/>
    <n v="13"/>
    <d v="2023-02-28T00:00:00"/>
    <n v="0"/>
    <n v="1886"/>
    <n v="1.27"/>
    <s v="Outlier"/>
    <n v="2023"/>
    <s v="February"/>
  </r>
  <r>
    <n v="3171"/>
    <x v="228"/>
    <x v="0"/>
    <s v="East"/>
    <s v="Premium"/>
    <d v="2022-03-17T00:00:00"/>
    <d v="2023-04-16T00:00:00"/>
    <x v="1456"/>
    <n v="485"/>
    <n v="1446"/>
    <s v="NA"/>
    <n v="12"/>
    <d v="2023-04-16T00:00:00"/>
    <n v="1"/>
    <n v="1887"/>
    <n v="0.75"/>
    <s v="Normal"/>
    <n v="2023"/>
    <s v="April"/>
  </r>
  <r>
    <n v="3172"/>
    <x v="127"/>
    <x v="2"/>
    <s v="South"/>
    <s v="Premium"/>
    <d v="2022-04-19T00:00:00"/>
    <d v="2023-01-18T00:00:00"/>
    <x v="1457"/>
    <n v="4432"/>
    <n v="3598"/>
    <s v="Overdue"/>
    <n v="8"/>
    <d v="2023-01-18T00:00:00"/>
    <n v="0"/>
    <n v="1888"/>
    <n v="0.45"/>
    <s v="Normal"/>
    <n v="2023"/>
    <s v="January"/>
  </r>
  <r>
    <n v="3176"/>
    <x v="138"/>
    <x v="1"/>
    <s v="North"/>
    <s v="Basic"/>
    <d v="2022-07-15T00:00:00"/>
    <d v="2023-02-02T00:00:00"/>
    <x v="1458"/>
    <n v="4833"/>
    <n v="577.01"/>
    <s v="NA"/>
    <n v="6"/>
    <d v="2023-02-02T00:00:00"/>
    <n v="1"/>
    <n v="1889"/>
    <n v="1.02"/>
    <s v="Outlier"/>
    <n v="2023"/>
    <s v="February"/>
  </r>
  <r>
    <n v="3177"/>
    <x v="344"/>
    <x v="1"/>
    <s v="East"/>
    <s v="Premium"/>
    <d v="2022-05-09T00:00:00"/>
    <d v="2023-08-15T00:00:00"/>
    <x v="1045"/>
    <n v="961"/>
    <n v="8809"/>
    <s v="Paid"/>
    <n v="15"/>
    <d v="2023-08-15T00:00:00"/>
    <n v="0"/>
    <n v="1890"/>
    <n v="0.9"/>
    <s v="Normal"/>
    <n v="2023"/>
    <s v="August"/>
  </r>
  <r>
    <n v="3180"/>
    <x v="272"/>
    <x v="2"/>
    <s v="East"/>
    <s v="Basic"/>
    <d v="2022-02-28T00:00:00"/>
    <d v="2022-04-16T00:00:00"/>
    <x v="1459"/>
    <n v="2918"/>
    <n v="-949"/>
    <s v="Pending"/>
    <n v="1"/>
    <d v="2022-04-16T00:00:00"/>
    <n v="1"/>
    <n v="1891"/>
    <n v="-0.48"/>
    <s v="Normal"/>
    <n v="2022"/>
    <s v="April"/>
  </r>
  <r>
    <n v="3181"/>
    <x v="43"/>
    <x v="4"/>
    <s v="West"/>
    <s v="Standard"/>
    <d v="2022-12-23T00:00:00"/>
    <d v="2023-11-12T00:00:00"/>
    <x v="1460"/>
    <n v="601"/>
    <n v="7972"/>
    <s v="Pending"/>
    <n v="10"/>
    <d v="2023-11-12T00:00:00"/>
    <n v="1"/>
    <n v="1892"/>
    <n v="0.93"/>
    <s v="Normal"/>
    <n v="2023"/>
    <s v="November"/>
  </r>
  <r>
    <n v="3183"/>
    <x v="146"/>
    <x v="3"/>
    <s v="North"/>
    <s v="Standard"/>
    <d v="2022-06-29T00:00:00"/>
    <d v="2023-03-12T00:00:00"/>
    <x v="1461"/>
    <n v="4307"/>
    <n v="-702"/>
    <s v="Overdue"/>
    <n v="8"/>
    <d v="2023-03-12T00:00:00"/>
    <n v="1"/>
    <n v="1893"/>
    <n v="-0.19"/>
    <s v="Normal"/>
    <n v="2023"/>
    <s v="March"/>
  </r>
  <r>
    <n v="3184"/>
    <x v="86"/>
    <x v="0"/>
    <s v="West"/>
    <s v="Premium"/>
    <d v="2022-01-27T00:00:00"/>
    <d v="2022-06-17T00:00:00"/>
    <x v="1462"/>
    <n v="1818"/>
    <n v="6530"/>
    <s v="Pending"/>
    <n v="4"/>
    <d v="2022-06-17T00:00:00"/>
    <n v="0"/>
    <n v="1894"/>
    <n v="0.78"/>
    <s v="Normal"/>
    <n v="2022"/>
    <s v="June"/>
  </r>
  <r>
    <n v="3186"/>
    <x v="184"/>
    <x v="4"/>
    <s v="South"/>
    <s v="Premium"/>
    <d v="2022-04-22T00:00:00"/>
    <d v="2023-10-16T00:00:00"/>
    <x v="1463"/>
    <n v="5532"/>
    <n v="884"/>
    <s v="NA"/>
    <n v="17"/>
    <d v="2023-10-16T00:00:00"/>
    <n v="1"/>
    <n v="1895"/>
    <n v="0.14000000000000001"/>
    <s v="Normal"/>
    <n v="2023"/>
    <s v="October"/>
  </r>
  <r>
    <n v="3187"/>
    <x v="37"/>
    <x v="0"/>
    <s v="North"/>
    <s v="Premium"/>
    <d v="2022-05-04T00:00:00"/>
    <d v="2023-09-05T00:00:00"/>
    <x v="17"/>
    <n v="54"/>
    <n v="-90"/>
    <s v="NA"/>
    <n v="16"/>
    <d v="2023-09-05T00:00:00"/>
    <n v="1"/>
    <n v="1896"/>
    <n v="-0.02"/>
    <s v="Normal"/>
    <n v="2023"/>
    <s v="September"/>
  </r>
  <r>
    <n v="3188"/>
    <x v="11"/>
    <x v="0"/>
    <s v="East"/>
    <s v="Basic"/>
    <d v="2022-04-15T00:00:00"/>
    <d v="2022-11-06T00:00:00"/>
    <x v="1464"/>
    <n v="3581"/>
    <n v="5350"/>
    <s v="Overdue"/>
    <n v="6"/>
    <d v="2022-11-06T00:00:00"/>
    <n v="0"/>
    <n v="1897"/>
    <n v="0.6"/>
    <s v="Normal"/>
    <n v="2022"/>
    <s v="November"/>
  </r>
  <r>
    <n v="3194"/>
    <x v="58"/>
    <x v="2"/>
    <s v="West"/>
    <s v="Standard"/>
    <d v="2022-11-04T00:00:00"/>
    <d v="2022-12-24T00:00:00"/>
    <x v="1465"/>
    <n v="4085"/>
    <n v="-1237"/>
    <s v="NA"/>
    <n v="1"/>
    <d v="2022-12-24T00:00:00"/>
    <n v="1"/>
    <n v="1898"/>
    <n v="-0.43"/>
    <s v="Normal"/>
    <n v="2022"/>
    <s v="December"/>
  </r>
  <r>
    <n v="3195"/>
    <x v="369"/>
    <x v="3"/>
    <s v="North"/>
    <s v="Premium"/>
    <d v="2022-08-06T00:00:00"/>
    <d v="2023-12-17T00:00:00"/>
    <x v="17"/>
    <n v="960"/>
    <n v="-2764"/>
    <s v="Paid"/>
    <n v="16"/>
    <d v="2023-12-17T00:00:00"/>
    <n v="0"/>
    <n v="1899"/>
    <n v="-0.56000000000000005"/>
    <s v="Normal"/>
    <n v="2023"/>
    <s v="December"/>
  </r>
  <r>
    <n v="3196"/>
    <x v="160"/>
    <x v="3"/>
    <s v="East"/>
    <s v="Premium"/>
    <d v="2022-03-28T00:00:00"/>
    <d v="2023-10-19T00:00:00"/>
    <x v="588"/>
    <n v="5440"/>
    <n v="-5201"/>
    <s v="Overdue"/>
    <n v="18"/>
    <d v="2023-10-19T00:00:00"/>
    <n v="1"/>
    <n v="1900"/>
    <n v="-21.76"/>
    <s v="Outlier"/>
    <n v="2023"/>
    <s v="October"/>
  </r>
  <r>
    <n v="3198"/>
    <x v="199"/>
    <x v="3"/>
    <s v="West"/>
    <s v="Standard"/>
    <d v="2022-12-24T00:00:00"/>
    <d v="2024-08-01T00:00:00"/>
    <x v="1466"/>
    <n v="4012.75"/>
    <n v="8767"/>
    <s v="Overdue"/>
    <n v="19"/>
    <d v="2024-08-01T00:00:00"/>
    <n v="0"/>
    <n v="1901"/>
    <n v="1.08"/>
    <s v="Outlier"/>
    <n v="2024"/>
    <s v="August"/>
  </r>
  <r>
    <n v="3202"/>
    <x v="399"/>
    <x v="4"/>
    <s v="East"/>
    <s v="Premium"/>
    <d v="2022-03-28T00:00:00"/>
    <d v="2022-10-26T00:00:00"/>
    <x v="17"/>
    <n v="237"/>
    <n v="-2125"/>
    <s v="Pending"/>
    <n v="6"/>
    <d v="2022-10-26T00:00:00"/>
    <n v="1"/>
    <n v="1902"/>
    <n v="-0.43"/>
    <s v="Normal"/>
    <n v="2022"/>
    <s v="October"/>
  </r>
  <r>
    <n v="3205"/>
    <x v="177"/>
    <x v="4"/>
    <s v="South"/>
    <s v="Standard"/>
    <d v="2022-06-26T00:00:00"/>
    <d v="2023-07-10T00:00:00"/>
    <x v="1467"/>
    <n v="2194"/>
    <n v="6241"/>
    <s v="Overdue"/>
    <n v="12"/>
    <d v="2023-07-10T00:00:00"/>
    <n v="0"/>
    <n v="1903"/>
    <n v="0.74"/>
    <s v="Normal"/>
    <n v="2023"/>
    <s v="July"/>
  </r>
  <r>
    <n v="3206"/>
    <x v="190"/>
    <x v="0"/>
    <s v="East"/>
    <s v="Premium"/>
    <d v="2022-07-07T00:00:00"/>
    <d v="2022-10-05T00:00:00"/>
    <x v="1468"/>
    <n v="4487"/>
    <n v="1450"/>
    <s v="Paid"/>
    <n v="2"/>
    <d v="2022-10-05T00:00:00"/>
    <n v="0"/>
    <n v="1904"/>
    <n v="0.24"/>
    <s v="Normal"/>
    <n v="2022"/>
    <s v="October"/>
  </r>
  <r>
    <n v="3208"/>
    <x v="130"/>
    <x v="0"/>
    <s v="East"/>
    <s v="Standard"/>
    <d v="2022-06-01T00:00:00"/>
    <d v="2023-03-02T00:00:00"/>
    <x v="241"/>
    <n v="1427"/>
    <n v="7526"/>
    <s v="Overdue"/>
    <n v="9"/>
    <d v="2023-03-02T00:00:00"/>
    <n v="0"/>
    <n v="1905"/>
    <n v="0.84"/>
    <s v="Normal"/>
    <n v="2023"/>
    <s v="March"/>
  </r>
  <r>
    <n v="3210"/>
    <x v="197"/>
    <x v="3"/>
    <s v="South"/>
    <s v="Basic"/>
    <d v="2022-03-17T00:00:00"/>
    <d v="2022-06-02T00:00:00"/>
    <x v="1469"/>
    <n v="4528"/>
    <n v="-2342"/>
    <s v="Pending"/>
    <n v="2"/>
    <d v="2022-06-02T00:00:00"/>
    <n v="1"/>
    <n v="1906"/>
    <n v="-1.07"/>
    <s v="Outlier"/>
    <n v="2022"/>
    <s v="June"/>
  </r>
  <r>
    <n v="3211"/>
    <x v="79"/>
    <x v="2"/>
    <s v="East"/>
    <s v="Premium"/>
    <d v="2022-01-30T00:00:00"/>
    <d v="2023-05-30T00:00:00"/>
    <x v="1470"/>
    <n v="7673"/>
    <n v="-3703"/>
    <s v="Overdue"/>
    <n v="16"/>
    <d v="2023-05-30T00:00:00"/>
    <n v="1"/>
    <n v="1907"/>
    <n v="-0.93"/>
    <s v="Normal"/>
    <n v="2023"/>
    <s v="May"/>
  </r>
  <r>
    <n v="3212"/>
    <x v="42"/>
    <x v="4"/>
    <s v="South"/>
    <s v="Basic"/>
    <d v="2022-02-10T00:00:00"/>
    <d v="2022-03-31T00:00:00"/>
    <x v="1471"/>
    <n v="2274"/>
    <n v="382"/>
    <s v="NA"/>
    <n v="1"/>
    <d v="2022-03-31T00:00:00"/>
    <n v="1"/>
    <n v="1908"/>
    <n v="0.14000000000000001"/>
    <s v="Normal"/>
    <n v="2022"/>
    <s v="March"/>
  </r>
  <r>
    <n v="3215"/>
    <x v="211"/>
    <x v="1"/>
    <s v="East"/>
    <s v="Premium"/>
    <d v="2022-08-13T00:00:00"/>
    <d v="2023-02-18T00:00:00"/>
    <x v="1472"/>
    <n v="4012.75"/>
    <n v="3612"/>
    <s v="NA"/>
    <n v="6"/>
    <d v="2023-02-18T00:00:00"/>
    <n v="1"/>
    <n v="1909"/>
    <n v="1.1000000000000001"/>
    <s v="Outlier"/>
    <n v="2023"/>
    <s v="February"/>
  </r>
  <r>
    <n v="3217"/>
    <x v="369"/>
    <x v="3"/>
    <s v="South"/>
    <s v="Basic"/>
    <d v="2022-11-29T00:00:00"/>
    <d v="2023-07-18T00:00:00"/>
    <x v="17"/>
    <n v="4932"/>
    <n v="-5255"/>
    <s v="Overdue"/>
    <n v="7"/>
    <d v="2023-07-18T00:00:00"/>
    <n v="1"/>
    <n v="1910"/>
    <n v="-1.06"/>
    <s v="Outlier"/>
    <n v="2023"/>
    <s v="July"/>
  </r>
  <r>
    <n v="3219"/>
    <x v="155"/>
    <x v="0"/>
    <s v="West"/>
    <s v="Standard"/>
    <d v="2022-12-31T00:00:00"/>
    <d v="2024-01-09T00:00:00"/>
    <x v="820"/>
    <n v="7763"/>
    <n v="-5043"/>
    <s v="Overdue"/>
    <n v="12"/>
    <d v="2024-01-09T00:00:00"/>
    <n v="1"/>
    <n v="1911"/>
    <n v="-1.85"/>
    <s v="Outlier"/>
    <n v="2024"/>
    <s v="January"/>
  </r>
  <r>
    <n v="3221"/>
    <x v="256"/>
    <x v="2"/>
    <s v="East"/>
    <s v="Premium"/>
    <d v="2022-10-21T00:00:00"/>
    <d v="2023-12-21T00:00:00"/>
    <x v="1473"/>
    <n v="3279"/>
    <n v="577.01"/>
    <s v="NA"/>
    <n v="14"/>
    <d v="2023-12-21T00:00:00"/>
    <n v="1"/>
    <n v="1912"/>
    <n v="0.21"/>
    <s v="Normal"/>
    <n v="2023"/>
    <s v="December"/>
  </r>
  <r>
    <n v="3222"/>
    <x v="73"/>
    <x v="0"/>
    <s v="South"/>
    <s v="Premium"/>
    <d v="2022-03-08T00:00:00"/>
    <d v="2023-01-18T00:00:00"/>
    <x v="1474"/>
    <n v="3801"/>
    <n v="-1397"/>
    <s v="Overdue"/>
    <n v="10"/>
    <d v="2023-01-18T00:00:00"/>
    <n v="1"/>
    <n v="1913"/>
    <n v="-0.57999999999999996"/>
    <s v="Normal"/>
    <n v="2023"/>
    <s v="January"/>
  </r>
  <r>
    <n v="3228"/>
    <x v="17"/>
    <x v="0"/>
    <s v="East"/>
    <s v="Basic"/>
    <d v="2022-06-15T00:00:00"/>
    <d v="2023-03-14T00:00:00"/>
    <x v="1475"/>
    <n v="7306"/>
    <n v="-2964"/>
    <s v="Paid"/>
    <n v="8"/>
    <d v="2023-03-14T00:00:00"/>
    <n v="0"/>
    <n v="1914"/>
    <n v="-0.68"/>
    <s v="Normal"/>
    <n v="2023"/>
    <s v="March"/>
  </r>
  <r>
    <n v="3229"/>
    <x v="34"/>
    <x v="2"/>
    <s v="North"/>
    <s v="Basic"/>
    <d v="2022-12-18T00:00:00"/>
    <d v="2024-06-07T00:00:00"/>
    <x v="1476"/>
    <n v="2776"/>
    <n v="5343"/>
    <s v="Paid"/>
    <n v="17"/>
    <d v="2024-06-07T00:00:00"/>
    <n v="1"/>
    <n v="1915"/>
    <n v="0.66"/>
    <s v="Normal"/>
    <n v="2024"/>
    <s v="June"/>
  </r>
  <r>
    <n v="3231"/>
    <x v="7"/>
    <x v="1"/>
    <s v="West"/>
    <s v="Basic"/>
    <d v="2022-03-01T00:00:00"/>
    <d v="2022-12-11T00:00:00"/>
    <x v="1477"/>
    <n v="6097"/>
    <n v="-1080"/>
    <s v="Paid"/>
    <n v="9"/>
    <d v="2022-12-11T00:00:00"/>
    <n v="1"/>
    <n v="1916"/>
    <n v="-0.22"/>
    <s v="Normal"/>
    <n v="2022"/>
    <s v="December"/>
  </r>
  <r>
    <n v="3232"/>
    <x v="6"/>
    <x v="2"/>
    <s v="East"/>
    <s v="Premium"/>
    <d v="2022-10-23T00:00:00"/>
    <d v="2023-06-02T00:00:00"/>
    <x v="17"/>
    <n v="1866"/>
    <n v="-2860"/>
    <s v="Pending"/>
    <n v="7"/>
    <d v="2023-06-02T00:00:00"/>
    <n v="0"/>
    <n v="1917"/>
    <n v="-0.57999999999999996"/>
    <s v="Normal"/>
    <n v="2023"/>
    <s v="June"/>
  </r>
  <r>
    <n v="3234"/>
    <x v="206"/>
    <x v="1"/>
    <s v="North"/>
    <s v="Premium"/>
    <d v="2022-12-18T00:00:00"/>
    <d v="2023-10-19T00:00:00"/>
    <x v="1478"/>
    <n v="7732"/>
    <n v="577.01"/>
    <s v="Paid"/>
    <n v="10"/>
    <d v="2023-10-19T00:00:00"/>
    <n v="0"/>
    <n v="1918"/>
    <n v="0.11"/>
    <s v="Normal"/>
    <n v="2023"/>
    <s v="October"/>
  </r>
  <r>
    <n v="3235"/>
    <x v="161"/>
    <x v="2"/>
    <s v="East"/>
    <s v="Standard"/>
    <d v="2022-03-15T00:00:00"/>
    <d v="2022-06-13T00:00:00"/>
    <x v="1479"/>
    <n v="544"/>
    <n v="3606"/>
    <s v="NA"/>
    <n v="2"/>
    <d v="2022-06-13T00:00:00"/>
    <n v="1"/>
    <n v="1919"/>
    <n v="0.87"/>
    <s v="Normal"/>
    <n v="2022"/>
    <s v="June"/>
  </r>
  <r>
    <n v="3237"/>
    <x v="384"/>
    <x v="3"/>
    <s v="West"/>
    <s v="Standard"/>
    <d v="2022-12-21T00:00:00"/>
    <d v="2024-03-26T00:00:00"/>
    <x v="1480"/>
    <n v="7321"/>
    <n v="-1701"/>
    <s v="Pending"/>
    <n v="15"/>
    <d v="2024-03-26T00:00:00"/>
    <n v="0"/>
    <n v="1920"/>
    <n v="-0.3"/>
    <s v="Normal"/>
    <n v="2024"/>
    <s v="March"/>
  </r>
  <r>
    <n v="3238"/>
    <x v="93"/>
    <x v="1"/>
    <s v="East"/>
    <s v="Basic"/>
    <d v="2022-07-02T00:00:00"/>
    <d v="2023-10-24T00:00:00"/>
    <x v="17"/>
    <n v="2640"/>
    <n v="577.01"/>
    <s v="NA"/>
    <n v="15"/>
    <d v="2023-10-24T00:00:00"/>
    <n v="1"/>
    <n v="1921"/>
    <n v="0.12"/>
    <s v="Normal"/>
    <n v="2023"/>
    <s v="October"/>
  </r>
  <r>
    <n v="3240"/>
    <x v="352"/>
    <x v="0"/>
    <s v="North"/>
    <s v="Basic"/>
    <d v="2022-11-30T00:00:00"/>
    <d v="2024-04-12T00:00:00"/>
    <x v="1481"/>
    <n v="582"/>
    <n v="7254"/>
    <s v="Pending"/>
    <n v="16"/>
    <d v="2024-04-12T00:00:00"/>
    <n v="1"/>
    <n v="1922"/>
    <n v="0.93"/>
    <s v="Normal"/>
    <n v="2024"/>
    <s v="April"/>
  </r>
  <r>
    <n v="3242"/>
    <x v="271"/>
    <x v="2"/>
    <s v="East"/>
    <s v="Standard"/>
    <d v="2022-03-13T00:00:00"/>
    <d v="2022-10-21T00:00:00"/>
    <x v="1482"/>
    <n v="2436"/>
    <n v="-1643"/>
    <s v="Overdue"/>
    <n v="7"/>
    <d v="2022-10-21T00:00:00"/>
    <n v="1"/>
    <n v="1923"/>
    <n v="-2.0699999999999998"/>
    <s v="Outlier"/>
    <n v="2022"/>
    <s v="October"/>
  </r>
  <r>
    <n v="3249"/>
    <x v="19"/>
    <x v="0"/>
    <s v="South"/>
    <s v="Premium"/>
    <d v="2022-04-18T00:00:00"/>
    <d v="2023-03-14T00:00:00"/>
    <x v="17"/>
    <n v="6685"/>
    <n v="-8541"/>
    <s v="Paid"/>
    <n v="10"/>
    <d v="2023-03-14T00:00:00"/>
    <n v="1"/>
    <n v="1924"/>
    <n v="-1.72"/>
    <s v="Outlier"/>
    <n v="2023"/>
    <s v="March"/>
  </r>
  <r>
    <n v="3251"/>
    <x v="140"/>
    <x v="4"/>
    <s v="North"/>
    <s v="Standard"/>
    <d v="2022-06-24T00:00:00"/>
    <d v="2023-04-06T00:00:00"/>
    <x v="1354"/>
    <n v="7067"/>
    <n v="2015"/>
    <s v="NA"/>
    <n v="9"/>
    <d v="2023-04-06T00:00:00"/>
    <n v="0"/>
    <n v="1925"/>
    <n v="0.22"/>
    <s v="Normal"/>
    <n v="2023"/>
    <s v="April"/>
  </r>
  <r>
    <n v="3253"/>
    <x v="293"/>
    <x v="3"/>
    <s v="South"/>
    <s v="Premium"/>
    <d v="2022-12-03T00:00:00"/>
    <d v="2024-04-04T00:00:00"/>
    <x v="1483"/>
    <n v="3716"/>
    <n v="-463"/>
    <s v="Overdue"/>
    <n v="16"/>
    <d v="2024-04-04T00:00:00"/>
    <n v="0"/>
    <n v="1926"/>
    <n v="-0.14000000000000001"/>
    <s v="Normal"/>
    <n v="2024"/>
    <s v="April"/>
  </r>
  <r>
    <n v="3254"/>
    <x v="327"/>
    <x v="4"/>
    <s v="West"/>
    <s v="Basic"/>
    <d v="2022-09-03T00:00:00"/>
    <d v="2023-09-22T00:00:00"/>
    <x v="17"/>
    <n v="2833"/>
    <n v="-3016"/>
    <s v="Overdue"/>
    <n v="12"/>
    <d v="2023-09-22T00:00:00"/>
    <n v="0"/>
    <n v="1927"/>
    <n v="-0.61"/>
    <s v="Normal"/>
    <n v="2023"/>
    <s v="September"/>
  </r>
  <r>
    <n v="3256"/>
    <x v="20"/>
    <x v="2"/>
    <s v="North"/>
    <s v="Basic"/>
    <d v="2022-05-09T00:00:00"/>
    <d v="2022-12-06T00:00:00"/>
    <x v="1484"/>
    <n v="5779"/>
    <n v="-2649"/>
    <s v="Overdue"/>
    <n v="6"/>
    <d v="2022-12-06T00:00:00"/>
    <n v="1"/>
    <n v="1928"/>
    <n v="-0.85"/>
    <s v="Normal"/>
    <n v="2022"/>
    <s v="December"/>
  </r>
  <r>
    <n v="3257"/>
    <x v="185"/>
    <x v="4"/>
    <s v="West"/>
    <s v="Standard"/>
    <d v="2022-08-31T00:00:00"/>
    <d v="2024-01-19T00:00:00"/>
    <x v="1485"/>
    <n v="2580"/>
    <n v="3028"/>
    <s v="NA"/>
    <n v="16"/>
    <d v="2024-01-19T00:00:00"/>
    <n v="0"/>
    <n v="1929"/>
    <n v="0.54"/>
    <s v="Normal"/>
    <n v="2024"/>
    <s v="January"/>
  </r>
  <r>
    <n v="3258"/>
    <x v="193"/>
    <x v="3"/>
    <s v="North"/>
    <s v="Standard"/>
    <d v="2022-11-26T00:00:00"/>
    <d v="2023-07-20T00:00:00"/>
    <x v="1486"/>
    <n v="5685"/>
    <n v="-564"/>
    <s v="Overdue"/>
    <n v="7"/>
    <d v="2023-07-20T00:00:00"/>
    <n v="0"/>
    <n v="1930"/>
    <n v="-0.11"/>
    <s v="Normal"/>
    <n v="2023"/>
    <s v="July"/>
  </r>
  <r>
    <n v="3259"/>
    <x v="175"/>
    <x v="3"/>
    <s v="East"/>
    <s v="Premium"/>
    <d v="2022-04-23T00:00:00"/>
    <d v="2022-06-05T00:00:00"/>
    <x v="1487"/>
    <n v="4315"/>
    <n v="4380"/>
    <s v="Paid"/>
    <n v="1"/>
    <d v="2022-06-05T00:00:00"/>
    <n v="1"/>
    <n v="1931"/>
    <n v="0.5"/>
    <s v="Normal"/>
    <n v="2022"/>
    <s v="June"/>
  </r>
  <r>
    <n v="3262"/>
    <x v="156"/>
    <x v="3"/>
    <s v="North"/>
    <s v="Premium"/>
    <d v="2022-06-07T00:00:00"/>
    <d v="2023-12-20T00:00:00"/>
    <x v="1488"/>
    <n v="6236"/>
    <n v="-4182"/>
    <s v="Paid"/>
    <n v="18"/>
    <d v="2023-12-20T00:00:00"/>
    <n v="1"/>
    <n v="1932"/>
    <n v="-2.04"/>
    <s v="Outlier"/>
    <n v="2023"/>
    <s v="December"/>
  </r>
  <r>
    <n v="3265"/>
    <x v="85"/>
    <x v="3"/>
    <s v="East"/>
    <s v="Basic"/>
    <d v="2022-08-03T00:00:00"/>
    <d v="2023-05-04T00:00:00"/>
    <x v="1416"/>
    <n v="2860"/>
    <n v="5993"/>
    <s v="Paid"/>
    <n v="9"/>
    <d v="2023-05-04T00:00:00"/>
    <n v="0"/>
    <n v="1933"/>
    <n v="0.68"/>
    <s v="Normal"/>
    <n v="2023"/>
    <s v="May"/>
  </r>
  <r>
    <n v="3266"/>
    <x v="156"/>
    <x v="2"/>
    <s v="North"/>
    <s v="Standard"/>
    <d v="2022-06-20T00:00:00"/>
    <d v="2022-10-12T00:00:00"/>
    <x v="156"/>
    <n v="4473"/>
    <n v="591"/>
    <s v="Overdue"/>
    <n v="3"/>
    <d v="2022-10-12T00:00:00"/>
    <n v="1"/>
    <n v="1934"/>
    <n v="0.12"/>
    <s v="Normal"/>
    <n v="2022"/>
    <s v="October"/>
  </r>
  <r>
    <n v="3267"/>
    <x v="233"/>
    <x v="0"/>
    <s v="East"/>
    <s v="Premium"/>
    <d v="2022-05-22T00:00:00"/>
    <d v="2023-10-21T00:00:00"/>
    <x v="17"/>
    <n v="1105"/>
    <n v="-2576"/>
    <s v="Pending"/>
    <n v="16"/>
    <d v="2023-10-21T00:00:00"/>
    <n v="0"/>
    <n v="1935"/>
    <n v="-0.52"/>
    <s v="Normal"/>
    <n v="2023"/>
    <s v="October"/>
  </r>
  <r>
    <n v="3269"/>
    <x v="380"/>
    <x v="3"/>
    <s v="West"/>
    <s v="Standard"/>
    <d v="2022-02-26T00:00:00"/>
    <d v="2023-03-03T00:00:00"/>
    <x v="1489"/>
    <n v="6846"/>
    <n v="-6762"/>
    <s v="Pending"/>
    <n v="12"/>
    <d v="2023-03-03T00:00:00"/>
    <n v="0"/>
    <n v="1936"/>
    <n v="-80.5"/>
    <s v="Outlier"/>
    <n v="2023"/>
    <s v="March"/>
  </r>
  <r>
    <n v="3270"/>
    <x v="206"/>
    <x v="0"/>
    <s v="East"/>
    <s v="Standard"/>
    <d v="2022-05-31T00:00:00"/>
    <d v="2022-11-26T00:00:00"/>
    <x v="1490"/>
    <n v="877"/>
    <n v="8680"/>
    <s v="Pending"/>
    <n v="5"/>
    <d v="2022-11-26T00:00:00"/>
    <n v="1"/>
    <n v="1937"/>
    <n v="0.91"/>
    <s v="Normal"/>
    <n v="2022"/>
    <s v="November"/>
  </r>
  <r>
    <n v="3271"/>
    <x v="178"/>
    <x v="2"/>
    <s v="North"/>
    <s v="Premium"/>
    <d v="2022-06-25T00:00:00"/>
    <d v="2023-12-28T00:00:00"/>
    <x v="1491"/>
    <n v="2522"/>
    <n v="2612"/>
    <s v="Paid"/>
    <n v="18"/>
    <d v="2023-12-28T00:00:00"/>
    <n v="0"/>
    <n v="1938"/>
    <n v="0.51"/>
    <s v="Normal"/>
    <n v="2023"/>
    <s v="December"/>
  </r>
  <r>
    <n v="3272"/>
    <x v="215"/>
    <x v="4"/>
    <s v="North"/>
    <s v="Standard"/>
    <d v="2022-04-08T00:00:00"/>
    <d v="2023-06-05T00:00:00"/>
    <x v="1492"/>
    <n v="2942"/>
    <n v="6822"/>
    <s v="Paid"/>
    <n v="13"/>
    <d v="2023-06-05T00:00:00"/>
    <n v="1"/>
    <n v="1939"/>
    <n v="0.7"/>
    <s v="Normal"/>
    <n v="2023"/>
    <s v="June"/>
  </r>
  <r>
    <n v="3273"/>
    <x v="223"/>
    <x v="0"/>
    <s v="North"/>
    <s v="Basic"/>
    <d v="2022-07-13T00:00:00"/>
    <d v="2023-04-11T00:00:00"/>
    <x v="1493"/>
    <n v="3384"/>
    <n v="5338"/>
    <s v="Overdue"/>
    <n v="8"/>
    <d v="2023-04-11T00:00:00"/>
    <n v="1"/>
    <n v="1940"/>
    <n v="0.61"/>
    <s v="Normal"/>
    <n v="2023"/>
    <s v="April"/>
  </r>
  <r>
    <n v="3274"/>
    <x v="235"/>
    <x v="2"/>
    <s v="North"/>
    <s v="Premium"/>
    <d v="2022-01-20T00:00:00"/>
    <d v="2022-03-23T00:00:00"/>
    <x v="1494"/>
    <n v="6469"/>
    <n v="-2156"/>
    <s v="Overdue"/>
    <n v="2"/>
    <d v="2022-03-23T00:00:00"/>
    <n v="0"/>
    <n v="1941"/>
    <n v="-0.5"/>
    <s v="Normal"/>
    <n v="2022"/>
    <s v="March"/>
  </r>
  <r>
    <n v="3275"/>
    <x v="132"/>
    <x v="3"/>
    <s v="South"/>
    <s v="Standard"/>
    <d v="2022-05-21T00:00:00"/>
    <d v="2022-12-16T00:00:00"/>
    <x v="17"/>
    <n v="7876"/>
    <n v="-8330"/>
    <s v="NA"/>
    <n v="6"/>
    <d v="2022-12-16T00:00:00"/>
    <n v="0"/>
    <n v="1942"/>
    <n v="-1.68"/>
    <s v="Outlier"/>
    <n v="2022"/>
    <s v="December"/>
  </r>
  <r>
    <n v="3276"/>
    <x v="359"/>
    <x v="1"/>
    <s v="East"/>
    <s v="Basic"/>
    <d v="2022-06-28T00:00:00"/>
    <d v="2023-04-02T00:00:00"/>
    <x v="1495"/>
    <n v="4012.75"/>
    <n v="6604"/>
    <s v="Pending"/>
    <n v="9"/>
    <d v="2023-04-02T00:00:00"/>
    <n v="1"/>
    <n v="1943"/>
    <n v="1.04"/>
    <s v="Outlier"/>
    <n v="2023"/>
    <s v="April"/>
  </r>
  <r>
    <n v="3277"/>
    <x v="93"/>
    <x v="1"/>
    <s v="West"/>
    <s v="Premium"/>
    <d v="2022-02-28T00:00:00"/>
    <d v="2023-05-26T00:00:00"/>
    <x v="1496"/>
    <n v="6490"/>
    <n v="-3653"/>
    <s v="Pending"/>
    <n v="14"/>
    <d v="2023-05-26T00:00:00"/>
    <n v="0"/>
    <n v="1944"/>
    <n v="-1.29"/>
    <s v="Outlier"/>
    <n v="2023"/>
    <s v="May"/>
  </r>
  <r>
    <n v="3278"/>
    <x v="299"/>
    <x v="2"/>
    <s v="South"/>
    <s v="Standard"/>
    <d v="2022-01-20T00:00:00"/>
    <d v="2023-01-26T00:00:00"/>
    <x v="17"/>
    <n v="4012.75"/>
    <n v="-904"/>
    <s v="Overdue"/>
    <n v="12"/>
    <d v="2023-01-26T00:00:00"/>
    <n v="0"/>
    <n v="1945"/>
    <n v="-0.18"/>
    <s v="Normal"/>
    <n v="2023"/>
    <s v="January"/>
  </r>
  <r>
    <n v="3279"/>
    <x v="176"/>
    <x v="3"/>
    <s v="East"/>
    <s v="Standard"/>
    <d v="2022-02-04T00:00:00"/>
    <d v="2022-06-21T00:00:00"/>
    <x v="17"/>
    <n v="2292"/>
    <n v="-3029"/>
    <s v="Overdue"/>
    <n v="4"/>
    <d v="2022-06-21T00:00:00"/>
    <n v="0"/>
    <n v="1946"/>
    <n v="-0.61"/>
    <s v="Normal"/>
    <n v="2022"/>
    <s v="June"/>
  </r>
  <r>
    <n v="3282"/>
    <x v="344"/>
    <x v="3"/>
    <s v="West"/>
    <s v="Basic"/>
    <d v="2022-09-03T00:00:00"/>
    <d v="2022-11-06T00:00:00"/>
    <x v="1497"/>
    <n v="3526"/>
    <n v="-2034"/>
    <s v="Overdue"/>
    <n v="2"/>
    <d v="2022-11-06T00:00:00"/>
    <n v="1"/>
    <n v="1947"/>
    <n v="-1.36"/>
    <s v="Outlier"/>
    <n v="2022"/>
    <s v="November"/>
  </r>
  <r>
    <n v="3288"/>
    <x v="349"/>
    <x v="2"/>
    <s v="South"/>
    <s v="Basic"/>
    <d v="2022-03-23T00:00:00"/>
    <d v="2023-04-14T00:00:00"/>
    <x v="1498"/>
    <n v="4012.75"/>
    <n v="10140"/>
    <s v="Overdue"/>
    <n v="12"/>
    <d v="2023-04-14T00:00:00"/>
    <n v="0"/>
    <n v="1948"/>
    <n v="1.07"/>
    <s v="Outlier"/>
    <n v="2023"/>
    <s v="April"/>
  </r>
  <r>
    <n v="3290"/>
    <x v="325"/>
    <x v="2"/>
    <s v="South"/>
    <s v="Basic"/>
    <d v="2022-11-18T00:00:00"/>
    <d v="2023-09-20T00:00:00"/>
    <x v="17"/>
    <n v="129"/>
    <n v="-1940"/>
    <s v="Pending"/>
    <n v="10"/>
    <d v="2023-09-20T00:00:00"/>
    <n v="0"/>
    <n v="1949"/>
    <n v="-0.39"/>
    <s v="Normal"/>
    <n v="2023"/>
    <s v="September"/>
  </r>
  <r>
    <n v="3291"/>
    <x v="160"/>
    <x v="2"/>
    <s v="South"/>
    <s v="Premium"/>
    <d v="2022-12-10T00:00:00"/>
    <d v="2023-05-24T00:00:00"/>
    <x v="1499"/>
    <n v="4112"/>
    <n v="251"/>
    <s v="Paid"/>
    <n v="5"/>
    <d v="2023-05-24T00:00:00"/>
    <n v="1"/>
    <n v="1950"/>
    <n v="0.06"/>
    <s v="Normal"/>
    <n v="2023"/>
    <s v="May"/>
  </r>
  <r>
    <n v="3292"/>
    <x v="271"/>
    <x v="1"/>
    <s v="West"/>
    <s v="Basic"/>
    <d v="2022-01-02T00:00:00"/>
    <d v="2022-12-04T00:00:00"/>
    <x v="17"/>
    <n v="4011"/>
    <n v="577.01"/>
    <s v="NA"/>
    <n v="11"/>
    <d v="2022-12-04T00:00:00"/>
    <n v="0"/>
    <n v="1951"/>
    <n v="0.12"/>
    <s v="Normal"/>
    <n v="2022"/>
    <s v="December"/>
  </r>
  <r>
    <n v="3294"/>
    <x v="26"/>
    <x v="2"/>
    <s v="South"/>
    <s v="Standard"/>
    <d v="2022-07-26T00:00:00"/>
    <d v="2024-03-12T00:00:00"/>
    <x v="1500"/>
    <n v="7355"/>
    <n v="577.01"/>
    <s v="NA"/>
    <n v="19"/>
    <d v="2024-03-12T00:00:00"/>
    <n v="0"/>
    <n v="1952"/>
    <n v="0.27"/>
    <s v="Normal"/>
    <n v="2024"/>
    <s v="March"/>
  </r>
  <r>
    <n v="3295"/>
    <x v="346"/>
    <x v="1"/>
    <s v="East"/>
    <s v="Standard"/>
    <d v="2022-05-30T00:00:00"/>
    <d v="2022-08-09T00:00:00"/>
    <x v="1501"/>
    <n v="3058"/>
    <n v="-695"/>
    <s v="NA"/>
    <n v="2"/>
    <d v="2022-08-09T00:00:00"/>
    <n v="1"/>
    <n v="1953"/>
    <n v="-0.28999999999999998"/>
    <s v="Normal"/>
    <n v="2022"/>
    <s v="August"/>
  </r>
  <r>
    <n v="3296"/>
    <x v="128"/>
    <x v="3"/>
    <s v="East"/>
    <s v="Premium"/>
    <d v="2022-05-07T00:00:00"/>
    <d v="2022-10-01T00:00:00"/>
    <x v="1502"/>
    <n v="4523"/>
    <n v="3249"/>
    <s v="Overdue"/>
    <n v="4"/>
    <d v="2022-10-01T00:00:00"/>
    <n v="1"/>
    <n v="1954"/>
    <n v="0.42"/>
    <s v="Normal"/>
    <n v="2022"/>
    <s v="October"/>
  </r>
  <r>
    <n v="3297"/>
    <x v="21"/>
    <x v="1"/>
    <s v="North"/>
    <s v="Premium"/>
    <d v="2022-11-14T00:00:00"/>
    <d v="2024-04-12T00:00:00"/>
    <x v="17"/>
    <n v="4012.75"/>
    <n v="577.01"/>
    <s v="NA"/>
    <n v="16"/>
    <d v="2024-04-12T00:00:00"/>
    <n v="0"/>
    <n v="1955"/>
    <n v="0.12"/>
    <s v="Normal"/>
    <n v="2024"/>
    <s v="April"/>
  </r>
  <r>
    <n v="3298"/>
    <x v="98"/>
    <x v="2"/>
    <s v="East"/>
    <s v="Basic"/>
    <d v="2022-07-12T00:00:00"/>
    <d v="2023-05-07T00:00:00"/>
    <x v="1503"/>
    <n v="3644"/>
    <n v="1326"/>
    <s v="Pending"/>
    <n v="9"/>
    <d v="2023-05-07T00:00:00"/>
    <n v="0"/>
    <n v="1956"/>
    <n v="0.27"/>
    <s v="Normal"/>
    <n v="2023"/>
    <s v="May"/>
  </r>
  <r>
    <n v="3299"/>
    <x v="0"/>
    <x v="2"/>
    <s v="North"/>
    <s v="Premium"/>
    <d v="2022-12-25T00:00:00"/>
    <d v="2023-02-07T00:00:00"/>
    <x v="1504"/>
    <n v="5212"/>
    <n v="577.01"/>
    <s v="Paid"/>
    <n v="1"/>
    <d v="2023-02-07T00:00:00"/>
    <n v="1"/>
    <n v="1957"/>
    <n v="0.13"/>
    <s v="Normal"/>
    <n v="2023"/>
    <s v="February"/>
  </r>
  <r>
    <n v="3300"/>
    <x v="28"/>
    <x v="1"/>
    <s v="South"/>
    <s v="Premium"/>
    <d v="2022-08-13T00:00:00"/>
    <d v="2022-11-11T00:00:00"/>
    <x v="1505"/>
    <n v="5225"/>
    <n v="3822"/>
    <s v="Overdue"/>
    <n v="2"/>
    <d v="2022-11-11T00:00:00"/>
    <n v="0"/>
    <n v="1958"/>
    <n v="0.42"/>
    <s v="Normal"/>
    <n v="2022"/>
    <s v="November"/>
  </r>
  <r>
    <n v="3303"/>
    <x v="305"/>
    <x v="4"/>
    <s v="East"/>
    <s v="Standard"/>
    <d v="2022-12-27T00:00:00"/>
    <d v="2023-08-20T00:00:00"/>
    <x v="1506"/>
    <n v="38"/>
    <n v="3687"/>
    <s v="Pending"/>
    <n v="7"/>
    <d v="2023-08-20T00:00:00"/>
    <n v="1"/>
    <n v="1959"/>
    <n v="0.99"/>
    <s v="Normal"/>
    <n v="2023"/>
    <s v="August"/>
  </r>
  <r>
    <n v="3304"/>
    <x v="49"/>
    <x v="1"/>
    <s v="North"/>
    <s v="Basic"/>
    <d v="2022-04-09T00:00:00"/>
    <d v="2023-11-03T00:00:00"/>
    <x v="1507"/>
    <n v="4359"/>
    <n v="-3527"/>
    <s v="Pending"/>
    <n v="18"/>
    <d v="2023-11-03T00:00:00"/>
    <n v="1"/>
    <n v="1960"/>
    <n v="-4.24"/>
    <s v="Outlier"/>
    <n v="2023"/>
    <s v="November"/>
  </r>
  <r>
    <n v="3306"/>
    <x v="250"/>
    <x v="2"/>
    <s v="West"/>
    <s v="Basic"/>
    <d v="2022-11-14T00:00:00"/>
    <d v="2023-08-22T00:00:00"/>
    <x v="1508"/>
    <n v="3813"/>
    <n v="-1072"/>
    <s v="NA"/>
    <n v="9"/>
    <d v="2023-08-22T00:00:00"/>
    <n v="0"/>
    <n v="1961"/>
    <n v="-0.39"/>
    <s v="Normal"/>
    <n v="2023"/>
    <s v="August"/>
  </r>
  <r>
    <n v="3307"/>
    <x v="345"/>
    <x v="1"/>
    <s v="North"/>
    <s v="Basic"/>
    <d v="2022-12-25T00:00:00"/>
    <d v="2023-04-02T00:00:00"/>
    <x v="17"/>
    <n v="4295"/>
    <n v="-5878"/>
    <s v="NA"/>
    <n v="3"/>
    <d v="2023-04-02T00:00:00"/>
    <n v="0"/>
    <n v="1962"/>
    <n v="-1.18"/>
    <s v="Outlier"/>
    <n v="2023"/>
    <s v="April"/>
  </r>
  <r>
    <n v="3309"/>
    <x v="247"/>
    <x v="2"/>
    <s v="West"/>
    <s v="Basic"/>
    <d v="2022-09-25T00:00:00"/>
    <d v="2023-11-16T00:00:00"/>
    <x v="17"/>
    <n v="6978"/>
    <n v="-8048"/>
    <s v="Paid"/>
    <n v="13"/>
    <d v="2023-11-16T00:00:00"/>
    <n v="0"/>
    <n v="1963"/>
    <n v="-1.62"/>
    <s v="Outlier"/>
    <n v="2023"/>
    <s v="November"/>
  </r>
  <r>
    <n v="3310"/>
    <x v="163"/>
    <x v="0"/>
    <s v="South"/>
    <s v="Standard"/>
    <d v="2022-02-06T00:00:00"/>
    <d v="2022-12-28T00:00:00"/>
    <x v="1509"/>
    <n v="7405"/>
    <n v="2368"/>
    <s v="Paid"/>
    <n v="10"/>
    <d v="2022-12-28T00:00:00"/>
    <n v="0"/>
    <n v="1964"/>
    <n v="0.24"/>
    <s v="Normal"/>
    <n v="2022"/>
    <s v="December"/>
  </r>
  <r>
    <n v="3311"/>
    <x v="209"/>
    <x v="1"/>
    <s v="North"/>
    <s v="Basic"/>
    <d v="2022-08-25T00:00:00"/>
    <d v="2023-11-28T00:00:00"/>
    <x v="1510"/>
    <n v="3015"/>
    <n v="577.01"/>
    <s v="Paid"/>
    <n v="15"/>
    <d v="2023-11-28T00:00:00"/>
    <n v="0"/>
    <n v="1965"/>
    <n v="7.0000000000000007E-2"/>
    <s v="Normal"/>
    <n v="2023"/>
    <s v="November"/>
  </r>
  <r>
    <n v="3313"/>
    <x v="89"/>
    <x v="3"/>
    <s v="South"/>
    <s v="Premium"/>
    <d v="2022-07-09T00:00:00"/>
    <d v="2023-02-02T00:00:00"/>
    <x v="460"/>
    <n v="1546"/>
    <n v="5349"/>
    <s v="NA"/>
    <n v="6"/>
    <d v="2023-02-02T00:00:00"/>
    <n v="0"/>
    <n v="1966"/>
    <n v="0.78"/>
    <s v="Normal"/>
    <n v="2023"/>
    <s v="February"/>
  </r>
  <r>
    <n v="3317"/>
    <x v="63"/>
    <x v="2"/>
    <s v="South"/>
    <s v="Premium"/>
    <d v="2022-06-14T00:00:00"/>
    <d v="2023-01-07T00:00:00"/>
    <x v="1511"/>
    <n v="6333"/>
    <n v="3205"/>
    <s v="NA"/>
    <n v="6"/>
    <d v="2023-01-07T00:00:00"/>
    <n v="1"/>
    <n v="1967"/>
    <n v="0.34"/>
    <s v="Normal"/>
    <n v="2023"/>
    <s v="January"/>
  </r>
  <r>
    <n v="3318"/>
    <x v="129"/>
    <x v="3"/>
    <s v="West"/>
    <s v="Premium"/>
    <d v="2022-04-28T00:00:00"/>
    <d v="2022-10-12T00:00:00"/>
    <x v="1512"/>
    <n v="7560"/>
    <n v="1767"/>
    <s v="NA"/>
    <n v="5"/>
    <d v="2022-10-12T00:00:00"/>
    <n v="0"/>
    <n v="1968"/>
    <n v="0.19"/>
    <s v="Normal"/>
    <n v="2022"/>
    <s v="October"/>
  </r>
  <r>
    <n v="3319"/>
    <x v="92"/>
    <x v="1"/>
    <s v="East"/>
    <s v="Standard"/>
    <d v="2022-01-19T00:00:00"/>
    <d v="2022-03-06T00:00:00"/>
    <x v="1513"/>
    <n v="4012.75"/>
    <n v="7148"/>
    <s v="Pending"/>
    <n v="1"/>
    <d v="2022-03-06T00:00:00"/>
    <n v="0"/>
    <n v="1969"/>
    <n v="1.02"/>
    <s v="Outlier"/>
    <n v="2022"/>
    <s v="March"/>
  </r>
  <r>
    <n v="3320"/>
    <x v="173"/>
    <x v="0"/>
    <s v="South"/>
    <s v="Premium"/>
    <d v="2022-03-22T00:00:00"/>
    <d v="2023-02-15T00:00:00"/>
    <x v="178"/>
    <n v="4879"/>
    <n v="4756"/>
    <s v="Paid"/>
    <n v="10"/>
    <d v="2023-02-15T00:00:00"/>
    <n v="1"/>
    <n v="1970"/>
    <n v="0.49"/>
    <s v="Normal"/>
    <n v="2023"/>
    <s v="February"/>
  </r>
  <r>
    <n v="3323"/>
    <x v="348"/>
    <x v="4"/>
    <s v="South"/>
    <s v="Standard"/>
    <d v="2022-12-21T00:00:00"/>
    <d v="2023-03-09T00:00:00"/>
    <x v="1514"/>
    <n v="6888"/>
    <n v="-2995"/>
    <s v="Pending"/>
    <n v="2"/>
    <d v="2023-03-09T00:00:00"/>
    <n v="0"/>
    <n v="1971"/>
    <n v="-0.77"/>
    <s v="Normal"/>
    <n v="2023"/>
    <s v="March"/>
  </r>
  <r>
    <n v="3325"/>
    <x v="204"/>
    <x v="1"/>
    <s v="North"/>
    <s v="Standard"/>
    <d v="2022-04-13T00:00:00"/>
    <d v="2023-09-20T00:00:00"/>
    <x v="1515"/>
    <n v="4012.75"/>
    <n v="8506"/>
    <s v="Paid"/>
    <n v="17"/>
    <d v="2023-09-20T00:00:00"/>
    <n v="1"/>
    <n v="1972"/>
    <n v="1.0900000000000001"/>
    <s v="Outlier"/>
    <n v="2023"/>
    <s v="September"/>
  </r>
  <r>
    <n v="3326"/>
    <x v="324"/>
    <x v="1"/>
    <s v="East"/>
    <s v="Basic"/>
    <d v="2022-12-01T00:00:00"/>
    <d v="2023-12-30T00:00:00"/>
    <x v="313"/>
    <n v="4012.75"/>
    <n v="2178"/>
    <s v="Overdue"/>
    <n v="12"/>
    <d v="2023-12-30T00:00:00"/>
    <n v="1"/>
    <n v="1973"/>
    <n v="1.0900000000000001"/>
    <s v="Outlier"/>
    <n v="2023"/>
    <s v="December"/>
  </r>
  <r>
    <n v="3327"/>
    <x v="41"/>
    <x v="2"/>
    <s v="South"/>
    <s v="Standard"/>
    <d v="2022-12-24T00:00:00"/>
    <d v="2024-06-02T00:00:00"/>
    <x v="1516"/>
    <n v="4291"/>
    <n v="3307"/>
    <s v="Pending"/>
    <n v="17"/>
    <d v="2024-06-02T00:00:00"/>
    <n v="1"/>
    <n v="1974"/>
    <n v="0.44"/>
    <s v="Normal"/>
    <n v="2024"/>
    <s v="June"/>
  </r>
  <r>
    <n v="3330"/>
    <x v="165"/>
    <x v="0"/>
    <s v="West"/>
    <s v="Standard"/>
    <d v="2022-05-20T00:00:00"/>
    <d v="2023-01-07T00:00:00"/>
    <x v="1517"/>
    <n v="1119"/>
    <n v="5915"/>
    <s v="Overdue"/>
    <n v="7"/>
    <d v="2023-01-07T00:00:00"/>
    <n v="1"/>
    <n v="1975"/>
    <n v="0.84"/>
    <s v="Normal"/>
    <n v="2023"/>
    <s v="January"/>
  </r>
  <r>
    <n v="3331"/>
    <x v="19"/>
    <x v="4"/>
    <s v="South"/>
    <s v="Standard"/>
    <d v="2022-05-30T00:00:00"/>
    <d v="2023-08-06T00:00:00"/>
    <x v="17"/>
    <n v="2485"/>
    <n v="-3510"/>
    <s v="Paid"/>
    <n v="14"/>
    <d v="2023-08-06T00:00:00"/>
    <n v="0"/>
    <n v="1976"/>
    <n v="-0.71"/>
    <s v="Normal"/>
    <n v="2023"/>
    <s v="August"/>
  </r>
  <r>
    <n v="3332"/>
    <x v="48"/>
    <x v="1"/>
    <s v="North"/>
    <s v="Premium"/>
    <d v="2022-06-28T00:00:00"/>
    <d v="2023-09-17T00:00:00"/>
    <x v="17"/>
    <n v="6969"/>
    <n v="-7732"/>
    <s v="Pending"/>
    <n v="14"/>
    <d v="2023-09-17T00:00:00"/>
    <n v="1"/>
    <n v="1977"/>
    <n v="-1.56"/>
    <s v="Outlier"/>
    <n v="2023"/>
    <s v="September"/>
  </r>
  <r>
    <n v="3335"/>
    <x v="71"/>
    <x v="1"/>
    <s v="West"/>
    <s v="Standard"/>
    <d v="2022-05-17T00:00:00"/>
    <d v="2023-07-31T00:00:00"/>
    <x v="17"/>
    <n v="6830"/>
    <n v="-7690"/>
    <s v="Pending"/>
    <n v="14"/>
    <d v="2023-07-31T00:00:00"/>
    <n v="1"/>
    <n v="1978"/>
    <n v="-1.55"/>
    <s v="Outlier"/>
    <n v="2023"/>
    <s v="July"/>
  </r>
  <r>
    <n v="3337"/>
    <x v="73"/>
    <x v="4"/>
    <s v="West"/>
    <s v="Premium"/>
    <d v="2022-04-12T00:00:00"/>
    <d v="2022-10-12T00:00:00"/>
    <x v="1518"/>
    <n v="7852"/>
    <n v="-1730"/>
    <s v="Paid"/>
    <n v="6"/>
    <d v="2022-10-12T00:00:00"/>
    <n v="0"/>
    <n v="1979"/>
    <n v="-0.28000000000000003"/>
    <s v="Normal"/>
    <n v="2022"/>
    <s v="October"/>
  </r>
  <r>
    <n v="3340"/>
    <x v="377"/>
    <x v="2"/>
    <s v="South"/>
    <s v="Premium"/>
    <d v="2022-01-26T00:00:00"/>
    <d v="2023-08-13T00:00:00"/>
    <x v="1519"/>
    <n v="4727"/>
    <n v="-4257"/>
    <s v="Overdue"/>
    <n v="18"/>
    <d v="2023-08-13T00:00:00"/>
    <n v="1"/>
    <n v="1980"/>
    <n v="-9.06"/>
    <s v="Outlier"/>
    <n v="2023"/>
    <s v="August"/>
  </r>
  <r>
    <n v="3341"/>
    <x v="127"/>
    <x v="0"/>
    <s v="North"/>
    <s v="Basic"/>
    <d v="2022-11-22T00:00:00"/>
    <d v="2024-04-06T00:00:00"/>
    <x v="17"/>
    <n v="7912"/>
    <n v="-7942"/>
    <s v="Paid"/>
    <n v="16"/>
    <d v="2024-04-06T00:00:00"/>
    <n v="0"/>
    <n v="1981"/>
    <n v="-1.6"/>
    <s v="Outlier"/>
    <n v="2024"/>
    <s v="April"/>
  </r>
  <r>
    <n v="3342"/>
    <x v="129"/>
    <x v="3"/>
    <s v="East"/>
    <s v="Basic"/>
    <d v="2022-01-22T00:00:00"/>
    <d v="2022-06-03T00:00:00"/>
    <x v="17"/>
    <n v="3477"/>
    <n v="-4737"/>
    <s v="Overdue"/>
    <n v="4"/>
    <d v="2022-06-03T00:00:00"/>
    <n v="1"/>
    <n v="1982"/>
    <n v="-0.95"/>
    <s v="Normal"/>
    <n v="2022"/>
    <s v="June"/>
  </r>
  <r>
    <n v="3346"/>
    <x v="256"/>
    <x v="1"/>
    <s v="East"/>
    <s v="Standard"/>
    <d v="2022-07-06T00:00:00"/>
    <d v="2023-02-06T00:00:00"/>
    <x v="1520"/>
    <n v="2226"/>
    <n v="2501"/>
    <s v="NA"/>
    <n v="7"/>
    <d v="2023-02-06T00:00:00"/>
    <n v="1"/>
    <n v="1983"/>
    <n v="0.53"/>
    <s v="Normal"/>
    <n v="2023"/>
    <s v="February"/>
  </r>
  <r>
    <n v="3348"/>
    <x v="355"/>
    <x v="2"/>
    <s v="East"/>
    <s v="Standard"/>
    <d v="2022-01-29T00:00:00"/>
    <d v="2022-03-10T00:00:00"/>
    <x v="1521"/>
    <n v="1243"/>
    <n v="652"/>
    <s v="NA"/>
    <n v="1"/>
    <d v="2022-03-10T00:00:00"/>
    <n v="0"/>
    <n v="1984"/>
    <n v="0.34"/>
    <s v="Normal"/>
    <n v="2022"/>
    <s v="March"/>
  </r>
  <r>
    <n v="3351"/>
    <x v="112"/>
    <x v="1"/>
    <s v="East"/>
    <s v="Standard"/>
    <d v="2022-07-28T00:00:00"/>
    <d v="2023-06-29T00:00:00"/>
    <x v="1522"/>
    <n v="3164"/>
    <n v="577.01"/>
    <s v="Overdue"/>
    <n v="11"/>
    <d v="2023-06-29T00:00:00"/>
    <n v="0"/>
    <n v="1985"/>
    <n v="0.16"/>
    <s v="Normal"/>
    <n v="2023"/>
    <s v="June"/>
  </r>
  <r>
    <n v="3353"/>
    <x v="253"/>
    <x v="0"/>
    <s v="North"/>
    <s v="Standard"/>
    <d v="2022-02-07T00:00:00"/>
    <d v="2023-03-06T00:00:00"/>
    <x v="17"/>
    <n v="7088"/>
    <n v="-7466"/>
    <s v="Overdue"/>
    <n v="12"/>
    <d v="2023-03-06T00:00:00"/>
    <n v="1"/>
    <n v="1986"/>
    <n v="-1.5"/>
    <s v="Outlier"/>
    <n v="2023"/>
    <s v="March"/>
  </r>
  <r>
    <n v="3354"/>
    <x v="46"/>
    <x v="3"/>
    <s v="East"/>
    <s v="Basic"/>
    <d v="2022-12-08T00:00:00"/>
    <d v="2023-06-21T00:00:00"/>
    <x v="1523"/>
    <n v="1668"/>
    <n v="5407"/>
    <s v="Paid"/>
    <n v="6"/>
    <d v="2023-06-21T00:00:00"/>
    <n v="0"/>
    <n v="1987"/>
    <n v="0.76"/>
    <s v="Normal"/>
    <n v="2023"/>
    <s v="June"/>
  </r>
  <r>
    <n v="3355"/>
    <x v="117"/>
    <x v="3"/>
    <s v="West"/>
    <s v="Standard"/>
    <d v="2022-09-26T00:00:00"/>
    <d v="2024-02-12T00:00:00"/>
    <x v="1021"/>
    <n v="2064"/>
    <n v="5460"/>
    <s v="Pending"/>
    <n v="16"/>
    <d v="2024-02-12T00:00:00"/>
    <n v="1"/>
    <n v="1988"/>
    <n v="0.73"/>
    <s v="Normal"/>
    <n v="2024"/>
    <s v="February"/>
  </r>
  <r>
    <n v="3358"/>
    <x v="396"/>
    <x v="4"/>
    <s v="South"/>
    <s v="Premium"/>
    <d v="2022-09-18T00:00:00"/>
    <d v="2024-03-08T00:00:00"/>
    <x v="17"/>
    <n v="5811"/>
    <n v="-6892"/>
    <s v="Paid"/>
    <n v="17"/>
    <d v="2024-03-08T00:00:00"/>
    <n v="0"/>
    <n v="1989"/>
    <n v="-1.39"/>
    <s v="Outlier"/>
    <n v="2024"/>
    <s v="March"/>
  </r>
  <r>
    <n v="3360"/>
    <x v="59"/>
    <x v="4"/>
    <s v="South"/>
    <s v="Standard"/>
    <d v="2022-02-22T00:00:00"/>
    <d v="2023-08-25T00:00:00"/>
    <x v="1524"/>
    <n v="4012.75"/>
    <n v="3172"/>
    <s v="NA"/>
    <n v="18"/>
    <d v="2023-08-25T00:00:00"/>
    <n v="0"/>
    <n v="1990"/>
    <n v="1.41"/>
    <s v="Outlier"/>
    <n v="2023"/>
    <s v="August"/>
  </r>
  <r>
    <n v="3362"/>
    <x v="118"/>
    <x v="1"/>
    <s v="West"/>
    <s v="Standard"/>
    <d v="2022-08-06T00:00:00"/>
    <d v="2022-10-21T00:00:00"/>
    <x v="969"/>
    <n v="5972"/>
    <n v="-2417"/>
    <s v="NA"/>
    <n v="2"/>
    <d v="2022-10-21T00:00:00"/>
    <n v="0"/>
    <n v="1991"/>
    <n v="-0.68"/>
    <s v="Normal"/>
    <n v="2022"/>
    <s v="October"/>
  </r>
  <r>
    <n v="3364"/>
    <x v="312"/>
    <x v="0"/>
    <s v="West"/>
    <s v="Standard"/>
    <d v="2022-06-15T00:00:00"/>
    <d v="2023-01-07T00:00:00"/>
    <x v="1525"/>
    <n v="2315"/>
    <n v="-1555"/>
    <s v="Paid"/>
    <n v="6"/>
    <d v="2023-01-07T00:00:00"/>
    <n v="0"/>
    <n v="1992"/>
    <n v="-2.0499999999999998"/>
    <s v="Outlier"/>
    <n v="2023"/>
    <s v="January"/>
  </r>
  <r>
    <n v="3365"/>
    <x v="302"/>
    <x v="1"/>
    <s v="North"/>
    <s v="Basic"/>
    <d v="2022-06-30T00:00:00"/>
    <d v="2022-10-14T00:00:00"/>
    <x v="1526"/>
    <n v="2965"/>
    <n v="167"/>
    <s v="Overdue"/>
    <n v="3"/>
    <d v="2022-10-14T00:00:00"/>
    <n v="0"/>
    <n v="1993"/>
    <n v="0.05"/>
    <s v="Normal"/>
    <n v="2022"/>
    <s v="October"/>
  </r>
  <r>
    <n v="3367"/>
    <x v="286"/>
    <x v="4"/>
    <s v="East"/>
    <s v="Premium"/>
    <d v="2022-05-23T00:00:00"/>
    <d v="2023-07-06T00:00:00"/>
    <x v="1527"/>
    <n v="439"/>
    <n v="577.01"/>
    <s v="Paid"/>
    <n v="13"/>
    <d v="2023-07-06T00:00:00"/>
    <n v="1"/>
    <n v="1994"/>
    <n v="0.14000000000000001"/>
    <s v="Normal"/>
    <n v="2023"/>
    <s v="July"/>
  </r>
  <r>
    <n v="3369"/>
    <x v="151"/>
    <x v="2"/>
    <s v="West"/>
    <s v="Basic"/>
    <d v="2022-11-29T00:00:00"/>
    <d v="2024-01-03T00:00:00"/>
    <x v="1528"/>
    <n v="1224"/>
    <n v="5986"/>
    <s v="NA"/>
    <n v="13"/>
    <d v="2024-01-03T00:00:00"/>
    <n v="1"/>
    <n v="1995"/>
    <n v="0.83"/>
    <s v="Normal"/>
    <n v="2024"/>
    <s v="January"/>
  </r>
  <r>
    <n v="3370"/>
    <x v="94"/>
    <x v="0"/>
    <s v="West"/>
    <s v="Premium"/>
    <d v="2022-07-25T00:00:00"/>
    <d v="2023-05-12T00:00:00"/>
    <x v="1529"/>
    <n v="783"/>
    <n v="4371"/>
    <s v="Paid"/>
    <n v="9"/>
    <d v="2023-05-12T00:00:00"/>
    <n v="1"/>
    <n v="1996"/>
    <n v="0.85"/>
    <s v="Normal"/>
    <n v="2023"/>
    <s v="May"/>
  </r>
  <r>
    <n v="3371"/>
    <x v="137"/>
    <x v="3"/>
    <s v="North"/>
    <s v="Standard"/>
    <d v="2022-03-10T00:00:00"/>
    <d v="2022-09-09T00:00:00"/>
    <x v="1530"/>
    <n v="1131"/>
    <n v="7176"/>
    <s v="Paid"/>
    <n v="5"/>
    <d v="2022-09-09T00:00:00"/>
    <n v="0"/>
    <n v="1997"/>
    <n v="0.86"/>
    <s v="Normal"/>
    <n v="2022"/>
    <s v="September"/>
  </r>
  <r>
    <n v="3372"/>
    <x v="388"/>
    <x v="0"/>
    <s v="East"/>
    <s v="Basic"/>
    <d v="2022-01-08T00:00:00"/>
    <d v="2022-04-23T00:00:00"/>
    <x v="1531"/>
    <n v="4781"/>
    <n v="577.01"/>
    <s v="Pending"/>
    <n v="3"/>
    <d v="2022-04-23T00:00:00"/>
    <n v="0"/>
    <n v="1998"/>
    <n v="2.89"/>
    <s v="Outlier"/>
    <n v="2022"/>
    <s v="April"/>
  </r>
  <r>
    <n v="3373"/>
    <x v="311"/>
    <x v="1"/>
    <s v="West"/>
    <s v="Basic"/>
    <d v="2022-08-23T00:00:00"/>
    <d v="2023-01-29T00:00:00"/>
    <x v="1532"/>
    <n v="5321"/>
    <n v="577.01"/>
    <s v="Overdue"/>
    <n v="5"/>
    <d v="2023-01-29T00:00:00"/>
    <n v="0"/>
    <n v="1999"/>
    <n v="0.06"/>
    <s v="Normal"/>
    <n v="2023"/>
    <s v="January"/>
  </r>
  <r>
    <n v="3377"/>
    <x v="62"/>
    <x v="2"/>
    <s v="South"/>
    <s v="Premium"/>
    <d v="2022-08-30T00:00:00"/>
    <d v="2023-08-22T00:00:00"/>
    <x v="1533"/>
    <n v="6011"/>
    <n v="2717"/>
    <s v="NA"/>
    <n v="11"/>
    <d v="2023-08-22T00:00:00"/>
    <n v="1"/>
    <n v="2000"/>
    <n v="0.31"/>
    <s v="Normal"/>
    <n v="2023"/>
    <s v="August"/>
  </r>
  <r>
    <n v="3379"/>
    <x v="188"/>
    <x v="0"/>
    <s v="South"/>
    <s v="Standard"/>
    <d v="2022-09-22T00:00:00"/>
    <d v="2022-12-28T00:00:00"/>
    <x v="1534"/>
    <n v="1057"/>
    <n v="-997"/>
    <s v="Paid"/>
    <n v="3"/>
    <d v="2022-12-28T00:00:00"/>
    <n v="0"/>
    <n v="2001"/>
    <n v="-16.62"/>
    <s v="Outlier"/>
    <n v="2022"/>
    <s v="December"/>
  </r>
  <r>
    <n v="3380"/>
    <x v="396"/>
    <x v="2"/>
    <s v="North"/>
    <s v="Standard"/>
    <d v="2022-03-05T00:00:00"/>
    <d v="2023-06-18T00:00:00"/>
    <x v="1535"/>
    <n v="6390"/>
    <n v="-6008"/>
    <s v="Pending"/>
    <n v="15"/>
    <d v="2023-06-18T00:00:00"/>
    <n v="1"/>
    <n v="2002"/>
    <n v="-15.73"/>
    <s v="Outlier"/>
    <n v="2023"/>
    <s v="June"/>
  </r>
  <r>
    <n v="3382"/>
    <x v="306"/>
    <x v="3"/>
    <s v="East"/>
    <s v="Basic"/>
    <d v="2022-02-16T00:00:00"/>
    <d v="2023-10-08T00:00:00"/>
    <x v="1536"/>
    <n v="816"/>
    <n v="5081"/>
    <s v="Overdue"/>
    <n v="19"/>
    <d v="2023-10-08T00:00:00"/>
    <n v="1"/>
    <n v="2003"/>
    <n v="0.86"/>
    <s v="Normal"/>
    <n v="2023"/>
    <s v="October"/>
  </r>
  <r>
    <n v="3383"/>
    <x v="324"/>
    <x v="0"/>
    <s v="East"/>
    <s v="Basic"/>
    <d v="2022-04-01T00:00:00"/>
    <d v="2023-10-29T00:00:00"/>
    <x v="1537"/>
    <n v="5432"/>
    <n v="1474"/>
    <s v="Overdue"/>
    <n v="18"/>
    <d v="2023-10-29T00:00:00"/>
    <n v="0"/>
    <n v="2004"/>
    <n v="0.21"/>
    <s v="Normal"/>
    <n v="2023"/>
    <s v="October"/>
  </r>
  <r>
    <n v="3384"/>
    <x v="59"/>
    <x v="1"/>
    <s v="North"/>
    <s v="Basic"/>
    <d v="2022-04-12T00:00:00"/>
    <d v="2023-03-07T00:00:00"/>
    <x v="1538"/>
    <n v="4012.75"/>
    <n v="4575"/>
    <s v="Overdue"/>
    <n v="10"/>
    <d v="2023-03-07T00:00:00"/>
    <n v="0"/>
    <n v="2005"/>
    <n v="1.2"/>
    <s v="Outlier"/>
    <n v="2023"/>
    <s v="March"/>
  </r>
  <r>
    <n v="3385"/>
    <x v="307"/>
    <x v="1"/>
    <s v="East"/>
    <s v="Standard"/>
    <d v="2022-08-23T00:00:00"/>
    <d v="2023-10-12T00:00:00"/>
    <x v="17"/>
    <n v="1721"/>
    <n v="-3075"/>
    <s v="Overdue"/>
    <n v="13"/>
    <d v="2023-10-12T00:00:00"/>
    <n v="0"/>
    <n v="2006"/>
    <n v="-0.62"/>
    <s v="Normal"/>
    <n v="2023"/>
    <s v="October"/>
  </r>
  <r>
    <n v="3387"/>
    <x v="324"/>
    <x v="3"/>
    <s v="North"/>
    <s v="Basic"/>
    <d v="2022-07-25T00:00:00"/>
    <d v="2023-03-08T00:00:00"/>
    <x v="1539"/>
    <n v="5645"/>
    <n v="-5542"/>
    <s v="NA"/>
    <n v="7"/>
    <d v="2023-03-08T00:00:00"/>
    <n v="0"/>
    <n v="2007"/>
    <n v="-53.81"/>
    <s v="Outlier"/>
    <n v="2023"/>
    <s v="March"/>
  </r>
  <r>
    <n v="3391"/>
    <x v="210"/>
    <x v="1"/>
    <s v="North"/>
    <s v="Standard"/>
    <d v="2022-02-20T00:00:00"/>
    <d v="2023-09-26T00:00:00"/>
    <x v="1540"/>
    <n v="1219"/>
    <n v="577.01"/>
    <s v="Paid"/>
    <n v="19"/>
    <d v="2023-09-26T00:00:00"/>
    <n v="1"/>
    <n v="2008"/>
    <n v="72.13"/>
    <s v="Outlier"/>
    <n v="2023"/>
    <s v="September"/>
  </r>
  <r>
    <n v="3393"/>
    <x v="41"/>
    <x v="2"/>
    <s v="North"/>
    <s v="Standard"/>
    <d v="2022-05-14T00:00:00"/>
    <d v="2023-12-14T00:00:00"/>
    <x v="17"/>
    <n v="1172"/>
    <n v="-1853"/>
    <s v="Paid"/>
    <n v="19"/>
    <d v="2023-12-14T00:00:00"/>
    <n v="1"/>
    <n v="2009"/>
    <n v="-0.37"/>
    <s v="Normal"/>
    <n v="2023"/>
    <s v="December"/>
  </r>
  <r>
    <n v="3394"/>
    <x v="17"/>
    <x v="1"/>
    <s v="West"/>
    <s v="Premium"/>
    <d v="2022-09-06T00:00:00"/>
    <d v="2024-02-17T00:00:00"/>
    <x v="1541"/>
    <n v="5492"/>
    <n v="-4999"/>
    <s v="Pending"/>
    <n v="17"/>
    <d v="2024-02-17T00:00:00"/>
    <n v="1"/>
    <n v="2010"/>
    <n v="-10.14"/>
    <s v="Outlier"/>
    <n v="2024"/>
    <s v="February"/>
  </r>
  <r>
    <n v="3398"/>
    <x v="104"/>
    <x v="2"/>
    <s v="North"/>
    <s v="Basic"/>
    <d v="2022-07-15T00:00:00"/>
    <d v="2023-07-15T00:00:00"/>
    <x v="1542"/>
    <n v="5221"/>
    <n v="1955"/>
    <s v="NA"/>
    <n v="12"/>
    <d v="2023-07-15T00:00:00"/>
    <n v="1"/>
    <n v="2011"/>
    <n v="0.27"/>
    <s v="Normal"/>
    <n v="2023"/>
    <s v="July"/>
  </r>
  <r>
    <n v="3399"/>
    <x v="187"/>
    <x v="2"/>
    <s v="West"/>
    <s v="Basic"/>
    <d v="2022-12-13T00:00:00"/>
    <d v="2023-07-16T00:00:00"/>
    <x v="1543"/>
    <n v="1202"/>
    <n v="5364"/>
    <s v="NA"/>
    <n v="7"/>
    <d v="2023-07-16T00:00:00"/>
    <n v="1"/>
    <n v="2012"/>
    <n v="0.82"/>
    <s v="Normal"/>
    <n v="2023"/>
    <s v="July"/>
  </r>
  <r>
    <n v="3401"/>
    <x v="201"/>
    <x v="4"/>
    <s v="South"/>
    <s v="Premium"/>
    <d v="2022-12-22T00:00:00"/>
    <d v="2024-03-07T00:00:00"/>
    <x v="1544"/>
    <n v="4012.75"/>
    <n v="8185"/>
    <s v="NA"/>
    <n v="14"/>
    <d v="2024-03-07T00:00:00"/>
    <n v="1"/>
    <n v="2013"/>
    <n v="1.1200000000000001"/>
    <s v="Outlier"/>
    <n v="2024"/>
    <s v="March"/>
  </r>
  <r>
    <n v="3402"/>
    <x v="167"/>
    <x v="0"/>
    <s v="West"/>
    <s v="Standard"/>
    <d v="2022-04-25T00:00:00"/>
    <d v="2023-06-04T00:00:00"/>
    <x v="1545"/>
    <n v="4012.75"/>
    <n v="577.01"/>
    <s v="Overdue"/>
    <n v="13"/>
    <d v="2023-06-04T00:00:00"/>
    <n v="0"/>
    <n v="2014"/>
    <n v="7.0000000000000007E-2"/>
    <s v="Normal"/>
    <n v="2023"/>
    <s v="June"/>
  </r>
  <r>
    <n v="3403"/>
    <x v="45"/>
    <x v="1"/>
    <s v="South"/>
    <s v="Premium"/>
    <d v="2022-05-28T00:00:00"/>
    <d v="2024-01-08T00:00:00"/>
    <x v="17"/>
    <n v="7475"/>
    <n v="-8902"/>
    <s v="Paid"/>
    <n v="19"/>
    <d v="2024-01-08T00:00:00"/>
    <n v="1"/>
    <n v="2015"/>
    <n v="-1.79"/>
    <s v="Outlier"/>
    <n v="2024"/>
    <s v="January"/>
  </r>
  <r>
    <n v="3404"/>
    <x v="393"/>
    <x v="0"/>
    <s v="East"/>
    <s v="Premium"/>
    <d v="2022-01-24T00:00:00"/>
    <d v="2022-04-25T00:00:00"/>
    <x v="17"/>
    <n v="4135"/>
    <n v="-4615"/>
    <s v="NA"/>
    <n v="3"/>
    <d v="2022-04-25T00:00:00"/>
    <n v="0"/>
    <n v="2016"/>
    <n v="-0.93"/>
    <s v="Normal"/>
    <n v="2022"/>
    <s v="April"/>
  </r>
  <r>
    <n v="3405"/>
    <x v="216"/>
    <x v="1"/>
    <s v="South"/>
    <s v="Premium"/>
    <d v="2022-12-05T00:00:00"/>
    <d v="2023-01-08T00:00:00"/>
    <x v="811"/>
    <n v="1072"/>
    <n v="8499"/>
    <s v="Pending"/>
    <n v="1"/>
    <d v="2023-01-08T00:00:00"/>
    <n v="1"/>
    <n v="2017"/>
    <n v="0.89"/>
    <s v="Normal"/>
    <n v="2023"/>
    <s v="January"/>
  </r>
  <r>
    <n v="3406"/>
    <x v="166"/>
    <x v="3"/>
    <s v="South"/>
    <s v="Premium"/>
    <d v="2022-01-07T00:00:00"/>
    <d v="2023-04-28T00:00:00"/>
    <x v="17"/>
    <n v="3627"/>
    <n v="-5243"/>
    <s v="Overdue"/>
    <n v="15"/>
    <d v="2023-04-28T00:00:00"/>
    <n v="1"/>
    <n v="2018"/>
    <n v="-1.06"/>
    <s v="Outlier"/>
    <n v="2023"/>
    <s v="April"/>
  </r>
  <r>
    <n v="3407"/>
    <x v="74"/>
    <x v="3"/>
    <s v="West"/>
    <s v="Basic"/>
    <d v="2022-11-14T00:00:00"/>
    <d v="2023-11-03T00:00:00"/>
    <x v="17"/>
    <n v="4012.75"/>
    <n v="-937"/>
    <s v="Overdue"/>
    <n v="11"/>
    <d v="2023-11-03T00:00:00"/>
    <n v="1"/>
    <n v="2019"/>
    <n v="-0.19"/>
    <s v="Normal"/>
    <n v="2023"/>
    <s v="November"/>
  </r>
  <r>
    <n v="3410"/>
    <x v="176"/>
    <x v="4"/>
    <s v="East"/>
    <s v="Standard"/>
    <d v="2022-12-16T00:00:00"/>
    <d v="2023-10-31T00:00:00"/>
    <x v="1546"/>
    <n v="3061"/>
    <n v="1556"/>
    <s v="Overdue"/>
    <n v="10"/>
    <d v="2023-10-31T00:00:00"/>
    <n v="1"/>
    <n v="2020"/>
    <n v="0.34"/>
    <s v="Normal"/>
    <n v="2023"/>
    <s v="October"/>
  </r>
  <r>
    <n v="3411"/>
    <x v="177"/>
    <x v="1"/>
    <s v="East"/>
    <s v="Basic"/>
    <d v="2022-06-17T00:00:00"/>
    <d v="2023-06-17T00:00:00"/>
    <x v="17"/>
    <n v="4680"/>
    <n v="-6131"/>
    <s v="Pending"/>
    <n v="12"/>
    <d v="2023-06-17T00:00:00"/>
    <n v="0"/>
    <n v="2021"/>
    <n v="-1.23"/>
    <s v="Outlier"/>
    <n v="2023"/>
    <s v="June"/>
  </r>
  <r>
    <n v="3413"/>
    <x v="398"/>
    <x v="4"/>
    <s v="North"/>
    <s v="Basic"/>
    <d v="2022-10-12T00:00:00"/>
    <d v="2022-12-08T00:00:00"/>
    <x v="17"/>
    <n v="370"/>
    <n v="577.01"/>
    <s v="NA"/>
    <n v="1"/>
    <d v="2022-12-08T00:00:00"/>
    <n v="1"/>
    <n v="2022"/>
    <n v="0.12"/>
    <s v="Normal"/>
    <n v="2022"/>
    <s v="December"/>
  </r>
  <r>
    <n v="3416"/>
    <x v="287"/>
    <x v="3"/>
    <s v="South"/>
    <s v="Basic"/>
    <d v="2022-05-26T00:00:00"/>
    <d v="2022-09-09T00:00:00"/>
    <x v="323"/>
    <n v="1814"/>
    <n v="7301"/>
    <s v="Pending"/>
    <n v="3"/>
    <d v="2022-09-09T00:00:00"/>
    <n v="1"/>
    <n v="2023"/>
    <n v="0.8"/>
    <s v="Normal"/>
    <n v="2022"/>
    <s v="September"/>
  </r>
  <r>
    <n v="3418"/>
    <x v="175"/>
    <x v="4"/>
    <s v="East"/>
    <s v="Premium"/>
    <d v="2022-03-17T00:00:00"/>
    <d v="2023-03-26T00:00:00"/>
    <x v="63"/>
    <n v="5854"/>
    <n v="577.01"/>
    <s v="NA"/>
    <n v="12"/>
    <d v="2023-03-26T00:00:00"/>
    <n v="1"/>
    <n v="2024"/>
    <n v="0.64"/>
    <s v="Normal"/>
    <n v="2023"/>
    <s v="March"/>
  </r>
  <r>
    <n v="3420"/>
    <x v="173"/>
    <x v="2"/>
    <s v="West"/>
    <s v="Basic"/>
    <d v="2022-05-04T00:00:00"/>
    <d v="2022-06-23T00:00:00"/>
    <x v="1547"/>
    <n v="1275"/>
    <n v="6994"/>
    <s v="Paid"/>
    <n v="1"/>
    <d v="2022-06-23T00:00:00"/>
    <n v="1"/>
    <n v="2025"/>
    <n v="0.85"/>
    <s v="Normal"/>
    <n v="2022"/>
    <s v="June"/>
  </r>
  <r>
    <n v="3422"/>
    <x v="227"/>
    <x v="0"/>
    <s v="South"/>
    <s v="Premium"/>
    <d v="2022-07-29T00:00:00"/>
    <d v="2024-01-19T00:00:00"/>
    <x v="17"/>
    <n v="5554"/>
    <n v="-6066"/>
    <s v="Paid"/>
    <n v="17"/>
    <d v="2024-01-19T00:00:00"/>
    <n v="0"/>
    <n v="2026"/>
    <n v="-1.22"/>
    <s v="Outlier"/>
    <n v="2024"/>
    <s v="January"/>
  </r>
  <r>
    <n v="3426"/>
    <x v="312"/>
    <x v="4"/>
    <s v="South"/>
    <s v="Premium"/>
    <d v="2022-08-15T00:00:00"/>
    <d v="2022-11-06T00:00:00"/>
    <x v="1548"/>
    <n v="755"/>
    <n v="6522"/>
    <s v="Pending"/>
    <n v="2"/>
    <d v="2022-11-06T00:00:00"/>
    <n v="0"/>
    <n v="2027"/>
    <n v="0.9"/>
    <s v="Normal"/>
    <n v="2022"/>
    <s v="November"/>
  </r>
  <r>
    <n v="3427"/>
    <x v="274"/>
    <x v="3"/>
    <s v="South"/>
    <s v="Basic"/>
    <d v="2022-08-26T00:00:00"/>
    <d v="2022-12-31T00:00:00"/>
    <x v="1549"/>
    <n v="2851"/>
    <n v="-2587"/>
    <s v="NA"/>
    <n v="4"/>
    <d v="2022-12-31T00:00:00"/>
    <n v="1"/>
    <n v="2028"/>
    <n v="-9.8000000000000007"/>
    <s v="Outlier"/>
    <n v="2022"/>
    <s v="December"/>
  </r>
  <r>
    <n v="3428"/>
    <x v="158"/>
    <x v="3"/>
    <s v="West"/>
    <s v="Basic"/>
    <d v="2022-11-20T00:00:00"/>
    <d v="2023-02-13T00:00:00"/>
    <x v="1550"/>
    <n v="5538"/>
    <n v="30"/>
    <s v="Overdue"/>
    <n v="2"/>
    <d v="2023-02-13T00:00:00"/>
    <n v="1"/>
    <n v="2029"/>
    <n v="0.01"/>
    <s v="Normal"/>
    <n v="2023"/>
    <s v="February"/>
  </r>
  <r>
    <n v="3429"/>
    <x v="300"/>
    <x v="3"/>
    <s v="East"/>
    <s v="Premium"/>
    <d v="2022-02-18T00:00:00"/>
    <d v="2023-09-28T00:00:00"/>
    <x v="1551"/>
    <n v="1452"/>
    <n v="2737"/>
    <s v="Paid"/>
    <n v="19"/>
    <d v="2023-09-28T00:00:00"/>
    <n v="0"/>
    <n v="2030"/>
    <n v="0.65"/>
    <s v="Normal"/>
    <n v="2023"/>
    <s v="September"/>
  </r>
  <r>
    <n v="3430"/>
    <x v="39"/>
    <x v="2"/>
    <s v="East"/>
    <s v="Basic"/>
    <d v="2022-01-11T00:00:00"/>
    <d v="2022-07-16T00:00:00"/>
    <x v="1552"/>
    <n v="538"/>
    <n v="723"/>
    <s v="Overdue"/>
    <n v="6"/>
    <d v="2022-07-16T00:00:00"/>
    <n v="1"/>
    <n v="2031"/>
    <n v="0.56999999999999995"/>
    <s v="Normal"/>
    <n v="2022"/>
    <s v="July"/>
  </r>
  <r>
    <n v="3431"/>
    <x v="286"/>
    <x v="3"/>
    <s v="West"/>
    <s v="Premium"/>
    <d v="2022-10-10T00:00:00"/>
    <d v="2023-11-04T00:00:00"/>
    <x v="17"/>
    <n v="6090"/>
    <n v="577.01"/>
    <s v="Pending"/>
    <n v="12"/>
    <d v="2023-11-04T00:00:00"/>
    <n v="1"/>
    <n v="2032"/>
    <n v="0.12"/>
    <s v="Normal"/>
    <n v="2023"/>
    <s v="November"/>
  </r>
  <r>
    <n v="3432"/>
    <x v="166"/>
    <x v="0"/>
    <s v="North"/>
    <s v="Premium"/>
    <d v="2022-10-24T00:00:00"/>
    <d v="2023-02-20T00:00:00"/>
    <x v="1553"/>
    <n v="4012.75"/>
    <n v="8746"/>
    <s v="Paid"/>
    <n v="3"/>
    <d v="2023-02-20T00:00:00"/>
    <n v="1"/>
    <n v="2033"/>
    <n v="1.01"/>
    <s v="Outlier"/>
    <n v="2023"/>
    <s v="February"/>
  </r>
  <r>
    <n v="3434"/>
    <x v="23"/>
    <x v="1"/>
    <s v="South"/>
    <s v="Basic"/>
    <d v="2022-05-03T00:00:00"/>
    <d v="2023-02-06T00:00:00"/>
    <x v="1554"/>
    <n v="3593"/>
    <n v="4212"/>
    <s v="Paid"/>
    <n v="9"/>
    <d v="2023-02-06T00:00:00"/>
    <n v="0"/>
    <n v="2034"/>
    <n v="0.54"/>
    <s v="Normal"/>
    <n v="2023"/>
    <s v="February"/>
  </r>
  <r>
    <n v="3436"/>
    <x v="160"/>
    <x v="0"/>
    <s v="North"/>
    <s v="Standard"/>
    <d v="2022-06-26T00:00:00"/>
    <d v="2023-03-02T00:00:00"/>
    <x v="17"/>
    <n v="3740"/>
    <n v="-4097"/>
    <s v="Paid"/>
    <n v="8"/>
    <d v="2023-03-02T00:00:00"/>
    <n v="0"/>
    <n v="2035"/>
    <n v="-0.82"/>
    <s v="Normal"/>
    <n v="2023"/>
    <s v="March"/>
  </r>
  <r>
    <n v="3437"/>
    <x v="334"/>
    <x v="2"/>
    <s v="East"/>
    <s v="Basic"/>
    <d v="2022-08-14T00:00:00"/>
    <d v="2023-07-09T00:00:00"/>
    <x v="17"/>
    <n v="7802"/>
    <n v="-8049"/>
    <s v="Overdue"/>
    <n v="10"/>
    <d v="2023-07-09T00:00:00"/>
    <n v="0"/>
    <n v="2036"/>
    <n v="-1.62"/>
    <s v="Outlier"/>
    <n v="2023"/>
    <s v="July"/>
  </r>
  <r>
    <n v="3438"/>
    <x v="269"/>
    <x v="0"/>
    <s v="East"/>
    <s v="Basic"/>
    <d v="2022-11-09T00:00:00"/>
    <d v="2024-05-12T00:00:00"/>
    <x v="1555"/>
    <n v="1775"/>
    <n v="5452"/>
    <s v="Paid"/>
    <n v="18"/>
    <d v="2024-05-12T00:00:00"/>
    <n v="1"/>
    <n v="2037"/>
    <n v="0.75"/>
    <s v="Normal"/>
    <n v="2024"/>
    <s v="May"/>
  </r>
  <r>
    <n v="3441"/>
    <x v="275"/>
    <x v="0"/>
    <s v="West"/>
    <s v="Basic"/>
    <d v="2022-10-27T00:00:00"/>
    <d v="2023-03-08T00:00:00"/>
    <x v="1556"/>
    <n v="1959"/>
    <n v="885"/>
    <s v="Overdue"/>
    <n v="4"/>
    <d v="2023-03-08T00:00:00"/>
    <n v="1"/>
    <n v="2038"/>
    <n v="0.31"/>
    <s v="Normal"/>
    <n v="2023"/>
    <s v="March"/>
  </r>
  <r>
    <n v="3442"/>
    <x v="117"/>
    <x v="4"/>
    <s v="West"/>
    <s v="Premium"/>
    <d v="2022-12-02T00:00:00"/>
    <d v="2023-09-26T00:00:00"/>
    <x v="1557"/>
    <n v="1163"/>
    <n v="7298"/>
    <s v="NA"/>
    <n v="9"/>
    <d v="2023-09-26T00:00:00"/>
    <n v="1"/>
    <n v="2039"/>
    <n v="0.86"/>
    <s v="Normal"/>
    <n v="2023"/>
    <s v="September"/>
  </r>
  <r>
    <n v="3443"/>
    <x v="183"/>
    <x v="0"/>
    <s v="South"/>
    <s v="Premium"/>
    <d v="2022-09-21T00:00:00"/>
    <d v="2023-01-15T00:00:00"/>
    <x v="1558"/>
    <n v="1848"/>
    <n v="-1472"/>
    <s v="Pending"/>
    <n v="3"/>
    <d v="2023-01-15T00:00:00"/>
    <n v="1"/>
    <n v="2040"/>
    <n v="-3.91"/>
    <s v="Outlier"/>
    <n v="2023"/>
    <s v="January"/>
  </r>
  <r>
    <n v="3445"/>
    <x v="140"/>
    <x v="1"/>
    <s v="South"/>
    <s v="Standard"/>
    <d v="2022-07-12T00:00:00"/>
    <d v="2023-10-06T00:00:00"/>
    <x v="1559"/>
    <n v="6955"/>
    <n v="577.01"/>
    <s v="Overdue"/>
    <n v="14"/>
    <d v="2023-10-06T00:00:00"/>
    <n v="0"/>
    <n v="2041"/>
    <n v="0.56999999999999995"/>
    <s v="Normal"/>
    <n v="2023"/>
    <s v="October"/>
  </r>
  <r>
    <n v="3447"/>
    <x v="380"/>
    <x v="2"/>
    <s v="East"/>
    <s v="Premium"/>
    <d v="2022-11-11T00:00:00"/>
    <d v="2023-07-15T00:00:00"/>
    <x v="1117"/>
    <n v="2108"/>
    <n v="1291"/>
    <s v="Paid"/>
    <n v="8"/>
    <d v="2023-07-15T00:00:00"/>
    <n v="0"/>
    <n v="2042"/>
    <n v="0.38"/>
    <s v="Normal"/>
    <n v="2023"/>
    <s v="July"/>
  </r>
  <r>
    <n v="3450"/>
    <x v="69"/>
    <x v="2"/>
    <s v="South"/>
    <s v="Premium"/>
    <d v="2022-06-05T00:00:00"/>
    <d v="2023-06-30T00:00:00"/>
    <x v="1560"/>
    <n v="6177"/>
    <n v="2558"/>
    <s v="NA"/>
    <n v="12"/>
    <d v="2023-06-30T00:00:00"/>
    <n v="1"/>
    <n v="2043"/>
    <n v="0.28999999999999998"/>
    <s v="Normal"/>
    <n v="2023"/>
    <s v="June"/>
  </r>
  <r>
    <n v="3451"/>
    <x v="381"/>
    <x v="4"/>
    <s v="East"/>
    <s v="Premium"/>
    <d v="2022-02-08T00:00:00"/>
    <d v="2022-12-26T00:00:00"/>
    <x v="1561"/>
    <n v="1116"/>
    <n v="-811"/>
    <s v="Pending"/>
    <n v="10"/>
    <d v="2022-12-26T00:00:00"/>
    <n v="0"/>
    <n v="2044"/>
    <n v="-2.66"/>
    <s v="Outlier"/>
    <n v="2022"/>
    <s v="December"/>
  </r>
  <r>
    <n v="3452"/>
    <x v="329"/>
    <x v="1"/>
    <s v="North"/>
    <s v="Standard"/>
    <d v="2022-01-10T00:00:00"/>
    <d v="2022-03-18T00:00:00"/>
    <x v="1562"/>
    <n v="5340"/>
    <n v="-223"/>
    <s v="Overdue"/>
    <n v="2"/>
    <d v="2022-03-18T00:00:00"/>
    <n v="0"/>
    <n v="2045"/>
    <n v="-0.04"/>
    <s v="Normal"/>
    <n v="2022"/>
    <s v="March"/>
  </r>
  <r>
    <n v="3453"/>
    <x v="278"/>
    <x v="0"/>
    <s v="North"/>
    <s v="Premium"/>
    <d v="2022-11-22T00:00:00"/>
    <d v="2023-07-16T00:00:00"/>
    <x v="1039"/>
    <n v="2505"/>
    <n v="-1734"/>
    <s v="NA"/>
    <n v="7"/>
    <d v="2023-07-16T00:00:00"/>
    <n v="1"/>
    <n v="2046"/>
    <n v="-2.25"/>
    <s v="Outlier"/>
    <n v="2023"/>
    <s v="July"/>
  </r>
  <r>
    <n v="3454"/>
    <x v="259"/>
    <x v="0"/>
    <s v="South"/>
    <s v="Premium"/>
    <d v="2022-09-25T00:00:00"/>
    <d v="2024-02-29T00:00:00"/>
    <x v="1563"/>
    <n v="4832"/>
    <n v="-860"/>
    <s v="Paid"/>
    <n v="17"/>
    <d v="2024-02-29T00:00:00"/>
    <n v="0"/>
    <n v="2047"/>
    <n v="-0.22"/>
    <s v="Normal"/>
    <n v="2024"/>
    <s v="February"/>
  </r>
  <r>
    <n v="3457"/>
    <x v="77"/>
    <x v="2"/>
    <s v="North"/>
    <s v="Premium"/>
    <d v="2022-02-26T00:00:00"/>
    <d v="2022-08-20T00:00:00"/>
    <x v="745"/>
    <n v="678"/>
    <n v="6812"/>
    <s v="Overdue"/>
    <n v="5"/>
    <d v="2022-08-20T00:00:00"/>
    <n v="0"/>
    <n v="2048"/>
    <n v="0.91"/>
    <s v="Normal"/>
    <n v="2022"/>
    <s v="August"/>
  </r>
  <r>
    <n v="3461"/>
    <x v="50"/>
    <x v="4"/>
    <s v="East"/>
    <s v="Standard"/>
    <d v="2022-01-26T00:00:00"/>
    <d v="2022-09-16T00:00:00"/>
    <x v="1564"/>
    <n v="4012.75"/>
    <n v="3873"/>
    <s v="Pending"/>
    <n v="7"/>
    <d v="2022-09-16T00:00:00"/>
    <n v="0"/>
    <n v="2049"/>
    <n v="1.25"/>
    <s v="Outlier"/>
    <n v="2022"/>
    <s v="September"/>
  </r>
  <r>
    <n v="3463"/>
    <x v="156"/>
    <x v="1"/>
    <s v="South"/>
    <s v="Basic"/>
    <d v="2022-05-18T00:00:00"/>
    <d v="2022-11-28T00:00:00"/>
    <x v="1565"/>
    <n v="5656"/>
    <n v="2114"/>
    <s v="NA"/>
    <n v="6"/>
    <d v="2022-11-28T00:00:00"/>
    <n v="0"/>
    <n v="2050"/>
    <n v="0.27"/>
    <s v="Normal"/>
    <n v="2022"/>
    <s v="November"/>
  </r>
  <r>
    <n v="3465"/>
    <x v="18"/>
    <x v="1"/>
    <s v="West"/>
    <s v="Standard"/>
    <d v="2022-09-14T00:00:00"/>
    <d v="2023-07-05T00:00:00"/>
    <x v="1566"/>
    <n v="2032"/>
    <n v="5057"/>
    <s v="NA"/>
    <n v="9"/>
    <d v="2023-07-05T00:00:00"/>
    <n v="1"/>
    <n v="2051"/>
    <n v="0.71"/>
    <s v="Normal"/>
    <n v="2023"/>
    <s v="July"/>
  </r>
  <r>
    <n v="3466"/>
    <x v="22"/>
    <x v="0"/>
    <s v="West"/>
    <s v="Standard"/>
    <d v="2022-02-11T00:00:00"/>
    <d v="2023-07-07T00:00:00"/>
    <x v="1567"/>
    <n v="4012.75"/>
    <n v="9039"/>
    <s v="Paid"/>
    <n v="16"/>
    <d v="2023-07-07T00:00:00"/>
    <n v="0"/>
    <n v="2052"/>
    <n v="1.0900000000000001"/>
    <s v="Outlier"/>
    <n v="2023"/>
    <s v="July"/>
  </r>
  <r>
    <n v="3468"/>
    <x v="152"/>
    <x v="3"/>
    <s v="North"/>
    <s v="Standard"/>
    <d v="2022-05-22T00:00:00"/>
    <d v="2023-11-16T00:00:00"/>
    <x v="1568"/>
    <n v="2079"/>
    <n v="2835"/>
    <s v="Pending"/>
    <n v="17"/>
    <d v="2023-11-16T00:00:00"/>
    <n v="1"/>
    <n v="2053"/>
    <n v="0.57999999999999996"/>
    <s v="Normal"/>
    <n v="2023"/>
    <s v="November"/>
  </r>
  <r>
    <n v="3469"/>
    <x v="73"/>
    <x v="4"/>
    <s v="East"/>
    <s v="Standard"/>
    <d v="2022-06-30T00:00:00"/>
    <d v="2023-04-02T00:00:00"/>
    <x v="17"/>
    <n v="7866"/>
    <n v="-8531"/>
    <s v="Pending"/>
    <n v="9"/>
    <d v="2023-04-02T00:00:00"/>
    <n v="0"/>
    <n v="2054"/>
    <n v="-1.72"/>
    <s v="Outlier"/>
    <n v="2023"/>
    <s v="April"/>
  </r>
  <r>
    <n v="3470"/>
    <x v="280"/>
    <x v="1"/>
    <s v="East"/>
    <s v="Standard"/>
    <d v="2022-08-18T00:00:00"/>
    <d v="2024-02-15T00:00:00"/>
    <x v="1569"/>
    <n v="7097"/>
    <n v="-3597"/>
    <s v="Paid"/>
    <n v="17"/>
    <d v="2024-02-15T00:00:00"/>
    <n v="1"/>
    <n v="2055"/>
    <n v="-1.03"/>
    <s v="Outlier"/>
    <n v="2024"/>
    <s v="February"/>
  </r>
  <r>
    <n v="3472"/>
    <x v="300"/>
    <x v="1"/>
    <s v="West"/>
    <s v="Standard"/>
    <d v="2022-04-02T00:00:00"/>
    <d v="2023-05-04T00:00:00"/>
    <x v="901"/>
    <n v="619"/>
    <n v="1086"/>
    <s v="Overdue"/>
    <n v="13"/>
    <d v="2023-05-04T00:00:00"/>
    <n v="1"/>
    <n v="2056"/>
    <n v="0.64"/>
    <s v="Normal"/>
    <n v="2023"/>
    <s v="May"/>
  </r>
  <r>
    <n v="3473"/>
    <x v="175"/>
    <x v="0"/>
    <s v="East"/>
    <s v="Premium"/>
    <d v="2022-08-05T00:00:00"/>
    <d v="2024-01-21T00:00:00"/>
    <x v="1088"/>
    <n v="6441"/>
    <n v="2500"/>
    <s v="Overdue"/>
    <n v="17"/>
    <d v="2024-01-21T00:00:00"/>
    <n v="1"/>
    <n v="2057"/>
    <n v="0.28000000000000003"/>
    <s v="Normal"/>
    <n v="2024"/>
    <s v="January"/>
  </r>
  <r>
    <n v="3476"/>
    <x v="367"/>
    <x v="2"/>
    <s v="East"/>
    <s v="Premium"/>
    <d v="2022-08-18T00:00:00"/>
    <d v="2023-11-07T00:00:00"/>
    <x v="1570"/>
    <n v="7804"/>
    <n v="-1448"/>
    <s v="NA"/>
    <n v="14"/>
    <d v="2023-11-07T00:00:00"/>
    <n v="1"/>
    <n v="2058"/>
    <n v="-0.23"/>
    <s v="Normal"/>
    <n v="2023"/>
    <s v="November"/>
  </r>
  <r>
    <n v="3478"/>
    <x v="143"/>
    <x v="3"/>
    <s v="West"/>
    <s v="Premium"/>
    <d v="2022-05-10T00:00:00"/>
    <d v="2022-12-27T00:00:00"/>
    <x v="1571"/>
    <n v="3433"/>
    <n v="-3313"/>
    <s v="Overdue"/>
    <n v="7"/>
    <d v="2022-12-27T00:00:00"/>
    <n v="0"/>
    <n v="2059"/>
    <n v="-27.61"/>
    <s v="Outlier"/>
    <n v="2022"/>
    <s v="December"/>
  </r>
  <r>
    <n v="3480"/>
    <x v="127"/>
    <x v="4"/>
    <s v="West"/>
    <s v="Premium"/>
    <d v="2022-03-18T00:00:00"/>
    <d v="2023-01-28T00:00:00"/>
    <x v="1572"/>
    <n v="1951"/>
    <n v="-1271"/>
    <s v="Pending"/>
    <n v="10"/>
    <d v="2023-01-28T00:00:00"/>
    <n v="1"/>
    <n v="2060"/>
    <n v="-1.87"/>
    <s v="Outlier"/>
    <n v="2023"/>
    <s v="January"/>
  </r>
  <r>
    <n v="3481"/>
    <x v="391"/>
    <x v="2"/>
    <s v="South"/>
    <s v="Premium"/>
    <d v="2022-02-27T00:00:00"/>
    <d v="2023-03-30T00:00:00"/>
    <x v="17"/>
    <n v="7193"/>
    <n v="-9167"/>
    <s v="NA"/>
    <n v="13"/>
    <d v="2023-03-30T00:00:00"/>
    <n v="0"/>
    <n v="2061"/>
    <n v="-1.85"/>
    <s v="Outlier"/>
    <n v="2023"/>
    <s v="March"/>
  </r>
  <r>
    <n v="3482"/>
    <x v="72"/>
    <x v="0"/>
    <s v="South"/>
    <s v="Basic"/>
    <d v="2022-10-01T00:00:00"/>
    <d v="2023-11-22T00:00:00"/>
    <x v="17"/>
    <n v="4012.75"/>
    <n v="-442"/>
    <s v="Overdue"/>
    <n v="13"/>
    <d v="2023-11-22T00:00:00"/>
    <n v="1"/>
    <n v="2062"/>
    <n v="-0.09"/>
    <s v="Normal"/>
    <n v="2023"/>
    <s v="November"/>
  </r>
  <r>
    <n v="3484"/>
    <x v="36"/>
    <x v="4"/>
    <s v="North"/>
    <s v="Premium"/>
    <d v="2022-06-24T00:00:00"/>
    <d v="2023-03-05T00:00:00"/>
    <x v="17"/>
    <n v="4012.75"/>
    <n v="-1264"/>
    <s v="Overdue"/>
    <n v="8"/>
    <d v="2023-03-05T00:00:00"/>
    <n v="0"/>
    <n v="2063"/>
    <n v="-0.25"/>
    <s v="Normal"/>
    <n v="2023"/>
    <s v="March"/>
  </r>
  <r>
    <n v="3485"/>
    <x v="274"/>
    <x v="2"/>
    <s v="West"/>
    <s v="Basic"/>
    <d v="2022-08-08T00:00:00"/>
    <d v="2022-11-13T00:00:00"/>
    <x v="17"/>
    <n v="709"/>
    <n v="-1082"/>
    <s v="Overdue"/>
    <n v="3"/>
    <d v="2022-11-13T00:00:00"/>
    <n v="0"/>
    <n v="2064"/>
    <n v="-0.22"/>
    <s v="Normal"/>
    <n v="2022"/>
    <s v="November"/>
  </r>
  <r>
    <n v="3486"/>
    <x v="192"/>
    <x v="1"/>
    <s v="North"/>
    <s v="Basic"/>
    <d v="2022-03-12T00:00:00"/>
    <d v="2023-08-06T00:00:00"/>
    <x v="708"/>
    <n v="4012.75"/>
    <n v="577.01"/>
    <s v="NA"/>
    <n v="16"/>
    <d v="2023-08-06T00:00:00"/>
    <n v="0"/>
    <n v="2065"/>
    <n v="7.0000000000000007E-2"/>
    <s v="Normal"/>
    <n v="2023"/>
    <s v="August"/>
  </r>
  <r>
    <n v="3487"/>
    <x v="221"/>
    <x v="1"/>
    <s v="South"/>
    <s v="Standard"/>
    <d v="2022-03-29T00:00:00"/>
    <d v="2022-08-28T00:00:00"/>
    <x v="723"/>
    <n v="7064"/>
    <n v="-5842"/>
    <s v="NA"/>
    <n v="4"/>
    <d v="2022-08-28T00:00:00"/>
    <n v="1"/>
    <n v="2066"/>
    <n v="-4.78"/>
    <s v="Outlier"/>
    <n v="2022"/>
    <s v="August"/>
  </r>
  <r>
    <n v="3488"/>
    <x v="298"/>
    <x v="0"/>
    <s v="South"/>
    <s v="Standard"/>
    <d v="2022-03-22T00:00:00"/>
    <d v="2022-04-30T00:00:00"/>
    <x v="1573"/>
    <n v="5522"/>
    <n v="4367"/>
    <s v="Pending"/>
    <n v="1"/>
    <d v="2022-04-30T00:00:00"/>
    <n v="0"/>
    <n v="2067"/>
    <n v="0.44"/>
    <s v="Normal"/>
    <n v="2022"/>
    <s v="April"/>
  </r>
  <r>
    <n v="3489"/>
    <x v="315"/>
    <x v="1"/>
    <s v="West"/>
    <s v="Basic"/>
    <d v="2022-06-03T00:00:00"/>
    <d v="2022-12-10T00:00:00"/>
    <x v="17"/>
    <n v="6596"/>
    <n v="-7039"/>
    <s v="NA"/>
    <n v="6"/>
    <d v="2022-12-10T00:00:00"/>
    <n v="0"/>
    <n v="2068"/>
    <n v="-1.42"/>
    <s v="Outlier"/>
    <n v="2022"/>
    <s v="December"/>
  </r>
  <r>
    <n v="3490"/>
    <x v="105"/>
    <x v="2"/>
    <s v="East"/>
    <s v="Basic"/>
    <d v="2022-08-14T00:00:00"/>
    <d v="2023-01-17T00:00:00"/>
    <x v="1574"/>
    <n v="114"/>
    <n v="8119"/>
    <s v="Pending"/>
    <n v="5"/>
    <d v="2023-01-17T00:00:00"/>
    <n v="0"/>
    <n v="2069"/>
    <n v="0.99"/>
    <s v="Normal"/>
    <n v="2023"/>
    <s v="January"/>
  </r>
  <r>
    <n v="3494"/>
    <x v="161"/>
    <x v="2"/>
    <s v="South"/>
    <s v="Basic"/>
    <d v="2022-09-14T00:00:00"/>
    <d v="2023-02-22T00:00:00"/>
    <x v="1575"/>
    <n v="5484"/>
    <n v="-2335"/>
    <s v="Overdue"/>
    <n v="5"/>
    <d v="2023-02-22T00:00:00"/>
    <n v="1"/>
    <n v="2070"/>
    <n v="-0.74"/>
    <s v="Normal"/>
    <n v="2023"/>
    <s v="February"/>
  </r>
  <r>
    <n v="3495"/>
    <x v="75"/>
    <x v="4"/>
    <s v="North"/>
    <s v="Basic"/>
    <d v="2022-07-22T00:00:00"/>
    <d v="2023-03-24T00:00:00"/>
    <x v="1576"/>
    <n v="4945"/>
    <n v="-528"/>
    <s v="Pending"/>
    <n v="8"/>
    <d v="2023-03-24T00:00:00"/>
    <n v="0"/>
    <n v="2071"/>
    <n v="-0.12"/>
    <s v="Normal"/>
    <n v="2023"/>
    <s v="March"/>
  </r>
  <r>
    <n v="3496"/>
    <x v="320"/>
    <x v="1"/>
    <s v="South"/>
    <s v="Standard"/>
    <d v="2022-08-03T00:00:00"/>
    <d v="2023-05-18T00:00:00"/>
    <x v="17"/>
    <n v="6630"/>
    <n v="-6924"/>
    <s v="Overdue"/>
    <n v="9"/>
    <d v="2023-05-18T00:00:00"/>
    <n v="1"/>
    <n v="2072"/>
    <n v="-1.39"/>
    <s v="Outlier"/>
    <n v="2023"/>
    <s v="May"/>
  </r>
  <r>
    <n v="3497"/>
    <x v="13"/>
    <x v="3"/>
    <s v="North"/>
    <s v="Basic"/>
    <d v="2022-11-28T00:00:00"/>
    <d v="2024-06-07T00:00:00"/>
    <x v="1577"/>
    <n v="3899"/>
    <n v="-2578"/>
    <s v="NA"/>
    <n v="18"/>
    <d v="2024-06-07T00:00:00"/>
    <n v="1"/>
    <n v="2073"/>
    <n v="-1.95"/>
    <s v="Outlier"/>
    <n v="2024"/>
    <s v="June"/>
  </r>
  <r>
    <n v="3499"/>
    <x v="209"/>
    <x v="0"/>
    <s v="East"/>
    <s v="Standard"/>
    <d v="2022-08-02T00:00:00"/>
    <d v="2023-12-07T00:00:00"/>
    <x v="1578"/>
    <n v="1598"/>
    <n v="1401"/>
    <s v="NA"/>
    <n v="16"/>
    <d v="2023-12-07T00:00:00"/>
    <n v="1"/>
    <n v="2074"/>
    <n v="0.47"/>
    <s v="Normal"/>
    <n v="2023"/>
    <s v="December"/>
  </r>
  <r>
    <n v="3500"/>
    <x v="367"/>
    <x v="4"/>
    <s v="West"/>
    <s v="Premium"/>
    <d v="2022-08-08T00:00:00"/>
    <d v="2023-08-25T00:00:00"/>
    <x v="315"/>
    <n v="4263"/>
    <n v="1930"/>
    <s v="NA"/>
    <n v="12"/>
    <d v="2023-08-25T00:00:00"/>
    <n v="1"/>
    <n v="2075"/>
    <n v="0.31"/>
    <s v="Normal"/>
    <n v="2023"/>
    <s v="August"/>
  </r>
  <r>
    <n v="3502"/>
    <x v="391"/>
    <x v="3"/>
    <s v="West"/>
    <s v="Basic"/>
    <d v="2022-09-09T00:00:00"/>
    <d v="2023-07-11T00:00:00"/>
    <x v="1579"/>
    <n v="2377"/>
    <n v="-595"/>
    <s v="Overdue"/>
    <n v="10"/>
    <d v="2023-07-11T00:00:00"/>
    <n v="1"/>
    <n v="2076"/>
    <n v="-0.33"/>
    <s v="Normal"/>
    <n v="2023"/>
    <s v="July"/>
  </r>
  <r>
    <n v="3503"/>
    <x v="337"/>
    <x v="4"/>
    <s v="South"/>
    <s v="Basic"/>
    <d v="2022-04-28T00:00:00"/>
    <d v="2022-06-08T00:00:00"/>
    <x v="1580"/>
    <n v="7266"/>
    <n v="577.01"/>
    <s v="NA"/>
    <n v="1"/>
    <d v="2022-06-08T00:00:00"/>
    <n v="0"/>
    <n v="2077"/>
    <n v="0.12"/>
    <s v="Normal"/>
    <n v="2022"/>
    <s v="June"/>
  </r>
  <r>
    <n v="3504"/>
    <x v="380"/>
    <x v="1"/>
    <s v="East"/>
    <s v="Basic"/>
    <d v="2022-12-02T00:00:00"/>
    <d v="2023-10-01T00:00:00"/>
    <x v="1581"/>
    <n v="6686"/>
    <n v="577.01"/>
    <s v="Pending"/>
    <n v="9"/>
    <d v="2023-10-01T00:00:00"/>
    <n v="0"/>
    <n v="2078"/>
    <n v="0.06"/>
    <s v="Normal"/>
    <n v="2023"/>
    <s v="October"/>
  </r>
  <r>
    <n v="3506"/>
    <x v="273"/>
    <x v="0"/>
    <s v="North"/>
    <s v="Basic"/>
    <d v="2022-06-27T00:00:00"/>
    <d v="2023-11-25T00:00:00"/>
    <x v="1582"/>
    <n v="3339"/>
    <n v="5814"/>
    <s v="Pending"/>
    <n v="16"/>
    <d v="2023-11-25T00:00:00"/>
    <n v="1"/>
    <n v="2079"/>
    <n v="0.64"/>
    <s v="Normal"/>
    <n v="2023"/>
    <s v="November"/>
  </r>
  <r>
    <n v="3507"/>
    <x v="250"/>
    <x v="2"/>
    <s v="South"/>
    <s v="Premium"/>
    <d v="2022-10-02T00:00:00"/>
    <d v="2023-11-09T00:00:00"/>
    <x v="1583"/>
    <n v="4012.75"/>
    <n v="10383"/>
    <s v="Pending"/>
    <n v="13"/>
    <d v="2023-11-09T00:00:00"/>
    <n v="0"/>
    <n v="2080"/>
    <n v="1.04"/>
    <s v="Outlier"/>
    <n v="2023"/>
    <s v="November"/>
  </r>
  <r>
    <n v="3508"/>
    <x v="251"/>
    <x v="0"/>
    <s v="South"/>
    <s v="Standard"/>
    <d v="2022-10-11T00:00:00"/>
    <d v="2023-04-02T00:00:00"/>
    <x v="1584"/>
    <n v="4383"/>
    <n v="4740"/>
    <s v="Overdue"/>
    <n v="5"/>
    <d v="2023-04-02T00:00:00"/>
    <n v="1"/>
    <n v="2081"/>
    <n v="0.52"/>
    <s v="Normal"/>
    <n v="2023"/>
    <s v="April"/>
  </r>
  <r>
    <n v="3509"/>
    <x v="207"/>
    <x v="1"/>
    <s v="North"/>
    <s v="Basic"/>
    <d v="2022-01-10T00:00:00"/>
    <d v="2022-05-11T00:00:00"/>
    <x v="1585"/>
    <n v="4260"/>
    <n v="-3534"/>
    <s v="Pending"/>
    <n v="4"/>
    <d v="2022-05-11T00:00:00"/>
    <n v="1"/>
    <n v="2082"/>
    <n v="-4.87"/>
    <s v="Outlier"/>
    <n v="2022"/>
    <s v="May"/>
  </r>
  <r>
    <n v="3510"/>
    <x v="54"/>
    <x v="3"/>
    <s v="East"/>
    <s v="Basic"/>
    <d v="2022-10-17T00:00:00"/>
    <d v="2023-01-19T00:00:00"/>
    <x v="1586"/>
    <n v="5506"/>
    <n v="927"/>
    <s v="Overdue"/>
    <n v="3"/>
    <d v="2023-01-19T00:00:00"/>
    <n v="0"/>
    <n v="2083"/>
    <n v="0.14000000000000001"/>
    <s v="Normal"/>
    <n v="2023"/>
    <s v="January"/>
  </r>
  <r>
    <n v="3511"/>
    <x v="93"/>
    <x v="0"/>
    <s v="West"/>
    <s v="Basic"/>
    <d v="2022-08-01T00:00:00"/>
    <d v="2023-10-12T00:00:00"/>
    <x v="1587"/>
    <n v="4012.75"/>
    <n v="1940"/>
    <s v="Overdue"/>
    <n v="14"/>
    <d v="2023-10-12T00:00:00"/>
    <n v="0"/>
    <n v="2084"/>
    <n v="1.68"/>
    <s v="Outlier"/>
    <n v="2023"/>
    <s v="October"/>
  </r>
  <r>
    <n v="3512"/>
    <x v="380"/>
    <x v="0"/>
    <s v="West"/>
    <s v="Premium"/>
    <d v="2022-10-12T00:00:00"/>
    <d v="2023-10-17T00:00:00"/>
    <x v="945"/>
    <n v="6779"/>
    <n v="1129"/>
    <s v="Overdue"/>
    <n v="12"/>
    <d v="2023-10-17T00:00:00"/>
    <n v="1"/>
    <n v="2085"/>
    <n v="0.14000000000000001"/>
    <s v="Normal"/>
    <n v="2023"/>
    <s v="October"/>
  </r>
  <r>
    <n v="3514"/>
    <x v="159"/>
    <x v="2"/>
    <s v="West"/>
    <s v="Basic"/>
    <d v="2022-01-18T00:00:00"/>
    <d v="2022-06-20T00:00:00"/>
    <x v="17"/>
    <n v="1369"/>
    <n v="-2569"/>
    <s v="Overdue"/>
    <n v="5"/>
    <d v="2022-06-20T00:00:00"/>
    <n v="1"/>
    <n v="2086"/>
    <n v="-0.52"/>
    <s v="Normal"/>
    <n v="2022"/>
    <s v="June"/>
  </r>
  <r>
    <n v="3515"/>
    <x v="172"/>
    <x v="1"/>
    <s v="North"/>
    <s v="Premium"/>
    <d v="2022-04-18T00:00:00"/>
    <d v="2023-06-03T00:00:00"/>
    <x v="17"/>
    <n v="4012.75"/>
    <n v="577.01"/>
    <s v="NA"/>
    <n v="13"/>
    <d v="2023-06-03T00:00:00"/>
    <n v="0"/>
    <n v="2087"/>
    <n v="0.12"/>
    <s v="Normal"/>
    <n v="2023"/>
    <s v="June"/>
  </r>
  <r>
    <n v="3517"/>
    <x v="19"/>
    <x v="1"/>
    <s v="East"/>
    <s v="Premium"/>
    <d v="2022-01-01T00:00:00"/>
    <d v="2022-11-18T00:00:00"/>
    <x v="1588"/>
    <n v="4482"/>
    <n v="361"/>
    <s v="Overdue"/>
    <n v="10"/>
    <d v="2022-11-18T00:00:00"/>
    <n v="1"/>
    <n v="2088"/>
    <n v="7.0000000000000007E-2"/>
    <s v="Normal"/>
    <n v="2022"/>
    <s v="November"/>
  </r>
  <r>
    <n v="3518"/>
    <x v="367"/>
    <x v="1"/>
    <s v="North"/>
    <s v="Basic"/>
    <d v="2022-04-28T00:00:00"/>
    <d v="2023-01-27T00:00:00"/>
    <x v="1589"/>
    <n v="4012.75"/>
    <n v="2768"/>
    <s v="Paid"/>
    <n v="8"/>
    <d v="2023-01-27T00:00:00"/>
    <n v="1"/>
    <n v="2089"/>
    <n v="1.27"/>
    <s v="Outlier"/>
    <n v="2023"/>
    <s v="January"/>
  </r>
  <r>
    <n v="3521"/>
    <x v="322"/>
    <x v="1"/>
    <s v="East"/>
    <s v="Basic"/>
    <d v="2022-10-25T00:00:00"/>
    <d v="2023-01-06T00:00:00"/>
    <x v="1590"/>
    <n v="2630"/>
    <n v="248"/>
    <s v="Paid"/>
    <n v="2"/>
    <d v="2023-01-06T00:00:00"/>
    <n v="1"/>
    <n v="2090"/>
    <n v="0.09"/>
    <s v="Normal"/>
    <n v="2023"/>
    <s v="January"/>
  </r>
  <r>
    <n v="3522"/>
    <x v="10"/>
    <x v="0"/>
    <s v="West"/>
    <s v="Standard"/>
    <d v="2022-03-12T00:00:00"/>
    <d v="2022-08-27T00:00:00"/>
    <x v="1591"/>
    <n v="283"/>
    <n v="2069"/>
    <s v="Pending"/>
    <n v="5"/>
    <d v="2022-08-27T00:00:00"/>
    <n v="1"/>
    <n v="2091"/>
    <n v="0.88"/>
    <s v="Normal"/>
    <n v="2022"/>
    <s v="August"/>
  </r>
  <r>
    <n v="3524"/>
    <x v="267"/>
    <x v="3"/>
    <s v="North"/>
    <s v="Standard"/>
    <d v="2022-04-26T00:00:00"/>
    <d v="2023-01-11T00:00:00"/>
    <x v="1592"/>
    <n v="7291"/>
    <n v="-4963"/>
    <s v="Pending"/>
    <n v="8"/>
    <d v="2023-01-11T00:00:00"/>
    <n v="0"/>
    <n v="2092"/>
    <n v="-2.13"/>
    <s v="Outlier"/>
    <n v="2023"/>
    <s v="January"/>
  </r>
  <r>
    <n v="3527"/>
    <x v="318"/>
    <x v="0"/>
    <s v="West"/>
    <s v="Basic"/>
    <d v="2022-06-04T00:00:00"/>
    <d v="2023-08-30T00:00:00"/>
    <x v="799"/>
    <n v="42"/>
    <n v="8421"/>
    <s v="Paid"/>
    <n v="14"/>
    <d v="2023-08-30T00:00:00"/>
    <n v="1"/>
    <n v="2093"/>
    <n v="1"/>
    <s v="Normal"/>
    <n v="2023"/>
    <s v="August"/>
  </r>
  <r>
    <n v="3528"/>
    <x v="252"/>
    <x v="3"/>
    <s v="South"/>
    <s v="Standard"/>
    <d v="2022-09-22T00:00:00"/>
    <d v="2023-01-02T00:00:00"/>
    <x v="1593"/>
    <n v="4992"/>
    <n v="-234"/>
    <s v="NA"/>
    <n v="3"/>
    <d v="2023-01-02T00:00:00"/>
    <n v="0"/>
    <n v="2094"/>
    <n v="-0.05"/>
    <s v="Normal"/>
    <n v="2023"/>
    <s v="January"/>
  </r>
  <r>
    <n v="3529"/>
    <x v="308"/>
    <x v="4"/>
    <s v="East"/>
    <s v="Basic"/>
    <d v="2022-10-10T00:00:00"/>
    <d v="2024-02-25T00:00:00"/>
    <x v="1594"/>
    <n v="1068"/>
    <n v="577.01"/>
    <s v="Overdue"/>
    <n v="16"/>
    <d v="2024-02-25T00:00:00"/>
    <n v="1"/>
    <n v="2095"/>
    <n v="0.11"/>
    <s v="Normal"/>
    <n v="2024"/>
    <s v="February"/>
  </r>
  <r>
    <n v="3530"/>
    <x v="9"/>
    <x v="4"/>
    <s v="West"/>
    <s v="Basic"/>
    <d v="2022-12-26T00:00:00"/>
    <d v="2024-08-11T00:00:00"/>
    <x v="1595"/>
    <n v="6142"/>
    <n v="-3374"/>
    <s v="Pending"/>
    <n v="19"/>
    <d v="2024-08-11T00:00:00"/>
    <n v="1"/>
    <n v="2096"/>
    <n v="-1.22"/>
    <s v="Outlier"/>
    <n v="2024"/>
    <s v="August"/>
  </r>
  <r>
    <n v="3533"/>
    <x v="335"/>
    <x v="4"/>
    <s v="North"/>
    <s v="Standard"/>
    <d v="2022-07-14T00:00:00"/>
    <d v="2024-02-10T00:00:00"/>
    <x v="17"/>
    <n v="7675"/>
    <n v="577.01"/>
    <s v="NA"/>
    <n v="18"/>
    <d v="2024-02-10T00:00:00"/>
    <n v="0"/>
    <n v="2097"/>
    <n v="0.12"/>
    <s v="Normal"/>
    <n v="2024"/>
    <s v="February"/>
  </r>
  <r>
    <n v="3534"/>
    <x v="236"/>
    <x v="3"/>
    <s v="East"/>
    <s v="Basic"/>
    <d v="2022-08-04T00:00:00"/>
    <d v="2022-12-09T00:00:00"/>
    <x v="1596"/>
    <n v="4741"/>
    <n v="577.01"/>
    <s v="Pending"/>
    <n v="4"/>
    <d v="2022-12-09T00:00:00"/>
    <n v="1"/>
    <n v="2098"/>
    <n v="0.14000000000000001"/>
    <s v="Normal"/>
    <n v="2022"/>
    <s v="December"/>
  </r>
  <r>
    <n v="3539"/>
    <x v="71"/>
    <x v="3"/>
    <s v="East"/>
    <s v="Basic"/>
    <d v="2022-06-21T00:00:00"/>
    <d v="2022-11-11T00:00:00"/>
    <x v="1597"/>
    <n v="169"/>
    <n v="657"/>
    <s v="Pending"/>
    <n v="4"/>
    <d v="2022-11-11T00:00:00"/>
    <n v="0"/>
    <n v="2099"/>
    <n v="0.8"/>
    <s v="Normal"/>
    <n v="2022"/>
    <s v="November"/>
  </r>
  <r>
    <n v="3540"/>
    <x v="188"/>
    <x v="1"/>
    <s v="East"/>
    <s v="Basic"/>
    <d v="2022-04-21T00:00:00"/>
    <d v="2023-07-21T00:00:00"/>
    <x v="1598"/>
    <n v="2820"/>
    <n v="-574"/>
    <s v="Overdue"/>
    <n v="15"/>
    <d v="2023-07-21T00:00:00"/>
    <n v="0"/>
    <n v="2100"/>
    <n v="-0.26"/>
    <s v="Normal"/>
    <n v="2023"/>
    <s v="July"/>
  </r>
  <r>
    <n v="3542"/>
    <x v="39"/>
    <x v="0"/>
    <s v="West"/>
    <s v="Basic"/>
    <d v="2022-03-03T00:00:00"/>
    <d v="2022-09-05T00:00:00"/>
    <x v="600"/>
    <n v="5300"/>
    <n v="1558"/>
    <s v="Paid"/>
    <n v="6"/>
    <d v="2022-09-05T00:00:00"/>
    <n v="0"/>
    <n v="2101"/>
    <n v="0.23"/>
    <s v="Normal"/>
    <n v="2022"/>
    <s v="September"/>
  </r>
  <r>
    <n v="3543"/>
    <x v="225"/>
    <x v="1"/>
    <s v="West"/>
    <s v="Standard"/>
    <d v="2022-09-05T00:00:00"/>
    <d v="2022-12-21T00:00:00"/>
    <x v="1599"/>
    <n v="3985"/>
    <n v="2301"/>
    <s v="NA"/>
    <n v="3"/>
    <d v="2022-12-21T00:00:00"/>
    <n v="1"/>
    <n v="2102"/>
    <n v="0.37"/>
    <s v="Normal"/>
    <n v="2022"/>
    <s v="December"/>
  </r>
  <r>
    <n v="3547"/>
    <x v="391"/>
    <x v="3"/>
    <s v="North"/>
    <s v="Premium"/>
    <d v="2022-03-11T00:00:00"/>
    <d v="2022-06-29T00:00:00"/>
    <x v="1600"/>
    <n v="1334"/>
    <n v="4091"/>
    <s v="Pending"/>
    <n v="3"/>
    <d v="2022-06-29T00:00:00"/>
    <n v="1"/>
    <n v="2103"/>
    <n v="0.75"/>
    <s v="Normal"/>
    <n v="2022"/>
    <s v="June"/>
  </r>
  <r>
    <n v="3548"/>
    <x v="295"/>
    <x v="2"/>
    <s v="North"/>
    <s v="Premium"/>
    <d v="2022-10-11T00:00:00"/>
    <d v="2023-12-02T00:00:00"/>
    <x v="1601"/>
    <n v="4941"/>
    <n v="1253"/>
    <s v="NA"/>
    <n v="13"/>
    <d v="2023-12-02T00:00:00"/>
    <n v="0"/>
    <n v="2104"/>
    <n v="0.2"/>
    <s v="Normal"/>
    <n v="2023"/>
    <s v="December"/>
  </r>
  <r>
    <n v="3549"/>
    <x v="67"/>
    <x v="4"/>
    <s v="West"/>
    <s v="Basic"/>
    <d v="2022-01-04T00:00:00"/>
    <d v="2022-11-16T00:00:00"/>
    <x v="17"/>
    <n v="3192"/>
    <n v="-4589"/>
    <s v="NA"/>
    <n v="10"/>
    <d v="2022-11-16T00:00:00"/>
    <n v="1"/>
    <n v="2105"/>
    <n v="-0.92"/>
    <s v="Normal"/>
    <n v="2022"/>
    <s v="November"/>
  </r>
  <r>
    <n v="3552"/>
    <x v="199"/>
    <x v="4"/>
    <s v="North"/>
    <s v="Basic"/>
    <d v="2022-12-28T00:00:00"/>
    <d v="2023-07-11T00:00:00"/>
    <x v="1602"/>
    <n v="7908"/>
    <n v="-7561"/>
    <s v="Overdue"/>
    <n v="6"/>
    <d v="2023-07-11T00:00:00"/>
    <n v="1"/>
    <n v="2106"/>
    <n v="-21.79"/>
    <s v="Outlier"/>
    <n v="2023"/>
    <s v="July"/>
  </r>
  <r>
    <n v="3553"/>
    <x v="188"/>
    <x v="0"/>
    <s v="East"/>
    <s v="Basic"/>
    <d v="2022-10-15T00:00:00"/>
    <d v="2023-02-23T00:00:00"/>
    <x v="17"/>
    <n v="4554"/>
    <n v="-6268"/>
    <s v="Pending"/>
    <n v="4"/>
    <d v="2023-02-23T00:00:00"/>
    <n v="1"/>
    <n v="2107"/>
    <n v="-1.26"/>
    <s v="Outlier"/>
    <n v="2023"/>
    <s v="February"/>
  </r>
  <r>
    <n v="3556"/>
    <x v="367"/>
    <x v="2"/>
    <s v="South"/>
    <s v="Standard"/>
    <d v="2022-03-19T00:00:00"/>
    <d v="2022-06-16T00:00:00"/>
    <x v="1603"/>
    <n v="4660"/>
    <n v="577.01"/>
    <s v="Paid"/>
    <n v="2"/>
    <d v="2022-06-16T00:00:00"/>
    <n v="0"/>
    <n v="2108"/>
    <n v="0.06"/>
    <s v="Normal"/>
    <n v="2022"/>
    <s v="June"/>
  </r>
  <r>
    <n v="3559"/>
    <x v="12"/>
    <x v="1"/>
    <s v="South"/>
    <s v="Standard"/>
    <d v="2022-06-10T00:00:00"/>
    <d v="2023-09-28T00:00:00"/>
    <x v="1604"/>
    <n v="898"/>
    <n v="3989"/>
    <s v="NA"/>
    <n v="15"/>
    <d v="2023-09-28T00:00:00"/>
    <n v="1"/>
    <n v="2109"/>
    <n v="0.82"/>
    <s v="Normal"/>
    <n v="2023"/>
    <s v="September"/>
  </r>
  <r>
    <n v="3560"/>
    <x v="177"/>
    <x v="4"/>
    <s v="North"/>
    <s v="Premium"/>
    <d v="2022-10-10T00:00:00"/>
    <d v="2022-12-13T00:00:00"/>
    <x v="17"/>
    <n v="976"/>
    <n v="-2564"/>
    <s v="Pending"/>
    <n v="2"/>
    <d v="2022-12-13T00:00:00"/>
    <n v="0"/>
    <n v="2110"/>
    <n v="-0.52"/>
    <s v="Normal"/>
    <n v="2022"/>
    <s v="December"/>
  </r>
  <r>
    <n v="3562"/>
    <x v="69"/>
    <x v="2"/>
    <s v="South"/>
    <s v="Standard"/>
    <d v="2022-10-16T00:00:00"/>
    <d v="2023-07-30T00:00:00"/>
    <x v="1605"/>
    <n v="6434"/>
    <n v="577.01"/>
    <s v="Pending"/>
    <n v="9"/>
    <d v="2023-07-30T00:00:00"/>
    <n v="0"/>
    <n v="2111"/>
    <n v="0.1"/>
    <s v="Normal"/>
    <n v="2023"/>
    <s v="July"/>
  </r>
  <r>
    <n v="3563"/>
    <x v="116"/>
    <x v="4"/>
    <s v="South"/>
    <s v="Standard"/>
    <d v="2022-12-02T00:00:00"/>
    <d v="2023-12-09T00:00:00"/>
    <x v="1606"/>
    <n v="1932"/>
    <n v="2554"/>
    <s v="Paid"/>
    <n v="12"/>
    <d v="2023-12-09T00:00:00"/>
    <n v="0"/>
    <n v="2112"/>
    <n v="0.56999999999999995"/>
    <s v="Normal"/>
    <n v="2023"/>
    <s v="December"/>
  </r>
  <r>
    <n v="3565"/>
    <x v="45"/>
    <x v="3"/>
    <s v="North"/>
    <s v="Basic"/>
    <d v="2022-08-05T00:00:00"/>
    <d v="2022-12-17T00:00:00"/>
    <x v="1607"/>
    <n v="4012.75"/>
    <n v="10524"/>
    <s v="Overdue"/>
    <n v="4"/>
    <d v="2022-12-17T00:00:00"/>
    <n v="0"/>
    <n v="2113"/>
    <n v="1.0900000000000001"/>
    <s v="Outlier"/>
    <n v="2022"/>
    <s v="December"/>
  </r>
  <r>
    <n v="3570"/>
    <x v="9"/>
    <x v="3"/>
    <s v="East"/>
    <s v="Premium"/>
    <d v="2022-10-01T00:00:00"/>
    <d v="2023-12-07T00:00:00"/>
    <x v="1608"/>
    <n v="2902"/>
    <n v="4621"/>
    <s v="Paid"/>
    <n v="14"/>
    <d v="2023-12-07T00:00:00"/>
    <n v="0"/>
    <n v="2114"/>
    <n v="0.61"/>
    <s v="Normal"/>
    <n v="2023"/>
    <s v="December"/>
  </r>
  <r>
    <n v="3572"/>
    <x v="16"/>
    <x v="3"/>
    <s v="South"/>
    <s v="Standard"/>
    <d v="2022-11-21T00:00:00"/>
    <d v="2024-03-12T00:00:00"/>
    <x v="1609"/>
    <n v="4020"/>
    <n v="5449"/>
    <s v="Overdue"/>
    <n v="15"/>
    <d v="2024-03-12T00:00:00"/>
    <n v="0"/>
    <n v="2115"/>
    <n v="0.57999999999999996"/>
    <s v="Normal"/>
    <n v="2024"/>
    <s v="March"/>
  </r>
  <r>
    <n v="3574"/>
    <x v="227"/>
    <x v="1"/>
    <s v="East"/>
    <s v="Premium"/>
    <d v="2022-01-14T00:00:00"/>
    <d v="2022-10-08T00:00:00"/>
    <x v="1610"/>
    <n v="5999"/>
    <n v="-1107"/>
    <s v="Pending"/>
    <n v="8"/>
    <d v="2022-10-08T00:00:00"/>
    <n v="1"/>
    <n v="2116"/>
    <n v="-0.23"/>
    <s v="Normal"/>
    <n v="2022"/>
    <s v="October"/>
  </r>
  <r>
    <n v="3575"/>
    <x v="68"/>
    <x v="4"/>
    <s v="East"/>
    <s v="Premium"/>
    <d v="2022-05-03T00:00:00"/>
    <d v="2023-06-07T00:00:00"/>
    <x v="126"/>
    <n v="4012.75"/>
    <n v="577.01"/>
    <s v="Paid"/>
    <n v="13"/>
    <d v="2023-06-07T00:00:00"/>
    <n v="1"/>
    <n v="2117"/>
    <n v="0.1"/>
    <s v="Normal"/>
    <n v="2023"/>
    <s v="June"/>
  </r>
  <r>
    <n v="3576"/>
    <x v="83"/>
    <x v="0"/>
    <s v="North"/>
    <s v="Basic"/>
    <d v="2022-09-29T00:00:00"/>
    <d v="2024-02-21T00:00:00"/>
    <x v="1611"/>
    <n v="2663"/>
    <n v="4859"/>
    <s v="Overdue"/>
    <n v="16"/>
    <d v="2024-02-21T00:00:00"/>
    <n v="1"/>
    <n v="2118"/>
    <n v="0.65"/>
    <s v="Normal"/>
    <n v="2024"/>
    <s v="February"/>
  </r>
  <r>
    <n v="3577"/>
    <x v="132"/>
    <x v="3"/>
    <s v="West"/>
    <s v="Standard"/>
    <d v="2022-11-06T00:00:00"/>
    <d v="2023-02-10T00:00:00"/>
    <x v="1135"/>
    <n v="3217"/>
    <n v="5925"/>
    <s v="NA"/>
    <n v="3"/>
    <d v="2023-02-10T00:00:00"/>
    <n v="0"/>
    <n v="2119"/>
    <n v="0.65"/>
    <s v="Normal"/>
    <n v="2023"/>
    <s v="February"/>
  </r>
  <r>
    <n v="3578"/>
    <x v="393"/>
    <x v="1"/>
    <s v="East"/>
    <s v="Basic"/>
    <d v="2022-04-20T00:00:00"/>
    <d v="2022-11-30T00:00:00"/>
    <x v="1199"/>
    <n v="6860"/>
    <n v="-5465"/>
    <s v="Pending"/>
    <n v="7"/>
    <d v="2022-11-30T00:00:00"/>
    <n v="1"/>
    <n v="2120"/>
    <n v="-3.92"/>
    <s v="Outlier"/>
    <n v="2022"/>
    <s v="November"/>
  </r>
  <r>
    <n v="3579"/>
    <x v="214"/>
    <x v="1"/>
    <s v="South"/>
    <s v="Premium"/>
    <d v="2022-11-06T00:00:00"/>
    <d v="2023-05-20T00:00:00"/>
    <x v="1612"/>
    <n v="6112"/>
    <n v="-247"/>
    <s v="Overdue"/>
    <n v="6"/>
    <d v="2023-05-20T00:00:00"/>
    <n v="0"/>
    <n v="2121"/>
    <n v="-0.04"/>
    <s v="Normal"/>
    <n v="2023"/>
    <s v="May"/>
  </r>
  <r>
    <n v="3580"/>
    <x v="378"/>
    <x v="1"/>
    <s v="South"/>
    <s v="Basic"/>
    <d v="2022-07-18T00:00:00"/>
    <d v="2022-11-21T00:00:00"/>
    <x v="1613"/>
    <n v="4475"/>
    <n v="-2185"/>
    <s v="Paid"/>
    <n v="4"/>
    <d v="2022-11-21T00:00:00"/>
    <n v="0"/>
    <n v="2122"/>
    <n v="-0.95"/>
    <s v="Normal"/>
    <n v="2022"/>
    <s v="November"/>
  </r>
  <r>
    <n v="3582"/>
    <x v="257"/>
    <x v="3"/>
    <s v="South"/>
    <s v="Basic"/>
    <d v="2022-04-15T00:00:00"/>
    <d v="2022-11-23T00:00:00"/>
    <x v="1614"/>
    <n v="3840"/>
    <n v="5116"/>
    <s v="Pending"/>
    <n v="7"/>
    <d v="2022-11-23T00:00:00"/>
    <n v="1"/>
    <n v="2123"/>
    <n v="0.56999999999999995"/>
    <s v="Normal"/>
    <n v="2022"/>
    <s v="November"/>
  </r>
  <r>
    <n v="3584"/>
    <x v="282"/>
    <x v="1"/>
    <s v="East"/>
    <s v="Basic"/>
    <d v="2022-02-25T00:00:00"/>
    <d v="2022-05-01T00:00:00"/>
    <x v="17"/>
    <n v="4985"/>
    <n v="-6670"/>
    <s v="Paid"/>
    <n v="2"/>
    <d v="2022-05-01T00:00:00"/>
    <n v="0"/>
    <n v="2124"/>
    <n v="-1.34"/>
    <s v="Outlier"/>
    <n v="2022"/>
    <s v="May"/>
  </r>
  <r>
    <n v="3586"/>
    <x v="202"/>
    <x v="0"/>
    <s v="North"/>
    <s v="Premium"/>
    <d v="2022-04-29T00:00:00"/>
    <d v="2023-04-06T00:00:00"/>
    <x v="1615"/>
    <n v="3067"/>
    <n v="396"/>
    <s v="NA"/>
    <n v="11"/>
    <d v="2023-04-06T00:00:00"/>
    <n v="0"/>
    <n v="2125"/>
    <n v="0.11"/>
    <s v="Normal"/>
    <n v="2023"/>
    <s v="April"/>
  </r>
  <r>
    <n v="3589"/>
    <x v="315"/>
    <x v="0"/>
    <s v="North"/>
    <s v="Premium"/>
    <d v="2022-03-11T00:00:00"/>
    <d v="2022-07-28T00:00:00"/>
    <x v="864"/>
    <n v="532"/>
    <n v="1793"/>
    <s v="NA"/>
    <n v="4"/>
    <d v="2022-07-28T00:00:00"/>
    <n v="0"/>
    <n v="2126"/>
    <n v="0.77"/>
    <s v="Normal"/>
    <n v="2022"/>
    <s v="July"/>
  </r>
  <r>
    <n v="3590"/>
    <x v="189"/>
    <x v="4"/>
    <s v="East"/>
    <s v="Premium"/>
    <d v="2022-10-02T00:00:00"/>
    <d v="2023-12-12T00:00:00"/>
    <x v="1616"/>
    <n v="6521"/>
    <n v="-5664"/>
    <s v="NA"/>
    <n v="14"/>
    <d v="2023-12-12T00:00:00"/>
    <n v="0"/>
    <n v="2127"/>
    <n v="-6.61"/>
    <s v="Outlier"/>
    <n v="2023"/>
    <s v="December"/>
  </r>
  <r>
    <n v="3591"/>
    <x v="154"/>
    <x v="1"/>
    <s v="East"/>
    <s v="Premium"/>
    <d v="2022-08-08T00:00:00"/>
    <d v="2022-10-09T00:00:00"/>
    <x v="108"/>
    <n v="5521"/>
    <n v="-4540"/>
    <s v="Pending"/>
    <n v="2"/>
    <d v="2022-10-09T00:00:00"/>
    <n v="0"/>
    <n v="2128"/>
    <n v="-4.63"/>
    <s v="Outlier"/>
    <n v="2022"/>
    <s v="October"/>
  </r>
  <r>
    <n v="3594"/>
    <x v="277"/>
    <x v="1"/>
    <s v="North"/>
    <s v="Premium"/>
    <d v="2022-06-15T00:00:00"/>
    <d v="2023-11-25T00:00:00"/>
    <x v="1617"/>
    <n v="2608"/>
    <n v="3941"/>
    <s v="Pending"/>
    <n v="17"/>
    <d v="2023-11-25T00:00:00"/>
    <n v="1"/>
    <n v="2129"/>
    <n v="0.6"/>
    <s v="Normal"/>
    <n v="2023"/>
    <s v="November"/>
  </r>
  <r>
    <n v="3595"/>
    <x v="281"/>
    <x v="3"/>
    <s v="South"/>
    <s v="Standard"/>
    <d v="2022-07-25T00:00:00"/>
    <d v="2022-08-28T00:00:00"/>
    <x v="1618"/>
    <n v="1336"/>
    <n v="7267"/>
    <s v="Overdue"/>
    <n v="1"/>
    <d v="2022-08-28T00:00:00"/>
    <n v="1"/>
    <n v="2130"/>
    <n v="0.84"/>
    <s v="Normal"/>
    <n v="2022"/>
    <s v="August"/>
  </r>
  <r>
    <n v="3596"/>
    <x v="44"/>
    <x v="2"/>
    <s v="East"/>
    <s v="Basic"/>
    <d v="2022-04-20T00:00:00"/>
    <d v="2023-01-07T00:00:00"/>
    <x v="1619"/>
    <n v="6942"/>
    <n v="-5014"/>
    <s v="Paid"/>
    <n v="8"/>
    <d v="2023-01-07T00:00:00"/>
    <n v="1"/>
    <n v="2131"/>
    <n v="-2.6"/>
    <s v="Outlier"/>
    <n v="2023"/>
    <s v="January"/>
  </r>
  <r>
    <n v="3600"/>
    <x v="115"/>
    <x v="4"/>
    <s v="West"/>
    <s v="Premium"/>
    <d v="2022-03-09T00:00:00"/>
    <d v="2023-09-26T00:00:00"/>
    <x v="806"/>
    <n v="2029"/>
    <n v="3134"/>
    <s v="Overdue"/>
    <n v="18"/>
    <d v="2023-09-26T00:00:00"/>
    <n v="0"/>
    <n v="2132"/>
    <n v="0.61"/>
    <s v="Normal"/>
    <n v="2023"/>
    <s v="September"/>
  </r>
  <r>
    <n v="3601"/>
    <x v="265"/>
    <x v="4"/>
    <s v="South"/>
    <s v="Basic"/>
    <d v="2022-02-12T00:00:00"/>
    <d v="2023-07-11T00:00:00"/>
    <x v="1620"/>
    <n v="4012.75"/>
    <n v="2095"/>
    <s v="Paid"/>
    <n v="16"/>
    <d v="2023-07-11T00:00:00"/>
    <n v="0"/>
    <n v="2133"/>
    <n v="1.37"/>
    <s v="Outlier"/>
    <n v="2023"/>
    <s v="July"/>
  </r>
  <r>
    <n v="3602"/>
    <x v="12"/>
    <x v="2"/>
    <s v="North"/>
    <s v="Standard"/>
    <d v="2022-05-24T00:00:00"/>
    <d v="2023-09-15T00:00:00"/>
    <x v="1621"/>
    <n v="4813"/>
    <n v="1546"/>
    <s v="Overdue"/>
    <n v="15"/>
    <d v="2023-09-15T00:00:00"/>
    <n v="0"/>
    <n v="2134"/>
    <n v="0.24"/>
    <s v="Normal"/>
    <n v="2023"/>
    <s v="September"/>
  </r>
  <r>
    <n v="3603"/>
    <x v="262"/>
    <x v="0"/>
    <s v="North"/>
    <s v="Basic"/>
    <d v="2022-04-04T00:00:00"/>
    <d v="2023-06-08T00:00:00"/>
    <x v="1622"/>
    <n v="5133"/>
    <n v="3038"/>
    <s v="Paid"/>
    <n v="14"/>
    <d v="2023-06-08T00:00:00"/>
    <n v="0"/>
    <n v="2135"/>
    <n v="0.37"/>
    <s v="Normal"/>
    <n v="2023"/>
    <s v="June"/>
  </r>
  <r>
    <n v="3604"/>
    <x v="261"/>
    <x v="4"/>
    <s v="South"/>
    <s v="Basic"/>
    <d v="2022-12-12T00:00:00"/>
    <d v="2023-08-21T00:00:00"/>
    <x v="440"/>
    <n v="7032"/>
    <n v="-3293"/>
    <s v="Pending"/>
    <n v="8"/>
    <d v="2023-08-21T00:00:00"/>
    <n v="1"/>
    <n v="2136"/>
    <n v="-0.88"/>
    <s v="Normal"/>
    <n v="2023"/>
    <s v="August"/>
  </r>
  <r>
    <n v="3607"/>
    <x v="121"/>
    <x v="1"/>
    <s v="South"/>
    <s v="Premium"/>
    <d v="2022-07-11T00:00:00"/>
    <d v="2022-12-05T00:00:00"/>
    <x v="1623"/>
    <n v="5970"/>
    <n v="2341"/>
    <s v="NA"/>
    <n v="4"/>
    <d v="2022-12-05T00:00:00"/>
    <n v="0"/>
    <n v="2137"/>
    <n v="0.28000000000000003"/>
    <s v="Normal"/>
    <n v="2022"/>
    <s v="December"/>
  </r>
  <r>
    <n v="3608"/>
    <x v="155"/>
    <x v="1"/>
    <s v="North"/>
    <s v="Standard"/>
    <d v="2022-01-26T00:00:00"/>
    <d v="2023-02-21T00:00:00"/>
    <x v="1624"/>
    <n v="3299"/>
    <n v="3283"/>
    <s v="Paid"/>
    <n v="12"/>
    <d v="2023-02-21T00:00:00"/>
    <n v="0"/>
    <n v="2138"/>
    <n v="0.5"/>
    <s v="Normal"/>
    <n v="2023"/>
    <s v="February"/>
  </r>
  <r>
    <n v="3609"/>
    <x v="210"/>
    <x v="1"/>
    <s v="North"/>
    <s v="Basic"/>
    <d v="2022-04-17T00:00:00"/>
    <d v="2022-09-11T00:00:00"/>
    <x v="424"/>
    <n v="6492"/>
    <n v="577.01"/>
    <s v="Overdue"/>
    <n v="4"/>
    <d v="2022-09-11T00:00:00"/>
    <n v="1"/>
    <n v="2139"/>
    <n v="0.1"/>
    <s v="Normal"/>
    <n v="2022"/>
    <s v="September"/>
  </r>
  <r>
    <n v="3613"/>
    <x v="331"/>
    <x v="4"/>
    <s v="South"/>
    <s v="Premium"/>
    <d v="2022-12-12T00:00:00"/>
    <d v="2023-05-08T00:00:00"/>
    <x v="252"/>
    <n v="3075"/>
    <n v="1016"/>
    <s v="Overdue"/>
    <n v="4"/>
    <d v="2023-05-08T00:00:00"/>
    <n v="1"/>
    <n v="2140"/>
    <n v="0.25"/>
    <s v="Normal"/>
    <n v="2023"/>
    <s v="May"/>
  </r>
  <r>
    <n v="3614"/>
    <x v="266"/>
    <x v="2"/>
    <s v="West"/>
    <s v="Premium"/>
    <d v="2022-01-18T00:00:00"/>
    <d v="2023-09-08T00:00:00"/>
    <x v="558"/>
    <n v="3294"/>
    <n v="1835"/>
    <s v="Paid"/>
    <n v="19"/>
    <d v="2023-09-08T00:00:00"/>
    <n v="0"/>
    <n v="2141"/>
    <n v="0.36"/>
    <s v="Normal"/>
    <n v="2023"/>
    <s v="September"/>
  </r>
  <r>
    <n v="3616"/>
    <x v="118"/>
    <x v="4"/>
    <s v="East"/>
    <s v="Premium"/>
    <d v="2022-06-23T00:00:00"/>
    <d v="2023-06-25T00:00:00"/>
    <x v="1625"/>
    <n v="4990"/>
    <n v="-2347"/>
    <s v="NA"/>
    <n v="12"/>
    <d v="2023-06-25T00:00:00"/>
    <n v="0"/>
    <n v="2142"/>
    <n v="-0.89"/>
    <s v="Normal"/>
    <n v="2023"/>
    <s v="June"/>
  </r>
  <r>
    <n v="3617"/>
    <x v="4"/>
    <x v="3"/>
    <s v="East"/>
    <s v="Basic"/>
    <d v="2022-08-30T00:00:00"/>
    <d v="2022-11-02T00:00:00"/>
    <x v="178"/>
    <n v="3918"/>
    <n v="5717"/>
    <s v="Paid"/>
    <n v="2"/>
    <d v="2022-11-02T00:00:00"/>
    <n v="0"/>
    <n v="2143"/>
    <n v="0.59"/>
    <s v="Normal"/>
    <n v="2022"/>
    <s v="November"/>
  </r>
  <r>
    <n v="3619"/>
    <x v="54"/>
    <x v="1"/>
    <s v="East"/>
    <s v="Standard"/>
    <d v="2022-04-03T00:00:00"/>
    <d v="2022-10-17T00:00:00"/>
    <x v="1626"/>
    <n v="4192"/>
    <n v="127"/>
    <s v="Paid"/>
    <n v="6"/>
    <d v="2022-10-17T00:00:00"/>
    <n v="0"/>
    <n v="2144"/>
    <n v="0.03"/>
    <s v="Normal"/>
    <n v="2022"/>
    <s v="October"/>
  </r>
  <r>
    <n v="3620"/>
    <x v="18"/>
    <x v="2"/>
    <s v="East"/>
    <s v="Basic"/>
    <d v="2022-09-13T00:00:00"/>
    <d v="2023-08-08T00:00:00"/>
    <x v="1627"/>
    <n v="4012.75"/>
    <n v="8501"/>
    <s v="NA"/>
    <n v="10"/>
    <d v="2023-08-08T00:00:00"/>
    <n v="1"/>
    <n v="2145"/>
    <n v="1.07"/>
    <s v="Outlier"/>
    <n v="2023"/>
    <s v="August"/>
  </r>
  <r>
    <n v="3621"/>
    <x v="181"/>
    <x v="4"/>
    <s v="South"/>
    <s v="Standard"/>
    <d v="2022-01-09T00:00:00"/>
    <d v="2022-10-31T00:00:00"/>
    <x v="17"/>
    <n v="3428"/>
    <n v="577.01"/>
    <s v="Overdue"/>
    <n v="9"/>
    <d v="2022-10-31T00:00:00"/>
    <n v="0"/>
    <n v="2146"/>
    <n v="0.12"/>
    <s v="Normal"/>
    <n v="2022"/>
    <s v="October"/>
  </r>
  <r>
    <n v="3623"/>
    <x v="357"/>
    <x v="1"/>
    <s v="East"/>
    <s v="Premium"/>
    <d v="2022-12-24T00:00:00"/>
    <d v="2023-12-09T00:00:00"/>
    <x v="1628"/>
    <n v="7210"/>
    <n v="-5625"/>
    <s v="Paid"/>
    <n v="11"/>
    <d v="2023-12-09T00:00:00"/>
    <n v="1"/>
    <n v="2147"/>
    <n v="-3.55"/>
    <s v="Outlier"/>
    <n v="2023"/>
    <s v="December"/>
  </r>
  <r>
    <n v="3624"/>
    <x v="159"/>
    <x v="2"/>
    <s v="West"/>
    <s v="Basic"/>
    <d v="2022-08-14T00:00:00"/>
    <d v="2023-06-07T00:00:00"/>
    <x v="1629"/>
    <n v="3149"/>
    <n v="2088"/>
    <s v="Pending"/>
    <n v="9"/>
    <d v="2023-06-07T00:00:00"/>
    <n v="1"/>
    <n v="2148"/>
    <n v="0.4"/>
    <s v="Normal"/>
    <n v="2023"/>
    <s v="June"/>
  </r>
  <r>
    <n v="3626"/>
    <x v="32"/>
    <x v="4"/>
    <s v="North"/>
    <s v="Premium"/>
    <d v="2022-12-21T00:00:00"/>
    <d v="2024-05-25T00:00:00"/>
    <x v="1630"/>
    <n v="4012.75"/>
    <n v="10402"/>
    <s v="NA"/>
    <n v="17"/>
    <d v="2024-05-25T00:00:00"/>
    <n v="0"/>
    <n v="2149"/>
    <n v="1.06"/>
    <s v="Outlier"/>
    <n v="2024"/>
    <s v="May"/>
  </r>
  <r>
    <n v="3628"/>
    <x v="11"/>
    <x v="1"/>
    <s v="South"/>
    <s v="Standard"/>
    <d v="2022-08-26T00:00:00"/>
    <d v="2023-05-21T00:00:00"/>
    <x v="1631"/>
    <n v="7823"/>
    <n v="-7724"/>
    <s v="Paid"/>
    <n v="8"/>
    <d v="2023-05-21T00:00:00"/>
    <n v="1"/>
    <n v="2150"/>
    <n v="-78.02"/>
    <s v="Outlier"/>
    <n v="2023"/>
    <s v="May"/>
  </r>
  <r>
    <n v="3629"/>
    <x v="106"/>
    <x v="2"/>
    <s v="East"/>
    <s v="Standard"/>
    <d v="2022-05-17T00:00:00"/>
    <d v="2023-04-06T00:00:00"/>
    <x v="1632"/>
    <n v="3413"/>
    <n v="6455"/>
    <s v="Pending"/>
    <n v="10"/>
    <d v="2023-04-06T00:00:00"/>
    <n v="1"/>
    <n v="2151"/>
    <n v="0.65"/>
    <s v="Normal"/>
    <n v="2023"/>
    <s v="April"/>
  </r>
  <r>
    <n v="3631"/>
    <x v="316"/>
    <x v="2"/>
    <s v="East"/>
    <s v="Standard"/>
    <d v="2022-02-11T00:00:00"/>
    <d v="2023-04-26T00:00:00"/>
    <x v="1633"/>
    <n v="3429"/>
    <n v="577.01"/>
    <s v="Paid"/>
    <n v="14"/>
    <d v="2023-04-26T00:00:00"/>
    <n v="0"/>
    <n v="2152"/>
    <n v="0.06"/>
    <s v="Normal"/>
    <n v="2023"/>
    <s v="April"/>
  </r>
  <r>
    <n v="3632"/>
    <x v="389"/>
    <x v="4"/>
    <s v="East"/>
    <s v="Premium"/>
    <d v="2022-10-02T00:00:00"/>
    <d v="2024-04-03T00:00:00"/>
    <x v="17"/>
    <n v="7492"/>
    <n v="-8501"/>
    <s v="Pending"/>
    <n v="18"/>
    <d v="2024-04-03T00:00:00"/>
    <n v="0"/>
    <n v="2153"/>
    <n v="-1.71"/>
    <s v="Outlier"/>
    <n v="2024"/>
    <s v="April"/>
  </r>
  <r>
    <n v="3633"/>
    <x v="216"/>
    <x v="1"/>
    <s v="East"/>
    <s v="Standard"/>
    <d v="2022-07-05T00:00:00"/>
    <d v="2023-10-10T00:00:00"/>
    <x v="1634"/>
    <n v="1282"/>
    <n v="577.01"/>
    <s v="NA"/>
    <n v="15"/>
    <d v="2023-10-10T00:00:00"/>
    <n v="0"/>
    <n v="2154"/>
    <n v="7.0000000000000007E-2"/>
    <s v="Normal"/>
    <n v="2023"/>
    <s v="October"/>
  </r>
  <r>
    <n v="3634"/>
    <x v="396"/>
    <x v="0"/>
    <s v="West"/>
    <s v="Standard"/>
    <d v="2022-06-21T00:00:00"/>
    <d v="2023-09-30T00:00:00"/>
    <x v="1635"/>
    <n v="3148"/>
    <n v="4771"/>
    <s v="Overdue"/>
    <n v="15"/>
    <d v="2023-09-30T00:00:00"/>
    <n v="0"/>
    <n v="2155"/>
    <n v="0.6"/>
    <s v="Normal"/>
    <n v="2023"/>
    <s v="September"/>
  </r>
  <r>
    <n v="3635"/>
    <x v="237"/>
    <x v="1"/>
    <s v="North"/>
    <s v="Premium"/>
    <d v="2022-01-07T00:00:00"/>
    <d v="2022-05-18T00:00:00"/>
    <x v="1636"/>
    <n v="2051"/>
    <n v="5340"/>
    <s v="Pending"/>
    <n v="4"/>
    <d v="2022-05-18T00:00:00"/>
    <n v="0"/>
    <n v="2156"/>
    <n v="0.72"/>
    <s v="Normal"/>
    <n v="2022"/>
    <s v="May"/>
  </r>
  <r>
    <n v="3638"/>
    <x v="204"/>
    <x v="3"/>
    <s v="West"/>
    <s v="Premium"/>
    <d v="2022-11-28T00:00:00"/>
    <d v="2023-09-12T00:00:00"/>
    <x v="1637"/>
    <n v="4012.75"/>
    <n v="9266"/>
    <s v="Pending"/>
    <n v="9"/>
    <d v="2023-09-12T00:00:00"/>
    <n v="1"/>
    <n v="2157"/>
    <n v="1.07"/>
    <s v="Outlier"/>
    <n v="2023"/>
    <s v="September"/>
  </r>
  <r>
    <n v="3640"/>
    <x v="388"/>
    <x v="4"/>
    <s v="South"/>
    <s v="Basic"/>
    <d v="2022-02-26T00:00:00"/>
    <d v="2022-06-23T00:00:00"/>
    <x v="1638"/>
    <n v="7846"/>
    <n v="-2236"/>
    <s v="Paid"/>
    <n v="3"/>
    <d v="2022-06-23T00:00:00"/>
    <n v="0"/>
    <n v="2158"/>
    <n v="-0.4"/>
    <s v="Normal"/>
    <n v="2022"/>
    <s v="June"/>
  </r>
  <r>
    <n v="3641"/>
    <x v="234"/>
    <x v="0"/>
    <s v="South"/>
    <s v="Premium"/>
    <d v="2022-10-29T00:00:00"/>
    <d v="2023-04-12T00:00:00"/>
    <x v="1639"/>
    <n v="2752"/>
    <n v="577.01"/>
    <s v="NA"/>
    <n v="5"/>
    <d v="2023-04-12T00:00:00"/>
    <n v="1"/>
    <n v="2159"/>
    <n v="0.2"/>
    <s v="Normal"/>
    <n v="2023"/>
    <s v="April"/>
  </r>
  <r>
    <n v="3642"/>
    <x v="289"/>
    <x v="2"/>
    <s v="East"/>
    <s v="Standard"/>
    <d v="2022-05-08T00:00:00"/>
    <d v="2022-08-08T00:00:00"/>
    <x v="1640"/>
    <n v="7863"/>
    <n v="124"/>
    <s v="Pending"/>
    <n v="3"/>
    <d v="2022-08-08T00:00:00"/>
    <n v="0"/>
    <n v="2160"/>
    <n v="0.02"/>
    <s v="Normal"/>
    <n v="2022"/>
    <s v="August"/>
  </r>
  <r>
    <n v="3644"/>
    <x v="64"/>
    <x v="2"/>
    <s v="East"/>
    <s v="Premium"/>
    <d v="2022-01-14T00:00:00"/>
    <d v="2023-03-07T00:00:00"/>
    <x v="1641"/>
    <n v="4012.75"/>
    <n v="8945"/>
    <s v="Overdue"/>
    <n v="13"/>
    <d v="2023-03-07T00:00:00"/>
    <n v="0"/>
    <n v="2161"/>
    <n v="1.1000000000000001"/>
    <s v="Outlier"/>
    <n v="2023"/>
    <s v="March"/>
  </r>
  <r>
    <n v="3646"/>
    <x v="198"/>
    <x v="3"/>
    <s v="West"/>
    <s v="Premium"/>
    <d v="2022-11-29T00:00:00"/>
    <d v="2023-12-06T00:00:00"/>
    <x v="1642"/>
    <n v="4034"/>
    <n v="1744"/>
    <s v="Overdue"/>
    <n v="12"/>
    <d v="2023-12-06T00:00:00"/>
    <n v="1"/>
    <n v="2162"/>
    <n v="0.3"/>
    <s v="Normal"/>
    <n v="2023"/>
    <s v="December"/>
  </r>
  <r>
    <n v="3647"/>
    <x v="120"/>
    <x v="4"/>
    <s v="North"/>
    <s v="Basic"/>
    <d v="2022-03-26T00:00:00"/>
    <d v="2023-05-07T00:00:00"/>
    <x v="1643"/>
    <n v="3628"/>
    <n v="5344"/>
    <s v="Pending"/>
    <n v="13"/>
    <d v="2023-05-07T00:00:00"/>
    <n v="1"/>
    <n v="2163"/>
    <n v="0.6"/>
    <s v="Normal"/>
    <n v="2023"/>
    <s v="May"/>
  </r>
  <r>
    <n v="3648"/>
    <x v="83"/>
    <x v="2"/>
    <s v="West"/>
    <s v="Basic"/>
    <d v="2022-01-23T00:00:00"/>
    <d v="2022-11-18T00:00:00"/>
    <x v="1644"/>
    <n v="925"/>
    <n v="577.01"/>
    <s v="NA"/>
    <n v="9"/>
    <d v="2022-11-18T00:00:00"/>
    <n v="0"/>
    <n v="2164"/>
    <n v="2.79"/>
    <s v="Outlier"/>
    <n v="2022"/>
    <s v="November"/>
  </r>
  <r>
    <n v="3649"/>
    <x v="317"/>
    <x v="1"/>
    <s v="North"/>
    <s v="Basic"/>
    <d v="2022-05-15T00:00:00"/>
    <d v="2023-07-26T00:00:00"/>
    <x v="1645"/>
    <n v="4012.75"/>
    <n v="6972"/>
    <s v="Pending"/>
    <n v="14"/>
    <d v="2023-07-26T00:00:00"/>
    <n v="1"/>
    <n v="2165"/>
    <n v="1.08"/>
    <s v="Outlier"/>
    <n v="2023"/>
    <s v="July"/>
  </r>
  <r>
    <n v="3652"/>
    <x v="275"/>
    <x v="1"/>
    <s v="North"/>
    <s v="Basic"/>
    <d v="2022-10-12T00:00:00"/>
    <d v="2023-07-27T00:00:00"/>
    <x v="17"/>
    <n v="4012.75"/>
    <n v="-147"/>
    <s v="Overdue"/>
    <n v="9"/>
    <d v="2023-07-27T00:00:00"/>
    <n v="1"/>
    <n v="2166"/>
    <n v="-0.03"/>
    <s v="Normal"/>
    <n v="2023"/>
    <s v="July"/>
  </r>
  <r>
    <n v="3653"/>
    <x v="290"/>
    <x v="2"/>
    <s v="East"/>
    <s v="Basic"/>
    <d v="2022-04-05T00:00:00"/>
    <d v="2022-09-19T00:00:00"/>
    <x v="1646"/>
    <n v="871"/>
    <n v="6985"/>
    <s v="Overdue"/>
    <n v="5"/>
    <d v="2022-09-19T00:00:00"/>
    <n v="1"/>
    <n v="2167"/>
    <n v="0.89"/>
    <s v="Normal"/>
    <n v="2022"/>
    <s v="September"/>
  </r>
  <r>
    <n v="3655"/>
    <x v="111"/>
    <x v="1"/>
    <s v="West"/>
    <s v="Premium"/>
    <d v="2022-12-28T00:00:00"/>
    <d v="2023-08-11T00:00:00"/>
    <x v="17"/>
    <n v="2599"/>
    <n v="-3751"/>
    <s v="Paid"/>
    <n v="7"/>
    <d v="2023-08-11T00:00:00"/>
    <n v="0"/>
    <n v="2168"/>
    <n v="-0.76"/>
    <s v="Normal"/>
    <n v="2023"/>
    <s v="August"/>
  </r>
  <r>
    <n v="3656"/>
    <x v="344"/>
    <x v="0"/>
    <s v="West"/>
    <s v="Basic"/>
    <d v="2022-11-25T00:00:00"/>
    <d v="2024-01-10T00:00:00"/>
    <x v="1647"/>
    <n v="3602"/>
    <n v="4603"/>
    <s v="NA"/>
    <n v="13"/>
    <d v="2024-01-10T00:00:00"/>
    <n v="0"/>
    <n v="2169"/>
    <n v="0.56000000000000005"/>
    <s v="Normal"/>
    <n v="2024"/>
    <s v="January"/>
  </r>
  <r>
    <n v="3657"/>
    <x v="299"/>
    <x v="4"/>
    <s v="West"/>
    <s v="Premium"/>
    <d v="2022-05-20T00:00:00"/>
    <d v="2023-06-03T00:00:00"/>
    <x v="1648"/>
    <n v="3682"/>
    <n v="1833"/>
    <s v="Overdue"/>
    <n v="12"/>
    <d v="2023-06-03T00:00:00"/>
    <n v="0"/>
    <n v="2170"/>
    <n v="0.33"/>
    <s v="Normal"/>
    <n v="2023"/>
    <s v="June"/>
  </r>
  <r>
    <n v="3660"/>
    <x v="216"/>
    <x v="0"/>
    <s v="South"/>
    <s v="Standard"/>
    <d v="2022-06-14T00:00:00"/>
    <d v="2022-09-22T00:00:00"/>
    <x v="1649"/>
    <n v="6654"/>
    <n v="577.01"/>
    <s v="Overdue"/>
    <n v="3"/>
    <d v="2022-09-22T00:00:00"/>
    <n v="1"/>
    <n v="2171"/>
    <n v="0.49"/>
    <s v="Normal"/>
    <n v="2022"/>
    <s v="September"/>
  </r>
  <r>
    <n v="3661"/>
    <x v="55"/>
    <x v="0"/>
    <s v="North"/>
    <s v="Basic"/>
    <d v="2022-11-23T00:00:00"/>
    <d v="2024-04-12T00:00:00"/>
    <x v="1650"/>
    <n v="4377"/>
    <n v="4334"/>
    <s v="Pending"/>
    <n v="16"/>
    <d v="2024-04-12T00:00:00"/>
    <n v="0"/>
    <n v="2172"/>
    <n v="0.5"/>
    <s v="Normal"/>
    <n v="2024"/>
    <s v="April"/>
  </r>
  <r>
    <n v="3662"/>
    <x v="373"/>
    <x v="2"/>
    <s v="North"/>
    <s v="Premium"/>
    <d v="2022-01-28T00:00:00"/>
    <d v="2023-09-08T00:00:00"/>
    <x v="1651"/>
    <n v="4012.75"/>
    <n v="7565"/>
    <s v="NA"/>
    <n v="19"/>
    <d v="2023-09-08T00:00:00"/>
    <n v="1"/>
    <n v="2173"/>
    <n v="1.06"/>
    <s v="Outlier"/>
    <n v="2023"/>
    <s v="September"/>
  </r>
  <r>
    <n v="3666"/>
    <x v="277"/>
    <x v="2"/>
    <s v="East"/>
    <s v="Standard"/>
    <d v="2022-11-15T00:00:00"/>
    <d v="2023-01-08T00:00:00"/>
    <x v="1652"/>
    <n v="6404"/>
    <n v="-3926"/>
    <s v="Pending"/>
    <n v="1"/>
    <d v="2023-01-08T00:00:00"/>
    <n v="0"/>
    <n v="2174"/>
    <n v="-1.58"/>
    <s v="Outlier"/>
    <n v="2023"/>
    <s v="January"/>
  </r>
  <r>
    <n v="3667"/>
    <x v="241"/>
    <x v="3"/>
    <s v="West"/>
    <s v="Standard"/>
    <d v="2022-10-25T00:00:00"/>
    <d v="2024-02-21T00:00:00"/>
    <x v="1653"/>
    <n v="2141"/>
    <n v="4730"/>
    <s v="NA"/>
    <n v="15"/>
    <d v="2024-02-21T00:00:00"/>
    <n v="0"/>
    <n v="2175"/>
    <n v="0.69"/>
    <s v="Normal"/>
    <n v="2024"/>
    <s v="February"/>
  </r>
  <r>
    <n v="3668"/>
    <x v="254"/>
    <x v="2"/>
    <s v="East"/>
    <s v="Premium"/>
    <d v="2022-05-26T00:00:00"/>
    <d v="2022-11-20T00:00:00"/>
    <x v="17"/>
    <n v="5523"/>
    <n v="577.01"/>
    <s v="Pending"/>
    <n v="5"/>
    <d v="2022-11-20T00:00:00"/>
    <n v="0"/>
    <n v="2176"/>
    <n v="0.12"/>
    <s v="Normal"/>
    <n v="2022"/>
    <s v="November"/>
  </r>
  <r>
    <n v="3669"/>
    <x v="214"/>
    <x v="1"/>
    <s v="South"/>
    <s v="Standard"/>
    <d v="2022-06-26T00:00:00"/>
    <d v="2023-10-19T00:00:00"/>
    <x v="1654"/>
    <n v="2978"/>
    <n v="-1918"/>
    <s v="NA"/>
    <n v="15"/>
    <d v="2023-10-19T00:00:00"/>
    <n v="1"/>
    <n v="2177"/>
    <n v="-1.81"/>
    <s v="Outlier"/>
    <n v="2023"/>
    <s v="October"/>
  </r>
  <r>
    <n v="3670"/>
    <x v="316"/>
    <x v="4"/>
    <s v="East"/>
    <s v="Basic"/>
    <d v="2022-08-24T00:00:00"/>
    <d v="2023-09-22T00:00:00"/>
    <x v="1655"/>
    <n v="5524"/>
    <n v="1152"/>
    <s v="Overdue"/>
    <n v="12"/>
    <d v="2023-09-22T00:00:00"/>
    <n v="0"/>
    <n v="2178"/>
    <n v="0.17"/>
    <s v="Normal"/>
    <n v="2023"/>
    <s v="September"/>
  </r>
  <r>
    <n v="3671"/>
    <x v="295"/>
    <x v="2"/>
    <s v="West"/>
    <s v="Basic"/>
    <d v="2022-07-04T00:00:00"/>
    <d v="2022-08-10T00:00:00"/>
    <x v="17"/>
    <n v="4012.75"/>
    <n v="-1131"/>
    <s v="Pending"/>
    <n v="1"/>
    <d v="2022-08-10T00:00:00"/>
    <n v="0"/>
    <n v="2179"/>
    <n v="-0.23"/>
    <s v="Normal"/>
    <n v="2022"/>
    <s v="August"/>
  </r>
  <r>
    <n v="3673"/>
    <x v="11"/>
    <x v="4"/>
    <s v="North"/>
    <s v="Premium"/>
    <d v="2022-12-20T00:00:00"/>
    <d v="2024-04-03T00:00:00"/>
    <x v="1656"/>
    <n v="5237"/>
    <n v="577.01"/>
    <s v="Overdue"/>
    <n v="15"/>
    <d v="2024-04-03T00:00:00"/>
    <n v="0"/>
    <n v="2180"/>
    <n v="0.11"/>
    <s v="Normal"/>
    <n v="2024"/>
    <s v="April"/>
  </r>
  <r>
    <n v="3674"/>
    <x v="86"/>
    <x v="1"/>
    <s v="West"/>
    <s v="Basic"/>
    <d v="2022-06-13T00:00:00"/>
    <d v="2022-09-01T00:00:00"/>
    <x v="1657"/>
    <n v="2989"/>
    <n v="5382"/>
    <s v="NA"/>
    <n v="2"/>
    <d v="2022-09-01T00:00:00"/>
    <n v="1"/>
    <n v="2181"/>
    <n v="0.64"/>
    <s v="Normal"/>
    <n v="2022"/>
    <s v="September"/>
  </r>
  <r>
    <n v="3676"/>
    <x v="399"/>
    <x v="4"/>
    <s v="South"/>
    <s v="Premium"/>
    <d v="2022-10-28T00:00:00"/>
    <d v="2024-04-07T00:00:00"/>
    <x v="753"/>
    <n v="2584"/>
    <n v="577.01"/>
    <s v="Pending"/>
    <n v="17"/>
    <d v="2024-04-07T00:00:00"/>
    <n v="1"/>
    <n v="2182"/>
    <n v="0.15"/>
    <s v="Normal"/>
    <n v="2024"/>
    <s v="April"/>
  </r>
  <r>
    <n v="3677"/>
    <x v="51"/>
    <x v="4"/>
    <s v="South"/>
    <s v="Basic"/>
    <d v="2022-07-07T00:00:00"/>
    <d v="2023-07-03T00:00:00"/>
    <x v="1658"/>
    <n v="919"/>
    <n v="927"/>
    <s v="Pending"/>
    <n v="11"/>
    <d v="2023-07-03T00:00:00"/>
    <n v="1"/>
    <n v="2183"/>
    <n v="0.5"/>
    <s v="Normal"/>
    <n v="2023"/>
    <s v="July"/>
  </r>
  <r>
    <n v="3678"/>
    <x v="339"/>
    <x v="1"/>
    <s v="South"/>
    <s v="Premium"/>
    <d v="2022-01-10T00:00:00"/>
    <d v="2022-11-10T00:00:00"/>
    <x v="1659"/>
    <n v="941"/>
    <n v="1060"/>
    <s v="Paid"/>
    <n v="10"/>
    <d v="2022-11-10T00:00:00"/>
    <n v="1"/>
    <n v="2184"/>
    <n v="0.53"/>
    <s v="Normal"/>
    <n v="2022"/>
    <s v="November"/>
  </r>
  <r>
    <n v="3679"/>
    <x v="97"/>
    <x v="0"/>
    <s v="East"/>
    <s v="Standard"/>
    <d v="2022-02-11T00:00:00"/>
    <d v="2023-01-17T00:00:00"/>
    <x v="1660"/>
    <n v="3"/>
    <n v="742"/>
    <s v="Paid"/>
    <n v="11"/>
    <d v="2023-01-17T00:00:00"/>
    <n v="0"/>
    <n v="2185"/>
    <n v="1"/>
    <s v="Normal"/>
    <n v="2023"/>
    <s v="January"/>
  </r>
  <r>
    <n v="3682"/>
    <x v="202"/>
    <x v="4"/>
    <s v="East"/>
    <s v="Premium"/>
    <d v="2022-01-26T00:00:00"/>
    <d v="2023-09-17T00:00:00"/>
    <x v="753"/>
    <n v="5754"/>
    <n v="577.01"/>
    <s v="NA"/>
    <n v="19"/>
    <d v="2023-09-17T00:00:00"/>
    <n v="0"/>
    <n v="2186"/>
    <n v="0.15"/>
    <s v="Normal"/>
    <n v="2023"/>
    <s v="September"/>
  </r>
  <r>
    <n v="3685"/>
    <x v="349"/>
    <x v="3"/>
    <s v="East"/>
    <s v="Basic"/>
    <d v="2022-04-22T00:00:00"/>
    <d v="2023-10-21T00:00:00"/>
    <x v="17"/>
    <n v="3138"/>
    <n v="-4273"/>
    <s v="Paid"/>
    <n v="17"/>
    <d v="2023-10-21T00:00:00"/>
    <n v="0"/>
    <n v="2187"/>
    <n v="-0.86"/>
    <s v="Normal"/>
    <n v="2023"/>
    <s v="October"/>
  </r>
  <r>
    <n v="3687"/>
    <x v="302"/>
    <x v="2"/>
    <s v="East"/>
    <s v="Basic"/>
    <d v="2022-11-25T00:00:00"/>
    <d v="2024-06-06T00:00:00"/>
    <x v="1661"/>
    <n v="4484"/>
    <n v="-3437"/>
    <s v="Pending"/>
    <n v="18"/>
    <d v="2024-06-06T00:00:00"/>
    <n v="0"/>
    <n v="2188"/>
    <n v="-3.28"/>
    <s v="Outlier"/>
    <n v="2024"/>
    <s v="June"/>
  </r>
  <r>
    <n v="3689"/>
    <x v="394"/>
    <x v="1"/>
    <s v="West"/>
    <s v="Premium"/>
    <d v="2022-09-21T00:00:00"/>
    <d v="2023-01-01T00:00:00"/>
    <x v="17"/>
    <n v="2274"/>
    <n v="-2450"/>
    <s v="Paid"/>
    <n v="3"/>
    <d v="2023-01-01T00:00:00"/>
    <n v="0"/>
    <n v="2189"/>
    <n v="-0.49"/>
    <s v="Normal"/>
    <n v="2023"/>
    <s v="January"/>
  </r>
  <r>
    <n v="3691"/>
    <x v="105"/>
    <x v="4"/>
    <s v="East"/>
    <s v="Standard"/>
    <d v="2022-01-08T00:00:00"/>
    <d v="2022-08-22T00:00:00"/>
    <x v="17"/>
    <n v="926"/>
    <n v="-1438"/>
    <s v="Overdue"/>
    <n v="7"/>
    <d v="2022-08-22T00:00:00"/>
    <n v="0"/>
    <n v="2190"/>
    <n v="-0.28999999999999998"/>
    <s v="Normal"/>
    <n v="2022"/>
    <s v="August"/>
  </r>
  <r>
    <n v="3692"/>
    <x v="73"/>
    <x v="0"/>
    <s v="South"/>
    <s v="Premium"/>
    <d v="2022-05-20T00:00:00"/>
    <d v="2022-12-17T00:00:00"/>
    <x v="1387"/>
    <n v="1803"/>
    <n v="7436"/>
    <s v="NA"/>
    <n v="6"/>
    <d v="2022-12-17T00:00:00"/>
    <n v="0"/>
    <n v="2191"/>
    <n v="0.8"/>
    <s v="Normal"/>
    <n v="2022"/>
    <s v="December"/>
  </r>
  <r>
    <n v="3693"/>
    <x v="357"/>
    <x v="0"/>
    <s v="East"/>
    <s v="Standard"/>
    <d v="2022-03-23T00:00:00"/>
    <d v="2023-08-28T00:00:00"/>
    <x v="1662"/>
    <n v="6350"/>
    <n v="1133"/>
    <s v="Pending"/>
    <n v="17"/>
    <d v="2023-08-28T00:00:00"/>
    <n v="1"/>
    <n v="2192"/>
    <n v="0.15"/>
    <s v="Normal"/>
    <n v="2023"/>
    <s v="August"/>
  </r>
  <r>
    <n v="3694"/>
    <x v="386"/>
    <x v="1"/>
    <s v="South"/>
    <s v="Standard"/>
    <d v="2022-04-08T00:00:00"/>
    <d v="2022-09-19T00:00:00"/>
    <x v="1520"/>
    <n v="7917"/>
    <n v="-3190"/>
    <s v="NA"/>
    <n v="5"/>
    <d v="2022-09-19T00:00:00"/>
    <n v="0"/>
    <n v="2193"/>
    <n v="-0.67"/>
    <s v="Normal"/>
    <n v="2022"/>
    <s v="September"/>
  </r>
  <r>
    <n v="3696"/>
    <x v="236"/>
    <x v="0"/>
    <s v="South"/>
    <s v="Premium"/>
    <d v="2022-12-02T00:00:00"/>
    <d v="2023-04-09T00:00:00"/>
    <x v="1663"/>
    <n v="4598"/>
    <n v="4126"/>
    <s v="NA"/>
    <n v="4"/>
    <d v="2023-04-09T00:00:00"/>
    <n v="1"/>
    <n v="2194"/>
    <n v="0.47"/>
    <s v="Normal"/>
    <n v="2023"/>
    <s v="April"/>
  </r>
  <r>
    <n v="3697"/>
    <x v="379"/>
    <x v="4"/>
    <s v="South"/>
    <s v="Standard"/>
    <d v="2022-06-07T00:00:00"/>
    <d v="2022-08-31T00:00:00"/>
    <x v="1664"/>
    <n v="6021"/>
    <n v="1287"/>
    <s v="Overdue"/>
    <n v="2"/>
    <d v="2022-08-31T00:00:00"/>
    <n v="0"/>
    <n v="2195"/>
    <n v="0.18"/>
    <s v="Normal"/>
    <n v="2022"/>
    <s v="August"/>
  </r>
  <r>
    <n v="3698"/>
    <x v="227"/>
    <x v="0"/>
    <s v="West"/>
    <s v="Basic"/>
    <d v="2022-08-18T00:00:00"/>
    <d v="2023-04-12T00:00:00"/>
    <x v="1665"/>
    <n v="4847"/>
    <n v="3075"/>
    <s v="Pending"/>
    <n v="7"/>
    <d v="2023-04-12T00:00:00"/>
    <n v="1"/>
    <n v="2196"/>
    <n v="0.39"/>
    <s v="Normal"/>
    <n v="2023"/>
    <s v="April"/>
  </r>
  <r>
    <n v="3702"/>
    <x v="58"/>
    <x v="0"/>
    <s v="South"/>
    <s v="Premium"/>
    <d v="2022-05-13T00:00:00"/>
    <d v="2022-12-20T00:00:00"/>
    <x v="1666"/>
    <n v="6364"/>
    <n v="-1695"/>
    <s v="Overdue"/>
    <n v="7"/>
    <d v="2022-12-20T00:00:00"/>
    <n v="0"/>
    <n v="2197"/>
    <n v="-0.36"/>
    <s v="Normal"/>
    <n v="2022"/>
    <s v="December"/>
  </r>
  <r>
    <n v="3703"/>
    <x v="174"/>
    <x v="0"/>
    <s v="West"/>
    <s v="Premium"/>
    <d v="2022-12-28T00:00:00"/>
    <d v="2024-03-15T00:00:00"/>
    <x v="642"/>
    <n v="3961"/>
    <n v="-2882"/>
    <s v="NA"/>
    <n v="14"/>
    <d v="2024-03-15T00:00:00"/>
    <n v="0"/>
    <n v="2198"/>
    <n v="-2.67"/>
    <s v="Outlier"/>
    <n v="2024"/>
    <s v="March"/>
  </r>
  <r>
    <n v="3704"/>
    <x v="141"/>
    <x v="3"/>
    <s v="South"/>
    <s v="Standard"/>
    <d v="2022-06-02T00:00:00"/>
    <d v="2022-08-08T00:00:00"/>
    <x v="1667"/>
    <n v="245"/>
    <n v="391"/>
    <s v="Overdue"/>
    <n v="2"/>
    <d v="2022-08-08T00:00:00"/>
    <n v="1"/>
    <n v="2199"/>
    <n v="0.61"/>
    <s v="Normal"/>
    <n v="2022"/>
    <s v="August"/>
  </r>
  <r>
    <n v="3706"/>
    <x v="164"/>
    <x v="1"/>
    <s v="West"/>
    <s v="Basic"/>
    <d v="2022-05-09T00:00:00"/>
    <d v="2023-08-26T00:00:00"/>
    <x v="1668"/>
    <n v="2459"/>
    <n v="5865"/>
    <s v="NA"/>
    <n v="15"/>
    <d v="2023-08-26T00:00:00"/>
    <n v="1"/>
    <n v="2200"/>
    <n v="0.7"/>
    <s v="Normal"/>
    <n v="2023"/>
    <s v="August"/>
  </r>
  <r>
    <n v="3707"/>
    <x v="352"/>
    <x v="3"/>
    <s v="North"/>
    <s v="Premium"/>
    <d v="2022-08-15T00:00:00"/>
    <d v="2023-10-07T00:00:00"/>
    <x v="1669"/>
    <n v="575"/>
    <n v="3946"/>
    <s v="Overdue"/>
    <n v="13"/>
    <d v="2023-10-07T00:00:00"/>
    <n v="0"/>
    <n v="2201"/>
    <n v="0.87"/>
    <s v="Normal"/>
    <n v="2023"/>
    <s v="October"/>
  </r>
  <r>
    <n v="3709"/>
    <x v="379"/>
    <x v="3"/>
    <s v="South"/>
    <s v="Standard"/>
    <d v="2022-08-26T00:00:00"/>
    <d v="2023-10-23T00:00:00"/>
    <x v="1670"/>
    <n v="1641"/>
    <n v="-1432"/>
    <s v="Overdue"/>
    <n v="13"/>
    <d v="2023-10-23T00:00:00"/>
    <n v="0"/>
    <n v="2202"/>
    <n v="-6.85"/>
    <s v="Outlier"/>
    <n v="2023"/>
    <s v="October"/>
  </r>
  <r>
    <n v="3711"/>
    <x v="195"/>
    <x v="1"/>
    <s v="North"/>
    <s v="Premium"/>
    <d v="2022-06-18T00:00:00"/>
    <d v="2023-12-23T00:00:00"/>
    <x v="1671"/>
    <n v="4241"/>
    <n v="-2513"/>
    <s v="Overdue"/>
    <n v="18"/>
    <d v="2023-12-23T00:00:00"/>
    <n v="1"/>
    <n v="2203"/>
    <n v="-1.45"/>
    <s v="Outlier"/>
    <n v="2023"/>
    <s v="December"/>
  </r>
  <r>
    <n v="3712"/>
    <x v="62"/>
    <x v="2"/>
    <s v="South"/>
    <s v="Premium"/>
    <d v="2022-01-13T00:00:00"/>
    <d v="2022-05-26T00:00:00"/>
    <x v="17"/>
    <n v="3504"/>
    <n v="-4839"/>
    <s v="Overdue"/>
    <n v="4"/>
    <d v="2022-05-26T00:00:00"/>
    <n v="1"/>
    <n v="2204"/>
    <n v="-0.97"/>
    <s v="Normal"/>
    <n v="2022"/>
    <s v="May"/>
  </r>
  <r>
    <n v="3714"/>
    <x v="357"/>
    <x v="3"/>
    <s v="South"/>
    <s v="Standard"/>
    <d v="2022-08-25T00:00:00"/>
    <d v="2022-12-12T00:00:00"/>
    <x v="1121"/>
    <n v="5162"/>
    <n v="577.01"/>
    <s v="Paid"/>
    <n v="3"/>
    <d v="2022-12-12T00:00:00"/>
    <n v="0"/>
    <n v="2205"/>
    <n v="0.11"/>
    <s v="Normal"/>
    <n v="2022"/>
    <s v="December"/>
  </r>
  <r>
    <n v="3715"/>
    <x v="316"/>
    <x v="3"/>
    <s v="West"/>
    <s v="Premium"/>
    <d v="2022-04-05T00:00:00"/>
    <d v="2023-11-14T00:00:00"/>
    <x v="1672"/>
    <n v="6555"/>
    <n v="-6505"/>
    <s v="Overdue"/>
    <n v="19"/>
    <d v="2023-11-14T00:00:00"/>
    <n v="0"/>
    <n v="2206"/>
    <n v="-130.1"/>
    <s v="Outlier"/>
    <n v="2023"/>
    <s v="November"/>
  </r>
  <r>
    <n v="3716"/>
    <x v="45"/>
    <x v="3"/>
    <s v="East"/>
    <s v="Standard"/>
    <d v="2022-03-12T00:00:00"/>
    <d v="2022-09-28T00:00:00"/>
    <x v="1673"/>
    <n v="2574"/>
    <n v="4116"/>
    <s v="Paid"/>
    <n v="6"/>
    <d v="2022-09-28T00:00:00"/>
    <n v="0"/>
    <n v="2207"/>
    <n v="0.62"/>
    <s v="Normal"/>
    <n v="2022"/>
    <s v="September"/>
  </r>
  <r>
    <n v="3717"/>
    <x v="97"/>
    <x v="1"/>
    <s v="West"/>
    <s v="Premium"/>
    <d v="2022-01-07T00:00:00"/>
    <d v="2022-07-02T00:00:00"/>
    <x v="1674"/>
    <n v="4012.75"/>
    <n v="3159"/>
    <s v="Overdue"/>
    <n v="5"/>
    <d v="2022-07-02T00:00:00"/>
    <n v="1"/>
    <n v="2208"/>
    <n v="1.07"/>
    <s v="Outlier"/>
    <n v="2022"/>
    <s v="July"/>
  </r>
  <r>
    <n v="3718"/>
    <x v="122"/>
    <x v="0"/>
    <s v="West"/>
    <s v="Basic"/>
    <d v="2022-04-29T00:00:00"/>
    <d v="2023-08-06T00:00:00"/>
    <x v="1675"/>
    <n v="2883"/>
    <n v="246"/>
    <s v="NA"/>
    <n v="15"/>
    <d v="2023-08-06T00:00:00"/>
    <n v="0"/>
    <n v="2209"/>
    <n v="0.08"/>
    <s v="Normal"/>
    <n v="2023"/>
    <s v="August"/>
  </r>
  <r>
    <n v="3720"/>
    <x v="282"/>
    <x v="0"/>
    <s v="East"/>
    <s v="Basic"/>
    <d v="2022-05-25T00:00:00"/>
    <d v="2023-02-12T00:00:00"/>
    <x v="1676"/>
    <n v="305"/>
    <n v="3563"/>
    <s v="Paid"/>
    <n v="8"/>
    <d v="2023-02-12T00:00:00"/>
    <n v="1"/>
    <n v="2210"/>
    <n v="0.92"/>
    <s v="Normal"/>
    <n v="2023"/>
    <s v="February"/>
  </r>
  <r>
    <n v="3723"/>
    <x v="112"/>
    <x v="4"/>
    <s v="East"/>
    <s v="Standard"/>
    <d v="2022-12-22T00:00:00"/>
    <d v="2023-05-27T00:00:00"/>
    <x v="1677"/>
    <n v="5806"/>
    <n v="-861"/>
    <s v="Paid"/>
    <n v="5"/>
    <d v="2023-05-27T00:00:00"/>
    <n v="1"/>
    <n v="2211"/>
    <n v="-0.17"/>
    <s v="Normal"/>
    <n v="2023"/>
    <s v="May"/>
  </r>
  <r>
    <n v="3724"/>
    <x v="297"/>
    <x v="4"/>
    <s v="East"/>
    <s v="Premium"/>
    <d v="2022-05-17T00:00:00"/>
    <d v="2023-07-14T00:00:00"/>
    <x v="1678"/>
    <n v="1908"/>
    <n v="2370"/>
    <s v="NA"/>
    <n v="13"/>
    <d v="2023-07-14T00:00:00"/>
    <n v="1"/>
    <n v="2212"/>
    <n v="0.55000000000000004"/>
    <s v="Normal"/>
    <n v="2023"/>
    <s v="July"/>
  </r>
  <r>
    <n v="3725"/>
    <x v="22"/>
    <x v="4"/>
    <s v="South"/>
    <s v="Premium"/>
    <d v="2022-07-03T00:00:00"/>
    <d v="2023-10-02T00:00:00"/>
    <x v="1679"/>
    <n v="2744"/>
    <n v="-2287"/>
    <s v="Paid"/>
    <n v="14"/>
    <d v="2023-10-02T00:00:00"/>
    <n v="1"/>
    <n v="2213"/>
    <n v="-5"/>
    <s v="Outlier"/>
    <n v="2023"/>
    <s v="October"/>
  </r>
  <r>
    <n v="3726"/>
    <x v="4"/>
    <x v="4"/>
    <s v="North"/>
    <s v="Basic"/>
    <d v="2022-04-29T00:00:00"/>
    <d v="2022-10-14T00:00:00"/>
    <x v="1680"/>
    <n v="2469"/>
    <n v="577.01"/>
    <s v="NA"/>
    <n v="5"/>
    <d v="2022-10-14T00:00:00"/>
    <n v="1"/>
    <n v="2214"/>
    <n v="0.25"/>
    <s v="Normal"/>
    <n v="2022"/>
    <s v="October"/>
  </r>
  <r>
    <n v="3727"/>
    <x v="172"/>
    <x v="4"/>
    <s v="West"/>
    <s v="Basic"/>
    <d v="2022-06-18T00:00:00"/>
    <d v="2023-08-18T00:00:00"/>
    <x v="1143"/>
    <n v="1723"/>
    <n v="4183"/>
    <s v="NA"/>
    <n v="14"/>
    <d v="2023-08-18T00:00:00"/>
    <n v="1"/>
    <n v="2215"/>
    <n v="0.71"/>
    <s v="Normal"/>
    <n v="2023"/>
    <s v="August"/>
  </r>
  <r>
    <n v="3728"/>
    <x v="6"/>
    <x v="1"/>
    <s v="South"/>
    <s v="Standard"/>
    <d v="2022-01-27T00:00:00"/>
    <d v="2022-04-30T00:00:00"/>
    <x v="1681"/>
    <n v="1602"/>
    <n v="2698"/>
    <s v="Pending"/>
    <n v="3"/>
    <d v="2022-04-30T00:00:00"/>
    <n v="0"/>
    <n v="2216"/>
    <n v="0.63"/>
    <s v="Normal"/>
    <n v="2022"/>
    <s v="April"/>
  </r>
  <r>
    <n v="3729"/>
    <x v="310"/>
    <x v="0"/>
    <s v="North"/>
    <s v="Basic"/>
    <d v="2022-02-02T00:00:00"/>
    <d v="2023-07-28T00:00:00"/>
    <x v="192"/>
    <n v="3528"/>
    <n v="-206"/>
    <s v="Pending"/>
    <n v="17"/>
    <d v="2023-07-28T00:00:00"/>
    <n v="0"/>
    <n v="2217"/>
    <n v="-0.06"/>
    <s v="Normal"/>
    <n v="2023"/>
    <s v="July"/>
  </r>
  <r>
    <n v="3733"/>
    <x v="30"/>
    <x v="0"/>
    <s v="East"/>
    <s v="Basic"/>
    <d v="2022-07-20T00:00:00"/>
    <d v="2022-11-03T00:00:00"/>
    <x v="1682"/>
    <n v="5783"/>
    <n v="577.01"/>
    <s v="NA"/>
    <n v="3"/>
    <d v="2022-11-03T00:00:00"/>
    <n v="0"/>
    <n v="2218"/>
    <n v="0.06"/>
    <s v="Normal"/>
    <n v="2022"/>
    <s v="November"/>
  </r>
  <r>
    <n v="3734"/>
    <x v="248"/>
    <x v="2"/>
    <s v="South"/>
    <s v="Premium"/>
    <d v="2022-12-29T00:00:00"/>
    <d v="2024-05-01T00:00:00"/>
    <x v="1683"/>
    <n v="4012.75"/>
    <n v="9947"/>
    <s v="Pending"/>
    <n v="16"/>
    <d v="2024-05-01T00:00:00"/>
    <n v="0"/>
    <n v="2219"/>
    <n v="1.03"/>
    <s v="Outlier"/>
    <n v="2024"/>
    <s v="May"/>
  </r>
  <r>
    <n v="3735"/>
    <x v="220"/>
    <x v="2"/>
    <s v="West"/>
    <s v="Premium"/>
    <d v="2022-06-15T00:00:00"/>
    <d v="2022-08-29T00:00:00"/>
    <x v="17"/>
    <n v="4012.75"/>
    <n v="-486"/>
    <s v="Pending"/>
    <n v="2"/>
    <d v="2022-08-29T00:00:00"/>
    <n v="0"/>
    <n v="2220"/>
    <n v="-0.1"/>
    <s v="Normal"/>
    <n v="2022"/>
    <s v="August"/>
  </r>
  <r>
    <n v="3736"/>
    <x v="247"/>
    <x v="3"/>
    <s v="North"/>
    <s v="Basic"/>
    <d v="2022-03-08T00:00:00"/>
    <d v="2023-08-11T00:00:00"/>
    <x v="676"/>
    <n v="1822"/>
    <n v="-129"/>
    <s v="NA"/>
    <n v="17"/>
    <d v="2023-08-11T00:00:00"/>
    <n v="0"/>
    <n v="2221"/>
    <n v="-0.08"/>
    <s v="Normal"/>
    <n v="2023"/>
    <s v="August"/>
  </r>
  <r>
    <n v="3737"/>
    <x v="324"/>
    <x v="4"/>
    <s v="West"/>
    <s v="Standard"/>
    <d v="2022-03-11T00:00:00"/>
    <d v="2023-02-01T00:00:00"/>
    <x v="1684"/>
    <n v="4012.75"/>
    <n v="5737"/>
    <s v="Paid"/>
    <n v="10"/>
    <d v="2023-02-01T00:00:00"/>
    <n v="1"/>
    <n v="2222"/>
    <n v="1.1000000000000001"/>
    <s v="Outlier"/>
    <n v="2023"/>
    <s v="February"/>
  </r>
  <r>
    <n v="3741"/>
    <x v="94"/>
    <x v="2"/>
    <s v="South"/>
    <s v="Standard"/>
    <d v="2022-02-16T00:00:00"/>
    <d v="2022-07-08T00:00:00"/>
    <x v="1685"/>
    <n v="5437"/>
    <n v="-1897"/>
    <s v="Overdue"/>
    <n v="4"/>
    <d v="2022-07-08T00:00:00"/>
    <n v="0"/>
    <n v="2223"/>
    <n v="-0.54"/>
    <s v="Normal"/>
    <n v="2022"/>
    <s v="July"/>
  </r>
  <r>
    <n v="3742"/>
    <x v="118"/>
    <x v="1"/>
    <s v="East"/>
    <s v="Standard"/>
    <d v="2022-01-04T00:00:00"/>
    <d v="2023-08-18T00:00:00"/>
    <x v="1686"/>
    <n v="5"/>
    <n v="5030"/>
    <s v="Paid"/>
    <n v="19"/>
    <d v="2023-08-18T00:00:00"/>
    <n v="0"/>
    <n v="2224"/>
    <n v="1"/>
    <s v="Normal"/>
    <n v="2023"/>
    <s v="August"/>
  </r>
  <r>
    <n v="3743"/>
    <x v="274"/>
    <x v="3"/>
    <s v="West"/>
    <s v="Standard"/>
    <d v="2022-03-18T00:00:00"/>
    <d v="2022-10-25T00:00:00"/>
    <x v="17"/>
    <n v="4315"/>
    <n v="-4576"/>
    <s v="NA"/>
    <n v="7"/>
    <d v="2022-10-25T00:00:00"/>
    <n v="1"/>
    <n v="2225"/>
    <n v="-0.92"/>
    <s v="Normal"/>
    <n v="2022"/>
    <s v="October"/>
  </r>
  <r>
    <n v="3746"/>
    <x v="86"/>
    <x v="2"/>
    <s v="East"/>
    <s v="Standard"/>
    <d v="2022-08-23T00:00:00"/>
    <d v="2022-10-25T00:00:00"/>
    <x v="858"/>
    <n v="7409"/>
    <n v="-6021"/>
    <s v="Pending"/>
    <n v="2"/>
    <d v="2022-10-25T00:00:00"/>
    <n v="1"/>
    <n v="2226"/>
    <n v="-4.34"/>
    <s v="Outlier"/>
    <n v="2022"/>
    <s v="October"/>
  </r>
  <r>
    <n v="3749"/>
    <x v="109"/>
    <x v="2"/>
    <s v="North"/>
    <s v="Standard"/>
    <d v="2022-04-10T00:00:00"/>
    <d v="2023-08-24T00:00:00"/>
    <x v="1687"/>
    <n v="1850"/>
    <n v="7763"/>
    <s v="NA"/>
    <n v="16"/>
    <d v="2023-08-24T00:00:00"/>
    <n v="0"/>
    <n v="2227"/>
    <n v="0.81"/>
    <s v="Normal"/>
    <n v="2023"/>
    <s v="August"/>
  </r>
  <r>
    <n v="3750"/>
    <x v="245"/>
    <x v="4"/>
    <s v="South"/>
    <s v="Basic"/>
    <d v="2022-04-11T00:00:00"/>
    <d v="2022-06-05T00:00:00"/>
    <x v="17"/>
    <n v="1510"/>
    <n v="-2385"/>
    <s v="Overdue"/>
    <n v="1"/>
    <d v="2022-06-05T00:00:00"/>
    <n v="0"/>
    <n v="2228"/>
    <n v="-0.48"/>
    <s v="Normal"/>
    <n v="2022"/>
    <s v="June"/>
  </r>
  <r>
    <n v="3751"/>
    <x v="191"/>
    <x v="0"/>
    <s v="South"/>
    <s v="Standard"/>
    <d v="2022-08-30T00:00:00"/>
    <d v="2023-11-14T00:00:00"/>
    <x v="619"/>
    <n v="5880"/>
    <n v="-1436"/>
    <s v="Paid"/>
    <n v="14"/>
    <d v="2023-11-14T00:00:00"/>
    <n v="1"/>
    <n v="2229"/>
    <n v="-0.32"/>
    <s v="Normal"/>
    <n v="2023"/>
    <s v="November"/>
  </r>
  <r>
    <n v="3752"/>
    <x v="174"/>
    <x v="1"/>
    <s v="South"/>
    <s v="Basic"/>
    <d v="2022-02-13T00:00:00"/>
    <d v="2023-08-22T00:00:00"/>
    <x v="1688"/>
    <n v="4509"/>
    <n v="756"/>
    <s v="NA"/>
    <n v="18"/>
    <d v="2023-08-22T00:00:00"/>
    <n v="0"/>
    <n v="2230"/>
    <n v="0.14000000000000001"/>
    <s v="Normal"/>
    <n v="2023"/>
    <s v="August"/>
  </r>
  <r>
    <n v="3755"/>
    <x v="113"/>
    <x v="3"/>
    <s v="West"/>
    <s v="Premium"/>
    <d v="2022-12-08T00:00:00"/>
    <d v="2024-04-05T00:00:00"/>
    <x v="1689"/>
    <n v="3916"/>
    <n v="3883"/>
    <s v="NA"/>
    <n v="15"/>
    <d v="2024-04-05T00:00:00"/>
    <n v="1"/>
    <n v="2231"/>
    <n v="0.5"/>
    <s v="Normal"/>
    <n v="2024"/>
    <s v="April"/>
  </r>
  <r>
    <n v="3756"/>
    <x v="132"/>
    <x v="2"/>
    <s v="North"/>
    <s v="Premium"/>
    <d v="2022-06-07T00:00:00"/>
    <d v="2023-02-01T00:00:00"/>
    <x v="1690"/>
    <n v="480"/>
    <n v="-162"/>
    <s v="NA"/>
    <n v="7"/>
    <d v="2023-02-01T00:00:00"/>
    <n v="1"/>
    <n v="2232"/>
    <n v="-0.51"/>
    <s v="Normal"/>
    <n v="2023"/>
    <s v="February"/>
  </r>
  <r>
    <n v="3757"/>
    <x v="158"/>
    <x v="4"/>
    <s v="East"/>
    <s v="Premium"/>
    <d v="2022-06-29T00:00:00"/>
    <d v="2023-01-17T00:00:00"/>
    <x v="1691"/>
    <n v="4012.75"/>
    <n v="4551"/>
    <s v="Overdue"/>
    <n v="6"/>
    <d v="2023-01-17T00:00:00"/>
    <n v="0"/>
    <n v="2233"/>
    <n v="1.03"/>
    <s v="Outlier"/>
    <n v="2023"/>
    <s v="January"/>
  </r>
  <r>
    <n v="3758"/>
    <x v="338"/>
    <x v="3"/>
    <s v="West"/>
    <s v="Standard"/>
    <d v="2022-11-17T00:00:00"/>
    <d v="2023-04-21T00:00:00"/>
    <x v="1692"/>
    <n v="4460"/>
    <n v="-2717"/>
    <s v="Paid"/>
    <n v="5"/>
    <d v="2023-04-21T00:00:00"/>
    <n v="0"/>
    <n v="2234"/>
    <n v="-1.56"/>
    <s v="Outlier"/>
    <n v="2023"/>
    <s v="April"/>
  </r>
  <r>
    <n v="3760"/>
    <x v="316"/>
    <x v="0"/>
    <s v="East"/>
    <s v="Premium"/>
    <d v="2022-04-12T00:00:00"/>
    <d v="2023-09-26T00:00:00"/>
    <x v="17"/>
    <n v="25"/>
    <n v="-1208"/>
    <s v="NA"/>
    <n v="17"/>
    <d v="2023-09-26T00:00:00"/>
    <n v="1"/>
    <n v="2235"/>
    <n v="-0.24"/>
    <s v="Normal"/>
    <n v="2023"/>
    <s v="September"/>
  </r>
  <r>
    <n v="3761"/>
    <x v="84"/>
    <x v="4"/>
    <s v="South"/>
    <s v="Premium"/>
    <d v="2022-07-09T00:00:00"/>
    <d v="2023-08-24T00:00:00"/>
    <x v="1693"/>
    <n v="2498"/>
    <n v="1509"/>
    <s v="Paid"/>
    <n v="13"/>
    <d v="2023-08-24T00:00:00"/>
    <n v="1"/>
    <n v="2236"/>
    <n v="0.38"/>
    <s v="Normal"/>
    <n v="2023"/>
    <s v="August"/>
  </r>
  <r>
    <n v="3762"/>
    <x v="225"/>
    <x v="4"/>
    <s v="East"/>
    <s v="Standard"/>
    <d v="2022-02-09T00:00:00"/>
    <d v="2022-11-20T00:00:00"/>
    <x v="1694"/>
    <n v="7470"/>
    <n v="-6123"/>
    <s v="Overdue"/>
    <n v="9"/>
    <d v="2022-11-20T00:00:00"/>
    <n v="0"/>
    <n v="2237"/>
    <n v="-4.55"/>
    <s v="Outlier"/>
    <n v="2022"/>
    <s v="November"/>
  </r>
  <r>
    <n v="3763"/>
    <x v="233"/>
    <x v="2"/>
    <s v="East"/>
    <s v="Premium"/>
    <d v="2022-08-15T00:00:00"/>
    <d v="2022-12-26T00:00:00"/>
    <x v="1695"/>
    <n v="2245"/>
    <n v="6659"/>
    <s v="Paid"/>
    <n v="4"/>
    <d v="2022-12-26T00:00:00"/>
    <n v="1"/>
    <n v="2238"/>
    <n v="0.75"/>
    <s v="Normal"/>
    <n v="2022"/>
    <s v="December"/>
  </r>
  <r>
    <n v="3764"/>
    <x v="301"/>
    <x v="3"/>
    <s v="North"/>
    <s v="Basic"/>
    <d v="2022-10-24T00:00:00"/>
    <d v="2023-04-16T00:00:00"/>
    <x v="17"/>
    <n v="6095"/>
    <n v="-6424"/>
    <s v="Paid"/>
    <n v="5"/>
    <d v="2023-04-16T00:00:00"/>
    <n v="0"/>
    <n v="2239"/>
    <n v="-1.29"/>
    <s v="Outlier"/>
    <n v="2023"/>
    <s v="April"/>
  </r>
  <r>
    <n v="3765"/>
    <x v="2"/>
    <x v="3"/>
    <s v="North"/>
    <s v="Standard"/>
    <d v="2022-06-19T00:00:00"/>
    <d v="2023-04-14T00:00:00"/>
    <x v="1696"/>
    <n v="1895"/>
    <n v="3187"/>
    <s v="Overdue"/>
    <n v="9"/>
    <d v="2023-04-14T00:00:00"/>
    <n v="0"/>
    <n v="2240"/>
    <n v="0.63"/>
    <s v="Normal"/>
    <n v="2023"/>
    <s v="April"/>
  </r>
  <r>
    <n v="3766"/>
    <x v="68"/>
    <x v="0"/>
    <s v="West"/>
    <s v="Basic"/>
    <d v="2022-07-18T00:00:00"/>
    <d v="2024-02-15T00:00:00"/>
    <x v="1480"/>
    <n v="1992"/>
    <n v="3628"/>
    <s v="Paid"/>
    <n v="18"/>
    <d v="2024-02-15T00:00:00"/>
    <n v="0"/>
    <n v="2241"/>
    <n v="0.65"/>
    <s v="Normal"/>
    <n v="2024"/>
    <s v="February"/>
  </r>
  <r>
    <n v="3767"/>
    <x v="107"/>
    <x v="4"/>
    <s v="North"/>
    <s v="Basic"/>
    <d v="2022-02-27T00:00:00"/>
    <d v="2022-12-14T00:00:00"/>
    <x v="1697"/>
    <n v="4492"/>
    <n v="-3457"/>
    <s v="NA"/>
    <n v="9"/>
    <d v="2022-12-14T00:00:00"/>
    <n v="1"/>
    <n v="2242"/>
    <n v="-3.34"/>
    <s v="Outlier"/>
    <n v="2022"/>
    <s v="December"/>
  </r>
  <r>
    <n v="3768"/>
    <x v="91"/>
    <x v="4"/>
    <s v="East"/>
    <s v="Premium"/>
    <d v="2022-03-11T00:00:00"/>
    <d v="2022-05-26T00:00:00"/>
    <x v="1698"/>
    <n v="4987"/>
    <n v="78"/>
    <s v="Paid"/>
    <n v="2"/>
    <d v="2022-05-26T00:00:00"/>
    <n v="1"/>
    <n v="2243"/>
    <n v="0.02"/>
    <s v="Normal"/>
    <n v="2022"/>
    <s v="May"/>
  </r>
  <r>
    <n v="3769"/>
    <x v="60"/>
    <x v="1"/>
    <s v="West"/>
    <s v="Premium"/>
    <d v="2022-06-10T00:00:00"/>
    <d v="2023-01-01T00:00:00"/>
    <x v="17"/>
    <n v="4012.75"/>
    <n v="-1012"/>
    <s v="Overdue"/>
    <n v="6"/>
    <d v="2023-01-01T00:00:00"/>
    <n v="1"/>
    <n v="2244"/>
    <n v="-0.2"/>
    <s v="Normal"/>
    <n v="2023"/>
    <s v="January"/>
  </r>
  <r>
    <n v="3770"/>
    <x v="32"/>
    <x v="2"/>
    <s v="West"/>
    <s v="Premium"/>
    <d v="2022-04-29T00:00:00"/>
    <d v="2023-08-19T00:00:00"/>
    <x v="146"/>
    <n v="7580"/>
    <n v="-5856"/>
    <s v="Paid"/>
    <n v="15"/>
    <d v="2023-08-19T00:00:00"/>
    <n v="0"/>
    <n v="2245"/>
    <n v="-3.4"/>
    <s v="Outlier"/>
    <n v="2023"/>
    <s v="August"/>
  </r>
  <r>
    <n v="3772"/>
    <x v="352"/>
    <x v="4"/>
    <s v="North"/>
    <s v="Premium"/>
    <d v="2022-08-16T00:00:00"/>
    <d v="2023-08-06T00:00:00"/>
    <x v="17"/>
    <n v="905"/>
    <n v="-1795"/>
    <s v="Paid"/>
    <n v="11"/>
    <d v="2023-08-06T00:00:00"/>
    <n v="0"/>
    <n v="2246"/>
    <n v="-0.36"/>
    <s v="Normal"/>
    <n v="2023"/>
    <s v="August"/>
  </r>
  <r>
    <n v="3773"/>
    <x v="119"/>
    <x v="2"/>
    <s v="East"/>
    <s v="Premium"/>
    <d v="2022-07-25T00:00:00"/>
    <d v="2024-02-23T00:00:00"/>
    <x v="1699"/>
    <n v="2580"/>
    <n v="5316"/>
    <s v="Pending"/>
    <n v="18"/>
    <d v="2024-02-23T00:00:00"/>
    <n v="0"/>
    <n v="2247"/>
    <n v="0.67"/>
    <s v="Normal"/>
    <n v="2024"/>
    <s v="February"/>
  </r>
  <r>
    <n v="3774"/>
    <x v="149"/>
    <x v="3"/>
    <s v="North"/>
    <s v="Premium"/>
    <d v="2022-11-21T00:00:00"/>
    <d v="2023-09-23T00:00:00"/>
    <x v="17"/>
    <n v="6326"/>
    <n v="-8237"/>
    <s v="Paid"/>
    <n v="10"/>
    <d v="2023-09-23T00:00:00"/>
    <n v="0"/>
    <n v="2248"/>
    <n v="-1.66"/>
    <s v="Outlier"/>
    <n v="2023"/>
    <s v="September"/>
  </r>
  <r>
    <n v="3775"/>
    <x v="184"/>
    <x v="3"/>
    <s v="East"/>
    <s v="Premium"/>
    <d v="2022-07-02T00:00:00"/>
    <d v="2023-04-05T00:00:00"/>
    <x v="1376"/>
    <n v="4827"/>
    <n v="1817"/>
    <s v="NA"/>
    <n v="9"/>
    <d v="2023-04-05T00:00:00"/>
    <n v="1"/>
    <n v="2249"/>
    <n v="0.27"/>
    <s v="Normal"/>
    <n v="2023"/>
    <s v="April"/>
  </r>
  <r>
    <n v="3776"/>
    <x v="89"/>
    <x v="0"/>
    <s v="North"/>
    <s v="Standard"/>
    <d v="2022-12-07T00:00:00"/>
    <d v="2024-07-28T00:00:00"/>
    <x v="197"/>
    <n v="6935"/>
    <n v="-6611"/>
    <s v="Paid"/>
    <n v="19"/>
    <d v="2024-07-28T00:00:00"/>
    <n v="1"/>
    <n v="2250"/>
    <n v="-20.399999999999999"/>
    <s v="Outlier"/>
    <n v="2024"/>
    <s v="July"/>
  </r>
  <r>
    <n v="3778"/>
    <x v="275"/>
    <x v="2"/>
    <s v="South"/>
    <s v="Basic"/>
    <d v="2022-01-17T00:00:00"/>
    <d v="2023-03-17T00:00:00"/>
    <x v="1700"/>
    <n v="4012.75"/>
    <n v="8302"/>
    <s v="Pending"/>
    <n v="14"/>
    <d v="2023-03-17T00:00:00"/>
    <n v="1"/>
    <n v="2251"/>
    <n v="1.07"/>
    <s v="Outlier"/>
    <n v="2023"/>
    <s v="March"/>
  </r>
  <r>
    <n v="3779"/>
    <x v="6"/>
    <x v="2"/>
    <s v="North"/>
    <s v="Basic"/>
    <d v="2022-05-30T00:00:00"/>
    <d v="2023-11-15T00:00:00"/>
    <x v="1701"/>
    <n v="1226"/>
    <n v="1908"/>
    <s v="NA"/>
    <n v="17"/>
    <d v="2023-11-15T00:00:00"/>
    <n v="0"/>
    <n v="2252"/>
    <n v="0.61"/>
    <s v="Normal"/>
    <n v="2023"/>
    <s v="November"/>
  </r>
  <r>
    <n v="3783"/>
    <x v="379"/>
    <x v="4"/>
    <s v="East"/>
    <s v="Premium"/>
    <d v="2022-12-30T00:00:00"/>
    <d v="2024-06-13T00:00:00"/>
    <x v="1702"/>
    <n v="6798"/>
    <n v="-5404"/>
    <s v="Pending"/>
    <n v="17"/>
    <d v="2024-06-13T00:00:00"/>
    <n v="0"/>
    <n v="2253"/>
    <n v="-3.88"/>
    <s v="Outlier"/>
    <n v="2024"/>
    <s v="June"/>
  </r>
  <r>
    <n v="3784"/>
    <x v="159"/>
    <x v="2"/>
    <s v="East"/>
    <s v="Standard"/>
    <d v="2022-07-15T00:00:00"/>
    <d v="2023-02-22T00:00:00"/>
    <x v="1703"/>
    <n v="3891"/>
    <n v="5203"/>
    <s v="Paid"/>
    <n v="7"/>
    <d v="2023-02-22T00:00:00"/>
    <n v="1"/>
    <n v="2254"/>
    <n v="0.56999999999999995"/>
    <s v="Normal"/>
    <n v="2023"/>
    <s v="February"/>
  </r>
  <r>
    <n v="3785"/>
    <x v="294"/>
    <x v="4"/>
    <s v="West"/>
    <s v="Basic"/>
    <d v="2022-03-28T00:00:00"/>
    <d v="2023-10-17T00:00:00"/>
    <x v="1704"/>
    <n v="1148"/>
    <n v="3554"/>
    <s v="NA"/>
    <n v="18"/>
    <d v="2023-10-17T00:00:00"/>
    <n v="0"/>
    <n v="2255"/>
    <n v="0.76"/>
    <s v="Normal"/>
    <n v="2023"/>
    <s v="October"/>
  </r>
  <r>
    <n v="3786"/>
    <x v="129"/>
    <x v="3"/>
    <s v="East"/>
    <s v="Premium"/>
    <d v="2022-09-16T00:00:00"/>
    <d v="2023-02-28T00:00:00"/>
    <x v="17"/>
    <n v="509"/>
    <n v="-1043"/>
    <s v="Paid"/>
    <n v="5"/>
    <d v="2023-02-28T00:00:00"/>
    <n v="0"/>
    <n v="2256"/>
    <n v="-0.21"/>
    <s v="Normal"/>
    <n v="2023"/>
    <s v="February"/>
  </r>
  <r>
    <n v="3790"/>
    <x v="113"/>
    <x v="2"/>
    <s v="North"/>
    <s v="Basic"/>
    <d v="2022-12-02T00:00:00"/>
    <d v="2023-09-28T00:00:00"/>
    <x v="1705"/>
    <n v="5876"/>
    <n v="-3823"/>
    <s v="Overdue"/>
    <n v="9"/>
    <d v="2023-09-28T00:00:00"/>
    <n v="0"/>
    <n v="2257"/>
    <n v="-1.86"/>
    <s v="Outlier"/>
    <n v="2023"/>
    <s v="September"/>
  </r>
  <r>
    <n v="3791"/>
    <x v="34"/>
    <x v="0"/>
    <s v="East"/>
    <s v="Standard"/>
    <d v="2022-02-15T00:00:00"/>
    <d v="2023-02-05T00:00:00"/>
    <x v="1706"/>
    <n v="5539"/>
    <n v="-1988"/>
    <s v="Paid"/>
    <n v="11"/>
    <d v="2023-02-05T00:00:00"/>
    <n v="0"/>
    <n v="2258"/>
    <n v="-0.56000000000000005"/>
    <s v="Normal"/>
    <n v="2023"/>
    <s v="February"/>
  </r>
  <r>
    <n v="3792"/>
    <x v="97"/>
    <x v="0"/>
    <s v="East"/>
    <s v="Standard"/>
    <d v="2022-04-05T00:00:00"/>
    <d v="2022-08-08T00:00:00"/>
    <x v="1707"/>
    <n v="7480"/>
    <n v="-2256"/>
    <s v="NA"/>
    <n v="4"/>
    <d v="2022-08-08T00:00:00"/>
    <n v="0"/>
    <n v="2259"/>
    <n v="-0.43"/>
    <s v="Normal"/>
    <n v="2022"/>
    <s v="August"/>
  </r>
  <r>
    <n v="3793"/>
    <x v="361"/>
    <x v="3"/>
    <s v="North"/>
    <s v="Basic"/>
    <d v="2022-08-20T00:00:00"/>
    <d v="2022-10-04T00:00:00"/>
    <x v="1708"/>
    <n v="5713"/>
    <n v="3351"/>
    <s v="Paid"/>
    <n v="1"/>
    <d v="2022-10-04T00:00:00"/>
    <n v="0"/>
    <n v="2260"/>
    <n v="0.37"/>
    <s v="Normal"/>
    <n v="2022"/>
    <s v="October"/>
  </r>
  <r>
    <n v="3794"/>
    <x v="271"/>
    <x v="4"/>
    <s v="West"/>
    <s v="Standard"/>
    <d v="2022-10-17T00:00:00"/>
    <d v="2023-02-26T00:00:00"/>
    <x v="17"/>
    <n v="6788"/>
    <n v="-8599"/>
    <s v="NA"/>
    <n v="4"/>
    <d v="2023-02-26T00:00:00"/>
    <n v="0"/>
    <n v="2261"/>
    <n v="-1.73"/>
    <s v="Outlier"/>
    <n v="2023"/>
    <s v="February"/>
  </r>
  <r>
    <n v="3796"/>
    <x v="179"/>
    <x v="4"/>
    <s v="North"/>
    <s v="Basic"/>
    <d v="2022-10-16T00:00:00"/>
    <d v="2024-05-14T00:00:00"/>
    <x v="284"/>
    <n v="5784"/>
    <n v="-605"/>
    <s v="Paid"/>
    <n v="18"/>
    <d v="2024-05-14T00:00:00"/>
    <n v="0"/>
    <n v="2262"/>
    <n v="-0.12"/>
    <s v="Normal"/>
    <n v="2024"/>
    <s v="May"/>
  </r>
  <r>
    <n v="3797"/>
    <x v="257"/>
    <x v="3"/>
    <s v="North"/>
    <s v="Premium"/>
    <d v="2022-01-18T00:00:00"/>
    <d v="2022-09-03T00:00:00"/>
    <x v="17"/>
    <n v="2689"/>
    <n v="-3375"/>
    <s v="Pending"/>
    <n v="7"/>
    <d v="2022-09-03T00:00:00"/>
    <n v="0"/>
    <n v="2263"/>
    <n v="-0.68"/>
    <s v="Normal"/>
    <n v="2022"/>
    <s v="September"/>
  </r>
  <r>
    <n v="3798"/>
    <x v="120"/>
    <x v="4"/>
    <s v="South"/>
    <s v="Basic"/>
    <d v="2022-09-24T00:00:00"/>
    <d v="2022-12-30T00:00:00"/>
    <x v="1709"/>
    <n v="6534"/>
    <n v="-2477"/>
    <s v="Paid"/>
    <n v="3"/>
    <d v="2022-12-30T00:00:00"/>
    <n v="1"/>
    <n v="2264"/>
    <n v="-0.61"/>
    <s v="Normal"/>
    <n v="2022"/>
    <s v="December"/>
  </r>
  <r>
    <n v="3800"/>
    <x v="364"/>
    <x v="0"/>
    <s v="North"/>
    <s v="Standard"/>
    <d v="2022-08-01T00:00:00"/>
    <d v="2023-12-25T00:00:00"/>
    <x v="1417"/>
    <n v="2217"/>
    <n v="2346"/>
    <s v="NA"/>
    <n v="16"/>
    <d v="2023-12-25T00:00:00"/>
    <n v="1"/>
    <n v="2265"/>
    <n v="0.51"/>
    <s v="Normal"/>
    <n v="2023"/>
    <s v="December"/>
  </r>
  <r>
    <n v="3801"/>
    <x v="171"/>
    <x v="0"/>
    <s v="North"/>
    <s v="Premium"/>
    <d v="2022-04-07T00:00:00"/>
    <d v="2023-09-06T00:00:00"/>
    <x v="1710"/>
    <n v="3992"/>
    <n v="891"/>
    <s v="Paid"/>
    <n v="16"/>
    <d v="2023-09-06T00:00:00"/>
    <n v="0"/>
    <n v="2266"/>
    <n v="0.18"/>
    <s v="Normal"/>
    <n v="2023"/>
    <s v="September"/>
  </r>
  <r>
    <n v="3802"/>
    <x v="26"/>
    <x v="3"/>
    <s v="West"/>
    <s v="Premium"/>
    <d v="2022-08-18T00:00:00"/>
    <d v="2023-04-11T00:00:00"/>
    <x v="17"/>
    <n v="110"/>
    <n v="577.01"/>
    <s v="NA"/>
    <n v="7"/>
    <d v="2023-04-11T00:00:00"/>
    <n v="0"/>
    <n v="2267"/>
    <n v="0.12"/>
    <s v="Normal"/>
    <n v="2023"/>
    <s v="April"/>
  </r>
  <r>
    <n v="3803"/>
    <x v="128"/>
    <x v="0"/>
    <s v="North"/>
    <s v="Basic"/>
    <d v="2022-05-18T00:00:00"/>
    <d v="2023-07-02T00:00:00"/>
    <x v="17"/>
    <n v="4012.75"/>
    <n v="-24"/>
    <s v="Paid"/>
    <n v="13"/>
    <d v="2023-07-02T00:00:00"/>
    <n v="0"/>
    <n v="2268"/>
    <n v="0"/>
    <s v="Normal"/>
    <n v="2023"/>
    <s v="July"/>
  </r>
  <r>
    <n v="3804"/>
    <x v="285"/>
    <x v="2"/>
    <s v="East"/>
    <s v="Basic"/>
    <d v="2022-03-22T00:00:00"/>
    <d v="2023-10-15T00:00:00"/>
    <x v="17"/>
    <n v="6199"/>
    <n v="-7307"/>
    <s v="NA"/>
    <n v="18"/>
    <d v="2023-10-15T00:00:00"/>
    <n v="0"/>
    <n v="2269"/>
    <n v="-1.47"/>
    <s v="Outlier"/>
    <n v="2023"/>
    <s v="October"/>
  </r>
  <r>
    <n v="3805"/>
    <x v="347"/>
    <x v="0"/>
    <s v="East"/>
    <s v="Standard"/>
    <d v="2022-12-13T00:00:00"/>
    <d v="2023-11-11T00:00:00"/>
    <x v="1711"/>
    <n v="6917"/>
    <n v="-1327"/>
    <s v="Overdue"/>
    <n v="10"/>
    <d v="2023-11-11T00:00:00"/>
    <n v="1"/>
    <n v="2270"/>
    <n v="-0.24"/>
    <s v="Normal"/>
    <n v="2023"/>
    <s v="November"/>
  </r>
  <r>
    <n v="3806"/>
    <x v="265"/>
    <x v="3"/>
    <s v="West"/>
    <s v="Basic"/>
    <d v="2022-07-08T00:00:00"/>
    <d v="2022-10-29T00:00:00"/>
    <x v="1712"/>
    <n v="2094"/>
    <n v="5537"/>
    <s v="NA"/>
    <n v="3"/>
    <d v="2022-10-29T00:00:00"/>
    <n v="1"/>
    <n v="2271"/>
    <n v="0.73"/>
    <s v="Normal"/>
    <n v="2022"/>
    <s v="October"/>
  </r>
  <r>
    <n v="3807"/>
    <x v="29"/>
    <x v="2"/>
    <s v="West"/>
    <s v="Premium"/>
    <d v="2022-07-10T00:00:00"/>
    <d v="2023-10-31T00:00:00"/>
    <x v="1713"/>
    <n v="3587"/>
    <n v="-1468"/>
    <s v="Overdue"/>
    <n v="15"/>
    <d v="2023-10-31T00:00:00"/>
    <n v="0"/>
    <n v="2272"/>
    <n v="-0.69"/>
    <s v="Normal"/>
    <n v="2023"/>
    <s v="October"/>
  </r>
  <r>
    <n v="3808"/>
    <x v="63"/>
    <x v="2"/>
    <s v="South"/>
    <s v="Premium"/>
    <d v="2022-06-29T00:00:00"/>
    <d v="2022-12-02T00:00:00"/>
    <x v="1714"/>
    <n v="2746"/>
    <n v="-1892"/>
    <s v="Overdue"/>
    <n v="5"/>
    <d v="2022-12-02T00:00:00"/>
    <n v="0"/>
    <n v="2273"/>
    <n v="-2.2200000000000002"/>
    <s v="Outlier"/>
    <n v="2022"/>
    <s v="December"/>
  </r>
  <r>
    <n v="3809"/>
    <x v="213"/>
    <x v="2"/>
    <s v="West"/>
    <s v="Premium"/>
    <d v="2022-03-22T00:00:00"/>
    <d v="2022-07-03T00:00:00"/>
    <x v="1715"/>
    <n v="3195"/>
    <n v="-2054"/>
    <s v="Pending"/>
    <n v="3"/>
    <d v="2022-07-03T00:00:00"/>
    <n v="0"/>
    <n v="2274"/>
    <n v="-1.8"/>
    <s v="Outlier"/>
    <n v="2022"/>
    <s v="July"/>
  </r>
  <r>
    <n v="3810"/>
    <x v="267"/>
    <x v="1"/>
    <s v="North"/>
    <s v="Standard"/>
    <d v="2022-05-16T00:00:00"/>
    <d v="2023-09-19T00:00:00"/>
    <x v="1716"/>
    <n v="5098"/>
    <n v="577.01"/>
    <s v="NA"/>
    <n v="16"/>
    <d v="2023-09-19T00:00:00"/>
    <n v="1"/>
    <n v="2275"/>
    <n v="0.09"/>
    <s v="Normal"/>
    <n v="2023"/>
    <s v="September"/>
  </r>
  <r>
    <n v="3812"/>
    <x v="23"/>
    <x v="3"/>
    <s v="South"/>
    <s v="Standard"/>
    <d v="2022-03-04T00:00:00"/>
    <d v="2022-11-08T00:00:00"/>
    <x v="17"/>
    <n v="4012.75"/>
    <n v="-529"/>
    <s v="Pending"/>
    <n v="8"/>
    <d v="2022-11-08T00:00:00"/>
    <n v="1"/>
    <n v="2276"/>
    <n v="-0.11"/>
    <s v="Normal"/>
    <n v="2022"/>
    <s v="November"/>
  </r>
  <r>
    <n v="3813"/>
    <x v="366"/>
    <x v="1"/>
    <s v="South"/>
    <s v="Basic"/>
    <d v="2022-12-20T00:00:00"/>
    <d v="2023-12-27T00:00:00"/>
    <x v="1717"/>
    <n v="5041"/>
    <n v="4313"/>
    <s v="NA"/>
    <n v="12"/>
    <d v="2023-12-27T00:00:00"/>
    <n v="0"/>
    <n v="2277"/>
    <n v="0.46"/>
    <s v="Normal"/>
    <n v="2023"/>
    <s v="December"/>
  </r>
  <r>
    <n v="3814"/>
    <x v="293"/>
    <x v="0"/>
    <s v="South"/>
    <s v="Standard"/>
    <d v="2022-11-16T00:00:00"/>
    <d v="2024-01-10T00:00:00"/>
    <x v="1718"/>
    <n v="7834"/>
    <n v="-2390"/>
    <s v="Overdue"/>
    <n v="13"/>
    <d v="2024-01-10T00:00:00"/>
    <n v="0"/>
    <n v="2278"/>
    <n v="-0.44"/>
    <s v="Normal"/>
    <n v="2024"/>
    <s v="January"/>
  </r>
  <r>
    <n v="3815"/>
    <x v="67"/>
    <x v="4"/>
    <s v="East"/>
    <s v="Standard"/>
    <d v="2022-03-07T00:00:00"/>
    <d v="2022-09-21T00:00:00"/>
    <x v="155"/>
    <n v="2739"/>
    <n v="577.01"/>
    <s v="Overdue"/>
    <n v="6"/>
    <d v="2022-09-21T00:00:00"/>
    <n v="1"/>
    <n v="2279"/>
    <n v="0.06"/>
    <s v="Normal"/>
    <n v="2022"/>
    <s v="September"/>
  </r>
  <r>
    <n v="3816"/>
    <x v="26"/>
    <x v="0"/>
    <s v="West"/>
    <s v="Standard"/>
    <d v="2022-02-14T00:00:00"/>
    <d v="2022-11-23T00:00:00"/>
    <x v="1719"/>
    <n v="435"/>
    <n v="8753"/>
    <s v="NA"/>
    <n v="9"/>
    <d v="2022-11-23T00:00:00"/>
    <n v="1"/>
    <n v="2280"/>
    <n v="0.95"/>
    <s v="Normal"/>
    <n v="2022"/>
    <s v="November"/>
  </r>
  <r>
    <n v="3817"/>
    <x v="264"/>
    <x v="0"/>
    <s v="East"/>
    <s v="Premium"/>
    <d v="2022-01-21T00:00:00"/>
    <d v="2022-06-29T00:00:00"/>
    <x v="1720"/>
    <n v="6560"/>
    <n v="-4315"/>
    <s v="Overdue"/>
    <n v="5"/>
    <d v="2022-06-29T00:00:00"/>
    <n v="0"/>
    <n v="2281"/>
    <n v="-1.92"/>
    <s v="Outlier"/>
    <n v="2022"/>
    <s v="June"/>
  </r>
  <r>
    <n v="3819"/>
    <x v="360"/>
    <x v="3"/>
    <s v="East"/>
    <s v="Premium"/>
    <d v="2022-01-18T00:00:00"/>
    <d v="2022-08-04T00:00:00"/>
    <x v="1721"/>
    <n v="5629"/>
    <n v="-1157"/>
    <s v="Paid"/>
    <n v="6"/>
    <d v="2022-08-04T00:00:00"/>
    <n v="0"/>
    <n v="2282"/>
    <n v="-0.26"/>
    <s v="Normal"/>
    <n v="2022"/>
    <s v="August"/>
  </r>
  <r>
    <n v="3820"/>
    <x v="48"/>
    <x v="0"/>
    <s v="West"/>
    <s v="Basic"/>
    <d v="2022-06-20T00:00:00"/>
    <d v="2023-07-23T00:00:00"/>
    <x v="1722"/>
    <n v="788"/>
    <n v="6809"/>
    <s v="Pending"/>
    <n v="13"/>
    <d v="2023-07-23T00:00:00"/>
    <n v="0"/>
    <n v="2283"/>
    <n v="0.9"/>
    <s v="Normal"/>
    <n v="2023"/>
    <s v="July"/>
  </r>
  <r>
    <n v="3821"/>
    <x v="96"/>
    <x v="4"/>
    <s v="North"/>
    <s v="Basic"/>
    <d v="2022-05-06T00:00:00"/>
    <d v="2022-07-01T00:00:00"/>
    <x v="1723"/>
    <n v="1291"/>
    <n v="1305"/>
    <s v="Pending"/>
    <n v="1"/>
    <d v="2022-07-01T00:00:00"/>
    <n v="1"/>
    <n v="2284"/>
    <n v="0.5"/>
    <s v="Normal"/>
    <n v="2022"/>
    <s v="July"/>
  </r>
  <r>
    <n v="3823"/>
    <x v="269"/>
    <x v="1"/>
    <s v="East"/>
    <s v="Premium"/>
    <d v="2022-12-21T00:00:00"/>
    <d v="2023-09-23T00:00:00"/>
    <x v="1724"/>
    <n v="7633"/>
    <n v="2157"/>
    <s v="Pending"/>
    <n v="9"/>
    <d v="2023-09-23T00:00:00"/>
    <n v="0"/>
    <n v="2285"/>
    <n v="0.22"/>
    <s v="Normal"/>
    <n v="2023"/>
    <s v="September"/>
  </r>
  <r>
    <n v="3827"/>
    <x v="283"/>
    <x v="3"/>
    <s v="West"/>
    <s v="Basic"/>
    <d v="2022-01-16T00:00:00"/>
    <d v="2022-08-07T00:00:00"/>
    <x v="1725"/>
    <n v="5397"/>
    <n v="-2527"/>
    <s v="Paid"/>
    <n v="6"/>
    <d v="2022-08-07T00:00:00"/>
    <n v="0"/>
    <n v="2286"/>
    <n v="-0.88"/>
    <s v="Normal"/>
    <n v="2022"/>
    <s v="August"/>
  </r>
  <r>
    <n v="3828"/>
    <x v="238"/>
    <x v="0"/>
    <s v="North"/>
    <s v="Premium"/>
    <d v="2022-01-04T00:00:00"/>
    <d v="2023-02-15T00:00:00"/>
    <x v="17"/>
    <n v="1991"/>
    <n v="-3744"/>
    <s v="Pending"/>
    <n v="13"/>
    <d v="2023-02-15T00:00:00"/>
    <n v="0"/>
    <n v="2287"/>
    <n v="-0.75"/>
    <s v="Normal"/>
    <n v="2023"/>
    <s v="February"/>
  </r>
  <r>
    <n v="3829"/>
    <x v="28"/>
    <x v="2"/>
    <s v="West"/>
    <s v="Premium"/>
    <d v="2022-12-21T00:00:00"/>
    <d v="2023-05-23T00:00:00"/>
    <x v="1726"/>
    <n v="2822"/>
    <n v="1366"/>
    <s v="Overdue"/>
    <n v="5"/>
    <d v="2023-05-23T00:00:00"/>
    <n v="1"/>
    <n v="2288"/>
    <n v="0.33"/>
    <s v="Normal"/>
    <n v="2023"/>
    <s v="May"/>
  </r>
  <r>
    <n v="3830"/>
    <x v="157"/>
    <x v="2"/>
    <s v="East"/>
    <s v="Premium"/>
    <d v="2022-10-01T00:00:00"/>
    <d v="2023-11-22T00:00:00"/>
    <x v="1727"/>
    <n v="7734"/>
    <n v="-2476"/>
    <s v="Pending"/>
    <n v="13"/>
    <d v="2023-11-22T00:00:00"/>
    <n v="0"/>
    <n v="2289"/>
    <n v="-0.47"/>
    <s v="Normal"/>
    <n v="2023"/>
    <s v="November"/>
  </r>
  <r>
    <n v="3831"/>
    <x v="118"/>
    <x v="1"/>
    <s v="South"/>
    <s v="Basic"/>
    <d v="2022-10-17T00:00:00"/>
    <d v="2023-01-28T00:00:00"/>
    <x v="1499"/>
    <n v="6809"/>
    <n v="-2446"/>
    <s v="Overdue"/>
    <n v="3"/>
    <d v="2023-01-28T00:00:00"/>
    <n v="1"/>
    <n v="2290"/>
    <n v="-0.56000000000000005"/>
    <s v="Normal"/>
    <n v="2023"/>
    <s v="January"/>
  </r>
  <r>
    <n v="3832"/>
    <x v="354"/>
    <x v="4"/>
    <s v="North"/>
    <s v="Premium"/>
    <d v="2022-03-07T00:00:00"/>
    <d v="2023-04-16T00:00:00"/>
    <x v="1718"/>
    <n v="5922"/>
    <n v="-478"/>
    <s v="Overdue"/>
    <n v="13"/>
    <d v="2023-04-16T00:00:00"/>
    <n v="0"/>
    <n v="2291"/>
    <n v="-0.09"/>
    <s v="Normal"/>
    <n v="2023"/>
    <s v="April"/>
  </r>
  <r>
    <n v="3833"/>
    <x v="369"/>
    <x v="0"/>
    <s v="East"/>
    <s v="Basic"/>
    <d v="2022-02-07T00:00:00"/>
    <d v="2022-07-24T00:00:00"/>
    <x v="1728"/>
    <n v="1607"/>
    <n v="-1098"/>
    <s v="NA"/>
    <n v="5"/>
    <d v="2022-07-24T00:00:00"/>
    <n v="0"/>
    <n v="2292"/>
    <n v="-2.16"/>
    <s v="Outlier"/>
    <n v="2022"/>
    <s v="July"/>
  </r>
  <r>
    <n v="3835"/>
    <x v="77"/>
    <x v="2"/>
    <s v="West"/>
    <s v="Basic"/>
    <d v="2022-08-10T00:00:00"/>
    <d v="2023-01-29T00:00:00"/>
    <x v="17"/>
    <n v="1635"/>
    <n v="-1683"/>
    <s v="Pending"/>
    <n v="5"/>
    <d v="2023-01-29T00:00:00"/>
    <n v="0"/>
    <n v="2293"/>
    <n v="-0.34"/>
    <s v="Normal"/>
    <n v="2023"/>
    <s v="January"/>
  </r>
  <r>
    <n v="3836"/>
    <x v="196"/>
    <x v="2"/>
    <s v="West"/>
    <s v="Premium"/>
    <d v="2022-12-13T00:00:00"/>
    <d v="2023-05-08T00:00:00"/>
    <x v="1729"/>
    <n v="1335"/>
    <n v="3412"/>
    <s v="Pending"/>
    <n v="4"/>
    <d v="2023-05-08T00:00:00"/>
    <n v="1"/>
    <n v="2294"/>
    <n v="0.72"/>
    <s v="Normal"/>
    <n v="2023"/>
    <s v="May"/>
  </r>
  <r>
    <n v="3837"/>
    <x v="70"/>
    <x v="2"/>
    <s v="East"/>
    <s v="Premium"/>
    <d v="2022-01-18T00:00:00"/>
    <d v="2023-03-24T00:00:00"/>
    <x v="1359"/>
    <n v="5421"/>
    <n v="2055"/>
    <s v="Paid"/>
    <n v="14"/>
    <d v="2023-03-24T00:00:00"/>
    <n v="1"/>
    <n v="2295"/>
    <n v="0.27"/>
    <s v="Normal"/>
    <n v="2023"/>
    <s v="March"/>
  </r>
  <r>
    <n v="3838"/>
    <x v="237"/>
    <x v="0"/>
    <s v="West"/>
    <s v="Standard"/>
    <d v="2022-03-10T00:00:00"/>
    <d v="2023-03-29T00:00:00"/>
    <x v="1730"/>
    <n v="6968"/>
    <n v="-3989"/>
    <s v="Overdue"/>
    <n v="12"/>
    <d v="2023-03-29T00:00:00"/>
    <n v="0"/>
    <n v="2296"/>
    <n v="-1.34"/>
    <s v="Outlier"/>
    <n v="2023"/>
    <s v="March"/>
  </r>
  <r>
    <n v="3839"/>
    <x v="181"/>
    <x v="4"/>
    <s v="East"/>
    <s v="Basic"/>
    <d v="2022-08-12T00:00:00"/>
    <d v="2023-11-05T00:00:00"/>
    <x v="55"/>
    <n v="239"/>
    <n v="7510"/>
    <s v="Paid"/>
    <n v="14"/>
    <d v="2023-11-05T00:00:00"/>
    <n v="1"/>
    <n v="2297"/>
    <n v="0.97"/>
    <s v="Normal"/>
    <n v="2023"/>
    <s v="November"/>
  </r>
  <r>
    <n v="3840"/>
    <x v="23"/>
    <x v="1"/>
    <s v="South"/>
    <s v="Basic"/>
    <d v="2022-03-05T00:00:00"/>
    <d v="2022-10-16T00:00:00"/>
    <x v="1731"/>
    <n v="4012.75"/>
    <n v="6007"/>
    <s v="Overdue"/>
    <n v="7"/>
    <d v="2022-10-16T00:00:00"/>
    <n v="0"/>
    <n v="2298"/>
    <n v="1.1000000000000001"/>
    <s v="Outlier"/>
    <n v="2022"/>
    <s v="October"/>
  </r>
  <r>
    <n v="3842"/>
    <x v="298"/>
    <x v="3"/>
    <s v="East"/>
    <s v="Standard"/>
    <d v="2022-07-05T00:00:00"/>
    <d v="2022-11-03T00:00:00"/>
    <x v="1732"/>
    <n v="7331"/>
    <n v="577.01"/>
    <s v="Overdue"/>
    <n v="3"/>
    <d v="2022-11-03T00:00:00"/>
    <n v="0"/>
    <n v="2299"/>
    <n v="1.85"/>
    <s v="Outlier"/>
    <n v="2022"/>
    <s v="November"/>
  </r>
  <r>
    <n v="3843"/>
    <x v="300"/>
    <x v="2"/>
    <s v="South"/>
    <s v="Basic"/>
    <d v="2022-08-13T00:00:00"/>
    <d v="2023-04-30T00:00:00"/>
    <x v="1733"/>
    <n v="711"/>
    <n v="8038"/>
    <s v="Pending"/>
    <n v="8"/>
    <d v="2023-04-30T00:00:00"/>
    <n v="0"/>
    <n v="2300"/>
    <n v="0.92"/>
    <s v="Normal"/>
    <n v="2023"/>
    <s v="April"/>
  </r>
  <r>
    <n v="3844"/>
    <x v="100"/>
    <x v="2"/>
    <s v="North"/>
    <s v="Standard"/>
    <d v="2022-02-02T00:00:00"/>
    <d v="2023-08-03T00:00:00"/>
    <x v="1734"/>
    <n v="7477"/>
    <n v="-4778"/>
    <s v="Overdue"/>
    <n v="18"/>
    <d v="2023-08-03T00:00:00"/>
    <n v="0"/>
    <n v="2301"/>
    <n v="-1.77"/>
    <s v="Outlier"/>
    <n v="2023"/>
    <s v="August"/>
  </r>
  <r>
    <n v="3846"/>
    <x v="20"/>
    <x v="0"/>
    <s v="East"/>
    <s v="Basic"/>
    <d v="2022-05-15T00:00:00"/>
    <d v="2023-06-26T00:00:00"/>
    <x v="891"/>
    <n v="4012.75"/>
    <n v="6876"/>
    <s v="Pending"/>
    <n v="13"/>
    <d v="2023-06-26T00:00:00"/>
    <n v="1"/>
    <n v="2302"/>
    <n v="1.17"/>
    <s v="Outlier"/>
    <n v="2023"/>
    <s v="June"/>
  </r>
  <r>
    <n v="3847"/>
    <x v="294"/>
    <x v="1"/>
    <s v="West"/>
    <s v="Standard"/>
    <d v="2022-01-06T00:00:00"/>
    <d v="2022-12-20T00:00:00"/>
    <x v="17"/>
    <n v="449"/>
    <n v="-2025"/>
    <s v="Overdue"/>
    <n v="11"/>
    <d v="2022-12-20T00:00:00"/>
    <n v="0"/>
    <n v="2303"/>
    <n v="-0.41"/>
    <s v="Normal"/>
    <n v="2022"/>
    <s v="December"/>
  </r>
  <r>
    <n v="3848"/>
    <x v="112"/>
    <x v="0"/>
    <s v="West"/>
    <s v="Standard"/>
    <d v="2022-11-03T00:00:00"/>
    <d v="2023-06-03T00:00:00"/>
    <x v="1735"/>
    <n v="5637"/>
    <n v="-3321"/>
    <s v="Paid"/>
    <n v="7"/>
    <d v="2023-06-03T00:00:00"/>
    <n v="0"/>
    <n v="2304"/>
    <n v="-1.43"/>
    <s v="Outlier"/>
    <n v="2023"/>
    <s v="June"/>
  </r>
  <r>
    <n v="3849"/>
    <x v="69"/>
    <x v="2"/>
    <s v="West"/>
    <s v="Premium"/>
    <d v="2022-08-28T00:00:00"/>
    <d v="2024-04-05T00:00:00"/>
    <x v="1736"/>
    <n v="4372"/>
    <n v="3079"/>
    <s v="Overdue"/>
    <n v="19"/>
    <d v="2024-04-05T00:00:00"/>
    <n v="1"/>
    <n v="2305"/>
    <n v="0.41"/>
    <s v="Normal"/>
    <n v="2024"/>
    <s v="April"/>
  </r>
  <r>
    <n v="3850"/>
    <x v="106"/>
    <x v="0"/>
    <s v="West"/>
    <s v="Standard"/>
    <d v="2022-08-05T00:00:00"/>
    <d v="2023-10-27T00:00:00"/>
    <x v="1737"/>
    <n v="7652"/>
    <n v="2137"/>
    <s v="Pending"/>
    <n v="14"/>
    <d v="2023-10-27T00:00:00"/>
    <n v="1"/>
    <n v="2306"/>
    <n v="0.22"/>
    <s v="Normal"/>
    <n v="2023"/>
    <s v="October"/>
  </r>
  <r>
    <n v="3852"/>
    <x v="210"/>
    <x v="2"/>
    <s v="West"/>
    <s v="Standard"/>
    <d v="2022-09-14T00:00:00"/>
    <d v="2023-02-12T00:00:00"/>
    <x v="17"/>
    <n v="6539"/>
    <n v="-6935"/>
    <s v="Paid"/>
    <n v="4"/>
    <d v="2023-02-12T00:00:00"/>
    <n v="0"/>
    <n v="2307"/>
    <n v="-1.4"/>
    <s v="Outlier"/>
    <n v="2023"/>
    <s v="February"/>
  </r>
  <r>
    <n v="3853"/>
    <x v="24"/>
    <x v="0"/>
    <s v="West"/>
    <s v="Premium"/>
    <d v="2022-08-30T00:00:00"/>
    <d v="2023-12-09T00:00:00"/>
    <x v="1738"/>
    <n v="257"/>
    <n v="4135"/>
    <s v="Paid"/>
    <n v="15"/>
    <d v="2023-12-09T00:00:00"/>
    <n v="0"/>
    <n v="2308"/>
    <n v="0.94"/>
    <s v="Normal"/>
    <n v="2023"/>
    <s v="December"/>
  </r>
  <r>
    <n v="3854"/>
    <x v="249"/>
    <x v="2"/>
    <s v="South"/>
    <s v="Standard"/>
    <d v="2022-10-22T00:00:00"/>
    <d v="2023-09-15T00:00:00"/>
    <x v="605"/>
    <n v="920"/>
    <n v="-163"/>
    <s v="Pending"/>
    <n v="10"/>
    <d v="2023-09-15T00:00:00"/>
    <n v="0"/>
    <n v="2309"/>
    <n v="-0.22"/>
    <s v="Normal"/>
    <n v="2023"/>
    <s v="September"/>
  </r>
  <r>
    <n v="3855"/>
    <x v="159"/>
    <x v="4"/>
    <s v="South"/>
    <s v="Standard"/>
    <d v="2022-02-20T00:00:00"/>
    <d v="2022-08-01T00:00:00"/>
    <x v="1659"/>
    <n v="5651"/>
    <n v="-3650"/>
    <s v="Overdue"/>
    <n v="5"/>
    <d v="2022-08-01T00:00:00"/>
    <n v="1"/>
    <n v="2310"/>
    <n v="-1.82"/>
    <s v="Outlier"/>
    <n v="2022"/>
    <s v="August"/>
  </r>
  <r>
    <n v="3857"/>
    <x v="85"/>
    <x v="4"/>
    <s v="North"/>
    <s v="Standard"/>
    <d v="2022-01-25T00:00:00"/>
    <d v="2023-05-07T00:00:00"/>
    <x v="1739"/>
    <n v="852"/>
    <n v="577.01"/>
    <s v="Paid"/>
    <n v="15"/>
    <d v="2023-05-07T00:00:00"/>
    <n v="1"/>
    <n v="2311"/>
    <n v="0.14000000000000001"/>
    <s v="Normal"/>
    <n v="2023"/>
    <s v="May"/>
  </r>
  <r>
    <n v="3859"/>
    <x v="226"/>
    <x v="4"/>
    <s v="West"/>
    <s v="Premium"/>
    <d v="2022-01-04T00:00:00"/>
    <d v="2023-06-30T00:00:00"/>
    <x v="17"/>
    <n v="1340"/>
    <n v="-2091"/>
    <s v="Pending"/>
    <n v="17"/>
    <d v="2023-06-30T00:00:00"/>
    <n v="0"/>
    <n v="2312"/>
    <n v="-0.42"/>
    <s v="Normal"/>
    <n v="2023"/>
    <s v="June"/>
  </r>
  <r>
    <n v="3860"/>
    <x v="346"/>
    <x v="0"/>
    <s v="North"/>
    <s v="Basic"/>
    <d v="2022-12-02T00:00:00"/>
    <d v="2023-04-25T00:00:00"/>
    <x v="17"/>
    <n v="1284"/>
    <n v="-2514"/>
    <s v="Pending"/>
    <n v="4"/>
    <d v="2023-04-25T00:00:00"/>
    <n v="1"/>
    <n v="2313"/>
    <n v="-0.51"/>
    <s v="Normal"/>
    <n v="2023"/>
    <s v="April"/>
  </r>
  <r>
    <n v="3861"/>
    <x v="346"/>
    <x v="4"/>
    <s v="West"/>
    <s v="Basic"/>
    <d v="2022-09-05T00:00:00"/>
    <d v="2024-02-10T00:00:00"/>
    <x v="1740"/>
    <n v="4012.75"/>
    <n v="6173"/>
    <s v="Overdue"/>
    <n v="17"/>
    <d v="2024-02-10T00:00:00"/>
    <n v="1"/>
    <n v="2314"/>
    <n v="1.02"/>
    <s v="Outlier"/>
    <n v="2024"/>
    <s v="February"/>
  </r>
  <r>
    <n v="3862"/>
    <x v="323"/>
    <x v="4"/>
    <s v="North"/>
    <s v="Standard"/>
    <d v="2022-05-23T00:00:00"/>
    <d v="2022-07-12T00:00:00"/>
    <x v="1741"/>
    <n v="4646"/>
    <n v="-2990"/>
    <s v="Paid"/>
    <n v="1"/>
    <d v="2022-07-12T00:00:00"/>
    <n v="1"/>
    <n v="2315"/>
    <n v="-1.81"/>
    <s v="Outlier"/>
    <n v="2022"/>
    <s v="July"/>
  </r>
  <r>
    <n v="3864"/>
    <x v="224"/>
    <x v="4"/>
    <s v="West"/>
    <s v="Premium"/>
    <d v="2022-03-26T00:00:00"/>
    <d v="2023-09-27T00:00:00"/>
    <x v="1742"/>
    <n v="7101"/>
    <n v="577.01"/>
    <s v="Paid"/>
    <n v="18"/>
    <d v="2023-09-27T00:00:00"/>
    <n v="1"/>
    <n v="2316"/>
    <n v="7.0000000000000007E-2"/>
    <s v="Normal"/>
    <n v="2023"/>
    <s v="September"/>
  </r>
  <r>
    <n v="3865"/>
    <x v="166"/>
    <x v="4"/>
    <s v="South"/>
    <s v="Premium"/>
    <d v="2022-06-05T00:00:00"/>
    <d v="2023-07-28T00:00:00"/>
    <x v="1743"/>
    <n v="4012.75"/>
    <n v="2302"/>
    <s v="Pending"/>
    <n v="13"/>
    <d v="2023-07-28T00:00:00"/>
    <n v="0"/>
    <n v="2317"/>
    <n v="1.1000000000000001"/>
    <s v="Outlier"/>
    <n v="2023"/>
    <s v="July"/>
  </r>
  <r>
    <n v="3866"/>
    <x v="147"/>
    <x v="3"/>
    <s v="East"/>
    <s v="Premium"/>
    <d v="2022-11-30T00:00:00"/>
    <d v="2024-05-23T00:00:00"/>
    <x v="1744"/>
    <n v="2155"/>
    <n v="6109"/>
    <s v="Pending"/>
    <n v="17"/>
    <d v="2024-05-23T00:00:00"/>
    <n v="1"/>
    <n v="2318"/>
    <n v="0.74"/>
    <s v="Normal"/>
    <n v="2024"/>
    <s v="May"/>
  </r>
  <r>
    <n v="3867"/>
    <x v="361"/>
    <x v="1"/>
    <s v="South"/>
    <s v="Standard"/>
    <d v="2022-03-08T00:00:00"/>
    <d v="2023-08-02T00:00:00"/>
    <x v="1745"/>
    <n v="1534"/>
    <n v="4113"/>
    <s v="Overdue"/>
    <n v="16"/>
    <d v="2023-08-02T00:00:00"/>
    <n v="0"/>
    <n v="2319"/>
    <n v="0.73"/>
    <s v="Normal"/>
    <n v="2023"/>
    <s v="August"/>
  </r>
  <r>
    <n v="3868"/>
    <x v="258"/>
    <x v="1"/>
    <s v="West"/>
    <s v="Standard"/>
    <d v="2022-02-03T00:00:00"/>
    <d v="2022-05-10T00:00:00"/>
    <x v="1746"/>
    <n v="1308"/>
    <n v="486"/>
    <s v="NA"/>
    <n v="3"/>
    <d v="2022-05-10T00:00:00"/>
    <n v="0"/>
    <n v="2320"/>
    <n v="0.27"/>
    <s v="Normal"/>
    <n v="2022"/>
    <s v="May"/>
  </r>
  <r>
    <n v="3872"/>
    <x v="361"/>
    <x v="3"/>
    <s v="South"/>
    <s v="Premium"/>
    <d v="2022-07-11T00:00:00"/>
    <d v="2023-07-11T00:00:00"/>
    <x v="1747"/>
    <n v="451"/>
    <n v="6717"/>
    <s v="NA"/>
    <n v="12"/>
    <d v="2023-07-11T00:00:00"/>
    <n v="1"/>
    <n v="2321"/>
    <n v="0.94"/>
    <s v="Normal"/>
    <n v="2023"/>
    <s v="July"/>
  </r>
  <r>
    <n v="3873"/>
    <x v="232"/>
    <x v="2"/>
    <s v="West"/>
    <s v="Basic"/>
    <d v="2022-08-30T00:00:00"/>
    <d v="2023-03-22T00:00:00"/>
    <x v="17"/>
    <n v="5872"/>
    <n v="-7672"/>
    <s v="Pending"/>
    <n v="6"/>
    <d v="2023-03-22T00:00:00"/>
    <n v="0"/>
    <n v="2322"/>
    <n v="-1.54"/>
    <s v="Outlier"/>
    <n v="2023"/>
    <s v="March"/>
  </r>
  <r>
    <n v="3874"/>
    <x v="140"/>
    <x v="4"/>
    <s v="East"/>
    <s v="Premium"/>
    <d v="2022-07-05T00:00:00"/>
    <d v="2022-08-16T00:00:00"/>
    <x v="1748"/>
    <n v="3234"/>
    <n v="577.01"/>
    <s v="Pending"/>
    <n v="1"/>
    <d v="2022-08-16T00:00:00"/>
    <n v="0"/>
    <n v="2323"/>
    <n v="6.41"/>
    <s v="Outlier"/>
    <n v="2022"/>
    <s v="August"/>
  </r>
  <r>
    <n v="3875"/>
    <x v="203"/>
    <x v="1"/>
    <s v="East"/>
    <s v="Standard"/>
    <d v="2022-05-14T00:00:00"/>
    <d v="2023-07-09T00:00:00"/>
    <x v="398"/>
    <n v="4183"/>
    <n v="-2605"/>
    <s v="Pending"/>
    <n v="13"/>
    <d v="2023-07-09T00:00:00"/>
    <n v="0"/>
    <n v="2324"/>
    <n v="-1.65"/>
    <s v="Outlier"/>
    <n v="2023"/>
    <s v="July"/>
  </r>
  <r>
    <n v="3877"/>
    <x v="104"/>
    <x v="0"/>
    <s v="East"/>
    <s v="Basic"/>
    <d v="2022-09-15T00:00:00"/>
    <d v="2023-11-11T00:00:00"/>
    <x v="1749"/>
    <n v="6653"/>
    <n v="880"/>
    <s v="Paid"/>
    <n v="13"/>
    <d v="2023-11-11T00:00:00"/>
    <n v="1"/>
    <n v="2325"/>
    <n v="0.12"/>
    <s v="Normal"/>
    <n v="2023"/>
    <s v="November"/>
  </r>
  <r>
    <n v="3878"/>
    <x v="207"/>
    <x v="4"/>
    <s v="North"/>
    <s v="Basic"/>
    <d v="2022-06-23T00:00:00"/>
    <d v="2024-02-13T00:00:00"/>
    <x v="17"/>
    <n v="648"/>
    <n v="-1649"/>
    <s v="Overdue"/>
    <n v="19"/>
    <d v="2024-02-13T00:00:00"/>
    <n v="0"/>
    <n v="2326"/>
    <n v="-0.33"/>
    <s v="Normal"/>
    <n v="2024"/>
    <s v="February"/>
  </r>
  <r>
    <n v="3879"/>
    <x v="370"/>
    <x v="2"/>
    <s v="South"/>
    <s v="Basic"/>
    <d v="2022-01-22T00:00:00"/>
    <d v="2023-07-18T00:00:00"/>
    <x v="1750"/>
    <n v="4012.75"/>
    <n v="6794"/>
    <s v="Overdue"/>
    <n v="17"/>
    <d v="2023-07-18T00:00:00"/>
    <n v="1"/>
    <n v="2327"/>
    <n v="1.08"/>
    <s v="Outlier"/>
    <n v="2023"/>
    <s v="July"/>
  </r>
  <r>
    <n v="3880"/>
    <x v="18"/>
    <x v="0"/>
    <s v="North"/>
    <s v="Standard"/>
    <d v="2022-11-05T00:00:00"/>
    <d v="2024-02-18T00:00:00"/>
    <x v="445"/>
    <n v="7106"/>
    <n v="-1251"/>
    <s v="Overdue"/>
    <n v="15"/>
    <d v="2024-02-18T00:00:00"/>
    <n v="0"/>
    <n v="2328"/>
    <n v="-0.21"/>
    <s v="Normal"/>
    <n v="2024"/>
    <s v="February"/>
  </r>
  <r>
    <n v="3881"/>
    <x v="346"/>
    <x v="2"/>
    <s v="North"/>
    <s v="Standard"/>
    <d v="2022-11-13T00:00:00"/>
    <d v="2024-05-27T00:00:00"/>
    <x v="1751"/>
    <n v="4637"/>
    <n v="-293"/>
    <s v="Paid"/>
    <n v="18"/>
    <d v="2024-05-27T00:00:00"/>
    <n v="0"/>
    <n v="2329"/>
    <n v="-7.0000000000000007E-2"/>
    <s v="Normal"/>
    <n v="2024"/>
    <s v="May"/>
  </r>
  <r>
    <n v="3882"/>
    <x v="368"/>
    <x v="3"/>
    <s v="East"/>
    <s v="Basic"/>
    <d v="2022-11-09T00:00:00"/>
    <d v="2024-05-01T00:00:00"/>
    <x v="1752"/>
    <n v="3307"/>
    <n v="-1857"/>
    <s v="NA"/>
    <n v="17"/>
    <d v="2024-05-01T00:00:00"/>
    <n v="1"/>
    <n v="2330"/>
    <n v="-1.28"/>
    <s v="Outlier"/>
    <n v="2024"/>
    <s v="May"/>
  </r>
  <r>
    <n v="3883"/>
    <x v="196"/>
    <x v="0"/>
    <s v="West"/>
    <s v="Premium"/>
    <d v="2022-09-30T00:00:00"/>
    <d v="2023-05-17T00:00:00"/>
    <x v="1753"/>
    <n v="3401"/>
    <n v="3088"/>
    <s v="NA"/>
    <n v="7"/>
    <d v="2023-05-17T00:00:00"/>
    <n v="0"/>
    <n v="2331"/>
    <n v="0.48"/>
    <s v="Normal"/>
    <n v="2023"/>
    <s v="May"/>
  </r>
  <r>
    <n v="3887"/>
    <x v="314"/>
    <x v="2"/>
    <s v="South"/>
    <s v="Standard"/>
    <d v="2022-06-08T00:00:00"/>
    <d v="2023-10-02T00:00:00"/>
    <x v="1754"/>
    <n v="5720"/>
    <n v="577.01"/>
    <s v="NA"/>
    <n v="15"/>
    <d v="2023-10-02T00:00:00"/>
    <n v="0"/>
    <n v="2332"/>
    <n v="0.08"/>
    <s v="Normal"/>
    <n v="2023"/>
    <s v="October"/>
  </r>
  <r>
    <n v="3888"/>
    <x v="354"/>
    <x v="0"/>
    <s v="West"/>
    <s v="Basic"/>
    <d v="2022-09-21T00:00:00"/>
    <d v="2023-02-12T00:00:00"/>
    <x v="1755"/>
    <n v="364"/>
    <n v="7133"/>
    <s v="NA"/>
    <n v="4"/>
    <d v="2023-02-12T00:00:00"/>
    <n v="0"/>
    <n v="2333"/>
    <n v="0.95"/>
    <s v="Normal"/>
    <n v="2023"/>
    <s v="February"/>
  </r>
  <r>
    <n v="3890"/>
    <x v="123"/>
    <x v="1"/>
    <s v="West"/>
    <s v="Standard"/>
    <d v="2022-05-18T00:00:00"/>
    <d v="2023-02-01T00:00:00"/>
    <x v="17"/>
    <n v="5413"/>
    <n v="-5959"/>
    <s v="Pending"/>
    <n v="8"/>
    <d v="2023-02-01T00:00:00"/>
    <n v="0"/>
    <n v="2334"/>
    <n v="-1.2"/>
    <s v="Outlier"/>
    <n v="2023"/>
    <s v="February"/>
  </r>
  <r>
    <n v="3894"/>
    <x v="213"/>
    <x v="2"/>
    <s v="East"/>
    <s v="Basic"/>
    <d v="2022-04-01T00:00:00"/>
    <d v="2022-11-04T00:00:00"/>
    <x v="1756"/>
    <n v="7521"/>
    <n v="-359"/>
    <s v="Paid"/>
    <n v="7"/>
    <d v="2022-11-04T00:00:00"/>
    <n v="0"/>
    <n v="2335"/>
    <n v="-0.05"/>
    <s v="Normal"/>
    <n v="2022"/>
    <s v="November"/>
  </r>
  <r>
    <n v="3895"/>
    <x v="265"/>
    <x v="0"/>
    <s v="North"/>
    <s v="Standard"/>
    <d v="2022-09-08T00:00:00"/>
    <d v="2023-03-29T00:00:00"/>
    <x v="1757"/>
    <n v="4012.75"/>
    <n v="4575"/>
    <s v="Paid"/>
    <n v="6"/>
    <d v="2023-03-29T00:00:00"/>
    <n v="1"/>
    <n v="2336"/>
    <n v="1.26"/>
    <s v="Outlier"/>
    <n v="2023"/>
    <s v="March"/>
  </r>
  <r>
    <n v="3898"/>
    <x v="141"/>
    <x v="0"/>
    <s v="East"/>
    <s v="Premium"/>
    <d v="2022-06-03T00:00:00"/>
    <d v="2024-01-16T00:00:00"/>
    <x v="247"/>
    <n v="4292"/>
    <n v="-3291"/>
    <s v="Pending"/>
    <n v="19"/>
    <d v="2024-01-16T00:00:00"/>
    <n v="0"/>
    <n v="2337"/>
    <n v="-3.29"/>
    <s v="Outlier"/>
    <n v="2024"/>
    <s v="January"/>
  </r>
  <r>
    <n v="3899"/>
    <x v="333"/>
    <x v="1"/>
    <s v="West"/>
    <s v="Premium"/>
    <d v="2022-08-11T00:00:00"/>
    <d v="2022-11-09T00:00:00"/>
    <x v="1758"/>
    <n v="6549"/>
    <n v="-1240"/>
    <s v="Paid"/>
    <n v="2"/>
    <d v="2022-11-09T00:00:00"/>
    <n v="1"/>
    <n v="2338"/>
    <n v="-0.23"/>
    <s v="Normal"/>
    <n v="2022"/>
    <s v="November"/>
  </r>
  <r>
    <n v="3900"/>
    <x v="396"/>
    <x v="4"/>
    <s v="West"/>
    <s v="Premium"/>
    <d v="2022-09-05T00:00:00"/>
    <d v="2022-11-01T00:00:00"/>
    <x v="1759"/>
    <n v="870"/>
    <n v="4804"/>
    <s v="NA"/>
    <n v="1"/>
    <d v="2022-11-01T00:00:00"/>
    <n v="1"/>
    <n v="2339"/>
    <n v="0.85"/>
    <s v="Normal"/>
    <n v="2022"/>
    <s v="November"/>
  </r>
  <r>
    <n v="3901"/>
    <x v="132"/>
    <x v="3"/>
    <s v="East"/>
    <s v="Standard"/>
    <d v="2022-04-22T00:00:00"/>
    <d v="2023-04-23T00:00:00"/>
    <x v="1760"/>
    <n v="3153"/>
    <n v="4961"/>
    <s v="NA"/>
    <n v="12"/>
    <d v="2023-04-23T00:00:00"/>
    <n v="0"/>
    <n v="2340"/>
    <n v="0.61"/>
    <s v="Normal"/>
    <n v="2023"/>
    <s v="April"/>
  </r>
  <r>
    <n v="3902"/>
    <x v="187"/>
    <x v="3"/>
    <s v="North"/>
    <s v="Standard"/>
    <d v="2022-03-03T00:00:00"/>
    <d v="2022-11-30T00:00:00"/>
    <x v="1761"/>
    <n v="6571"/>
    <n v="-5729"/>
    <s v="Paid"/>
    <n v="8"/>
    <d v="2022-11-30T00:00:00"/>
    <n v="1"/>
    <n v="2341"/>
    <n v="-6.8"/>
    <s v="Outlier"/>
    <n v="2022"/>
    <s v="November"/>
  </r>
  <r>
    <n v="3903"/>
    <x v="96"/>
    <x v="0"/>
    <s v="North"/>
    <s v="Standard"/>
    <d v="2022-05-27T00:00:00"/>
    <d v="2022-11-14T00:00:00"/>
    <x v="1762"/>
    <n v="7400"/>
    <n v="-785"/>
    <s v="NA"/>
    <n v="5"/>
    <d v="2022-11-14T00:00:00"/>
    <n v="0"/>
    <n v="2342"/>
    <n v="-0.12"/>
    <s v="Normal"/>
    <n v="2022"/>
    <s v="November"/>
  </r>
  <r>
    <n v="3906"/>
    <x v="383"/>
    <x v="3"/>
    <s v="South"/>
    <s v="Standard"/>
    <d v="2022-02-24T00:00:00"/>
    <d v="2023-06-23T00:00:00"/>
    <x v="1763"/>
    <n v="6595"/>
    <n v="760"/>
    <s v="Overdue"/>
    <n v="15"/>
    <d v="2023-06-23T00:00:00"/>
    <n v="1"/>
    <n v="2343"/>
    <n v="0.1"/>
    <s v="Normal"/>
    <n v="2023"/>
    <s v="June"/>
  </r>
  <r>
    <n v="3907"/>
    <x v="227"/>
    <x v="1"/>
    <s v="West"/>
    <s v="Premium"/>
    <d v="2022-12-20T00:00:00"/>
    <d v="2023-12-31T00:00:00"/>
    <x v="1764"/>
    <n v="6298"/>
    <n v="577.01"/>
    <s v="Overdue"/>
    <n v="12"/>
    <d v="2023-12-31T00:00:00"/>
    <n v="1"/>
    <n v="2344"/>
    <n v="0.28999999999999998"/>
    <s v="Normal"/>
    <n v="2023"/>
    <s v="December"/>
  </r>
  <r>
    <n v="3913"/>
    <x v="251"/>
    <x v="2"/>
    <s v="South"/>
    <s v="Premium"/>
    <d v="2022-10-20T00:00:00"/>
    <d v="2024-06-05T00:00:00"/>
    <x v="1708"/>
    <n v="3904"/>
    <n v="5160"/>
    <s v="Paid"/>
    <n v="19"/>
    <d v="2024-06-05T00:00:00"/>
    <n v="1"/>
    <n v="2345"/>
    <n v="0.56999999999999995"/>
    <s v="Normal"/>
    <n v="2024"/>
    <s v="June"/>
  </r>
  <r>
    <n v="3916"/>
    <x v="347"/>
    <x v="3"/>
    <s v="West"/>
    <s v="Standard"/>
    <d v="2022-06-25T00:00:00"/>
    <d v="2023-01-01T00:00:00"/>
    <x v="1765"/>
    <n v="6690"/>
    <n v="-991"/>
    <s v="Paid"/>
    <n v="6"/>
    <d v="2023-01-01T00:00:00"/>
    <n v="0"/>
    <n v="2346"/>
    <n v="-0.17"/>
    <s v="Normal"/>
    <n v="2023"/>
    <s v="January"/>
  </r>
  <r>
    <n v="3918"/>
    <x v="137"/>
    <x v="4"/>
    <s v="East"/>
    <s v="Basic"/>
    <d v="2022-08-27T00:00:00"/>
    <d v="2023-09-07T00:00:00"/>
    <x v="1766"/>
    <n v="6639"/>
    <n v="-1754"/>
    <s v="Pending"/>
    <n v="12"/>
    <d v="2023-09-07T00:00:00"/>
    <n v="1"/>
    <n v="2347"/>
    <n v="-0.36"/>
    <s v="Normal"/>
    <n v="2023"/>
    <s v="September"/>
  </r>
  <r>
    <n v="3919"/>
    <x v="55"/>
    <x v="1"/>
    <s v="South"/>
    <s v="Standard"/>
    <d v="2022-12-23T00:00:00"/>
    <d v="2024-03-29T00:00:00"/>
    <x v="1767"/>
    <n v="2988"/>
    <n v="2435"/>
    <s v="Overdue"/>
    <n v="15"/>
    <d v="2024-03-29T00:00:00"/>
    <n v="0"/>
    <n v="2348"/>
    <n v="0.45"/>
    <s v="Normal"/>
    <n v="2024"/>
    <s v="March"/>
  </r>
  <r>
    <n v="3921"/>
    <x v="42"/>
    <x v="2"/>
    <s v="West"/>
    <s v="Basic"/>
    <d v="2022-01-04T00:00:00"/>
    <d v="2022-04-30T00:00:00"/>
    <x v="1768"/>
    <n v="4012.75"/>
    <n v="5148"/>
    <s v="Paid"/>
    <n v="3"/>
    <d v="2022-04-30T00:00:00"/>
    <n v="1"/>
    <n v="2349"/>
    <n v="1.03"/>
    <s v="Outlier"/>
    <n v="2022"/>
    <s v="April"/>
  </r>
  <r>
    <n v="3922"/>
    <x v="107"/>
    <x v="2"/>
    <s v="South"/>
    <s v="Standard"/>
    <d v="2022-04-11T00:00:00"/>
    <d v="2022-06-12T00:00:00"/>
    <x v="20"/>
    <n v="4837"/>
    <n v="-3305"/>
    <s v="Paid"/>
    <n v="2"/>
    <d v="2022-06-12T00:00:00"/>
    <n v="1"/>
    <n v="2350"/>
    <n v="-2.16"/>
    <s v="Outlier"/>
    <n v="2022"/>
    <s v="June"/>
  </r>
  <r>
    <n v="3923"/>
    <x v="300"/>
    <x v="2"/>
    <s v="West"/>
    <s v="Standard"/>
    <d v="2022-09-23T00:00:00"/>
    <d v="2023-08-22T00:00:00"/>
    <x v="17"/>
    <n v="4280"/>
    <n v="-4673"/>
    <s v="NA"/>
    <n v="10"/>
    <d v="2023-08-22T00:00:00"/>
    <n v="1"/>
    <n v="2351"/>
    <n v="-0.94"/>
    <s v="Normal"/>
    <n v="2023"/>
    <s v="August"/>
  </r>
  <r>
    <n v="3924"/>
    <x v="24"/>
    <x v="0"/>
    <s v="North"/>
    <s v="Basic"/>
    <d v="2022-01-29T00:00:00"/>
    <d v="2022-11-29T00:00:00"/>
    <x v="1769"/>
    <n v="1039"/>
    <n v="623"/>
    <s v="Paid"/>
    <n v="10"/>
    <d v="2022-11-29T00:00:00"/>
    <n v="0"/>
    <n v="2352"/>
    <n v="0.37"/>
    <s v="Normal"/>
    <n v="2022"/>
    <s v="November"/>
  </r>
  <r>
    <n v="3926"/>
    <x v="55"/>
    <x v="0"/>
    <s v="North"/>
    <s v="Standard"/>
    <d v="2022-09-19T00:00:00"/>
    <d v="2022-11-02T00:00:00"/>
    <x v="1770"/>
    <n v="2096"/>
    <n v="487"/>
    <s v="Overdue"/>
    <n v="1"/>
    <d v="2022-11-02T00:00:00"/>
    <n v="0"/>
    <n v="2353"/>
    <n v="0.19"/>
    <s v="Normal"/>
    <n v="2022"/>
    <s v="November"/>
  </r>
  <r>
    <n v="3927"/>
    <x v="361"/>
    <x v="0"/>
    <s v="South"/>
    <s v="Premium"/>
    <d v="2022-12-23T00:00:00"/>
    <d v="2023-02-23T00:00:00"/>
    <x v="1771"/>
    <n v="3806"/>
    <n v="-981"/>
    <s v="NA"/>
    <n v="2"/>
    <d v="2023-02-23T00:00:00"/>
    <n v="1"/>
    <n v="2354"/>
    <n v="-0.35"/>
    <s v="Normal"/>
    <n v="2023"/>
    <s v="February"/>
  </r>
  <r>
    <n v="3928"/>
    <x v="181"/>
    <x v="1"/>
    <s v="West"/>
    <s v="Standard"/>
    <d v="2022-04-15T00:00:00"/>
    <d v="2023-08-14T00:00:00"/>
    <x v="1772"/>
    <n v="5868"/>
    <n v="907"/>
    <s v="NA"/>
    <n v="15"/>
    <d v="2023-08-14T00:00:00"/>
    <n v="1"/>
    <n v="2355"/>
    <n v="0.13"/>
    <s v="Normal"/>
    <n v="2023"/>
    <s v="August"/>
  </r>
  <r>
    <n v="3929"/>
    <x v="213"/>
    <x v="1"/>
    <s v="North"/>
    <s v="Basic"/>
    <d v="2022-01-01T00:00:00"/>
    <d v="2023-06-22T00:00:00"/>
    <x v="1773"/>
    <n v="2510"/>
    <n v="577.01"/>
    <s v="NA"/>
    <n v="17"/>
    <d v="2023-06-22T00:00:00"/>
    <n v="0"/>
    <n v="2356"/>
    <n v="0.23"/>
    <s v="Normal"/>
    <n v="2023"/>
    <s v="June"/>
  </r>
  <r>
    <n v="3930"/>
    <x v="389"/>
    <x v="3"/>
    <s v="East"/>
    <s v="Standard"/>
    <d v="2022-08-24T00:00:00"/>
    <d v="2023-01-15T00:00:00"/>
    <x v="1774"/>
    <n v="1952"/>
    <n v="-565"/>
    <s v="Pending"/>
    <n v="4"/>
    <d v="2023-01-15T00:00:00"/>
    <n v="1"/>
    <n v="2357"/>
    <n v="-0.41"/>
    <s v="Normal"/>
    <n v="2023"/>
    <s v="January"/>
  </r>
  <r>
    <n v="3932"/>
    <x v="112"/>
    <x v="0"/>
    <s v="South"/>
    <s v="Basic"/>
    <d v="2022-02-15T00:00:00"/>
    <d v="2022-08-11T00:00:00"/>
    <x v="380"/>
    <n v="5550"/>
    <n v="4256"/>
    <s v="Overdue"/>
    <n v="5"/>
    <d v="2022-08-11T00:00:00"/>
    <n v="0"/>
    <n v="2358"/>
    <n v="0.43"/>
    <s v="Normal"/>
    <n v="2022"/>
    <s v="August"/>
  </r>
  <r>
    <n v="3933"/>
    <x v="246"/>
    <x v="4"/>
    <s v="South"/>
    <s v="Basic"/>
    <d v="2022-01-21T00:00:00"/>
    <d v="2023-08-20T00:00:00"/>
    <x v="1630"/>
    <n v="4012.75"/>
    <n v="9851"/>
    <s v="Overdue"/>
    <n v="18"/>
    <d v="2023-08-20T00:00:00"/>
    <n v="1"/>
    <n v="2359"/>
    <n v="1.01"/>
    <s v="Outlier"/>
    <n v="2023"/>
    <s v="August"/>
  </r>
  <r>
    <n v="3935"/>
    <x v="205"/>
    <x v="3"/>
    <s v="South"/>
    <s v="Standard"/>
    <d v="2022-05-10T00:00:00"/>
    <d v="2022-07-12T00:00:00"/>
    <x v="1775"/>
    <n v="1262"/>
    <n v="4408"/>
    <s v="Overdue"/>
    <n v="2"/>
    <d v="2022-07-12T00:00:00"/>
    <n v="1"/>
    <n v="2360"/>
    <n v="0.78"/>
    <s v="Normal"/>
    <n v="2022"/>
    <s v="July"/>
  </r>
  <r>
    <n v="3936"/>
    <x v="308"/>
    <x v="4"/>
    <s v="East"/>
    <s v="Premium"/>
    <d v="2022-11-07T00:00:00"/>
    <d v="2024-03-22T00:00:00"/>
    <x v="1776"/>
    <n v="4012.75"/>
    <n v="2382"/>
    <s v="Overdue"/>
    <n v="16"/>
    <d v="2024-03-22T00:00:00"/>
    <n v="0"/>
    <n v="2361"/>
    <n v="1.23"/>
    <s v="Outlier"/>
    <n v="2024"/>
    <s v="March"/>
  </r>
  <r>
    <n v="3937"/>
    <x v="267"/>
    <x v="2"/>
    <s v="South"/>
    <s v="Premium"/>
    <d v="2022-02-24T00:00:00"/>
    <d v="2023-05-18T00:00:00"/>
    <x v="1777"/>
    <n v="4012.75"/>
    <n v="10655"/>
    <s v="Paid"/>
    <n v="14"/>
    <d v="2023-05-18T00:00:00"/>
    <n v="1"/>
    <n v="2362"/>
    <n v="1.1000000000000001"/>
    <s v="Outlier"/>
    <n v="2023"/>
    <s v="May"/>
  </r>
  <r>
    <n v="3938"/>
    <x v="139"/>
    <x v="4"/>
    <s v="West"/>
    <s v="Standard"/>
    <d v="2022-06-04T00:00:00"/>
    <d v="2023-11-21T00:00:00"/>
    <x v="1778"/>
    <n v="4012.75"/>
    <n v="2213"/>
    <s v="Overdue"/>
    <n v="17"/>
    <d v="2023-11-21T00:00:00"/>
    <n v="1"/>
    <n v="2363"/>
    <n v="1.7"/>
    <s v="Outlier"/>
    <n v="2023"/>
    <s v="November"/>
  </r>
  <r>
    <n v="3939"/>
    <x v="117"/>
    <x v="2"/>
    <s v="East"/>
    <s v="Standard"/>
    <d v="2022-08-26T00:00:00"/>
    <d v="2023-11-01T00:00:00"/>
    <x v="17"/>
    <n v="3443"/>
    <n v="-3627"/>
    <s v="NA"/>
    <n v="14"/>
    <d v="2023-11-01T00:00:00"/>
    <n v="1"/>
    <n v="2364"/>
    <n v="-0.73"/>
    <s v="Normal"/>
    <n v="2023"/>
    <s v="November"/>
  </r>
  <r>
    <n v="3940"/>
    <x v="21"/>
    <x v="3"/>
    <s v="North"/>
    <s v="Standard"/>
    <d v="2022-03-27T00:00:00"/>
    <d v="2023-05-10T00:00:00"/>
    <x v="1779"/>
    <n v="209"/>
    <n v="770"/>
    <s v="Pending"/>
    <n v="13"/>
    <d v="2023-05-10T00:00:00"/>
    <n v="0"/>
    <n v="2365"/>
    <n v="0.79"/>
    <s v="Normal"/>
    <n v="2023"/>
    <s v="May"/>
  </r>
  <r>
    <n v="3942"/>
    <x v="220"/>
    <x v="1"/>
    <s v="North"/>
    <s v="Standard"/>
    <d v="2022-09-16T00:00:00"/>
    <d v="2023-09-07T00:00:00"/>
    <x v="1780"/>
    <n v="6399"/>
    <n v="-4973"/>
    <s v="Paid"/>
    <n v="11"/>
    <d v="2023-09-07T00:00:00"/>
    <n v="1"/>
    <n v="2366"/>
    <n v="-3.49"/>
    <s v="Outlier"/>
    <n v="2023"/>
    <s v="September"/>
  </r>
  <r>
    <n v="3943"/>
    <x v="88"/>
    <x v="3"/>
    <s v="West"/>
    <s v="Basic"/>
    <d v="2022-06-07T00:00:00"/>
    <d v="2023-05-12T00:00:00"/>
    <x v="1781"/>
    <n v="804"/>
    <n v="1493"/>
    <s v="NA"/>
    <n v="11"/>
    <d v="2023-05-12T00:00:00"/>
    <n v="1"/>
    <n v="2367"/>
    <n v="0.65"/>
    <s v="Normal"/>
    <n v="2023"/>
    <s v="May"/>
  </r>
  <r>
    <n v="3945"/>
    <x v="292"/>
    <x v="1"/>
    <s v="West"/>
    <s v="Standard"/>
    <d v="2022-09-05T00:00:00"/>
    <d v="2022-11-22T00:00:00"/>
    <x v="1782"/>
    <n v="3837"/>
    <n v="3393"/>
    <s v="Pending"/>
    <n v="2"/>
    <d v="2022-11-22T00:00:00"/>
    <n v="0"/>
    <n v="2368"/>
    <n v="0.47"/>
    <s v="Normal"/>
    <n v="2022"/>
    <s v="November"/>
  </r>
  <r>
    <n v="3946"/>
    <x v="49"/>
    <x v="1"/>
    <s v="South"/>
    <s v="Basic"/>
    <d v="2022-03-11T00:00:00"/>
    <d v="2023-05-07T00:00:00"/>
    <x v="1783"/>
    <n v="882"/>
    <n v="1476"/>
    <s v="Paid"/>
    <n v="13"/>
    <d v="2023-05-07T00:00:00"/>
    <n v="1"/>
    <n v="2369"/>
    <n v="0.63"/>
    <s v="Normal"/>
    <n v="2023"/>
    <s v="May"/>
  </r>
  <r>
    <n v="3950"/>
    <x v="301"/>
    <x v="2"/>
    <s v="South"/>
    <s v="Standard"/>
    <d v="2022-12-27T00:00:00"/>
    <d v="2023-06-25T00:00:00"/>
    <x v="1784"/>
    <n v="3905"/>
    <n v="3605"/>
    <s v="NA"/>
    <n v="5"/>
    <d v="2023-06-25T00:00:00"/>
    <n v="0"/>
    <n v="2370"/>
    <n v="0.48"/>
    <s v="Normal"/>
    <n v="2023"/>
    <s v="June"/>
  </r>
  <r>
    <n v="3951"/>
    <x v="222"/>
    <x v="2"/>
    <s v="South"/>
    <s v="Basic"/>
    <d v="2022-08-13T00:00:00"/>
    <d v="2023-04-13T00:00:00"/>
    <x v="215"/>
    <n v="3564"/>
    <n v="-3549"/>
    <s v="NA"/>
    <n v="8"/>
    <d v="2023-04-13T00:00:00"/>
    <n v="0"/>
    <n v="2371"/>
    <n v="-236.6"/>
    <s v="Outlier"/>
    <n v="2023"/>
    <s v="April"/>
  </r>
  <r>
    <n v="3952"/>
    <x v="147"/>
    <x v="2"/>
    <s v="West"/>
    <s v="Basic"/>
    <d v="2022-02-27T00:00:00"/>
    <d v="2022-09-30T00:00:00"/>
    <x v="1785"/>
    <n v="4012.75"/>
    <n v="10370"/>
    <s v="NA"/>
    <n v="7"/>
    <d v="2022-09-30T00:00:00"/>
    <n v="1"/>
    <n v="2372"/>
    <n v="1.04"/>
    <s v="Outlier"/>
    <n v="2022"/>
    <s v="September"/>
  </r>
  <r>
    <n v="3955"/>
    <x v="234"/>
    <x v="1"/>
    <s v="East"/>
    <s v="Standard"/>
    <d v="2022-10-25T00:00:00"/>
    <d v="2023-11-16T00:00:00"/>
    <x v="1786"/>
    <n v="2163"/>
    <n v="3574"/>
    <s v="Pending"/>
    <n v="12"/>
    <d v="2023-11-16T00:00:00"/>
    <n v="1"/>
    <n v="2373"/>
    <n v="0.62"/>
    <s v="Normal"/>
    <n v="2023"/>
    <s v="November"/>
  </r>
  <r>
    <n v="3956"/>
    <x v="348"/>
    <x v="3"/>
    <s v="North"/>
    <s v="Premium"/>
    <d v="2022-09-05T00:00:00"/>
    <d v="2024-04-25T00:00:00"/>
    <x v="1787"/>
    <n v="4012.75"/>
    <n v="6705"/>
    <s v="Pending"/>
    <n v="19"/>
    <d v="2024-04-25T00:00:00"/>
    <n v="0"/>
    <n v="2374"/>
    <n v="1.04"/>
    <s v="Outlier"/>
    <n v="2024"/>
    <s v="April"/>
  </r>
  <r>
    <n v="3959"/>
    <x v="195"/>
    <x v="2"/>
    <s v="North"/>
    <s v="Standard"/>
    <d v="2022-07-14T00:00:00"/>
    <d v="2022-09-09T00:00:00"/>
    <x v="1788"/>
    <n v="4012.75"/>
    <n v="6527"/>
    <s v="Pending"/>
    <n v="1"/>
    <d v="2022-09-09T00:00:00"/>
    <n v="1"/>
    <n v="2375"/>
    <n v="1.05"/>
    <s v="Outlier"/>
    <n v="2022"/>
    <s v="September"/>
  </r>
  <r>
    <n v="3960"/>
    <x v="207"/>
    <x v="2"/>
    <s v="North"/>
    <s v="Basic"/>
    <d v="2022-04-08T00:00:00"/>
    <d v="2022-08-03T00:00:00"/>
    <x v="1789"/>
    <n v="3702"/>
    <n v="2380"/>
    <s v="Pending"/>
    <n v="3"/>
    <d v="2022-08-03T00:00:00"/>
    <n v="0"/>
    <n v="2376"/>
    <n v="0.39"/>
    <s v="Normal"/>
    <n v="2022"/>
    <s v="August"/>
  </r>
  <r>
    <n v="3961"/>
    <x v="29"/>
    <x v="0"/>
    <s v="West"/>
    <s v="Standard"/>
    <d v="2022-02-05T00:00:00"/>
    <d v="2022-07-08T00:00:00"/>
    <x v="1790"/>
    <n v="115"/>
    <n v="1252"/>
    <s v="Pending"/>
    <n v="5"/>
    <d v="2022-07-08T00:00:00"/>
    <n v="0"/>
    <n v="2377"/>
    <n v="0.92"/>
    <s v="Normal"/>
    <n v="2022"/>
    <s v="July"/>
  </r>
  <r>
    <n v="3962"/>
    <x v="147"/>
    <x v="2"/>
    <s v="East"/>
    <s v="Basic"/>
    <d v="2022-05-04T00:00:00"/>
    <d v="2022-07-03T00:00:00"/>
    <x v="1791"/>
    <n v="4442"/>
    <n v="1924"/>
    <s v="Paid"/>
    <n v="1"/>
    <d v="2022-07-03T00:00:00"/>
    <n v="0"/>
    <n v="2378"/>
    <n v="0.3"/>
    <s v="Normal"/>
    <n v="2022"/>
    <s v="July"/>
  </r>
  <r>
    <n v="3964"/>
    <x v="129"/>
    <x v="0"/>
    <s v="South"/>
    <s v="Basic"/>
    <d v="2022-07-20T00:00:00"/>
    <d v="2024-02-04T00:00:00"/>
    <x v="325"/>
    <n v="6054"/>
    <n v="323"/>
    <s v="Paid"/>
    <n v="18"/>
    <d v="2024-02-04T00:00:00"/>
    <n v="0"/>
    <n v="2379"/>
    <n v="0.05"/>
    <s v="Normal"/>
    <n v="2024"/>
    <s v="February"/>
  </r>
  <r>
    <n v="3965"/>
    <x v="295"/>
    <x v="1"/>
    <s v="North"/>
    <s v="Premium"/>
    <d v="2022-09-30T00:00:00"/>
    <d v="2023-08-09T00:00:00"/>
    <x v="1792"/>
    <n v="5027"/>
    <n v="-2504"/>
    <s v="Pending"/>
    <n v="10"/>
    <d v="2023-08-09T00:00:00"/>
    <n v="1"/>
    <n v="2380"/>
    <n v="-0.99"/>
    <s v="Normal"/>
    <n v="2023"/>
    <s v="August"/>
  </r>
  <r>
    <n v="3966"/>
    <x v="150"/>
    <x v="1"/>
    <s v="East"/>
    <s v="Standard"/>
    <d v="2022-11-06T00:00:00"/>
    <d v="2024-05-24T00:00:00"/>
    <x v="1793"/>
    <n v="4665"/>
    <n v="3053"/>
    <s v="NA"/>
    <n v="18"/>
    <d v="2024-05-24T00:00:00"/>
    <n v="1"/>
    <n v="2381"/>
    <n v="0.4"/>
    <s v="Normal"/>
    <n v="2024"/>
    <s v="May"/>
  </r>
  <r>
    <n v="3967"/>
    <x v="162"/>
    <x v="2"/>
    <s v="West"/>
    <s v="Standard"/>
    <d v="2022-10-26T00:00:00"/>
    <d v="2024-03-25T00:00:00"/>
    <x v="1794"/>
    <n v="2864"/>
    <n v="968"/>
    <s v="Overdue"/>
    <n v="16"/>
    <d v="2024-03-25T00:00:00"/>
    <n v="1"/>
    <n v="2382"/>
    <n v="0.25"/>
    <s v="Normal"/>
    <n v="2024"/>
    <s v="March"/>
  </r>
  <r>
    <n v="3968"/>
    <x v="335"/>
    <x v="3"/>
    <s v="North"/>
    <s v="Basic"/>
    <d v="2022-11-02T00:00:00"/>
    <d v="2023-06-10T00:00:00"/>
    <x v="1795"/>
    <n v="2166"/>
    <n v="3555"/>
    <s v="NA"/>
    <n v="7"/>
    <d v="2023-06-10T00:00:00"/>
    <n v="1"/>
    <n v="2383"/>
    <n v="0.62"/>
    <s v="Normal"/>
    <n v="2023"/>
    <s v="June"/>
  </r>
  <r>
    <n v="3970"/>
    <x v="359"/>
    <x v="1"/>
    <s v="South"/>
    <s v="Basic"/>
    <d v="2022-10-04T00:00:00"/>
    <d v="2024-04-09T00:00:00"/>
    <x v="1796"/>
    <n v="969"/>
    <n v="2579"/>
    <s v="Overdue"/>
    <n v="18"/>
    <d v="2024-04-09T00:00:00"/>
    <n v="0"/>
    <n v="2384"/>
    <n v="0.73"/>
    <s v="Normal"/>
    <n v="2024"/>
    <s v="April"/>
  </r>
  <r>
    <n v="3973"/>
    <x v="163"/>
    <x v="1"/>
    <s v="North"/>
    <s v="Basic"/>
    <d v="2022-07-22T00:00:00"/>
    <d v="2023-05-14T00:00:00"/>
    <x v="1797"/>
    <n v="2995"/>
    <n v="830"/>
    <s v="Pending"/>
    <n v="9"/>
    <d v="2023-05-14T00:00:00"/>
    <n v="1"/>
    <n v="2385"/>
    <n v="0.22"/>
    <s v="Normal"/>
    <n v="2023"/>
    <s v="May"/>
  </r>
  <r>
    <n v="3974"/>
    <x v="103"/>
    <x v="0"/>
    <s v="South"/>
    <s v="Basic"/>
    <d v="2022-03-04T00:00:00"/>
    <d v="2023-06-17T00:00:00"/>
    <x v="1798"/>
    <n v="4006"/>
    <n v="1319"/>
    <s v="Paid"/>
    <n v="15"/>
    <d v="2023-06-17T00:00:00"/>
    <n v="0"/>
    <n v="2386"/>
    <n v="0.25"/>
    <s v="Normal"/>
    <n v="2023"/>
    <s v="June"/>
  </r>
  <r>
    <n v="3975"/>
    <x v="118"/>
    <x v="3"/>
    <s v="South"/>
    <s v="Basic"/>
    <d v="2022-12-26T00:00:00"/>
    <d v="2024-01-21T00:00:00"/>
    <x v="1799"/>
    <n v="2945"/>
    <n v="2107"/>
    <s v="Paid"/>
    <n v="12"/>
    <d v="2024-01-21T00:00:00"/>
    <n v="1"/>
    <n v="2387"/>
    <n v="0.42"/>
    <s v="Normal"/>
    <n v="2024"/>
    <s v="January"/>
  </r>
  <r>
    <n v="3977"/>
    <x v="268"/>
    <x v="0"/>
    <s v="East"/>
    <s v="Standard"/>
    <d v="2022-06-21T00:00:00"/>
    <d v="2023-01-07T00:00:00"/>
    <x v="1800"/>
    <n v="7145"/>
    <n v="-6079"/>
    <s v="Paid"/>
    <n v="6"/>
    <d v="2023-01-07T00:00:00"/>
    <n v="0"/>
    <n v="2388"/>
    <n v="-5.7"/>
    <s v="Outlier"/>
    <n v="2023"/>
    <s v="January"/>
  </r>
  <r>
    <n v="3978"/>
    <x v="195"/>
    <x v="1"/>
    <s v="East"/>
    <s v="Basic"/>
    <d v="2022-12-15T00:00:00"/>
    <d v="2023-08-06T00:00:00"/>
    <x v="453"/>
    <n v="6447"/>
    <n v="-1736"/>
    <s v="Overdue"/>
    <n v="7"/>
    <d v="2023-08-06T00:00:00"/>
    <n v="0"/>
    <n v="2389"/>
    <n v="-0.37"/>
    <s v="Normal"/>
    <n v="2023"/>
    <s v="August"/>
  </r>
  <r>
    <n v="3982"/>
    <x v="35"/>
    <x v="2"/>
    <s v="East"/>
    <s v="Basic"/>
    <d v="2022-04-27T00:00:00"/>
    <d v="2023-10-12T00:00:00"/>
    <x v="1801"/>
    <n v="451"/>
    <n v="5326"/>
    <s v="Pending"/>
    <n v="17"/>
    <d v="2023-10-12T00:00:00"/>
    <n v="1"/>
    <n v="2390"/>
    <n v="0.92"/>
    <s v="Normal"/>
    <n v="2023"/>
    <s v="October"/>
  </r>
  <r>
    <n v="3983"/>
    <x v="208"/>
    <x v="1"/>
    <s v="West"/>
    <s v="Standard"/>
    <d v="2022-05-31T00:00:00"/>
    <d v="2023-09-05T00:00:00"/>
    <x v="1802"/>
    <n v="3306"/>
    <n v="-475"/>
    <s v="NA"/>
    <n v="15"/>
    <d v="2023-09-05T00:00:00"/>
    <n v="0"/>
    <n v="2391"/>
    <n v="-0.17"/>
    <s v="Normal"/>
    <n v="2023"/>
    <s v="September"/>
  </r>
  <r>
    <n v="3984"/>
    <x v="237"/>
    <x v="4"/>
    <s v="East"/>
    <s v="Premium"/>
    <d v="2022-03-20T00:00:00"/>
    <d v="2023-05-18T00:00:00"/>
    <x v="17"/>
    <n v="2092"/>
    <n v="-2310"/>
    <s v="Pending"/>
    <n v="13"/>
    <d v="2023-05-18T00:00:00"/>
    <n v="0"/>
    <n v="2392"/>
    <n v="-0.46"/>
    <s v="Normal"/>
    <n v="2023"/>
    <s v="May"/>
  </r>
  <r>
    <n v="3985"/>
    <x v="326"/>
    <x v="4"/>
    <s v="East"/>
    <s v="Basic"/>
    <d v="2022-08-26T00:00:00"/>
    <d v="2023-05-29T00:00:00"/>
    <x v="1803"/>
    <n v="2421"/>
    <n v="-1437"/>
    <s v="Pending"/>
    <n v="9"/>
    <d v="2023-05-29T00:00:00"/>
    <n v="1"/>
    <n v="2393"/>
    <n v="-1.46"/>
    <s v="Outlier"/>
    <n v="2023"/>
    <s v="May"/>
  </r>
  <r>
    <n v="3987"/>
    <x v="369"/>
    <x v="2"/>
    <s v="South"/>
    <s v="Standard"/>
    <d v="2022-03-12T00:00:00"/>
    <d v="2023-02-12T00:00:00"/>
    <x v="17"/>
    <n v="7072"/>
    <n v="-9022"/>
    <s v="Pending"/>
    <n v="11"/>
    <d v="2023-02-12T00:00:00"/>
    <n v="0"/>
    <n v="2394"/>
    <n v="-1.82"/>
    <s v="Outlier"/>
    <n v="2023"/>
    <s v="February"/>
  </r>
  <r>
    <n v="3988"/>
    <x v="172"/>
    <x v="1"/>
    <s v="North"/>
    <s v="Basic"/>
    <d v="2022-01-07T00:00:00"/>
    <d v="2022-03-25T00:00:00"/>
    <x v="1804"/>
    <n v="2457"/>
    <n v="3382"/>
    <s v="Overdue"/>
    <n v="2"/>
    <d v="2022-03-25T00:00:00"/>
    <n v="0"/>
    <n v="2395"/>
    <n v="0.57999999999999996"/>
    <s v="Normal"/>
    <n v="2022"/>
    <s v="March"/>
  </r>
  <r>
    <n v="3991"/>
    <x v="3"/>
    <x v="2"/>
    <s v="North"/>
    <s v="Basic"/>
    <d v="2022-06-06T00:00:00"/>
    <d v="2022-11-12T00:00:00"/>
    <x v="17"/>
    <n v="7553"/>
    <n v="577.01"/>
    <s v="Pending"/>
    <n v="5"/>
    <d v="2022-11-12T00:00:00"/>
    <n v="1"/>
    <n v="2396"/>
    <n v="0.12"/>
    <s v="Normal"/>
    <n v="2022"/>
    <s v="November"/>
  </r>
  <r>
    <n v="3992"/>
    <x v="114"/>
    <x v="0"/>
    <s v="South"/>
    <s v="Standard"/>
    <d v="2022-02-14T00:00:00"/>
    <d v="2022-05-17T00:00:00"/>
    <x v="1805"/>
    <n v="1245"/>
    <n v="-487"/>
    <s v="Overdue"/>
    <n v="3"/>
    <d v="2022-05-17T00:00:00"/>
    <n v="0"/>
    <n v="2397"/>
    <n v="-0.64"/>
    <s v="Normal"/>
    <n v="2022"/>
    <s v="May"/>
  </r>
  <r>
    <n v="3994"/>
    <x v="288"/>
    <x v="0"/>
    <s v="North"/>
    <s v="Basic"/>
    <d v="2022-10-12T00:00:00"/>
    <d v="2023-12-22T00:00:00"/>
    <x v="1806"/>
    <n v="6603"/>
    <n v="-3959"/>
    <s v="Overdue"/>
    <n v="14"/>
    <d v="2023-12-22T00:00:00"/>
    <n v="0"/>
    <n v="2398"/>
    <n v="-1.5"/>
    <s v="Outlier"/>
    <n v="2023"/>
    <s v="December"/>
  </r>
  <r>
    <n v="3995"/>
    <x v="390"/>
    <x v="0"/>
    <s v="South"/>
    <s v="Premium"/>
    <d v="2022-05-09T00:00:00"/>
    <d v="2023-05-04T00:00:00"/>
    <x v="981"/>
    <n v="6764"/>
    <n v="300"/>
    <s v="Overdue"/>
    <n v="11"/>
    <d v="2023-05-04T00:00:00"/>
    <n v="0"/>
    <n v="2399"/>
    <n v="0.04"/>
    <s v="Normal"/>
    <n v="2023"/>
    <s v="May"/>
  </r>
  <r>
    <n v="3996"/>
    <x v="323"/>
    <x v="4"/>
    <s v="North"/>
    <s v="Standard"/>
    <d v="2022-02-24T00:00:00"/>
    <d v="2022-07-24T00:00:00"/>
    <x v="1807"/>
    <n v="77"/>
    <n v="3"/>
    <s v="Paid"/>
    <n v="5"/>
    <d v="2022-07-24T00:00:00"/>
    <n v="1"/>
    <n v="2400"/>
    <n v="0.04"/>
    <s v="Normal"/>
    <n v="2022"/>
    <s v="July"/>
  </r>
  <r>
    <n v="3997"/>
    <x v="137"/>
    <x v="4"/>
    <s v="West"/>
    <s v="Basic"/>
    <d v="2022-11-08T00:00:00"/>
    <d v="2024-05-05T00:00:00"/>
    <x v="1808"/>
    <n v="2598"/>
    <n v="3311"/>
    <s v="NA"/>
    <n v="17"/>
    <d v="2024-05-05T00:00:00"/>
    <n v="1"/>
    <n v="2401"/>
    <n v="0.56000000000000005"/>
    <s v="Normal"/>
    <n v="2024"/>
    <s v="May"/>
  </r>
  <r>
    <n v="3998"/>
    <x v="252"/>
    <x v="3"/>
    <s v="East"/>
    <s v="Standard"/>
    <d v="2022-06-21T00:00:00"/>
    <d v="2023-02-01T00:00:00"/>
    <x v="17"/>
    <n v="5371"/>
    <n v="-5472"/>
    <s v="Paid"/>
    <n v="7"/>
    <d v="2023-02-01T00:00:00"/>
    <n v="1"/>
    <n v="2402"/>
    <n v="-1.1000000000000001"/>
    <s v="Outlier"/>
    <n v="2023"/>
    <s v="February"/>
  </r>
  <r>
    <n v="3999"/>
    <x v="143"/>
    <x v="0"/>
    <s v="North"/>
    <s v="Premium"/>
    <d v="2022-05-18T00:00:00"/>
    <d v="2022-12-20T00:00:00"/>
    <x v="1809"/>
    <n v="3054"/>
    <n v="3291"/>
    <s v="NA"/>
    <n v="7"/>
    <d v="2022-12-20T00:00:00"/>
    <n v="0"/>
    <n v="2403"/>
    <n v="0.52"/>
    <s v="Normal"/>
    <n v="2022"/>
    <s v="December"/>
  </r>
  <r>
    <n v="4002"/>
    <x v="99"/>
    <x v="0"/>
    <s v="West"/>
    <s v="Premium"/>
    <d v="2022-10-22T00:00:00"/>
    <d v="2023-01-23T00:00:00"/>
    <x v="1810"/>
    <n v="4012.75"/>
    <n v="3375"/>
    <s v="NA"/>
    <n v="3"/>
    <d v="2023-01-23T00:00:00"/>
    <n v="0"/>
    <n v="2404"/>
    <n v="1.05"/>
    <s v="Outlier"/>
    <n v="2023"/>
    <s v="January"/>
  </r>
  <r>
    <n v="4004"/>
    <x v="276"/>
    <x v="4"/>
    <s v="South"/>
    <s v="Premium"/>
    <d v="2022-03-03T00:00:00"/>
    <d v="2023-06-15T00:00:00"/>
    <x v="1811"/>
    <n v="1414"/>
    <n v="4937"/>
    <s v="Pending"/>
    <n v="15"/>
    <d v="2023-06-15T00:00:00"/>
    <n v="0"/>
    <n v="2405"/>
    <n v="0.78"/>
    <s v="Normal"/>
    <n v="2023"/>
    <s v="June"/>
  </r>
  <r>
    <n v="4005"/>
    <x v="355"/>
    <x v="4"/>
    <s v="East"/>
    <s v="Basic"/>
    <d v="2022-10-05T00:00:00"/>
    <d v="2023-05-28T00:00:00"/>
    <x v="1812"/>
    <n v="5778"/>
    <n v="749"/>
    <s v="NA"/>
    <n v="7"/>
    <d v="2023-05-28T00:00:00"/>
    <n v="1"/>
    <n v="2406"/>
    <n v="0.11"/>
    <s v="Normal"/>
    <n v="2023"/>
    <s v="May"/>
  </r>
  <r>
    <n v="4008"/>
    <x v="133"/>
    <x v="3"/>
    <s v="North"/>
    <s v="Premium"/>
    <d v="2022-05-13T00:00:00"/>
    <d v="2023-06-08T00:00:00"/>
    <x v="1813"/>
    <n v="337"/>
    <n v="1358"/>
    <s v="Overdue"/>
    <n v="12"/>
    <d v="2023-06-08T00:00:00"/>
    <n v="0"/>
    <n v="2407"/>
    <n v="0.8"/>
    <s v="Normal"/>
    <n v="2023"/>
    <s v="June"/>
  </r>
  <r>
    <n v="4011"/>
    <x v="203"/>
    <x v="3"/>
    <s v="South"/>
    <s v="Premium"/>
    <d v="2022-06-26T00:00:00"/>
    <d v="2022-10-29T00:00:00"/>
    <x v="1814"/>
    <n v="5485"/>
    <n v="577.01"/>
    <s v="Paid"/>
    <n v="4"/>
    <d v="2022-10-29T00:00:00"/>
    <n v="0"/>
    <n v="2408"/>
    <n v="0.19"/>
    <s v="Normal"/>
    <n v="2022"/>
    <s v="October"/>
  </r>
  <r>
    <n v="4016"/>
    <x v="93"/>
    <x v="4"/>
    <s v="North"/>
    <s v="Standard"/>
    <d v="2022-03-11T00:00:00"/>
    <d v="2023-04-09T00:00:00"/>
    <x v="1815"/>
    <n v="7864"/>
    <n v="-7790"/>
    <s v="Paid"/>
    <n v="12"/>
    <d v="2023-04-09T00:00:00"/>
    <n v="0"/>
    <n v="2409"/>
    <n v="-105.27"/>
    <s v="Outlier"/>
    <n v="2023"/>
    <s v="April"/>
  </r>
  <r>
    <n v="4018"/>
    <x v="101"/>
    <x v="3"/>
    <s v="South"/>
    <s v="Basic"/>
    <d v="2022-11-12T00:00:00"/>
    <d v="2023-12-03T00:00:00"/>
    <x v="487"/>
    <n v="6704"/>
    <n v="-912"/>
    <s v="Paid"/>
    <n v="12"/>
    <d v="2023-12-03T00:00:00"/>
    <n v="0"/>
    <n v="2410"/>
    <n v="-0.16"/>
    <s v="Normal"/>
    <n v="2023"/>
    <s v="December"/>
  </r>
  <r>
    <n v="4019"/>
    <x v="232"/>
    <x v="4"/>
    <s v="East"/>
    <s v="Premium"/>
    <d v="2022-05-22T00:00:00"/>
    <d v="2023-08-09T00:00:00"/>
    <x v="1816"/>
    <n v="7743"/>
    <n v="-5228"/>
    <s v="Paid"/>
    <n v="14"/>
    <d v="2023-08-09T00:00:00"/>
    <n v="0"/>
    <n v="2411"/>
    <n v="-2.08"/>
    <s v="Outlier"/>
    <n v="2023"/>
    <s v="August"/>
  </r>
  <r>
    <n v="4021"/>
    <x v="71"/>
    <x v="2"/>
    <s v="North"/>
    <s v="Basic"/>
    <d v="2022-02-03T00:00:00"/>
    <d v="2023-03-16T00:00:00"/>
    <x v="1425"/>
    <n v="693"/>
    <n v="1595"/>
    <s v="Pending"/>
    <n v="13"/>
    <d v="2023-03-16T00:00:00"/>
    <n v="1"/>
    <n v="2412"/>
    <n v="0.7"/>
    <s v="Normal"/>
    <n v="2023"/>
    <s v="March"/>
  </r>
  <r>
    <n v="4022"/>
    <x v="165"/>
    <x v="3"/>
    <s v="North"/>
    <s v="Standard"/>
    <d v="2022-10-02T00:00:00"/>
    <d v="2022-12-09T00:00:00"/>
    <x v="1817"/>
    <n v="4012.75"/>
    <n v="7285"/>
    <s v="Paid"/>
    <n v="2"/>
    <d v="2022-12-09T00:00:00"/>
    <n v="0"/>
    <n v="2413"/>
    <n v="1.08"/>
    <s v="Outlier"/>
    <n v="2022"/>
    <s v="December"/>
  </r>
  <r>
    <n v="4023"/>
    <x v="197"/>
    <x v="2"/>
    <s v="North"/>
    <s v="Premium"/>
    <d v="2022-03-18T00:00:00"/>
    <d v="2023-04-07T00:00:00"/>
    <x v="1763"/>
    <n v="4012.75"/>
    <n v="7371"/>
    <s v="Overdue"/>
    <n v="12"/>
    <d v="2023-04-07T00:00:00"/>
    <n v="1"/>
    <n v="2414"/>
    <n v="1"/>
    <s v="Outlier"/>
    <n v="2023"/>
    <s v="April"/>
  </r>
  <r>
    <n v="4024"/>
    <x v="56"/>
    <x v="0"/>
    <s v="West"/>
    <s v="Standard"/>
    <d v="2022-09-12T00:00:00"/>
    <d v="2024-03-22T00:00:00"/>
    <x v="1106"/>
    <n v="7801"/>
    <n v="-1041"/>
    <s v="NA"/>
    <n v="18"/>
    <d v="2024-03-22T00:00:00"/>
    <n v="1"/>
    <n v="2415"/>
    <n v="-0.15"/>
    <s v="Normal"/>
    <n v="2024"/>
    <s v="March"/>
  </r>
  <r>
    <n v="4025"/>
    <x v="192"/>
    <x v="3"/>
    <s v="East"/>
    <s v="Standard"/>
    <d v="2022-07-11T00:00:00"/>
    <d v="2023-07-25T00:00:00"/>
    <x v="1818"/>
    <n v="6992"/>
    <n v="-6757"/>
    <s v="Pending"/>
    <n v="12"/>
    <d v="2023-07-25T00:00:00"/>
    <n v="0"/>
    <n v="2416"/>
    <n v="-28.75"/>
    <s v="Outlier"/>
    <n v="2023"/>
    <s v="July"/>
  </r>
  <r>
    <n v="4026"/>
    <x v="79"/>
    <x v="2"/>
    <s v="West"/>
    <s v="Standard"/>
    <d v="2022-11-19T00:00:00"/>
    <d v="2023-04-15T00:00:00"/>
    <x v="1819"/>
    <n v="6608"/>
    <n v="-6297"/>
    <s v="NA"/>
    <n v="4"/>
    <d v="2023-04-15T00:00:00"/>
    <n v="0"/>
    <n v="2417"/>
    <n v="-20.25"/>
    <s v="Outlier"/>
    <n v="2023"/>
    <s v="April"/>
  </r>
  <r>
    <n v="4027"/>
    <x v="136"/>
    <x v="3"/>
    <s v="East"/>
    <s v="Standard"/>
    <d v="2022-01-06T00:00:00"/>
    <d v="2022-10-13T00:00:00"/>
    <x v="17"/>
    <n v="2122"/>
    <n v="-3632"/>
    <s v="Paid"/>
    <n v="9"/>
    <d v="2022-10-13T00:00:00"/>
    <n v="0"/>
    <n v="2418"/>
    <n v="-0.73"/>
    <s v="Normal"/>
    <n v="2022"/>
    <s v="October"/>
  </r>
  <r>
    <n v="4028"/>
    <x v="47"/>
    <x v="0"/>
    <s v="North"/>
    <s v="Standard"/>
    <d v="2022-05-01T00:00:00"/>
    <d v="2022-12-26T00:00:00"/>
    <x v="1820"/>
    <n v="6967"/>
    <n v="-820"/>
    <s v="Overdue"/>
    <n v="7"/>
    <d v="2022-12-26T00:00:00"/>
    <n v="0"/>
    <n v="2419"/>
    <n v="-0.13"/>
    <s v="Normal"/>
    <n v="2022"/>
    <s v="December"/>
  </r>
  <r>
    <n v="4031"/>
    <x v="218"/>
    <x v="0"/>
    <s v="East"/>
    <s v="Premium"/>
    <d v="2022-01-13T00:00:00"/>
    <d v="2022-02-19T00:00:00"/>
    <x v="17"/>
    <n v="3674"/>
    <n v="-5604"/>
    <s v="Overdue"/>
    <n v="1"/>
    <d v="2022-02-19T00:00:00"/>
    <n v="0"/>
    <n v="2420"/>
    <n v="-1.1299999999999999"/>
    <s v="Outlier"/>
    <n v="2022"/>
    <s v="February"/>
  </r>
  <r>
    <n v="4033"/>
    <x v="376"/>
    <x v="2"/>
    <s v="West"/>
    <s v="Premium"/>
    <d v="2022-11-26T00:00:00"/>
    <d v="2024-01-20T00:00:00"/>
    <x v="1821"/>
    <n v="1329"/>
    <n v="5245"/>
    <s v="Overdue"/>
    <n v="13"/>
    <d v="2024-01-20T00:00:00"/>
    <n v="0"/>
    <n v="2421"/>
    <n v="0.8"/>
    <s v="Normal"/>
    <n v="2024"/>
    <s v="January"/>
  </r>
  <r>
    <n v="4034"/>
    <x v="158"/>
    <x v="0"/>
    <s v="East"/>
    <s v="Standard"/>
    <d v="2022-06-03T00:00:00"/>
    <d v="2022-10-21T00:00:00"/>
    <x v="1822"/>
    <n v="4012.75"/>
    <n v="986"/>
    <s v="NA"/>
    <n v="4"/>
    <d v="2022-10-21T00:00:00"/>
    <n v="1"/>
    <n v="2422"/>
    <n v="1.58"/>
    <s v="Outlier"/>
    <n v="2022"/>
    <s v="October"/>
  </r>
  <r>
    <n v="4036"/>
    <x v="50"/>
    <x v="0"/>
    <s v="North"/>
    <s v="Premium"/>
    <d v="2022-12-29T00:00:00"/>
    <d v="2024-08-04T00:00:00"/>
    <x v="1823"/>
    <n v="6719"/>
    <n v="-3617"/>
    <s v="NA"/>
    <n v="19"/>
    <d v="2024-08-04T00:00:00"/>
    <n v="1"/>
    <n v="2423"/>
    <n v="-1.17"/>
    <s v="Outlier"/>
    <n v="2024"/>
    <s v="August"/>
  </r>
  <r>
    <n v="4038"/>
    <x v="394"/>
    <x v="0"/>
    <s v="West"/>
    <s v="Premium"/>
    <d v="2022-04-17T00:00:00"/>
    <d v="2023-10-28T00:00:00"/>
    <x v="17"/>
    <n v="167"/>
    <n v="-1763"/>
    <s v="Overdue"/>
    <n v="18"/>
    <d v="2023-10-28T00:00:00"/>
    <n v="0"/>
    <n v="2424"/>
    <n v="-0.35"/>
    <s v="Normal"/>
    <n v="2023"/>
    <s v="October"/>
  </r>
  <r>
    <n v="4039"/>
    <x v="347"/>
    <x v="4"/>
    <s v="East"/>
    <s v="Basic"/>
    <d v="2022-03-31T00:00:00"/>
    <d v="2023-11-07T00:00:00"/>
    <x v="1824"/>
    <n v="6638"/>
    <n v="-1180"/>
    <s v="NA"/>
    <n v="19"/>
    <d v="2023-11-07T00:00:00"/>
    <n v="0"/>
    <n v="2425"/>
    <n v="-0.22"/>
    <s v="Normal"/>
    <n v="2023"/>
    <s v="November"/>
  </r>
  <r>
    <n v="4041"/>
    <x v="307"/>
    <x v="4"/>
    <s v="West"/>
    <s v="Standard"/>
    <d v="2022-07-14T00:00:00"/>
    <d v="2023-05-18T00:00:00"/>
    <x v="1825"/>
    <n v="586"/>
    <n v="-474"/>
    <s v="Pending"/>
    <n v="10"/>
    <d v="2023-05-18T00:00:00"/>
    <n v="1"/>
    <n v="2426"/>
    <n v="-4.2300000000000004"/>
    <s v="Outlier"/>
    <n v="2023"/>
    <s v="May"/>
  </r>
  <r>
    <n v="4042"/>
    <x v="113"/>
    <x v="3"/>
    <s v="South"/>
    <s v="Standard"/>
    <d v="2022-05-23T00:00:00"/>
    <d v="2023-05-05T00:00:00"/>
    <x v="1826"/>
    <n v="4012.75"/>
    <n v="577.01"/>
    <s v="Paid"/>
    <n v="11"/>
    <d v="2023-05-05T00:00:00"/>
    <n v="0"/>
    <n v="2427"/>
    <n v="7.0000000000000007E-2"/>
    <s v="Normal"/>
    <n v="2023"/>
    <s v="May"/>
  </r>
  <r>
    <n v="4043"/>
    <x v="209"/>
    <x v="2"/>
    <s v="South"/>
    <s v="Basic"/>
    <d v="2022-02-17T00:00:00"/>
    <d v="2022-06-01T00:00:00"/>
    <x v="1827"/>
    <n v="4702"/>
    <n v="3912"/>
    <s v="Paid"/>
    <n v="3"/>
    <d v="2022-06-01T00:00:00"/>
    <n v="1"/>
    <n v="2428"/>
    <n v="0.45"/>
    <s v="Normal"/>
    <n v="2022"/>
    <s v="June"/>
  </r>
  <r>
    <n v="4044"/>
    <x v="51"/>
    <x v="2"/>
    <s v="West"/>
    <s v="Basic"/>
    <d v="2022-08-27T00:00:00"/>
    <d v="2024-03-16T00:00:00"/>
    <x v="17"/>
    <n v="4726"/>
    <n v="-6599"/>
    <s v="Pending"/>
    <n v="18"/>
    <d v="2024-03-16T00:00:00"/>
    <n v="1"/>
    <n v="2429"/>
    <n v="-1.33"/>
    <s v="Outlier"/>
    <n v="2024"/>
    <s v="March"/>
  </r>
  <r>
    <n v="4047"/>
    <x v="177"/>
    <x v="2"/>
    <s v="East"/>
    <s v="Basic"/>
    <d v="2022-01-28T00:00:00"/>
    <d v="2022-12-11T00:00:00"/>
    <x v="1828"/>
    <n v="7577"/>
    <n v="-2184"/>
    <s v="Overdue"/>
    <n v="10"/>
    <d v="2022-12-11T00:00:00"/>
    <n v="0"/>
    <n v="2430"/>
    <n v="-0.4"/>
    <s v="Normal"/>
    <n v="2022"/>
    <s v="December"/>
  </r>
  <r>
    <n v="4052"/>
    <x v="367"/>
    <x v="3"/>
    <s v="West"/>
    <s v="Standard"/>
    <d v="2022-12-04T00:00:00"/>
    <d v="2023-04-05T00:00:00"/>
    <x v="17"/>
    <n v="4933"/>
    <n v="577.01"/>
    <s v="Paid"/>
    <n v="4"/>
    <d v="2023-04-05T00:00:00"/>
    <n v="1"/>
    <n v="2431"/>
    <n v="0.12"/>
    <s v="Normal"/>
    <n v="2023"/>
    <s v="April"/>
  </r>
  <r>
    <n v="4053"/>
    <x v="351"/>
    <x v="3"/>
    <s v="East"/>
    <s v="Premium"/>
    <d v="2022-09-10T00:00:00"/>
    <d v="2023-03-20T00:00:00"/>
    <x v="1829"/>
    <n v="3709"/>
    <n v="-2647"/>
    <s v="NA"/>
    <n v="6"/>
    <d v="2023-03-20T00:00:00"/>
    <n v="1"/>
    <n v="2432"/>
    <n v="-2.4900000000000002"/>
    <s v="Outlier"/>
    <n v="2023"/>
    <s v="March"/>
  </r>
  <r>
    <n v="4054"/>
    <x v="382"/>
    <x v="2"/>
    <s v="West"/>
    <s v="Premium"/>
    <d v="2022-07-21T00:00:00"/>
    <d v="2022-10-02T00:00:00"/>
    <x v="1830"/>
    <n v="4387"/>
    <n v="290"/>
    <s v="Paid"/>
    <n v="2"/>
    <d v="2022-10-02T00:00:00"/>
    <n v="0"/>
    <n v="2433"/>
    <n v="0.06"/>
    <s v="Normal"/>
    <n v="2022"/>
    <s v="October"/>
  </r>
  <r>
    <n v="4055"/>
    <x v="42"/>
    <x v="2"/>
    <s v="East"/>
    <s v="Standard"/>
    <d v="2022-02-03T00:00:00"/>
    <d v="2022-03-31T00:00:00"/>
    <x v="17"/>
    <n v="161"/>
    <n v="-1088"/>
    <s v="Pending"/>
    <n v="1"/>
    <d v="2022-03-31T00:00:00"/>
    <n v="0"/>
    <n v="2434"/>
    <n v="-0.22"/>
    <s v="Normal"/>
    <n v="2022"/>
    <s v="March"/>
  </r>
  <r>
    <n v="4057"/>
    <x v="162"/>
    <x v="3"/>
    <s v="East"/>
    <s v="Standard"/>
    <d v="2022-09-30T00:00:00"/>
    <d v="2023-07-07T00:00:00"/>
    <x v="1831"/>
    <n v="5665"/>
    <n v="1021"/>
    <s v="Overdue"/>
    <n v="9"/>
    <d v="2023-07-07T00:00:00"/>
    <n v="1"/>
    <n v="2435"/>
    <n v="0.15"/>
    <s v="Normal"/>
    <n v="2023"/>
    <s v="July"/>
  </r>
  <r>
    <n v="4058"/>
    <x v="276"/>
    <x v="4"/>
    <s v="East"/>
    <s v="Premium"/>
    <d v="2022-09-13T00:00:00"/>
    <d v="2023-02-08T00:00:00"/>
    <x v="1832"/>
    <n v="3470"/>
    <n v="803"/>
    <s v="Overdue"/>
    <n v="4"/>
    <d v="2023-02-08T00:00:00"/>
    <n v="1"/>
    <n v="2436"/>
    <n v="0.19"/>
    <s v="Normal"/>
    <n v="2023"/>
    <s v="February"/>
  </r>
  <r>
    <n v="4059"/>
    <x v="229"/>
    <x v="2"/>
    <s v="North"/>
    <s v="Standard"/>
    <d v="2022-01-24T00:00:00"/>
    <d v="2023-06-07T00:00:00"/>
    <x v="17"/>
    <n v="4012.75"/>
    <n v="577.01"/>
    <s v="NA"/>
    <n v="16"/>
    <d v="2023-06-07T00:00:00"/>
    <n v="1"/>
    <n v="2437"/>
    <n v="0.12"/>
    <s v="Normal"/>
    <n v="2023"/>
    <s v="June"/>
  </r>
  <r>
    <n v="4060"/>
    <x v="315"/>
    <x v="3"/>
    <s v="South"/>
    <s v="Basic"/>
    <d v="2022-04-29T00:00:00"/>
    <d v="2023-08-23T00:00:00"/>
    <x v="1833"/>
    <n v="3943"/>
    <n v="577.01"/>
    <s v="Pending"/>
    <n v="15"/>
    <d v="2023-08-23T00:00:00"/>
    <n v="1"/>
    <n v="2438"/>
    <n v="1.2"/>
    <s v="Outlier"/>
    <n v="2023"/>
    <s v="August"/>
  </r>
  <r>
    <n v="4061"/>
    <x v="50"/>
    <x v="3"/>
    <s v="South"/>
    <s v="Standard"/>
    <d v="2022-11-13T00:00:00"/>
    <d v="2023-12-07T00:00:00"/>
    <x v="1834"/>
    <n v="570"/>
    <n v="9092"/>
    <s v="Overdue"/>
    <n v="12"/>
    <d v="2023-12-07T00:00:00"/>
    <n v="1"/>
    <n v="2439"/>
    <n v="0.94"/>
    <s v="Normal"/>
    <n v="2023"/>
    <s v="December"/>
  </r>
  <r>
    <n v="4063"/>
    <x v="372"/>
    <x v="2"/>
    <s v="North"/>
    <s v="Premium"/>
    <d v="2022-12-02T00:00:00"/>
    <d v="2024-04-21T00:00:00"/>
    <x v="1835"/>
    <n v="4439"/>
    <n v="748"/>
    <s v="Paid"/>
    <n v="16"/>
    <d v="2024-04-21T00:00:00"/>
    <n v="1"/>
    <n v="2440"/>
    <n v="0.14000000000000001"/>
    <s v="Normal"/>
    <n v="2024"/>
    <s v="April"/>
  </r>
  <r>
    <n v="4064"/>
    <x v="263"/>
    <x v="3"/>
    <s v="South"/>
    <s v="Premium"/>
    <d v="2022-09-23T00:00:00"/>
    <d v="2023-02-14T00:00:00"/>
    <x v="1836"/>
    <n v="4012.75"/>
    <n v="8811"/>
    <s v="Paid"/>
    <n v="4"/>
    <d v="2023-02-14T00:00:00"/>
    <n v="1"/>
    <n v="2441"/>
    <n v="1.06"/>
    <s v="Outlier"/>
    <n v="2023"/>
    <s v="February"/>
  </r>
  <r>
    <n v="4069"/>
    <x v="38"/>
    <x v="2"/>
    <s v="North"/>
    <s v="Basic"/>
    <d v="2022-12-31T00:00:00"/>
    <d v="2024-02-05T00:00:00"/>
    <x v="1837"/>
    <n v="2502"/>
    <n v="73"/>
    <s v="Pending"/>
    <n v="13"/>
    <d v="2024-02-05T00:00:00"/>
    <n v="1"/>
    <n v="2442"/>
    <n v="0.03"/>
    <s v="Normal"/>
    <n v="2024"/>
    <s v="February"/>
  </r>
  <r>
    <n v="4070"/>
    <x v="45"/>
    <x v="0"/>
    <s v="East"/>
    <s v="Premium"/>
    <d v="2022-12-31T00:00:00"/>
    <d v="2024-01-11T00:00:00"/>
    <x v="1838"/>
    <n v="7131"/>
    <n v="-2150"/>
    <s v="Overdue"/>
    <n v="12"/>
    <d v="2024-01-11T00:00:00"/>
    <n v="0"/>
    <n v="2443"/>
    <n v="-0.43"/>
    <s v="Normal"/>
    <n v="2024"/>
    <s v="January"/>
  </r>
  <r>
    <n v="4074"/>
    <x v="367"/>
    <x v="4"/>
    <s v="East"/>
    <s v="Standard"/>
    <d v="2022-03-08T00:00:00"/>
    <d v="2023-08-23T00:00:00"/>
    <x v="1839"/>
    <n v="4399"/>
    <n v="4744"/>
    <s v="Pending"/>
    <n v="17"/>
    <d v="2023-08-23T00:00:00"/>
    <n v="0"/>
    <n v="2444"/>
    <n v="0.52"/>
    <s v="Normal"/>
    <n v="2023"/>
    <s v="August"/>
  </r>
  <r>
    <n v="4075"/>
    <x v="184"/>
    <x v="2"/>
    <s v="North"/>
    <s v="Basic"/>
    <d v="2022-09-12T00:00:00"/>
    <d v="2023-12-31T00:00:00"/>
    <x v="17"/>
    <n v="5504"/>
    <n v="-5546"/>
    <s v="Pending"/>
    <n v="15"/>
    <d v="2023-12-31T00:00:00"/>
    <n v="0"/>
    <n v="2445"/>
    <n v="-1.1200000000000001"/>
    <s v="Outlier"/>
    <n v="2023"/>
    <s v="December"/>
  </r>
  <r>
    <n v="4077"/>
    <x v="77"/>
    <x v="0"/>
    <s v="East"/>
    <s v="Basic"/>
    <d v="2022-09-07T00:00:00"/>
    <d v="2023-12-23T00:00:00"/>
    <x v="1840"/>
    <n v="7600"/>
    <n v="484"/>
    <s v="Overdue"/>
    <n v="15"/>
    <d v="2023-12-23T00:00:00"/>
    <n v="1"/>
    <n v="2446"/>
    <n v="0.06"/>
    <s v="Normal"/>
    <n v="2023"/>
    <s v="December"/>
  </r>
  <r>
    <n v="4078"/>
    <x v="348"/>
    <x v="3"/>
    <s v="North"/>
    <s v="Premium"/>
    <d v="2022-07-06T00:00:00"/>
    <d v="2024-01-24T00:00:00"/>
    <x v="17"/>
    <n v="1679"/>
    <n v="-3229"/>
    <s v="Pending"/>
    <n v="18"/>
    <d v="2024-01-24T00:00:00"/>
    <n v="1"/>
    <n v="2447"/>
    <n v="-0.65"/>
    <s v="Normal"/>
    <n v="2024"/>
    <s v="January"/>
  </r>
  <r>
    <n v="4079"/>
    <x v="229"/>
    <x v="4"/>
    <s v="South"/>
    <s v="Basic"/>
    <d v="2022-06-17T00:00:00"/>
    <d v="2022-09-30T00:00:00"/>
    <x v="1841"/>
    <n v="5128"/>
    <n v="0"/>
    <s v="Overdue"/>
    <n v="3"/>
    <d v="2022-09-30T00:00:00"/>
    <n v="0"/>
    <n v="2448"/>
    <n v="0"/>
    <s v="Normal"/>
    <n v="2022"/>
    <s v="September"/>
  </r>
  <r>
    <n v="4080"/>
    <x v="285"/>
    <x v="2"/>
    <s v="West"/>
    <s v="Premium"/>
    <d v="2022-04-28T00:00:00"/>
    <d v="2023-10-01T00:00:00"/>
    <x v="1842"/>
    <n v="3996"/>
    <n v="-3351"/>
    <s v="Overdue"/>
    <n v="17"/>
    <d v="2023-10-01T00:00:00"/>
    <n v="0"/>
    <n v="2449"/>
    <n v="-5.2"/>
    <s v="Outlier"/>
    <n v="2023"/>
    <s v="October"/>
  </r>
  <r>
    <n v="4081"/>
    <x v="156"/>
    <x v="4"/>
    <s v="West"/>
    <s v="Basic"/>
    <d v="2022-07-07T00:00:00"/>
    <d v="2023-01-09T00:00:00"/>
    <x v="1843"/>
    <n v="7167"/>
    <n v="-1710"/>
    <s v="Overdue"/>
    <n v="6"/>
    <d v="2023-01-09T00:00:00"/>
    <n v="0"/>
    <n v="2450"/>
    <n v="-0.31"/>
    <s v="Normal"/>
    <n v="2023"/>
    <s v="January"/>
  </r>
  <r>
    <n v="4082"/>
    <x v="164"/>
    <x v="2"/>
    <s v="North"/>
    <s v="Premium"/>
    <d v="2022-01-28T00:00:00"/>
    <d v="2022-08-06T00:00:00"/>
    <x v="1844"/>
    <n v="7919"/>
    <n v="-7399"/>
    <s v="Pending"/>
    <n v="6"/>
    <d v="2022-08-06T00:00:00"/>
    <n v="1"/>
    <n v="2451"/>
    <n v="-14.23"/>
    <s v="Outlier"/>
    <n v="2022"/>
    <s v="August"/>
  </r>
  <r>
    <n v="4083"/>
    <x v="372"/>
    <x v="1"/>
    <s v="West"/>
    <s v="Basic"/>
    <d v="2022-10-04T00:00:00"/>
    <d v="2024-05-06T00:00:00"/>
    <x v="356"/>
    <n v="4012.75"/>
    <n v="7299"/>
    <s v="Overdue"/>
    <n v="19"/>
    <d v="2024-05-06T00:00:00"/>
    <n v="0"/>
    <n v="2452"/>
    <n v="1.06"/>
    <s v="Outlier"/>
    <n v="2024"/>
    <s v="May"/>
  </r>
  <r>
    <n v="4084"/>
    <x v="262"/>
    <x v="1"/>
    <s v="North"/>
    <s v="Premium"/>
    <d v="2022-10-30T00:00:00"/>
    <d v="2023-07-13T00:00:00"/>
    <x v="1845"/>
    <n v="113"/>
    <n v="2000"/>
    <s v="Overdue"/>
    <n v="8"/>
    <d v="2023-07-13T00:00:00"/>
    <n v="0"/>
    <n v="2453"/>
    <n v="0.95"/>
    <s v="Normal"/>
    <n v="2023"/>
    <s v="July"/>
  </r>
  <r>
    <n v="4085"/>
    <x v="343"/>
    <x v="4"/>
    <s v="South"/>
    <s v="Standard"/>
    <d v="2022-11-23T00:00:00"/>
    <d v="2023-10-02T00:00:00"/>
    <x v="1846"/>
    <n v="4764"/>
    <n v="4462"/>
    <s v="Pending"/>
    <n v="10"/>
    <d v="2023-10-02T00:00:00"/>
    <n v="1"/>
    <n v="2454"/>
    <n v="0.48"/>
    <s v="Normal"/>
    <n v="2023"/>
    <s v="October"/>
  </r>
  <r>
    <n v="4087"/>
    <x v="168"/>
    <x v="1"/>
    <s v="South"/>
    <s v="Basic"/>
    <d v="2022-11-15T00:00:00"/>
    <d v="2023-12-19T00:00:00"/>
    <x v="1847"/>
    <n v="2671"/>
    <n v="3415"/>
    <s v="NA"/>
    <n v="13"/>
    <d v="2023-12-19T00:00:00"/>
    <n v="0"/>
    <n v="2455"/>
    <n v="0.56000000000000005"/>
    <s v="Normal"/>
    <n v="2023"/>
    <s v="December"/>
  </r>
  <r>
    <n v="4088"/>
    <x v="261"/>
    <x v="0"/>
    <s v="East"/>
    <s v="Standard"/>
    <d v="2022-01-07T00:00:00"/>
    <d v="2023-03-03T00:00:00"/>
    <x v="1848"/>
    <n v="2834"/>
    <n v="-1874"/>
    <s v="Paid"/>
    <n v="13"/>
    <d v="2023-03-03T00:00:00"/>
    <n v="0"/>
    <n v="2456"/>
    <n v="-1.95"/>
    <s v="Outlier"/>
    <n v="2023"/>
    <s v="March"/>
  </r>
  <r>
    <n v="4089"/>
    <x v="108"/>
    <x v="3"/>
    <s v="West"/>
    <s v="Basic"/>
    <d v="2022-11-03T00:00:00"/>
    <d v="2022-12-20T00:00:00"/>
    <x v="1849"/>
    <n v="5669"/>
    <n v="742"/>
    <s v="NA"/>
    <n v="1"/>
    <d v="2022-12-20T00:00:00"/>
    <n v="1"/>
    <n v="2457"/>
    <n v="0.12"/>
    <s v="Normal"/>
    <n v="2022"/>
    <s v="December"/>
  </r>
  <r>
    <n v="4090"/>
    <x v="127"/>
    <x v="1"/>
    <s v="North"/>
    <s v="Basic"/>
    <d v="2022-12-31T00:00:00"/>
    <d v="2024-06-23T00:00:00"/>
    <x v="17"/>
    <n v="4012.75"/>
    <n v="577.01"/>
    <s v="NA"/>
    <n v="17"/>
    <d v="2024-06-23T00:00:00"/>
    <n v="1"/>
    <n v="2458"/>
    <n v="0.12"/>
    <s v="Normal"/>
    <n v="2024"/>
    <s v="June"/>
  </r>
  <r>
    <n v="4093"/>
    <x v="148"/>
    <x v="3"/>
    <s v="North"/>
    <s v="Premium"/>
    <d v="2022-12-16T00:00:00"/>
    <d v="2023-05-23T00:00:00"/>
    <x v="1850"/>
    <n v="7830"/>
    <n v="-6975"/>
    <s v="Overdue"/>
    <n v="5"/>
    <d v="2023-05-23T00:00:00"/>
    <n v="0"/>
    <n v="2459"/>
    <n v="-8.16"/>
    <s v="Outlier"/>
    <n v="2023"/>
    <s v="May"/>
  </r>
  <r>
    <n v="4096"/>
    <x v="103"/>
    <x v="0"/>
    <s v="North"/>
    <s v="Premium"/>
    <d v="2022-08-31T00:00:00"/>
    <d v="2023-10-11T00:00:00"/>
    <x v="1851"/>
    <n v="7028"/>
    <n v="-1520"/>
    <s v="NA"/>
    <n v="13"/>
    <d v="2023-10-11T00:00:00"/>
    <n v="1"/>
    <n v="2460"/>
    <n v="-0.28000000000000003"/>
    <s v="Normal"/>
    <n v="2023"/>
    <s v="October"/>
  </r>
  <r>
    <n v="4098"/>
    <x v="166"/>
    <x v="1"/>
    <s v="East"/>
    <s v="Basic"/>
    <d v="2022-11-18T00:00:00"/>
    <d v="2024-03-03T00:00:00"/>
    <x v="1852"/>
    <n v="4012.75"/>
    <n v="3103"/>
    <s v="Pending"/>
    <n v="15"/>
    <d v="2024-03-03T00:00:00"/>
    <n v="0"/>
    <n v="2461"/>
    <n v="1.45"/>
    <s v="Outlier"/>
    <n v="2024"/>
    <s v="March"/>
  </r>
  <r>
    <n v="4101"/>
    <x v="215"/>
    <x v="2"/>
    <s v="North"/>
    <s v="Premium"/>
    <d v="2022-07-12T00:00:00"/>
    <d v="2022-09-19T00:00:00"/>
    <x v="1853"/>
    <n v="4012.75"/>
    <n v="2985"/>
    <s v="Pending"/>
    <n v="2"/>
    <d v="2022-09-19T00:00:00"/>
    <n v="1"/>
    <n v="2462"/>
    <n v="1.1399999999999999"/>
    <s v="Outlier"/>
    <n v="2022"/>
    <s v="September"/>
  </r>
  <r>
    <n v="4105"/>
    <x v="266"/>
    <x v="1"/>
    <s v="North"/>
    <s v="Premium"/>
    <d v="2022-08-06T00:00:00"/>
    <d v="2022-10-15T00:00:00"/>
    <x v="1854"/>
    <n v="4391"/>
    <n v="577.01"/>
    <s v="Paid"/>
    <n v="2"/>
    <d v="2022-10-15T00:00:00"/>
    <n v="1"/>
    <n v="2463"/>
    <n v="0.06"/>
    <s v="Normal"/>
    <n v="2022"/>
    <s v="October"/>
  </r>
  <r>
    <n v="4106"/>
    <x v="219"/>
    <x v="3"/>
    <s v="South"/>
    <s v="Standard"/>
    <d v="2022-08-11T00:00:00"/>
    <d v="2022-10-27T00:00:00"/>
    <x v="1855"/>
    <n v="5442"/>
    <n v="577.01"/>
    <s v="Paid"/>
    <n v="2"/>
    <d v="2022-10-27T00:00:00"/>
    <n v="0"/>
    <n v="2464"/>
    <n v="0.09"/>
    <s v="Normal"/>
    <n v="2022"/>
    <s v="October"/>
  </r>
  <r>
    <n v="4107"/>
    <x v="23"/>
    <x v="4"/>
    <s v="West"/>
    <s v="Basic"/>
    <d v="2022-02-27T00:00:00"/>
    <d v="2023-03-15T00:00:00"/>
    <x v="1856"/>
    <n v="1270"/>
    <n v="4091"/>
    <s v="Paid"/>
    <n v="12"/>
    <d v="2023-03-15T00:00:00"/>
    <n v="1"/>
    <n v="2465"/>
    <n v="0.76"/>
    <s v="Normal"/>
    <n v="2023"/>
    <s v="March"/>
  </r>
  <r>
    <n v="4109"/>
    <x v="367"/>
    <x v="2"/>
    <s v="West"/>
    <s v="Basic"/>
    <d v="2022-10-25T00:00:00"/>
    <d v="2024-04-09T00:00:00"/>
    <x v="1857"/>
    <n v="3483"/>
    <n v="6444"/>
    <s v="Overdue"/>
    <n v="17"/>
    <d v="2024-04-09T00:00:00"/>
    <n v="0"/>
    <n v="2466"/>
    <n v="0.65"/>
    <s v="Normal"/>
    <n v="2024"/>
    <s v="April"/>
  </r>
  <r>
    <n v="4110"/>
    <x v="321"/>
    <x v="2"/>
    <s v="South"/>
    <s v="Standard"/>
    <d v="2022-07-02T00:00:00"/>
    <d v="2024-01-25T00:00:00"/>
    <x v="517"/>
    <n v="3245"/>
    <n v="-995"/>
    <s v="NA"/>
    <n v="18"/>
    <d v="2024-01-25T00:00:00"/>
    <n v="1"/>
    <n v="2467"/>
    <n v="-0.44"/>
    <s v="Normal"/>
    <n v="2024"/>
    <s v="January"/>
  </r>
  <r>
    <n v="4111"/>
    <x v="145"/>
    <x v="4"/>
    <s v="West"/>
    <s v="Standard"/>
    <d v="2022-12-22T00:00:00"/>
    <d v="2023-02-10T00:00:00"/>
    <x v="1858"/>
    <n v="3370"/>
    <n v="882"/>
    <s v="NA"/>
    <n v="1"/>
    <d v="2023-02-10T00:00:00"/>
    <n v="1"/>
    <n v="2468"/>
    <n v="0.21"/>
    <s v="Normal"/>
    <n v="2023"/>
    <s v="February"/>
  </r>
  <r>
    <n v="4112"/>
    <x v="111"/>
    <x v="3"/>
    <s v="South"/>
    <s v="Standard"/>
    <d v="2022-04-07T00:00:00"/>
    <d v="2023-04-18T00:00:00"/>
    <x v="824"/>
    <n v="5471"/>
    <n v="-5117"/>
    <s v="Overdue"/>
    <n v="12"/>
    <d v="2023-04-18T00:00:00"/>
    <n v="1"/>
    <n v="2469"/>
    <n v="-14.45"/>
    <s v="Outlier"/>
    <n v="2023"/>
    <s v="April"/>
  </r>
  <r>
    <n v="4115"/>
    <x v="3"/>
    <x v="4"/>
    <s v="South"/>
    <s v="Standard"/>
    <d v="2022-05-11T00:00:00"/>
    <d v="2022-07-29T00:00:00"/>
    <x v="17"/>
    <n v="779"/>
    <n v="-1817"/>
    <s v="Paid"/>
    <n v="2"/>
    <d v="2022-07-29T00:00:00"/>
    <n v="1"/>
    <n v="2470"/>
    <n v="-0.37"/>
    <s v="Normal"/>
    <n v="2022"/>
    <s v="July"/>
  </r>
  <r>
    <n v="4117"/>
    <x v="391"/>
    <x v="0"/>
    <s v="East"/>
    <s v="Premium"/>
    <d v="2022-12-08T00:00:00"/>
    <d v="2024-05-08T00:00:00"/>
    <x v="17"/>
    <n v="4934"/>
    <n v="-5637"/>
    <s v="NA"/>
    <n v="17"/>
    <d v="2024-05-08T00:00:00"/>
    <n v="0"/>
    <n v="2471"/>
    <n v="-1.1299999999999999"/>
    <s v="Outlier"/>
    <n v="2024"/>
    <s v="May"/>
  </r>
  <r>
    <n v="4118"/>
    <x v="113"/>
    <x v="1"/>
    <s v="North"/>
    <s v="Premium"/>
    <d v="2022-01-24T00:00:00"/>
    <d v="2022-08-18T00:00:00"/>
    <x v="17"/>
    <n v="2920"/>
    <n v="-3129"/>
    <s v="Paid"/>
    <n v="6"/>
    <d v="2022-08-18T00:00:00"/>
    <n v="0"/>
    <n v="2472"/>
    <n v="-0.63"/>
    <s v="Normal"/>
    <n v="2022"/>
    <s v="August"/>
  </r>
  <r>
    <n v="4119"/>
    <x v="49"/>
    <x v="2"/>
    <s v="North"/>
    <s v="Standard"/>
    <d v="2022-03-21T00:00:00"/>
    <d v="2022-12-22T00:00:00"/>
    <x v="1859"/>
    <n v="4437"/>
    <n v="577.01"/>
    <s v="NA"/>
    <n v="9"/>
    <d v="2022-12-22T00:00:00"/>
    <n v="0"/>
    <n v="2473"/>
    <n v="0.96"/>
    <s v="Normal"/>
    <n v="2022"/>
    <s v="December"/>
  </r>
  <r>
    <n v="4121"/>
    <x v="394"/>
    <x v="1"/>
    <s v="West"/>
    <s v="Basic"/>
    <d v="2022-03-14T00:00:00"/>
    <d v="2023-08-13T00:00:00"/>
    <x v="17"/>
    <n v="1436"/>
    <n v="-2646"/>
    <s v="Pending"/>
    <n v="16"/>
    <d v="2023-08-13T00:00:00"/>
    <n v="0"/>
    <n v="2474"/>
    <n v="-0.53"/>
    <s v="Normal"/>
    <n v="2023"/>
    <s v="August"/>
  </r>
  <r>
    <n v="4123"/>
    <x v="186"/>
    <x v="4"/>
    <s v="South"/>
    <s v="Premium"/>
    <d v="2022-03-13T00:00:00"/>
    <d v="2023-08-19T00:00:00"/>
    <x v="1860"/>
    <n v="7220"/>
    <n v="-7178"/>
    <s v="Overdue"/>
    <n v="17"/>
    <d v="2023-08-19T00:00:00"/>
    <n v="1"/>
    <n v="2475"/>
    <n v="-170.9"/>
    <s v="Outlier"/>
    <n v="2023"/>
    <s v="August"/>
  </r>
  <r>
    <n v="4124"/>
    <x v="81"/>
    <x v="4"/>
    <s v="East"/>
    <s v="Premium"/>
    <d v="2022-06-26T00:00:00"/>
    <d v="2023-04-28T00:00:00"/>
    <x v="1861"/>
    <n v="1171"/>
    <n v="577.01"/>
    <s v="Pending"/>
    <n v="10"/>
    <d v="2023-04-28T00:00:00"/>
    <n v="0"/>
    <n v="2476"/>
    <n v="0.21"/>
    <s v="Normal"/>
    <n v="2023"/>
    <s v="April"/>
  </r>
  <r>
    <n v="4126"/>
    <x v="258"/>
    <x v="0"/>
    <s v="North"/>
    <s v="Standard"/>
    <d v="2022-06-24T00:00:00"/>
    <d v="2022-08-25T00:00:00"/>
    <x v="1862"/>
    <n v="2247"/>
    <n v="5333"/>
    <s v="NA"/>
    <n v="2"/>
    <d v="2022-08-25T00:00:00"/>
    <n v="0"/>
    <n v="2477"/>
    <n v="0.7"/>
    <s v="Normal"/>
    <n v="2022"/>
    <s v="August"/>
  </r>
  <r>
    <n v="4128"/>
    <x v="190"/>
    <x v="0"/>
    <s v="North"/>
    <s v="Standard"/>
    <d v="2022-03-31T00:00:00"/>
    <d v="2023-08-10T00:00:00"/>
    <x v="609"/>
    <n v="351"/>
    <n v="3753"/>
    <s v="Overdue"/>
    <n v="16"/>
    <d v="2023-08-10T00:00:00"/>
    <n v="1"/>
    <n v="2478"/>
    <n v="0.91"/>
    <s v="Normal"/>
    <n v="2023"/>
    <s v="August"/>
  </r>
  <r>
    <n v="4129"/>
    <x v="281"/>
    <x v="4"/>
    <s v="South"/>
    <s v="Basic"/>
    <d v="2022-03-05T00:00:00"/>
    <d v="2023-08-01T00:00:00"/>
    <x v="147"/>
    <n v="2956"/>
    <n v="-953"/>
    <s v="NA"/>
    <n v="16"/>
    <d v="2023-08-01T00:00:00"/>
    <n v="0"/>
    <n v="2479"/>
    <n v="-0.48"/>
    <s v="Normal"/>
    <n v="2023"/>
    <s v="August"/>
  </r>
  <r>
    <n v="4131"/>
    <x v="320"/>
    <x v="4"/>
    <s v="East"/>
    <s v="Standard"/>
    <d v="2022-12-12T00:00:00"/>
    <d v="2023-07-19T00:00:00"/>
    <x v="1863"/>
    <n v="1058"/>
    <n v="-690"/>
    <s v="Paid"/>
    <n v="7"/>
    <d v="2023-07-19T00:00:00"/>
    <n v="0"/>
    <n v="2480"/>
    <n v="-1.88"/>
    <s v="Outlier"/>
    <n v="2023"/>
    <s v="July"/>
  </r>
  <r>
    <n v="4134"/>
    <x v="293"/>
    <x v="4"/>
    <s v="North"/>
    <s v="Basic"/>
    <d v="2022-05-06T00:00:00"/>
    <d v="2023-12-02T00:00:00"/>
    <x v="1864"/>
    <n v="2762"/>
    <n v="-2569"/>
    <s v="Paid"/>
    <n v="18"/>
    <d v="2023-12-02T00:00:00"/>
    <n v="1"/>
    <n v="2481"/>
    <n v="-13.31"/>
    <s v="Outlier"/>
    <n v="2023"/>
    <s v="December"/>
  </r>
  <r>
    <n v="4136"/>
    <x v="272"/>
    <x v="4"/>
    <s v="South"/>
    <s v="Standard"/>
    <d v="2022-08-11T00:00:00"/>
    <d v="2023-08-28T00:00:00"/>
    <x v="1865"/>
    <n v="4012.75"/>
    <n v="5647"/>
    <s v="NA"/>
    <n v="12"/>
    <d v="2023-08-28T00:00:00"/>
    <n v="1"/>
    <n v="2482"/>
    <n v="1.1399999999999999"/>
    <s v="Outlier"/>
    <n v="2023"/>
    <s v="August"/>
  </r>
  <r>
    <n v="4139"/>
    <x v="199"/>
    <x v="4"/>
    <s v="North"/>
    <s v="Standard"/>
    <d v="2022-02-06T00:00:00"/>
    <d v="2022-07-15T00:00:00"/>
    <x v="1866"/>
    <n v="6860"/>
    <n v="556"/>
    <s v="Paid"/>
    <n v="5"/>
    <d v="2022-07-15T00:00:00"/>
    <n v="0"/>
    <n v="2483"/>
    <n v="7.0000000000000007E-2"/>
    <s v="Normal"/>
    <n v="2022"/>
    <s v="July"/>
  </r>
  <r>
    <n v="4144"/>
    <x v="279"/>
    <x v="0"/>
    <s v="South"/>
    <s v="Premium"/>
    <d v="2022-03-25T00:00:00"/>
    <d v="2022-05-01T00:00:00"/>
    <x v="1867"/>
    <n v="7760"/>
    <n v="-6193"/>
    <s v="Paid"/>
    <n v="1"/>
    <d v="2022-05-01T00:00:00"/>
    <n v="1"/>
    <n v="2484"/>
    <n v="-3.95"/>
    <s v="Outlier"/>
    <n v="2022"/>
    <s v="May"/>
  </r>
  <r>
    <n v="4145"/>
    <x v="204"/>
    <x v="2"/>
    <s v="West"/>
    <s v="Premium"/>
    <d v="2022-09-09T00:00:00"/>
    <d v="2023-08-15T00:00:00"/>
    <x v="1868"/>
    <n v="3765"/>
    <n v="577.01"/>
    <s v="Pending"/>
    <n v="11"/>
    <d v="2023-08-15T00:00:00"/>
    <n v="0"/>
    <n v="2485"/>
    <n v="0.1"/>
    <s v="Normal"/>
    <n v="2023"/>
    <s v="August"/>
  </r>
  <r>
    <n v="4146"/>
    <x v="92"/>
    <x v="3"/>
    <s v="North"/>
    <s v="Basic"/>
    <d v="2022-03-22T00:00:00"/>
    <d v="2022-04-30T00:00:00"/>
    <x v="1869"/>
    <n v="1230"/>
    <n v="4610"/>
    <s v="NA"/>
    <n v="1"/>
    <d v="2022-04-30T00:00:00"/>
    <n v="1"/>
    <n v="2486"/>
    <n v="0.79"/>
    <s v="Normal"/>
    <n v="2022"/>
    <s v="April"/>
  </r>
  <r>
    <n v="4149"/>
    <x v="104"/>
    <x v="0"/>
    <s v="North"/>
    <s v="Premium"/>
    <d v="2022-11-15T00:00:00"/>
    <d v="2024-01-05T00:00:00"/>
    <x v="1870"/>
    <n v="4012.75"/>
    <n v="8118"/>
    <s v="Overdue"/>
    <n v="13"/>
    <d v="2024-01-05T00:00:00"/>
    <n v="1"/>
    <n v="2487"/>
    <n v="1.1299999999999999"/>
    <s v="Outlier"/>
    <n v="2024"/>
    <s v="January"/>
  </r>
  <r>
    <n v="4150"/>
    <x v="364"/>
    <x v="1"/>
    <s v="East"/>
    <s v="Premium"/>
    <d v="2022-02-23T00:00:00"/>
    <d v="2023-09-11T00:00:00"/>
    <x v="17"/>
    <n v="4012.75"/>
    <n v="577.01"/>
    <s v="Overdue"/>
    <n v="18"/>
    <d v="2023-09-11T00:00:00"/>
    <n v="1"/>
    <n v="2488"/>
    <n v="0.12"/>
    <s v="Normal"/>
    <n v="2023"/>
    <s v="September"/>
  </r>
  <r>
    <n v="4152"/>
    <x v="227"/>
    <x v="0"/>
    <s v="West"/>
    <s v="Basic"/>
    <d v="2022-05-05T00:00:00"/>
    <d v="2023-04-26T00:00:00"/>
    <x v="1871"/>
    <n v="7958"/>
    <n v="-4552"/>
    <s v="Pending"/>
    <n v="11"/>
    <d v="2023-04-26T00:00:00"/>
    <n v="1"/>
    <n v="2489"/>
    <n v="-1.34"/>
    <s v="Outlier"/>
    <n v="2023"/>
    <s v="April"/>
  </r>
  <r>
    <n v="4153"/>
    <x v="12"/>
    <x v="0"/>
    <s v="South"/>
    <s v="Standard"/>
    <d v="2022-06-21T00:00:00"/>
    <d v="2023-01-22T00:00:00"/>
    <x v="1872"/>
    <n v="2254"/>
    <n v="-1465"/>
    <s v="NA"/>
    <n v="7"/>
    <d v="2023-01-22T00:00:00"/>
    <n v="0"/>
    <n v="2490"/>
    <n v="-1.86"/>
    <s v="Outlier"/>
    <n v="2023"/>
    <s v="January"/>
  </r>
  <r>
    <n v="4155"/>
    <x v="94"/>
    <x v="3"/>
    <s v="North"/>
    <s v="Standard"/>
    <d v="2022-05-22T00:00:00"/>
    <d v="2023-12-11T00:00:00"/>
    <x v="1873"/>
    <n v="2154"/>
    <n v="4535"/>
    <s v="Paid"/>
    <n v="18"/>
    <d v="2023-12-11T00:00:00"/>
    <n v="1"/>
    <n v="2491"/>
    <n v="0.68"/>
    <s v="Normal"/>
    <n v="2023"/>
    <s v="December"/>
  </r>
  <r>
    <n v="4156"/>
    <x v="351"/>
    <x v="0"/>
    <s v="South"/>
    <s v="Basic"/>
    <d v="2022-10-11T00:00:00"/>
    <d v="2023-09-02T00:00:00"/>
    <x v="17"/>
    <n v="4012.75"/>
    <n v="-292"/>
    <s v="Overdue"/>
    <n v="10"/>
    <d v="2023-09-02T00:00:00"/>
    <n v="0"/>
    <n v="2492"/>
    <n v="-0.06"/>
    <s v="Normal"/>
    <n v="2023"/>
    <s v="September"/>
  </r>
  <r>
    <n v="4158"/>
    <x v="144"/>
    <x v="4"/>
    <s v="North"/>
    <s v="Premium"/>
    <d v="2022-10-16T00:00:00"/>
    <d v="2023-01-21T00:00:00"/>
    <x v="1874"/>
    <n v="7094"/>
    <n v="1173"/>
    <s v="Paid"/>
    <n v="3"/>
    <d v="2023-01-21T00:00:00"/>
    <n v="0"/>
    <n v="2493"/>
    <n v="0.14000000000000001"/>
    <s v="Normal"/>
    <n v="2023"/>
    <s v="January"/>
  </r>
  <r>
    <n v="4159"/>
    <x v="49"/>
    <x v="4"/>
    <s v="North"/>
    <s v="Basic"/>
    <d v="2022-01-19T00:00:00"/>
    <d v="2022-04-19T00:00:00"/>
    <x v="17"/>
    <n v="4012.75"/>
    <n v="38"/>
    <s v="Paid"/>
    <n v="3"/>
    <d v="2022-04-19T00:00:00"/>
    <n v="0"/>
    <n v="2494"/>
    <n v="0.01"/>
    <s v="Normal"/>
    <n v="2022"/>
    <s v="April"/>
  </r>
  <r>
    <n v="4160"/>
    <x v="308"/>
    <x v="2"/>
    <s v="South"/>
    <s v="Standard"/>
    <d v="2022-10-10T00:00:00"/>
    <d v="2023-11-29T00:00:00"/>
    <x v="1875"/>
    <n v="5568"/>
    <n v="2061"/>
    <s v="Paid"/>
    <n v="13"/>
    <d v="2023-11-29T00:00:00"/>
    <n v="0"/>
    <n v="2495"/>
    <n v="0.27"/>
    <s v="Normal"/>
    <n v="2023"/>
    <s v="November"/>
  </r>
  <r>
    <n v="4161"/>
    <x v="135"/>
    <x v="2"/>
    <s v="South"/>
    <s v="Standard"/>
    <d v="2022-12-05T00:00:00"/>
    <d v="2023-12-17T00:00:00"/>
    <x v="1876"/>
    <n v="4435"/>
    <n v="3648"/>
    <s v="Paid"/>
    <n v="12"/>
    <d v="2023-12-17T00:00:00"/>
    <n v="1"/>
    <n v="2496"/>
    <n v="0.45"/>
    <s v="Normal"/>
    <n v="2023"/>
    <s v="December"/>
  </r>
  <r>
    <n v="4164"/>
    <x v="85"/>
    <x v="2"/>
    <s v="East"/>
    <s v="Basic"/>
    <d v="2022-07-01T00:00:00"/>
    <d v="2023-06-12T00:00:00"/>
    <x v="1877"/>
    <n v="1128"/>
    <n v="8312"/>
    <s v="Overdue"/>
    <n v="11"/>
    <d v="2023-06-12T00:00:00"/>
    <n v="0"/>
    <n v="2497"/>
    <n v="0.88"/>
    <s v="Normal"/>
    <n v="2023"/>
    <s v="June"/>
  </r>
  <r>
    <n v="4166"/>
    <x v="14"/>
    <x v="0"/>
    <s v="North"/>
    <s v="Standard"/>
    <d v="2022-10-23T00:00:00"/>
    <d v="2023-02-02T00:00:00"/>
    <x v="1878"/>
    <n v="4598"/>
    <n v="-2919"/>
    <s v="NA"/>
    <n v="3"/>
    <d v="2023-02-02T00:00:00"/>
    <n v="1"/>
    <n v="2498"/>
    <n v="-1.74"/>
    <s v="Outlier"/>
    <n v="2023"/>
    <s v="February"/>
  </r>
  <r>
    <n v="4167"/>
    <x v="90"/>
    <x v="2"/>
    <s v="West"/>
    <s v="Premium"/>
    <d v="2022-10-12T00:00:00"/>
    <d v="2023-01-09T00:00:00"/>
    <x v="1879"/>
    <n v="6418"/>
    <n v="-5585"/>
    <s v="Overdue"/>
    <n v="2"/>
    <d v="2023-01-09T00:00:00"/>
    <n v="1"/>
    <n v="2499"/>
    <n v="-6.7"/>
    <s v="Outlier"/>
    <n v="2023"/>
    <s v="January"/>
  </r>
  <r>
    <n v="4168"/>
    <x v="397"/>
    <x v="1"/>
    <s v="South"/>
    <s v="Basic"/>
    <d v="2022-05-06T00:00:00"/>
    <d v="2023-01-15T00:00:00"/>
    <x v="1880"/>
    <n v="4012.75"/>
    <n v="4551"/>
    <s v="NA"/>
    <n v="8"/>
    <d v="2023-01-15T00:00:00"/>
    <n v="0"/>
    <n v="2500"/>
    <n v="1.01"/>
    <s v="Outlier"/>
    <n v="2023"/>
    <s v="January"/>
  </r>
  <r>
    <n v="4169"/>
    <x v="15"/>
    <x v="4"/>
    <s v="East"/>
    <s v="Premium"/>
    <d v="2022-09-10T00:00:00"/>
    <d v="2023-10-06T00:00:00"/>
    <x v="1881"/>
    <n v="3939"/>
    <n v="4429"/>
    <s v="Pending"/>
    <n v="12"/>
    <d v="2023-10-06T00:00:00"/>
    <n v="0"/>
    <n v="2501"/>
    <n v="0.53"/>
    <s v="Normal"/>
    <n v="2023"/>
    <s v="October"/>
  </r>
  <r>
    <n v="4172"/>
    <x v="66"/>
    <x v="4"/>
    <s v="North"/>
    <s v="Standard"/>
    <d v="2022-12-12T00:00:00"/>
    <d v="2023-07-05T00:00:00"/>
    <x v="1882"/>
    <n v="196"/>
    <n v="9536"/>
    <s v="Pending"/>
    <n v="6"/>
    <d v="2023-07-05T00:00:00"/>
    <n v="1"/>
    <n v="2502"/>
    <n v="0.98"/>
    <s v="Normal"/>
    <n v="2023"/>
    <s v="July"/>
  </r>
  <r>
    <n v="4173"/>
    <x v="233"/>
    <x v="3"/>
    <s v="South"/>
    <s v="Premium"/>
    <d v="2022-06-20T00:00:00"/>
    <d v="2023-08-17T00:00:00"/>
    <x v="17"/>
    <n v="4789"/>
    <n v="-4924"/>
    <s v="Pending"/>
    <n v="13"/>
    <d v="2023-08-17T00:00:00"/>
    <n v="1"/>
    <n v="2503"/>
    <n v="-0.99"/>
    <s v="Normal"/>
    <n v="2023"/>
    <s v="August"/>
  </r>
  <r>
    <n v="4175"/>
    <x v="186"/>
    <x v="2"/>
    <s v="South"/>
    <s v="Premium"/>
    <d v="2022-09-10T00:00:00"/>
    <d v="2024-04-16T00:00:00"/>
    <x v="1883"/>
    <n v="2061"/>
    <n v="6014"/>
    <s v="Paid"/>
    <n v="19"/>
    <d v="2024-04-16T00:00:00"/>
    <n v="1"/>
    <n v="2504"/>
    <n v="0.74"/>
    <s v="Normal"/>
    <n v="2024"/>
    <s v="April"/>
  </r>
  <r>
    <n v="4177"/>
    <x v="255"/>
    <x v="0"/>
    <s v="South"/>
    <s v="Basic"/>
    <d v="2022-03-17T00:00:00"/>
    <d v="2022-12-20T00:00:00"/>
    <x v="1884"/>
    <n v="6185"/>
    <n v="-5903"/>
    <s v="Paid"/>
    <n v="9"/>
    <d v="2022-12-20T00:00:00"/>
    <n v="1"/>
    <n v="2505"/>
    <n v="-20.93"/>
    <s v="Outlier"/>
    <n v="2022"/>
    <s v="December"/>
  </r>
  <r>
    <n v="4180"/>
    <x v="6"/>
    <x v="1"/>
    <s v="West"/>
    <s v="Premium"/>
    <d v="2022-11-15T00:00:00"/>
    <d v="2023-04-17T00:00:00"/>
    <x v="1527"/>
    <n v="735"/>
    <n v="3514"/>
    <s v="NA"/>
    <n v="5"/>
    <d v="2023-04-17T00:00:00"/>
    <n v="0"/>
    <n v="2506"/>
    <n v="0.83"/>
    <s v="Normal"/>
    <n v="2023"/>
    <s v="April"/>
  </r>
  <r>
    <n v="4182"/>
    <x v="361"/>
    <x v="0"/>
    <s v="North"/>
    <s v="Basic"/>
    <d v="2022-03-28T00:00:00"/>
    <d v="2023-03-29T00:00:00"/>
    <x v="1885"/>
    <n v="4012.75"/>
    <n v="6006"/>
    <s v="NA"/>
    <n v="12"/>
    <d v="2023-03-29T00:00:00"/>
    <n v="0"/>
    <n v="2507"/>
    <n v="1.05"/>
    <s v="Outlier"/>
    <n v="2023"/>
    <s v="March"/>
  </r>
  <r>
    <n v="4183"/>
    <x v="307"/>
    <x v="4"/>
    <s v="South"/>
    <s v="Standard"/>
    <d v="2022-06-10T00:00:00"/>
    <d v="2023-10-08T00:00:00"/>
    <x v="1886"/>
    <n v="2724"/>
    <n v="3892"/>
    <s v="Pending"/>
    <n v="15"/>
    <d v="2023-10-08T00:00:00"/>
    <n v="1"/>
    <n v="2508"/>
    <n v="0.59"/>
    <s v="Normal"/>
    <n v="2023"/>
    <s v="October"/>
  </r>
  <r>
    <n v="4184"/>
    <x v="20"/>
    <x v="1"/>
    <s v="East"/>
    <s v="Standard"/>
    <d v="2022-03-17T00:00:00"/>
    <d v="2023-06-29T00:00:00"/>
    <x v="1887"/>
    <n v="4889"/>
    <n v="3944"/>
    <s v="NA"/>
    <n v="15"/>
    <d v="2023-06-29T00:00:00"/>
    <n v="1"/>
    <n v="2509"/>
    <n v="0.45"/>
    <s v="Normal"/>
    <n v="2023"/>
    <s v="June"/>
  </r>
  <r>
    <n v="4185"/>
    <x v="59"/>
    <x v="3"/>
    <s v="South"/>
    <s v="Basic"/>
    <d v="2022-12-14T00:00:00"/>
    <d v="2023-08-31T00:00:00"/>
    <x v="1888"/>
    <n v="7941"/>
    <n v="-6259"/>
    <s v="NA"/>
    <n v="8"/>
    <d v="2023-08-31T00:00:00"/>
    <n v="0"/>
    <n v="2510"/>
    <n v="-3.72"/>
    <s v="Outlier"/>
    <n v="2023"/>
    <s v="August"/>
  </r>
  <r>
    <n v="4186"/>
    <x v="91"/>
    <x v="1"/>
    <s v="North"/>
    <s v="Basic"/>
    <d v="2022-10-04T00:00:00"/>
    <d v="2023-07-18T00:00:00"/>
    <x v="1889"/>
    <n v="6334"/>
    <n v="-3299"/>
    <s v="NA"/>
    <n v="9"/>
    <d v="2023-07-18T00:00:00"/>
    <n v="0"/>
    <n v="2511"/>
    <n v="-1.0900000000000001"/>
    <s v="Outlier"/>
    <n v="2023"/>
    <s v="July"/>
  </r>
  <r>
    <n v="4187"/>
    <x v="306"/>
    <x v="0"/>
    <s v="South"/>
    <s v="Premium"/>
    <d v="2022-12-22T00:00:00"/>
    <d v="2023-08-30T00:00:00"/>
    <x v="1890"/>
    <n v="2809"/>
    <n v="3423"/>
    <s v="Overdue"/>
    <n v="8"/>
    <d v="2023-08-30T00:00:00"/>
    <n v="0"/>
    <n v="2512"/>
    <n v="0.55000000000000004"/>
    <s v="Normal"/>
    <n v="2023"/>
    <s v="August"/>
  </r>
  <r>
    <n v="4188"/>
    <x v="0"/>
    <x v="4"/>
    <s v="East"/>
    <s v="Basic"/>
    <d v="2022-09-08T00:00:00"/>
    <d v="2022-12-21T00:00:00"/>
    <x v="1891"/>
    <n v="89"/>
    <n v="1018"/>
    <s v="Paid"/>
    <n v="3"/>
    <d v="2022-12-21T00:00:00"/>
    <n v="0"/>
    <n v="2513"/>
    <n v="0.92"/>
    <s v="Normal"/>
    <n v="2022"/>
    <s v="December"/>
  </r>
  <r>
    <n v="4190"/>
    <x v="199"/>
    <x v="4"/>
    <s v="South"/>
    <s v="Basic"/>
    <d v="2022-05-20T00:00:00"/>
    <d v="2023-02-07T00:00:00"/>
    <x v="1892"/>
    <n v="1926"/>
    <n v="10"/>
    <s v="Paid"/>
    <n v="8"/>
    <d v="2023-02-07T00:00:00"/>
    <n v="1"/>
    <n v="2514"/>
    <n v="0.01"/>
    <s v="Normal"/>
    <n v="2023"/>
    <s v="February"/>
  </r>
  <r>
    <n v="4191"/>
    <x v="146"/>
    <x v="0"/>
    <s v="East"/>
    <s v="Basic"/>
    <d v="2022-10-29T00:00:00"/>
    <d v="2023-03-15T00:00:00"/>
    <x v="17"/>
    <n v="643"/>
    <n v="-2275"/>
    <s v="Overdue"/>
    <n v="4"/>
    <d v="2023-03-15T00:00:00"/>
    <n v="0"/>
    <n v="2515"/>
    <n v="-0.46"/>
    <s v="Normal"/>
    <n v="2023"/>
    <s v="March"/>
  </r>
  <r>
    <n v="4193"/>
    <x v="4"/>
    <x v="4"/>
    <s v="West"/>
    <s v="Premium"/>
    <d v="2022-11-19T00:00:00"/>
    <d v="2023-03-04T00:00:00"/>
    <x v="17"/>
    <n v="4965"/>
    <n v="-5455"/>
    <s v="Pending"/>
    <n v="3"/>
    <d v="2023-03-04T00:00:00"/>
    <n v="1"/>
    <n v="2516"/>
    <n v="-1.1000000000000001"/>
    <s v="Outlier"/>
    <n v="2023"/>
    <s v="March"/>
  </r>
  <r>
    <n v="4195"/>
    <x v="41"/>
    <x v="4"/>
    <s v="South"/>
    <s v="Premium"/>
    <d v="2022-08-25T00:00:00"/>
    <d v="2023-09-03T00:00:00"/>
    <x v="1893"/>
    <n v="3401"/>
    <n v="-2680"/>
    <s v="Paid"/>
    <n v="12"/>
    <d v="2023-09-03T00:00:00"/>
    <n v="1"/>
    <n v="2517"/>
    <n v="-3.72"/>
    <s v="Outlier"/>
    <n v="2023"/>
    <s v="September"/>
  </r>
  <r>
    <n v="4199"/>
    <x v="165"/>
    <x v="1"/>
    <s v="North"/>
    <s v="Standard"/>
    <d v="2022-06-06T00:00:00"/>
    <d v="2022-09-04T00:00:00"/>
    <x v="1894"/>
    <n v="958"/>
    <n v="8654"/>
    <s v="Paid"/>
    <n v="2"/>
    <d v="2022-09-04T00:00:00"/>
    <n v="1"/>
    <n v="2518"/>
    <n v="0.9"/>
    <s v="Normal"/>
    <n v="2022"/>
    <s v="September"/>
  </r>
  <r>
    <n v="4201"/>
    <x v="388"/>
    <x v="3"/>
    <s v="West"/>
    <s v="Premium"/>
    <d v="2022-09-04T00:00:00"/>
    <d v="2023-02-24T00:00:00"/>
    <x v="445"/>
    <n v="6234"/>
    <n v="-379"/>
    <s v="Overdue"/>
    <n v="5"/>
    <d v="2023-02-24T00:00:00"/>
    <n v="0"/>
    <n v="2519"/>
    <n v="-0.06"/>
    <s v="Normal"/>
    <n v="2023"/>
    <s v="February"/>
  </r>
  <r>
    <n v="4203"/>
    <x v="176"/>
    <x v="0"/>
    <s v="West"/>
    <s v="Standard"/>
    <d v="2022-11-17T00:00:00"/>
    <d v="2024-04-18T00:00:00"/>
    <x v="17"/>
    <n v="2881"/>
    <n v="577.01"/>
    <s v="Overdue"/>
    <n v="17"/>
    <d v="2024-04-18T00:00:00"/>
    <n v="0"/>
    <n v="2520"/>
    <n v="0.12"/>
    <s v="Normal"/>
    <n v="2024"/>
    <s v="April"/>
  </r>
  <r>
    <n v="4205"/>
    <x v="353"/>
    <x v="0"/>
    <s v="East"/>
    <s v="Standard"/>
    <d v="2022-04-29T00:00:00"/>
    <d v="2023-01-11T00:00:00"/>
    <x v="1895"/>
    <n v="4012.75"/>
    <n v="1744"/>
    <s v="NA"/>
    <n v="8"/>
    <d v="2023-01-11T00:00:00"/>
    <n v="0"/>
    <n v="2521"/>
    <n v="1.2"/>
    <s v="Outlier"/>
    <n v="2023"/>
    <s v="January"/>
  </r>
  <r>
    <n v="4206"/>
    <x v="290"/>
    <x v="0"/>
    <s v="West"/>
    <s v="Basic"/>
    <d v="2022-04-07T00:00:00"/>
    <d v="2023-05-30T00:00:00"/>
    <x v="1896"/>
    <n v="398"/>
    <n v="3135"/>
    <s v="Paid"/>
    <n v="13"/>
    <d v="2023-05-30T00:00:00"/>
    <n v="0"/>
    <n v="2522"/>
    <n v="0.89"/>
    <s v="Normal"/>
    <n v="2023"/>
    <s v="May"/>
  </r>
  <r>
    <n v="4208"/>
    <x v="56"/>
    <x v="4"/>
    <s v="North"/>
    <s v="Premium"/>
    <d v="2022-12-19T00:00:00"/>
    <d v="2024-08-10T00:00:00"/>
    <x v="17"/>
    <n v="6042"/>
    <n v="-6506"/>
    <s v="Paid"/>
    <n v="19"/>
    <d v="2024-08-10T00:00:00"/>
    <n v="0"/>
    <n v="2523"/>
    <n v="-1.31"/>
    <s v="Outlier"/>
    <n v="2024"/>
    <s v="August"/>
  </r>
  <r>
    <n v="4210"/>
    <x v="146"/>
    <x v="4"/>
    <s v="West"/>
    <s v="Basic"/>
    <d v="2022-10-17T00:00:00"/>
    <d v="2024-03-04T00:00:00"/>
    <x v="1897"/>
    <n v="4012.75"/>
    <n v="2754"/>
    <s v="Overdue"/>
    <n v="16"/>
    <d v="2024-03-04T00:00:00"/>
    <n v="0"/>
    <n v="2524"/>
    <n v="1.56"/>
    <s v="Outlier"/>
    <n v="2024"/>
    <s v="March"/>
  </r>
  <r>
    <n v="4211"/>
    <x v="97"/>
    <x v="3"/>
    <s v="West"/>
    <s v="Basic"/>
    <d v="2022-04-06T00:00:00"/>
    <d v="2023-06-20T00:00:00"/>
    <x v="17"/>
    <n v="7291"/>
    <n v="-7874"/>
    <s v="Overdue"/>
    <n v="14"/>
    <d v="2023-06-20T00:00:00"/>
    <n v="0"/>
    <n v="2525"/>
    <n v="-1.58"/>
    <s v="Outlier"/>
    <n v="2023"/>
    <s v="June"/>
  </r>
  <r>
    <n v="4212"/>
    <x v="9"/>
    <x v="3"/>
    <s v="West"/>
    <s v="Basic"/>
    <d v="2022-06-18T00:00:00"/>
    <d v="2023-07-21T00:00:00"/>
    <x v="1898"/>
    <n v="934"/>
    <n v="5575"/>
    <s v="Overdue"/>
    <n v="13"/>
    <d v="2023-07-21T00:00:00"/>
    <n v="0"/>
    <n v="2526"/>
    <n v="0.86"/>
    <s v="Normal"/>
    <n v="2023"/>
    <s v="July"/>
  </r>
  <r>
    <n v="4213"/>
    <x v="309"/>
    <x v="3"/>
    <s v="East"/>
    <s v="Basic"/>
    <d v="2022-12-21T00:00:00"/>
    <d v="2023-08-23T00:00:00"/>
    <x v="17"/>
    <n v="2429"/>
    <n v="-3342"/>
    <s v="Overdue"/>
    <n v="8"/>
    <d v="2023-08-23T00:00:00"/>
    <n v="1"/>
    <n v="2527"/>
    <n v="-0.67"/>
    <s v="Normal"/>
    <n v="2023"/>
    <s v="August"/>
  </r>
  <r>
    <n v="4217"/>
    <x v="240"/>
    <x v="1"/>
    <s v="South"/>
    <s v="Basic"/>
    <d v="2022-10-04T00:00:00"/>
    <d v="2023-02-09T00:00:00"/>
    <x v="1899"/>
    <n v="5418"/>
    <n v="-3054"/>
    <s v="Paid"/>
    <n v="4"/>
    <d v="2023-02-09T00:00:00"/>
    <n v="0"/>
    <n v="2528"/>
    <n v="-1.29"/>
    <s v="Outlier"/>
    <n v="2023"/>
    <s v="February"/>
  </r>
  <r>
    <n v="4218"/>
    <x v="170"/>
    <x v="2"/>
    <s v="North"/>
    <s v="Premium"/>
    <d v="2022-03-22T00:00:00"/>
    <d v="2023-10-28T00:00:00"/>
    <x v="17"/>
    <n v="4012.75"/>
    <n v="-1139"/>
    <s v="Paid"/>
    <n v="19"/>
    <d v="2023-10-28T00:00:00"/>
    <n v="1"/>
    <n v="2529"/>
    <n v="-0.23"/>
    <s v="Normal"/>
    <n v="2023"/>
    <s v="October"/>
  </r>
  <r>
    <n v="4221"/>
    <x v="206"/>
    <x v="1"/>
    <s v="North"/>
    <s v="Premium"/>
    <d v="2022-11-08T00:00:00"/>
    <d v="2024-03-24T00:00:00"/>
    <x v="1900"/>
    <n v="4012.75"/>
    <n v="8081"/>
    <s v="Overdue"/>
    <n v="16"/>
    <d v="2024-03-24T00:00:00"/>
    <n v="0"/>
    <n v="2530"/>
    <n v="1.07"/>
    <s v="Outlier"/>
    <n v="2024"/>
    <s v="March"/>
  </r>
  <r>
    <n v="4225"/>
    <x v="46"/>
    <x v="1"/>
    <s v="South"/>
    <s v="Basic"/>
    <d v="2022-03-11T00:00:00"/>
    <d v="2023-08-25T00:00:00"/>
    <x v="1500"/>
    <n v="2078"/>
    <n v="577.01"/>
    <s v="Overdue"/>
    <n v="17"/>
    <d v="2023-08-25T00:00:00"/>
    <n v="1"/>
    <n v="2531"/>
    <n v="0.27"/>
    <s v="Normal"/>
    <n v="2023"/>
    <s v="August"/>
  </r>
  <r>
    <n v="4226"/>
    <x v="313"/>
    <x v="4"/>
    <s v="North"/>
    <s v="Premium"/>
    <d v="2022-11-17T00:00:00"/>
    <d v="2023-11-11T00:00:00"/>
    <x v="635"/>
    <n v="6105"/>
    <n v="2300"/>
    <s v="NA"/>
    <n v="11"/>
    <d v="2023-11-11T00:00:00"/>
    <n v="0"/>
    <n v="2532"/>
    <n v="0.27"/>
    <s v="Normal"/>
    <n v="2023"/>
    <s v="November"/>
  </r>
  <r>
    <n v="4233"/>
    <x v="319"/>
    <x v="4"/>
    <s v="South"/>
    <s v="Premium"/>
    <d v="2022-08-21T00:00:00"/>
    <d v="2023-07-14T00:00:00"/>
    <x v="1901"/>
    <n v="4012.75"/>
    <n v="6839"/>
    <s v="NA"/>
    <n v="10"/>
    <d v="2023-07-14T00:00:00"/>
    <n v="1"/>
    <n v="2533"/>
    <n v="1.05"/>
    <s v="Outlier"/>
    <n v="2023"/>
    <s v="July"/>
  </r>
  <r>
    <n v="4234"/>
    <x v="54"/>
    <x v="0"/>
    <s v="East"/>
    <s v="Standard"/>
    <d v="2022-05-06T00:00:00"/>
    <d v="2022-12-07T00:00:00"/>
    <x v="17"/>
    <n v="4012.75"/>
    <n v="-1441"/>
    <s v="NA"/>
    <n v="7"/>
    <d v="2022-12-07T00:00:00"/>
    <n v="0"/>
    <n v="2534"/>
    <n v="-0.28999999999999998"/>
    <s v="Normal"/>
    <n v="2022"/>
    <s v="December"/>
  </r>
  <r>
    <n v="4235"/>
    <x v="90"/>
    <x v="2"/>
    <s v="West"/>
    <s v="Standard"/>
    <d v="2022-01-12T00:00:00"/>
    <d v="2022-06-19T00:00:00"/>
    <x v="1902"/>
    <n v="4012.75"/>
    <n v="577.01"/>
    <s v="NA"/>
    <n v="5"/>
    <d v="2022-06-19T00:00:00"/>
    <n v="0"/>
    <n v="2535"/>
    <n v="0.1"/>
    <s v="Normal"/>
    <n v="2022"/>
    <s v="June"/>
  </r>
  <r>
    <n v="4237"/>
    <x v="396"/>
    <x v="0"/>
    <s v="South"/>
    <s v="Standard"/>
    <d v="2022-09-19T00:00:00"/>
    <d v="2024-04-03T00:00:00"/>
    <x v="1903"/>
    <n v="1174"/>
    <n v="-1089"/>
    <s v="Paid"/>
    <n v="18"/>
    <d v="2024-04-03T00:00:00"/>
    <n v="1"/>
    <n v="2536"/>
    <n v="-12.81"/>
    <s v="Outlier"/>
    <n v="2024"/>
    <s v="April"/>
  </r>
  <r>
    <n v="4238"/>
    <x v="154"/>
    <x v="1"/>
    <s v="West"/>
    <s v="Standard"/>
    <d v="2022-02-20T00:00:00"/>
    <d v="2022-12-25T00:00:00"/>
    <x v="1904"/>
    <n v="4362"/>
    <n v="-4165"/>
    <s v="Overdue"/>
    <n v="10"/>
    <d v="2022-12-25T00:00:00"/>
    <n v="0"/>
    <n v="2537"/>
    <n v="-21.14"/>
    <s v="Outlier"/>
    <n v="2022"/>
    <s v="December"/>
  </r>
  <r>
    <n v="4239"/>
    <x v="130"/>
    <x v="4"/>
    <s v="South"/>
    <s v="Standard"/>
    <d v="2022-08-23T00:00:00"/>
    <d v="2023-11-21T00:00:00"/>
    <x v="432"/>
    <n v="4486"/>
    <n v="577.01"/>
    <s v="Paid"/>
    <n v="14"/>
    <d v="2023-11-21T00:00:00"/>
    <n v="1"/>
    <n v="2538"/>
    <n v="0.11"/>
    <s v="Normal"/>
    <n v="2023"/>
    <s v="November"/>
  </r>
  <r>
    <n v="4240"/>
    <x v="23"/>
    <x v="3"/>
    <s v="North"/>
    <s v="Premium"/>
    <d v="2022-10-22T00:00:00"/>
    <d v="2023-08-18T00:00:00"/>
    <x v="1905"/>
    <n v="4274"/>
    <n v="500"/>
    <s v="Paid"/>
    <n v="9"/>
    <d v="2023-08-18T00:00:00"/>
    <n v="1"/>
    <n v="2539"/>
    <n v="0.1"/>
    <s v="Normal"/>
    <n v="2023"/>
    <s v="August"/>
  </r>
  <r>
    <n v="4241"/>
    <x v="55"/>
    <x v="1"/>
    <s v="South"/>
    <s v="Standard"/>
    <d v="2022-06-26T00:00:00"/>
    <d v="2023-08-08T00:00:00"/>
    <x v="1906"/>
    <n v="6349"/>
    <n v="3613"/>
    <s v="Paid"/>
    <n v="13"/>
    <d v="2023-08-08T00:00:00"/>
    <n v="1"/>
    <n v="2540"/>
    <n v="0.36"/>
    <s v="Normal"/>
    <n v="2023"/>
    <s v="August"/>
  </r>
  <r>
    <n v="4242"/>
    <x v="291"/>
    <x v="0"/>
    <s v="North"/>
    <s v="Basic"/>
    <d v="2022-02-21T00:00:00"/>
    <d v="2022-09-23T00:00:00"/>
    <x v="17"/>
    <n v="1164"/>
    <n v="-1619"/>
    <s v="Paid"/>
    <n v="7"/>
    <d v="2022-09-23T00:00:00"/>
    <n v="1"/>
    <n v="2541"/>
    <n v="-0.33"/>
    <s v="Normal"/>
    <n v="2022"/>
    <s v="September"/>
  </r>
  <r>
    <n v="4245"/>
    <x v="345"/>
    <x v="2"/>
    <s v="West"/>
    <s v="Basic"/>
    <d v="2022-10-28T00:00:00"/>
    <d v="2023-07-09T00:00:00"/>
    <x v="1907"/>
    <n v="4012.75"/>
    <n v="8621"/>
    <s v="Pending"/>
    <n v="8"/>
    <d v="2023-07-09T00:00:00"/>
    <n v="1"/>
    <n v="2542"/>
    <n v="1.02"/>
    <s v="Outlier"/>
    <n v="2023"/>
    <s v="July"/>
  </r>
  <r>
    <n v="4248"/>
    <x v="341"/>
    <x v="1"/>
    <s v="East"/>
    <s v="Premium"/>
    <d v="2022-07-02T00:00:00"/>
    <d v="2023-01-01T00:00:00"/>
    <x v="1908"/>
    <n v="3007"/>
    <n v="-1028"/>
    <s v="Overdue"/>
    <n v="5"/>
    <d v="2023-01-01T00:00:00"/>
    <n v="1"/>
    <n v="2543"/>
    <n v="-0.52"/>
    <s v="Normal"/>
    <n v="2023"/>
    <s v="January"/>
  </r>
  <r>
    <n v="4250"/>
    <x v="286"/>
    <x v="2"/>
    <s v="South"/>
    <s v="Premium"/>
    <d v="2022-08-28T00:00:00"/>
    <d v="2023-06-11T00:00:00"/>
    <x v="328"/>
    <n v="5667"/>
    <n v="-4462"/>
    <s v="Paid"/>
    <n v="9"/>
    <d v="2023-06-11T00:00:00"/>
    <n v="0"/>
    <n v="2544"/>
    <n v="-3.7"/>
    <s v="Outlier"/>
    <n v="2023"/>
    <s v="June"/>
  </r>
  <r>
    <n v="4254"/>
    <x v="342"/>
    <x v="0"/>
    <s v="East"/>
    <s v="Standard"/>
    <d v="2022-05-27T00:00:00"/>
    <d v="2022-07-29T00:00:00"/>
    <x v="1909"/>
    <n v="1201"/>
    <n v="6360"/>
    <s v="Overdue"/>
    <n v="2"/>
    <d v="2022-07-29T00:00:00"/>
    <n v="1"/>
    <n v="2545"/>
    <n v="0.84"/>
    <s v="Normal"/>
    <n v="2022"/>
    <s v="July"/>
  </r>
  <r>
    <n v="4255"/>
    <x v="393"/>
    <x v="0"/>
    <s v="East"/>
    <s v="Standard"/>
    <d v="2022-08-30T00:00:00"/>
    <d v="2023-02-20T00:00:00"/>
    <x v="953"/>
    <n v="2640"/>
    <n v="1640"/>
    <s v="Paid"/>
    <n v="5"/>
    <d v="2023-02-20T00:00:00"/>
    <n v="0"/>
    <n v="2546"/>
    <n v="0.38"/>
    <s v="Normal"/>
    <n v="2023"/>
    <s v="February"/>
  </r>
  <r>
    <n v="4256"/>
    <x v="79"/>
    <x v="4"/>
    <s v="East"/>
    <s v="Basic"/>
    <d v="2022-10-17T00:00:00"/>
    <d v="2023-06-04T00:00:00"/>
    <x v="1910"/>
    <n v="2851"/>
    <n v="4996"/>
    <s v="Overdue"/>
    <n v="7"/>
    <d v="2023-06-04T00:00:00"/>
    <n v="0"/>
    <n v="2547"/>
    <n v="0.64"/>
    <s v="Normal"/>
    <n v="2023"/>
    <s v="June"/>
  </r>
  <r>
    <n v="4257"/>
    <x v="309"/>
    <x v="0"/>
    <s v="South"/>
    <s v="Premium"/>
    <d v="2022-08-14T00:00:00"/>
    <d v="2023-02-11T00:00:00"/>
    <x v="1911"/>
    <n v="7812"/>
    <n v="-3239"/>
    <s v="NA"/>
    <n v="5"/>
    <d v="2023-02-11T00:00:00"/>
    <n v="1"/>
    <n v="2548"/>
    <n v="-0.71"/>
    <s v="Normal"/>
    <n v="2023"/>
    <s v="February"/>
  </r>
  <r>
    <n v="4258"/>
    <x v="296"/>
    <x v="1"/>
    <s v="East"/>
    <s v="Premium"/>
    <d v="2022-10-25T00:00:00"/>
    <d v="2023-08-26T00:00:00"/>
    <x v="482"/>
    <n v="5181"/>
    <n v="-3901"/>
    <s v="Pending"/>
    <n v="10"/>
    <d v="2023-08-26T00:00:00"/>
    <n v="0"/>
    <n v="2549"/>
    <n v="-3.05"/>
    <s v="Outlier"/>
    <n v="2023"/>
    <s v="August"/>
  </r>
  <r>
    <n v="4259"/>
    <x v="40"/>
    <x v="2"/>
    <s v="South"/>
    <s v="Premium"/>
    <d v="2022-06-03T00:00:00"/>
    <d v="2022-12-29T00:00:00"/>
    <x v="1912"/>
    <n v="5801"/>
    <n v="-2675"/>
    <s v="Paid"/>
    <n v="6"/>
    <d v="2022-12-29T00:00:00"/>
    <n v="1"/>
    <n v="2550"/>
    <n v="-0.86"/>
    <s v="Normal"/>
    <n v="2022"/>
    <s v="December"/>
  </r>
  <r>
    <n v="4261"/>
    <x v="232"/>
    <x v="3"/>
    <s v="West"/>
    <s v="Premium"/>
    <d v="2022-11-12T00:00:00"/>
    <d v="2023-12-09T00:00:00"/>
    <x v="1913"/>
    <n v="1510"/>
    <n v="3135"/>
    <s v="Pending"/>
    <n v="12"/>
    <d v="2023-12-09T00:00:00"/>
    <n v="1"/>
    <n v="2551"/>
    <n v="0.67"/>
    <s v="Normal"/>
    <n v="2023"/>
    <s v="December"/>
  </r>
  <r>
    <n v="4264"/>
    <x v="25"/>
    <x v="1"/>
    <s v="West"/>
    <s v="Standard"/>
    <d v="2022-01-01T00:00:00"/>
    <d v="2022-07-27T00:00:00"/>
    <x v="1914"/>
    <n v="6825"/>
    <n v="-6167"/>
    <s v="Pending"/>
    <n v="6"/>
    <d v="2022-07-27T00:00:00"/>
    <n v="1"/>
    <n v="2552"/>
    <n v="-9.3699999999999992"/>
    <s v="Outlier"/>
    <n v="2022"/>
    <s v="July"/>
  </r>
  <r>
    <n v="4265"/>
    <x v="46"/>
    <x v="2"/>
    <s v="East"/>
    <s v="Basic"/>
    <d v="2022-01-06T00:00:00"/>
    <d v="2022-06-24T00:00:00"/>
    <x v="1915"/>
    <n v="2518"/>
    <n v="-381"/>
    <s v="NA"/>
    <n v="5"/>
    <d v="2022-06-24T00:00:00"/>
    <n v="1"/>
    <n v="2553"/>
    <n v="-0.18"/>
    <s v="Normal"/>
    <n v="2022"/>
    <s v="June"/>
  </r>
  <r>
    <n v="4267"/>
    <x v="100"/>
    <x v="1"/>
    <s v="West"/>
    <s v="Basic"/>
    <d v="2022-10-17T00:00:00"/>
    <d v="2023-10-21T00:00:00"/>
    <x v="1736"/>
    <n v="2103"/>
    <n v="5348"/>
    <s v="Overdue"/>
    <n v="12"/>
    <d v="2023-10-21T00:00:00"/>
    <n v="1"/>
    <n v="2554"/>
    <n v="0.72"/>
    <s v="Normal"/>
    <n v="2023"/>
    <s v="October"/>
  </r>
  <r>
    <n v="4269"/>
    <x v="248"/>
    <x v="0"/>
    <s v="South"/>
    <s v="Basic"/>
    <d v="2022-03-31T00:00:00"/>
    <d v="2022-06-21T00:00:00"/>
    <x v="1916"/>
    <n v="7379"/>
    <n v="-6241"/>
    <s v="Pending"/>
    <n v="2"/>
    <d v="2022-06-21T00:00:00"/>
    <n v="1"/>
    <n v="2555"/>
    <n v="-5.48"/>
    <s v="Outlier"/>
    <n v="2022"/>
    <s v="June"/>
  </r>
  <r>
    <n v="4271"/>
    <x v="103"/>
    <x v="0"/>
    <s v="North"/>
    <s v="Basic"/>
    <d v="2022-03-26T00:00:00"/>
    <d v="2023-06-06T00:00:00"/>
    <x v="827"/>
    <n v="3539"/>
    <n v="-3341"/>
    <s v="Overdue"/>
    <n v="14"/>
    <d v="2023-06-06T00:00:00"/>
    <n v="0"/>
    <n v="2556"/>
    <n v="-16.87"/>
    <s v="Outlier"/>
    <n v="2023"/>
    <s v="June"/>
  </r>
  <r>
    <n v="4272"/>
    <x v="343"/>
    <x v="2"/>
    <s v="West"/>
    <s v="Premium"/>
    <d v="2022-12-14T00:00:00"/>
    <d v="2024-08-04T00:00:00"/>
    <x v="357"/>
    <n v="1041"/>
    <n v="1027"/>
    <s v="Pending"/>
    <n v="19"/>
    <d v="2024-08-04T00:00:00"/>
    <n v="0"/>
    <n v="2557"/>
    <n v="0.5"/>
    <s v="Normal"/>
    <n v="2024"/>
    <s v="August"/>
  </r>
  <r>
    <n v="4273"/>
    <x v="213"/>
    <x v="0"/>
    <s v="North"/>
    <s v="Basic"/>
    <d v="2022-02-18T00:00:00"/>
    <d v="2023-01-11T00:00:00"/>
    <x v="1917"/>
    <n v="6495"/>
    <n v="449"/>
    <s v="Paid"/>
    <n v="10"/>
    <d v="2023-01-11T00:00:00"/>
    <n v="0"/>
    <n v="2558"/>
    <n v="0.06"/>
    <s v="Normal"/>
    <n v="2023"/>
    <s v="January"/>
  </r>
  <r>
    <n v="4274"/>
    <x v="154"/>
    <x v="1"/>
    <s v="South"/>
    <s v="Basic"/>
    <d v="2022-07-16T00:00:00"/>
    <d v="2023-06-02T00:00:00"/>
    <x v="1918"/>
    <n v="4012.75"/>
    <n v="10376"/>
    <s v="Overdue"/>
    <n v="10"/>
    <d v="2023-06-02T00:00:00"/>
    <n v="0"/>
    <n v="2559"/>
    <n v="1.08"/>
    <s v="Outlier"/>
    <n v="2023"/>
    <s v="June"/>
  </r>
  <r>
    <n v="4276"/>
    <x v="158"/>
    <x v="0"/>
    <s v="West"/>
    <s v="Standard"/>
    <d v="2022-12-18T00:00:00"/>
    <d v="2023-03-23T00:00:00"/>
    <x v="1919"/>
    <n v="5444"/>
    <n v="2776"/>
    <s v="Paid"/>
    <n v="3"/>
    <d v="2023-03-23T00:00:00"/>
    <n v="1"/>
    <n v="2560"/>
    <n v="0.34"/>
    <s v="Normal"/>
    <n v="2023"/>
    <s v="March"/>
  </r>
  <r>
    <n v="4277"/>
    <x v="214"/>
    <x v="3"/>
    <s v="North"/>
    <s v="Premium"/>
    <d v="2022-03-21T00:00:00"/>
    <d v="2023-04-03T00:00:00"/>
    <x v="1920"/>
    <n v="4012.75"/>
    <n v="1205"/>
    <s v="Paid"/>
    <n v="12"/>
    <d v="2023-04-03T00:00:00"/>
    <n v="1"/>
    <n v="2561"/>
    <n v="3.57"/>
    <s v="Outlier"/>
    <n v="2023"/>
    <s v="April"/>
  </r>
  <r>
    <n v="4278"/>
    <x v="52"/>
    <x v="4"/>
    <s v="West"/>
    <s v="Premium"/>
    <d v="2022-09-06T00:00:00"/>
    <d v="2023-03-17T00:00:00"/>
    <x v="1921"/>
    <n v="3905"/>
    <n v="-1887"/>
    <s v="Overdue"/>
    <n v="6"/>
    <d v="2023-03-17T00:00:00"/>
    <n v="1"/>
    <n v="2562"/>
    <n v="-0.94"/>
    <s v="Normal"/>
    <n v="2023"/>
    <s v="March"/>
  </r>
  <r>
    <n v="4281"/>
    <x v="295"/>
    <x v="2"/>
    <s v="South"/>
    <s v="Standard"/>
    <d v="2022-01-22T00:00:00"/>
    <d v="2023-03-14T00:00:00"/>
    <x v="1922"/>
    <n v="4390"/>
    <n v="-2385"/>
    <s v="Paid"/>
    <n v="13"/>
    <d v="2023-03-14T00:00:00"/>
    <n v="1"/>
    <n v="2563"/>
    <n v="-1.19"/>
    <s v="Outlier"/>
    <n v="2023"/>
    <s v="March"/>
  </r>
  <r>
    <n v="4282"/>
    <x v="348"/>
    <x v="0"/>
    <s v="North"/>
    <s v="Basic"/>
    <d v="2022-03-07T00:00:00"/>
    <d v="2022-07-11T00:00:00"/>
    <x v="1923"/>
    <n v="6652"/>
    <n v="2040"/>
    <s v="Paid"/>
    <n v="4"/>
    <d v="2022-07-11T00:00:00"/>
    <n v="1"/>
    <n v="2564"/>
    <n v="0.23"/>
    <s v="Normal"/>
    <n v="2022"/>
    <s v="July"/>
  </r>
  <r>
    <n v="4283"/>
    <x v="205"/>
    <x v="1"/>
    <s v="North"/>
    <s v="Basic"/>
    <d v="2022-09-08T00:00:00"/>
    <d v="2024-04-04T00:00:00"/>
    <x v="1924"/>
    <n v="1095"/>
    <n v="3716"/>
    <s v="Pending"/>
    <n v="18"/>
    <d v="2024-04-04T00:00:00"/>
    <n v="0"/>
    <n v="2565"/>
    <n v="0.77"/>
    <s v="Normal"/>
    <n v="2024"/>
    <s v="April"/>
  </r>
  <r>
    <n v="4284"/>
    <x v="394"/>
    <x v="0"/>
    <s v="North"/>
    <s v="Basic"/>
    <d v="2022-02-07T00:00:00"/>
    <d v="2023-01-28T00:00:00"/>
    <x v="1925"/>
    <n v="2960"/>
    <n v="577.01"/>
    <s v="Paid"/>
    <n v="11"/>
    <d v="2023-01-28T00:00:00"/>
    <n v="1"/>
    <n v="2566"/>
    <n v="7.0000000000000007E-2"/>
    <s v="Normal"/>
    <n v="2023"/>
    <s v="January"/>
  </r>
  <r>
    <n v="4287"/>
    <x v="76"/>
    <x v="0"/>
    <s v="East"/>
    <s v="Basic"/>
    <d v="2022-08-19T00:00:00"/>
    <d v="2023-08-10T00:00:00"/>
    <x v="17"/>
    <n v="1253"/>
    <n v="-2790"/>
    <s v="Overdue"/>
    <n v="11"/>
    <d v="2023-08-10T00:00:00"/>
    <n v="0"/>
    <n v="2567"/>
    <n v="-0.56000000000000005"/>
    <s v="Normal"/>
    <n v="2023"/>
    <s v="August"/>
  </r>
  <r>
    <n v="4288"/>
    <x v="369"/>
    <x v="3"/>
    <s v="South"/>
    <s v="Premium"/>
    <d v="2022-06-04T00:00:00"/>
    <d v="2022-11-22T00:00:00"/>
    <x v="1926"/>
    <n v="4012.75"/>
    <n v="4080"/>
    <s v="Overdue"/>
    <n v="5"/>
    <d v="2022-11-22T00:00:00"/>
    <n v="1"/>
    <n v="2568"/>
    <n v="1.1000000000000001"/>
    <s v="Outlier"/>
    <n v="2022"/>
    <s v="November"/>
  </r>
  <r>
    <n v="4290"/>
    <x v="228"/>
    <x v="1"/>
    <s v="West"/>
    <s v="Basic"/>
    <d v="2022-05-24T00:00:00"/>
    <d v="2024-01-13T00:00:00"/>
    <x v="1927"/>
    <n v="3099"/>
    <n v="5680"/>
    <s v="Paid"/>
    <n v="19"/>
    <d v="2024-01-13T00:00:00"/>
    <n v="1"/>
    <n v="2569"/>
    <n v="0.65"/>
    <s v="Normal"/>
    <n v="2024"/>
    <s v="January"/>
  </r>
  <r>
    <n v="4291"/>
    <x v="118"/>
    <x v="3"/>
    <s v="South"/>
    <s v="Standard"/>
    <d v="2022-11-01T00:00:00"/>
    <d v="2023-01-18T00:00:00"/>
    <x v="1928"/>
    <n v="1911"/>
    <n v="7033"/>
    <s v="Paid"/>
    <n v="2"/>
    <d v="2023-01-18T00:00:00"/>
    <n v="0"/>
    <n v="2570"/>
    <n v="0.79"/>
    <s v="Normal"/>
    <n v="2023"/>
    <s v="January"/>
  </r>
  <r>
    <n v="4292"/>
    <x v="86"/>
    <x v="3"/>
    <s v="East"/>
    <s v="Basic"/>
    <d v="2022-04-19T00:00:00"/>
    <d v="2022-08-28T00:00:00"/>
    <x v="1046"/>
    <n v="6397"/>
    <n v="2609"/>
    <s v="Overdue"/>
    <n v="4"/>
    <d v="2022-08-28T00:00:00"/>
    <n v="1"/>
    <n v="2571"/>
    <n v="0.28999999999999998"/>
    <s v="Normal"/>
    <n v="2022"/>
    <s v="August"/>
  </r>
  <r>
    <n v="4293"/>
    <x v="193"/>
    <x v="0"/>
    <s v="South"/>
    <s v="Premium"/>
    <d v="2022-03-01T00:00:00"/>
    <d v="2022-06-03T00:00:00"/>
    <x v="1929"/>
    <n v="7568"/>
    <n v="-2205"/>
    <s v="NA"/>
    <n v="3"/>
    <d v="2022-06-03T00:00:00"/>
    <n v="1"/>
    <n v="2572"/>
    <n v="-0.41"/>
    <s v="Normal"/>
    <n v="2022"/>
    <s v="June"/>
  </r>
  <r>
    <n v="4295"/>
    <x v="62"/>
    <x v="1"/>
    <s v="East"/>
    <s v="Standard"/>
    <d v="2022-02-02T00:00:00"/>
    <d v="2023-09-20T00:00:00"/>
    <x v="1732"/>
    <n v="4659"/>
    <n v="-4347"/>
    <s v="Overdue"/>
    <n v="19"/>
    <d v="2023-09-20T00:00:00"/>
    <n v="1"/>
    <n v="2573"/>
    <n v="-13.93"/>
    <s v="Outlier"/>
    <n v="2023"/>
    <s v="September"/>
  </r>
  <r>
    <n v="4298"/>
    <x v="399"/>
    <x v="2"/>
    <s v="South"/>
    <s v="Basic"/>
    <d v="2022-10-01T00:00:00"/>
    <d v="2023-01-07T00:00:00"/>
    <x v="1930"/>
    <n v="3254"/>
    <n v="3747"/>
    <s v="Overdue"/>
    <n v="3"/>
    <d v="2023-01-07T00:00:00"/>
    <n v="0"/>
    <n v="2574"/>
    <n v="0.54"/>
    <s v="Normal"/>
    <n v="2023"/>
    <s v="January"/>
  </r>
  <r>
    <n v="4300"/>
    <x v="269"/>
    <x v="4"/>
    <s v="North"/>
    <s v="Basic"/>
    <d v="2022-12-27T00:00:00"/>
    <d v="2024-04-22T00:00:00"/>
    <x v="1931"/>
    <n v="2947"/>
    <n v="-2025"/>
    <s v="Paid"/>
    <n v="15"/>
    <d v="2024-04-22T00:00:00"/>
    <n v="0"/>
    <n v="2575"/>
    <n v="-2.2000000000000002"/>
    <s v="Outlier"/>
    <n v="2024"/>
    <s v="April"/>
  </r>
  <r>
    <n v="4301"/>
    <x v="237"/>
    <x v="0"/>
    <s v="North"/>
    <s v="Basic"/>
    <d v="2022-03-20T00:00:00"/>
    <d v="2022-05-12T00:00:00"/>
    <x v="1932"/>
    <n v="3844"/>
    <n v="3763"/>
    <s v="Paid"/>
    <n v="1"/>
    <d v="2022-05-12T00:00:00"/>
    <n v="1"/>
    <n v="2576"/>
    <n v="0.49"/>
    <s v="Normal"/>
    <n v="2022"/>
    <s v="May"/>
  </r>
  <r>
    <n v="4302"/>
    <x v="107"/>
    <x v="1"/>
    <s v="West"/>
    <s v="Basic"/>
    <d v="2022-09-26T00:00:00"/>
    <d v="2023-06-22T00:00:00"/>
    <x v="1933"/>
    <n v="4012.75"/>
    <n v="6095"/>
    <s v="Pending"/>
    <n v="8"/>
    <d v="2023-06-22T00:00:00"/>
    <n v="0"/>
    <n v="2577"/>
    <n v="1.07"/>
    <s v="Outlier"/>
    <n v="2023"/>
    <s v="June"/>
  </r>
  <r>
    <n v="4303"/>
    <x v="142"/>
    <x v="1"/>
    <s v="West"/>
    <s v="Standard"/>
    <d v="2022-06-19T00:00:00"/>
    <d v="2023-04-30T00:00:00"/>
    <x v="1934"/>
    <n v="4545"/>
    <n v="3128"/>
    <s v="Pending"/>
    <n v="10"/>
    <d v="2023-04-30T00:00:00"/>
    <n v="1"/>
    <n v="2578"/>
    <n v="0.41"/>
    <s v="Normal"/>
    <n v="2023"/>
    <s v="April"/>
  </r>
  <r>
    <n v="4304"/>
    <x v="202"/>
    <x v="2"/>
    <s v="South"/>
    <s v="Standard"/>
    <d v="2022-12-26T00:00:00"/>
    <d v="2024-03-10T00:00:00"/>
    <x v="1935"/>
    <n v="4749"/>
    <n v="4050"/>
    <s v="Paid"/>
    <n v="14"/>
    <d v="2024-03-10T00:00:00"/>
    <n v="0"/>
    <n v="2579"/>
    <n v="0.46"/>
    <s v="Normal"/>
    <n v="2024"/>
    <s v="March"/>
  </r>
  <r>
    <n v="4308"/>
    <x v="64"/>
    <x v="2"/>
    <s v="West"/>
    <s v="Standard"/>
    <d v="2022-01-28T00:00:00"/>
    <d v="2022-11-22T00:00:00"/>
    <x v="1936"/>
    <n v="1086"/>
    <n v="8356"/>
    <s v="Paid"/>
    <n v="9"/>
    <d v="2022-11-22T00:00:00"/>
    <n v="1"/>
    <n v="2580"/>
    <n v="0.88"/>
    <s v="Normal"/>
    <n v="2022"/>
    <s v="November"/>
  </r>
  <r>
    <n v="4309"/>
    <x v="122"/>
    <x v="2"/>
    <s v="South"/>
    <s v="Standard"/>
    <d v="2022-09-18T00:00:00"/>
    <d v="2022-11-03T00:00:00"/>
    <x v="1937"/>
    <n v="2998"/>
    <n v="1363"/>
    <s v="Overdue"/>
    <n v="1"/>
    <d v="2022-11-03T00:00:00"/>
    <n v="0"/>
    <n v="2581"/>
    <n v="0.31"/>
    <s v="Normal"/>
    <n v="2022"/>
    <s v="November"/>
  </r>
  <r>
    <n v="4311"/>
    <x v="213"/>
    <x v="3"/>
    <s v="East"/>
    <s v="Basic"/>
    <d v="2022-09-04T00:00:00"/>
    <d v="2023-04-10T00:00:00"/>
    <x v="1938"/>
    <n v="4012.75"/>
    <n v="3427"/>
    <s v="Paid"/>
    <n v="7"/>
    <d v="2023-04-10T00:00:00"/>
    <n v="1"/>
    <n v="2582"/>
    <n v="1.07"/>
    <s v="Outlier"/>
    <n v="2023"/>
    <s v="April"/>
  </r>
  <r>
    <n v="4313"/>
    <x v="55"/>
    <x v="3"/>
    <s v="South"/>
    <s v="Premium"/>
    <d v="2022-02-18T00:00:00"/>
    <d v="2023-01-25T00:00:00"/>
    <x v="1939"/>
    <n v="6830"/>
    <n v="-4254"/>
    <s v="Pending"/>
    <n v="11"/>
    <d v="2023-01-25T00:00:00"/>
    <n v="1"/>
    <n v="2583"/>
    <n v="-1.65"/>
    <s v="Outlier"/>
    <n v="2023"/>
    <s v="January"/>
  </r>
  <r>
    <n v="4314"/>
    <x v="385"/>
    <x v="4"/>
    <s v="South"/>
    <s v="Basic"/>
    <d v="2022-09-09T00:00:00"/>
    <d v="2024-01-24T00:00:00"/>
    <x v="17"/>
    <n v="7432"/>
    <n v="-9254"/>
    <s v="Paid"/>
    <n v="16"/>
    <d v="2024-01-24T00:00:00"/>
    <n v="1"/>
    <n v="2584"/>
    <n v="-1.86"/>
    <s v="Outlier"/>
    <n v="2024"/>
    <s v="January"/>
  </r>
  <r>
    <n v="4316"/>
    <x v="339"/>
    <x v="1"/>
    <s v="West"/>
    <s v="Standard"/>
    <d v="2022-09-06T00:00:00"/>
    <d v="2024-02-11T00:00:00"/>
    <x v="1940"/>
    <n v="4058"/>
    <n v="1799"/>
    <s v="Pending"/>
    <n v="17"/>
    <d v="2024-02-11T00:00:00"/>
    <n v="0"/>
    <n v="2585"/>
    <n v="0.31"/>
    <s v="Normal"/>
    <n v="2024"/>
    <s v="February"/>
  </r>
  <r>
    <n v="4317"/>
    <x v="147"/>
    <x v="4"/>
    <s v="South"/>
    <s v="Premium"/>
    <d v="2022-12-30T00:00:00"/>
    <d v="2023-09-21T00:00:00"/>
    <x v="967"/>
    <n v="7000"/>
    <n v="-3438"/>
    <s v="Paid"/>
    <n v="8"/>
    <d v="2023-09-21T00:00:00"/>
    <n v="0"/>
    <n v="2586"/>
    <n v="-0.97"/>
    <s v="Normal"/>
    <n v="2023"/>
    <s v="September"/>
  </r>
  <r>
    <n v="4318"/>
    <x v="162"/>
    <x v="2"/>
    <s v="North"/>
    <s v="Basic"/>
    <d v="2022-06-08T00:00:00"/>
    <d v="2022-12-19T00:00:00"/>
    <x v="1941"/>
    <n v="1251"/>
    <n v="2403"/>
    <s v="NA"/>
    <n v="6"/>
    <d v="2022-12-19T00:00:00"/>
    <n v="0"/>
    <n v="2587"/>
    <n v="0.66"/>
    <s v="Normal"/>
    <n v="2022"/>
    <s v="December"/>
  </r>
  <r>
    <n v="4319"/>
    <x v="235"/>
    <x v="0"/>
    <s v="North"/>
    <s v="Basic"/>
    <d v="2022-07-15T00:00:00"/>
    <d v="2023-05-24T00:00:00"/>
    <x v="1816"/>
    <n v="4748"/>
    <n v="-2233"/>
    <s v="Paid"/>
    <n v="10"/>
    <d v="2023-05-24T00:00:00"/>
    <n v="0"/>
    <n v="2588"/>
    <n v="-0.89"/>
    <s v="Normal"/>
    <n v="2023"/>
    <s v="May"/>
  </r>
  <r>
    <n v="4320"/>
    <x v="295"/>
    <x v="0"/>
    <s v="South"/>
    <s v="Basic"/>
    <d v="2022-04-09T00:00:00"/>
    <d v="2023-01-07T00:00:00"/>
    <x v="17"/>
    <n v="41"/>
    <n v="-1297"/>
    <s v="Paid"/>
    <n v="8"/>
    <d v="2023-01-07T00:00:00"/>
    <n v="1"/>
    <n v="2589"/>
    <n v="-0.26"/>
    <s v="Normal"/>
    <n v="2023"/>
    <s v="January"/>
  </r>
  <r>
    <n v="4323"/>
    <x v="138"/>
    <x v="1"/>
    <s v="South"/>
    <s v="Basic"/>
    <d v="2022-08-15T00:00:00"/>
    <d v="2023-07-28T00:00:00"/>
    <x v="968"/>
    <n v="6598"/>
    <n v="-6433"/>
    <s v="NA"/>
    <n v="11"/>
    <d v="2023-07-28T00:00:00"/>
    <n v="0"/>
    <n v="2590"/>
    <n v="-38.99"/>
    <s v="Outlier"/>
    <n v="2023"/>
    <s v="July"/>
  </r>
  <r>
    <n v="4324"/>
    <x v="227"/>
    <x v="3"/>
    <s v="North"/>
    <s v="Basic"/>
    <d v="2022-07-25T00:00:00"/>
    <d v="2024-01-21T00:00:00"/>
    <x v="1942"/>
    <n v="7875"/>
    <n v="1328"/>
    <s v="NA"/>
    <n v="17"/>
    <d v="2024-01-21T00:00:00"/>
    <n v="0"/>
    <n v="2591"/>
    <n v="0.14000000000000001"/>
    <s v="Normal"/>
    <n v="2024"/>
    <s v="January"/>
  </r>
  <r>
    <n v="4325"/>
    <x v="53"/>
    <x v="4"/>
    <s v="West"/>
    <s v="Basic"/>
    <d v="2022-05-04T00:00:00"/>
    <d v="2023-04-22T00:00:00"/>
    <x v="17"/>
    <n v="295"/>
    <n v="-2184"/>
    <s v="NA"/>
    <n v="11"/>
    <d v="2023-04-22T00:00:00"/>
    <n v="1"/>
    <n v="2592"/>
    <n v="-0.44"/>
    <s v="Normal"/>
    <n v="2023"/>
    <s v="April"/>
  </r>
  <r>
    <n v="4326"/>
    <x v="337"/>
    <x v="1"/>
    <s v="West"/>
    <s v="Standard"/>
    <d v="2022-06-22T00:00:00"/>
    <d v="2022-10-30T00:00:00"/>
    <x v="1006"/>
    <n v="100"/>
    <n v="885"/>
    <s v="Pending"/>
    <n v="4"/>
    <d v="2022-10-30T00:00:00"/>
    <n v="1"/>
    <n v="2593"/>
    <n v="0.9"/>
    <s v="Normal"/>
    <n v="2022"/>
    <s v="October"/>
  </r>
  <r>
    <n v="4327"/>
    <x v="317"/>
    <x v="2"/>
    <s v="East"/>
    <s v="Premium"/>
    <d v="2022-02-20T00:00:00"/>
    <d v="2022-11-20T00:00:00"/>
    <x v="1943"/>
    <n v="3918"/>
    <n v="5567"/>
    <s v="Pending"/>
    <n v="9"/>
    <d v="2022-11-20T00:00:00"/>
    <n v="0"/>
    <n v="2594"/>
    <n v="0.59"/>
    <s v="Normal"/>
    <n v="2022"/>
    <s v="November"/>
  </r>
  <r>
    <n v="4328"/>
    <x v="372"/>
    <x v="0"/>
    <s v="West"/>
    <s v="Standard"/>
    <d v="2022-06-03T00:00:00"/>
    <d v="2023-12-16T00:00:00"/>
    <x v="1944"/>
    <n v="4400"/>
    <n v="-2270"/>
    <s v="NA"/>
    <n v="18"/>
    <d v="2023-12-16T00:00:00"/>
    <n v="0"/>
    <n v="2595"/>
    <n v="-1.07"/>
    <s v="Outlier"/>
    <n v="2023"/>
    <s v="December"/>
  </r>
  <r>
    <n v="4330"/>
    <x v="235"/>
    <x v="3"/>
    <s v="North"/>
    <s v="Basic"/>
    <d v="2022-03-31T00:00:00"/>
    <d v="2023-03-25T00:00:00"/>
    <x v="1945"/>
    <n v="3603"/>
    <n v="-3535"/>
    <s v="Paid"/>
    <n v="11"/>
    <d v="2023-03-25T00:00:00"/>
    <n v="1"/>
    <n v="2596"/>
    <n v="-51.99"/>
    <s v="Outlier"/>
    <n v="2023"/>
    <s v="March"/>
  </r>
  <r>
    <n v="4331"/>
    <x v="292"/>
    <x v="0"/>
    <s v="North"/>
    <s v="Standard"/>
    <d v="2022-10-29T00:00:00"/>
    <d v="2023-03-21T00:00:00"/>
    <x v="1946"/>
    <n v="6223"/>
    <n v="107"/>
    <s v="Paid"/>
    <n v="4"/>
    <d v="2023-03-21T00:00:00"/>
    <n v="0"/>
    <n v="2597"/>
    <n v="0.02"/>
    <s v="Normal"/>
    <n v="2023"/>
    <s v="March"/>
  </r>
  <r>
    <n v="4334"/>
    <x v="255"/>
    <x v="0"/>
    <s v="West"/>
    <s v="Premium"/>
    <d v="2022-12-03T00:00:00"/>
    <d v="2023-10-01T00:00:00"/>
    <x v="1947"/>
    <n v="737"/>
    <n v="9207"/>
    <s v="Paid"/>
    <n v="9"/>
    <d v="2023-10-01T00:00:00"/>
    <n v="1"/>
    <n v="2598"/>
    <n v="0.93"/>
    <s v="Normal"/>
    <n v="2023"/>
    <s v="October"/>
  </r>
  <r>
    <n v="4335"/>
    <x v="48"/>
    <x v="1"/>
    <s v="West"/>
    <s v="Basic"/>
    <d v="2022-09-02T00:00:00"/>
    <d v="2023-01-13T00:00:00"/>
    <x v="1948"/>
    <n v="7776"/>
    <n v="-3319"/>
    <s v="Overdue"/>
    <n v="4"/>
    <d v="2023-01-13T00:00:00"/>
    <n v="1"/>
    <n v="2599"/>
    <n v="-0.74"/>
    <s v="Normal"/>
    <n v="2023"/>
    <s v="January"/>
  </r>
  <r>
    <n v="4337"/>
    <x v="347"/>
    <x v="1"/>
    <s v="East"/>
    <s v="Premium"/>
    <d v="2022-08-18T00:00:00"/>
    <d v="2023-05-09T00:00:00"/>
    <x v="1949"/>
    <n v="2802"/>
    <n v="2384"/>
    <s v="Overdue"/>
    <n v="8"/>
    <d v="2023-05-09T00:00:00"/>
    <n v="1"/>
    <n v="2600"/>
    <n v="0.46"/>
    <s v="Normal"/>
    <n v="2023"/>
    <s v="May"/>
  </r>
  <r>
    <n v="4338"/>
    <x v="331"/>
    <x v="3"/>
    <s v="East"/>
    <s v="Basic"/>
    <d v="2022-03-28T00:00:00"/>
    <d v="2023-07-17T00:00:00"/>
    <x v="1950"/>
    <n v="6791"/>
    <n v="-6273"/>
    <s v="Overdue"/>
    <n v="15"/>
    <d v="2023-07-17T00:00:00"/>
    <n v="1"/>
    <n v="2601"/>
    <n v="-12.11"/>
    <s v="Outlier"/>
    <n v="2023"/>
    <s v="July"/>
  </r>
  <r>
    <n v="4340"/>
    <x v="244"/>
    <x v="3"/>
    <s v="South"/>
    <s v="Premium"/>
    <d v="2022-11-05T00:00:00"/>
    <d v="2023-06-22T00:00:00"/>
    <x v="1951"/>
    <n v="7798"/>
    <n v="-4738"/>
    <s v="Pending"/>
    <n v="7"/>
    <d v="2023-06-22T00:00:00"/>
    <n v="0"/>
    <n v="2602"/>
    <n v="-1.55"/>
    <s v="Outlier"/>
    <n v="2023"/>
    <s v="June"/>
  </r>
  <r>
    <n v="4341"/>
    <x v="341"/>
    <x v="4"/>
    <s v="North"/>
    <s v="Premium"/>
    <d v="2022-05-22T00:00:00"/>
    <d v="2022-08-14T00:00:00"/>
    <x v="17"/>
    <n v="6151"/>
    <n v="-7446"/>
    <s v="NA"/>
    <n v="2"/>
    <d v="2022-08-14T00:00:00"/>
    <n v="1"/>
    <n v="2603"/>
    <n v="-1.5"/>
    <s v="Outlier"/>
    <n v="2022"/>
    <s v="August"/>
  </r>
  <r>
    <n v="4342"/>
    <x v="376"/>
    <x v="3"/>
    <s v="West"/>
    <s v="Premium"/>
    <d v="2022-02-22T00:00:00"/>
    <d v="2022-11-03T00:00:00"/>
    <x v="1952"/>
    <n v="4012.75"/>
    <n v="577.01"/>
    <s v="Overdue"/>
    <n v="8"/>
    <d v="2022-11-03T00:00:00"/>
    <n v="1"/>
    <n v="2604"/>
    <n v="0.33"/>
    <s v="Normal"/>
    <n v="2022"/>
    <s v="November"/>
  </r>
  <r>
    <n v="4343"/>
    <x v="37"/>
    <x v="1"/>
    <s v="East"/>
    <s v="Standard"/>
    <d v="2022-09-12T00:00:00"/>
    <d v="2023-11-09T00:00:00"/>
    <x v="1953"/>
    <n v="1257"/>
    <n v="287"/>
    <s v="Overdue"/>
    <n v="13"/>
    <d v="2023-11-09T00:00:00"/>
    <n v="1"/>
    <n v="2605"/>
    <n v="0.19"/>
    <s v="Normal"/>
    <n v="2023"/>
    <s v="November"/>
  </r>
  <r>
    <n v="4344"/>
    <x v="9"/>
    <x v="2"/>
    <s v="North"/>
    <s v="Basic"/>
    <d v="2022-09-24T00:00:00"/>
    <d v="2023-05-19T00:00:00"/>
    <x v="1954"/>
    <n v="7110"/>
    <n v="1932"/>
    <s v="NA"/>
    <n v="7"/>
    <d v="2023-05-19T00:00:00"/>
    <n v="0"/>
    <n v="2606"/>
    <n v="0.21"/>
    <s v="Normal"/>
    <n v="2023"/>
    <s v="May"/>
  </r>
  <r>
    <n v="4345"/>
    <x v="324"/>
    <x v="0"/>
    <s v="West"/>
    <s v="Basic"/>
    <d v="2022-11-23T00:00:00"/>
    <d v="2023-03-07T00:00:00"/>
    <x v="1955"/>
    <n v="4012.75"/>
    <n v="2490"/>
    <s v="Paid"/>
    <n v="3"/>
    <d v="2023-03-07T00:00:00"/>
    <n v="1"/>
    <n v="2607"/>
    <n v="1.04"/>
    <s v="Outlier"/>
    <n v="2023"/>
    <s v="March"/>
  </r>
  <r>
    <n v="4347"/>
    <x v="125"/>
    <x v="0"/>
    <s v="South"/>
    <s v="Standard"/>
    <d v="2022-12-30T00:00:00"/>
    <d v="2023-09-27T00:00:00"/>
    <x v="1956"/>
    <n v="4196"/>
    <n v="-2583"/>
    <s v="Overdue"/>
    <n v="8"/>
    <d v="2023-09-27T00:00:00"/>
    <n v="0"/>
    <n v="2608"/>
    <n v="-1.6"/>
    <s v="Outlier"/>
    <n v="2023"/>
    <s v="September"/>
  </r>
  <r>
    <n v="4348"/>
    <x v="396"/>
    <x v="4"/>
    <s v="East"/>
    <s v="Basic"/>
    <d v="2022-12-05T00:00:00"/>
    <d v="2023-08-09T00:00:00"/>
    <x v="1758"/>
    <n v="7826"/>
    <n v="-2517"/>
    <s v="Pending"/>
    <n v="8"/>
    <d v="2023-08-09T00:00:00"/>
    <n v="1"/>
    <n v="2609"/>
    <n v="-0.47"/>
    <s v="Normal"/>
    <n v="2023"/>
    <s v="August"/>
  </r>
  <r>
    <n v="4349"/>
    <x v="344"/>
    <x v="4"/>
    <s v="South"/>
    <s v="Premium"/>
    <d v="2022-03-13T00:00:00"/>
    <d v="2023-10-17T00:00:00"/>
    <x v="1957"/>
    <n v="2114"/>
    <n v="-1527"/>
    <s v="NA"/>
    <n v="19"/>
    <d v="2023-10-17T00:00:00"/>
    <n v="1"/>
    <n v="2610"/>
    <n v="-2.6"/>
    <s v="Outlier"/>
    <n v="2023"/>
    <s v="October"/>
  </r>
  <r>
    <n v="4351"/>
    <x v="140"/>
    <x v="1"/>
    <s v="North"/>
    <s v="Standard"/>
    <d v="2022-09-30T00:00:00"/>
    <d v="2024-05-15T00:00:00"/>
    <x v="17"/>
    <n v="5695"/>
    <n v="-5842"/>
    <s v="Paid"/>
    <n v="19"/>
    <d v="2024-05-15T00:00:00"/>
    <n v="0"/>
    <n v="2611"/>
    <n v="-1.18"/>
    <s v="Outlier"/>
    <n v="2024"/>
    <s v="May"/>
  </r>
  <r>
    <n v="4353"/>
    <x v="347"/>
    <x v="1"/>
    <s v="North"/>
    <s v="Premium"/>
    <d v="2022-09-07T00:00:00"/>
    <d v="2023-02-28T00:00:00"/>
    <x v="676"/>
    <n v="1142"/>
    <n v="551"/>
    <s v="Overdue"/>
    <n v="5"/>
    <d v="2023-02-28T00:00:00"/>
    <n v="0"/>
    <n v="2612"/>
    <n v="0.33"/>
    <s v="Normal"/>
    <n v="2023"/>
    <s v="February"/>
  </r>
  <r>
    <n v="4357"/>
    <x v="306"/>
    <x v="4"/>
    <s v="North"/>
    <s v="Standard"/>
    <d v="2022-10-07T00:00:00"/>
    <d v="2023-06-22T00:00:00"/>
    <x v="1958"/>
    <n v="1700"/>
    <n v="577.01"/>
    <s v="Overdue"/>
    <n v="8"/>
    <d v="2023-06-22T00:00:00"/>
    <n v="1"/>
    <n v="2613"/>
    <n v="0.39"/>
    <s v="Normal"/>
    <n v="2023"/>
    <s v="June"/>
  </r>
  <r>
    <n v="4358"/>
    <x v="129"/>
    <x v="0"/>
    <s v="South"/>
    <s v="Premium"/>
    <d v="2022-04-03T00:00:00"/>
    <d v="2023-02-25T00:00:00"/>
    <x v="1959"/>
    <n v="2944"/>
    <n v="577.01"/>
    <s v="NA"/>
    <n v="10"/>
    <d v="2023-02-25T00:00:00"/>
    <n v="1"/>
    <n v="2614"/>
    <n v="0.18"/>
    <s v="Normal"/>
    <n v="2023"/>
    <s v="February"/>
  </r>
  <r>
    <n v="4359"/>
    <x v="61"/>
    <x v="1"/>
    <s v="South"/>
    <s v="Basic"/>
    <d v="2022-03-17T00:00:00"/>
    <d v="2023-07-17T00:00:00"/>
    <x v="1960"/>
    <n v="3788"/>
    <n v="5051"/>
    <s v="Overdue"/>
    <n v="16"/>
    <d v="2023-07-17T00:00:00"/>
    <n v="1"/>
    <n v="2615"/>
    <n v="0.56999999999999995"/>
    <s v="Normal"/>
    <n v="2023"/>
    <s v="July"/>
  </r>
  <r>
    <n v="4361"/>
    <x v="105"/>
    <x v="2"/>
    <s v="South"/>
    <s v="Basic"/>
    <d v="2022-01-25T00:00:00"/>
    <d v="2023-01-05T00:00:00"/>
    <x v="1961"/>
    <n v="2386"/>
    <n v="577.01"/>
    <s v="Pending"/>
    <n v="11"/>
    <d v="2023-01-05T00:00:00"/>
    <n v="0"/>
    <n v="2616"/>
    <n v="0.33"/>
    <s v="Normal"/>
    <n v="2023"/>
    <s v="January"/>
  </r>
  <r>
    <n v="4362"/>
    <x v="21"/>
    <x v="2"/>
    <s v="West"/>
    <s v="Premium"/>
    <d v="2022-06-15T00:00:00"/>
    <d v="2023-02-12T00:00:00"/>
    <x v="1684"/>
    <n v="1383"/>
    <n v="3814"/>
    <s v="Pending"/>
    <n v="7"/>
    <d v="2023-02-12T00:00:00"/>
    <n v="1"/>
    <n v="2617"/>
    <n v="0.73"/>
    <s v="Normal"/>
    <n v="2023"/>
    <s v="February"/>
  </r>
  <r>
    <n v="4367"/>
    <x v="265"/>
    <x v="2"/>
    <s v="West"/>
    <s v="Standard"/>
    <d v="2022-09-08T00:00:00"/>
    <d v="2023-05-15T00:00:00"/>
    <x v="1962"/>
    <n v="6475"/>
    <n v="-2011"/>
    <s v="Pending"/>
    <n v="8"/>
    <d v="2023-05-15T00:00:00"/>
    <n v="1"/>
    <n v="2618"/>
    <n v="-0.45"/>
    <s v="Normal"/>
    <n v="2023"/>
    <s v="May"/>
  </r>
  <r>
    <n v="4368"/>
    <x v="62"/>
    <x v="4"/>
    <s v="North"/>
    <s v="Standard"/>
    <d v="2022-02-07T00:00:00"/>
    <d v="2023-01-06T00:00:00"/>
    <x v="1963"/>
    <n v="1322"/>
    <n v="577.01"/>
    <s v="Pending"/>
    <n v="10"/>
    <d v="2023-01-06T00:00:00"/>
    <n v="1"/>
    <n v="2619"/>
    <n v="7.0000000000000007E-2"/>
    <s v="Normal"/>
    <n v="2023"/>
    <s v="January"/>
  </r>
  <r>
    <n v="4369"/>
    <x v="396"/>
    <x v="4"/>
    <s v="North"/>
    <s v="Premium"/>
    <d v="2022-09-27T00:00:00"/>
    <d v="2023-05-21T00:00:00"/>
    <x v="1964"/>
    <n v="746"/>
    <n v="3934"/>
    <s v="Overdue"/>
    <n v="7"/>
    <d v="2023-05-21T00:00:00"/>
    <n v="1"/>
    <n v="2620"/>
    <n v="0.84"/>
    <s v="Normal"/>
    <n v="2023"/>
    <s v="May"/>
  </r>
  <r>
    <n v="4370"/>
    <x v="187"/>
    <x v="1"/>
    <s v="West"/>
    <s v="Basic"/>
    <d v="2022-05-03T00:00:00"/>
    <d v="2023-03-20T00:00:00"/>
    <x v="1965"/>
    <n v="7896"/>
    <n v="-576"/>
    <s v="NA"/>
    <n v="10"/>
    <d v="2023-03-20T00:00:00"/>
    <n v="1"/>
    <n v="2621"/>
    <n v="-0.08"/>
    <s v="Normal"/>
    <n v="2023"/>
    <s v="March"/>
  </r>
  <r>
    <n v="4372"/>
    <x v="46"/>
    <x v="4"/>
    <s v="East"/>
    <s v="Basic"/>
    <d v="2022-09-27T00:00:00"/>
    <d v="2023-11-26T00:00:00"/>
    <x v="303"/>
    <n v="3524"/>
    <n v="3937"/>
    <s v="NA"/>
    <n v="13"/>
    <d v="2023-11-26T00:00:00"/>
    <n v="1"/>
    <n v="2622"/>
    <n v="0.53"/>
    <s v="Normal"/>
    <n v="2023"/>
    <s v="November"/>
  </r>
  <r>
    <n v="4373"/>
    <x v="13"/>
    <x v="3"/>
    <s v="West"/>
    <s v="Standard"/>
    <d v="2022-08-23T00:00:00"/>
    <d v="2023-11-06T00:00:00"/>
    <x v="1966"/>
    <n v="399"/>
    <n v="508"/>
    <s v="Pending"/>
    <n v="14"/>
    <d v="2023-11-06T00:00:00"/>
    <n v="1"/>
    <n v="2623"/>
    <n v="0.56000000000000005"/>
    <s v="Normal"/>
    <n v="2023"/>
    <s v="November"/>
  </r>
  <r>
    <n v="4375"/>
    <x v="376"/>
    <x v="3"/>
    <s v="West"/>
    <s v="Standard"/>
    <d v="2022-01-17T00:00:00"/>
    <d v="2023-08-17T00:00:00"/>
    <x v="1967"/>
    <n v="6884"/>
    <n v="-6809"/>
    <s v="Overdue"/>
    <n v="19"/>
    <d v="2023-08-17T00:00:00"/>
    <n v="0"/>
    <n v="2624"/>
    <n v="-90.79"/>
    <s v="Outlier"/>
    <n v="2023"/>
    <s v="August"/>
  </r>
  <r>
    <n v="4376"/>
    <x v="152"/>
    <x v="4"/>
    <s v="South"/>
    <s v="Basic"/>
    <d v="2022-03-15T00:00:00"/>
    <d v="2023-02-26T00:00:00"/>
    <x v="1968"/>
    <n v="3830"/>
    <n v="454"/>
    <s v="Paid"/>
    <n v="11"/>
    <d v="2023-02-26T00:00:00"/>
    <n v="1"/>
    <n v="2625"/>
    <n v="0.11"/>
    <s v="Normal"/>
    <n v="2023"/>
    <s v="February"/>
  </r>
  <r>
    <n v="4377"/>
    <x v="178"/>
    <x v="1"/>
    <s v="North"/>
    <s v="Premium"/>
    <d v="2022-04-09T00:00:00"/>
    <d v="2023-09-18T00:00:00"/>
    <x v="1969"/>
    <n v="4395"/>
    <n v="2264"/>
    <s v="Overdue"/>
    <n v="17"/>
    <d v="2023-09-18T00:00:00"/>
    <n v="0"/>
    <n v="2626"/>
    <n v="0.34"/>
    <s v="Normal"/>
    <n v="2023"/>
    <s v="September"/>
  </r>
  <r>
    <n v="4378"/>
    <x v="160"/>
    <x v="2"/>
    <s v="North"/>
    <s v="Standard"/>
    <d v="2022-06-22T00:00:00"/>
    <d v="2022-09-28T00:00:00"/>
    <x v="1970"/>
    <n v="1579"/>
    <n v="1345"/>
    <s v="Pending"/>
    <n v="3"/>
    <d v="2022-09-28T00:00:00"/>
    <n v="0"/>
    <n v="2627"/>
    <n v="0.46"/>
    <s v="Normal"/>
    <n v="2022"/>
    <s v="September"/>
  </r>
  <r>
    <n v="4379"/>
    <x v="296"/>
    <x v="0"/>
    <s v="South"/>
    <s v="Premium"/>
    <d v="2022-04-09T00:00:00"/>
    <d v="2023-01-18T00:00:00"/>
    <x v="17"/>
    <n v="3646"/>
    <n v="-4014"/>
    <s v="Overdue"/>
    <n v="9"/>
    <d v="2023-01-18T00:00:00"/>
    <n v="0"/>
    <n v="2628"/>
    <n v="-0.81"/>
    <s v="Normal"/>
    <n v="2023"/>
    <s v="January"/>
  </r>
  <r>
    <n v="4380"/>
    <x v="58"/>
    <x v="3"/>
    <s v="South"/>
    <s v="Standard"/>
    <d v="2022-04-27T00:00:00"/>
    <d v="2023-11-22T00:00:00"/>
    <x v="1971"/>
    <n v="3768"/>
    <n v="1811"/>
    <s v="Pending"/>
    <n v="18"/>
    <d v="2023-11-22T00:00:00"/>
    <n v="0"/>
    <n v="2629"/>
    <n v="0.32"/>
    <s v="Normal"/>
    <n v="2023"/>
    <s v="November"/>
  </r>
  <r>
    <n v="4381"/>
    <x v="58"/>
    <x v="1"/>
    <s v="East"/>
    <s v="Standard"/>
    <d v="2022-07-26T00:00:00"/>
    <d v="2023-11-24T00:00:00"/>
    <x v="1972"/>
    <n v="7904"/>
    <n v="-3681"/>
    <s v="Overdue"/>
    <n v="15"/>
    <d v="2023-11-24T00:00:00"/>
    <n v="1"/>
    <n v="2630"/>
    <n v="-0.87"/>
    <s v="Normal"/>
    <n v="2023"/>
    <s v="November"/>
  </r>
  <r>
    <n v="4382"/>
    <x v="300"/>
    <x v="2"/>
    <s v="North"/>
    <s v="Standard"/>
    <d v="2022-11-17T00:00:00"/>
    <d v="2024-03-10T00:00:00"/>
    <x v="1973"/>
    <n v="634"/>
    <n v="-79"/>
    <s v="Paid"/>
    <n v="15"/>
    <d v="2024-03-10T00:00:00"/>
    <n v="0"/>
    <n v="2631"/>
    <n v="-0.14000000000000001"/>
    <s v="Normal"/>
    <n v="2024"/>
    <s v="March"/>
  </r>
  <r>
    <n v="4384"/>
    <x v="53"/>
    <x v="1"/>
    <s v="North"/>
    <s v="Standard"/>
    <d v="2022-05-30T00:00:00"/>
    <d v="2023-09-12T00:00:00"/>
    <x v="1974"/>
    <n v="7814"/>
    <n v="-5639"/>
    <s v="Pending"/>
    <n v="15"/>
    <d v="2023-09-12T00:00:00"/>
    <n v="0"/>
    <n v="2632"/>
    <n v="-2.59"/>
    <s v="Outlier"/>
    <n v="2023"/>
    <s v="September"/>
  </r>
  <r>
    <n v="4385"/>
    <x v="36"/>
    <x v="0"/>
    <s v="South"/>
    <s v="Premium"/>
    <d v="2022-06-08T00:00:00"/>
    <d v="2022-08-10T00:00:00"/>
    <x v="1975"/>
    <n v="7726"/>
    <n v="-2740"/>
    <s v="Overdue"/>
    <n v="2"/>
    <d v="2022-08-10T00:00:00"/>
    <n v="1"/>
    <n v="2633"/>
    <n v="-0.55000000000000004"/>
    <s v="Normal"/>
    <n v="2022"/>
    <s v="August"/>
  </r>
  <r>
    <n v="4386"/>
    <x v="89"/>
    <x v="3"/>
    <s v="East"/>
    <s v="Standard"/>
    <d v="2022-11-28T00:00:00"/>
    <d v="2024-05-18T00:00:00"/>
    <x v="17"/>
    <n v="2358"/>
    <n v="-2671"/>
    <s v="NA"/>
    <n v="17"/>
    <d v="2024-05-18T00:00:00"/>
    <n v="0"/>
    <n v="2634"/>
    <n v="-0.54"/>
    <s v="Normal"/>
    <n v="2024"/>
    <s v="May"/>
  </r>
  <r>
    <n v="4388"/>
    <x v="106"/>
    <x v="1"/>
    <s v="West"/>
    <s v="Standard"/>
    <d v="2022-07-15T00:00:00"/>
    <d v="2023-01-30T00:00:00"/>
    <x v="1976"/>
    <n v="4012.75"/>
    <n v="10318"/>
    <s v="Overdue"/>
    <n v="6"/>
    <d v="2023-01-30T00:00:00"/>
    <n v="0"/>
    <n v="2635"/>
    <n v="1.08"/>
    <s v="Outlier"/>
    <n v="2023"/>
    <s v="January"/>
  </r>
  <r>
    <n v="4389"/>
    <x v="398"/>
    <x v="1"/>
    <s v="South"/>
    <s v="Basic"/>
    <d v="2022-01-13T00:00:00"/>
    <d v="2022-06-07T00:00:00"/>
    <x v="1977"/>
    <n v="1385"/>
    <n v="6258"/>
    <s v="Pending"/>
    <n v="4"/>
    <d v="2022-06-07T00:00:00"/>
    <n v="1"/>
    <n v="2636"/>
    <n v="0.82"/>
    <s v="Normal"/>
    <n v="2022"/>
    <s v="June"/>
  </r>
  <r>
    <n v="4390"/>
    <x v="183"/>
    <x v="1"/>
    <s v="South"/>
    <s v="Premium"/>
    <d v="2022-02-12T00:00:00"/>
    <d v="2023-03-15T00:00:00"/>
    <x v="17"/>
    <n v="4012.75"/>
    <n v="-231"/>
    <s v="Overdue"/>
    <n v="13"/>
    <d v="2023-03-15T00:00:00"/>
    <n v="0"/>
    <n v="2637"/>
    <n v="-0.05"/>
    <s v="Normal"/>
    <n v="2023"/>
    <s v="March"/>
  </r>
  <r>
    <n v="4392"/>
    <x v="288"/>
    <x v="1"/>
    <s v="South"/>
    <s v="Basic"/>
    <d v="2022-04-30T00:00:00"/>
    <d v="2023-09-24T00:00:00"/>
    <x v="1978"/>
    <n v="2845"/>
    <n v="577.01"/>
    <s v="Paid"/>
    <n v="16"/>
    <d v="2023-09-24T00:00:00"/>
    <n v="1"/>
    <n v="2638"/>
    <n v="0.19"/>
    <s v="Normal"/>
    <n v="2023"/>
    <s v="September"/>
  </r>
  <r>
    <n v="4393"/>
    <x v="341"/>
    <x v="3"/>
    <s v="West"/>
    <s v="Basic"/>
    <d v="2022-12-20T00:00:00"/>
    <d v="2023-07-01T00:00:00"/>
    <x v="1979"/>
    <n v="1107"/>
    <n v="6079"/>
    <s v="NA"/>
    <n v="6"/>
    <d v="2023-07-01T00:00:00"/>
    <n v="0"/>
    <n v="2639"/>
    <n v="0.85"/>
    <s v="Normal"/>
    <n v="2023"/>
    <s v="July"/>
  </r>
  <r>
    <n v="4395"/>
    <x v="195"/>
    <x v="3"/>
    <s v="North"/>
    <s v="Basic"/>
    <d v="2022-08-19T00:00:00"/>
    <d v="2022-11-18T00:00:00"/>
    <x v="17"/>
    <n v="2244"/>
    <n v="-4163"/>
    <s v="Pending"/>
    <n v="2"/>
    <d v="2022-11-18T00:00:00"/>
    <n v="0"/>
    <n v="2640"/>
    <n v="-0.84"/>
    <s v="Normal"/>
    <n v="2022"/>
    <s v="November"/>
  </r>
  <r>
    <n v="4396"/>
    <x v="256"/>
    <x v="4"/>
    <s v="East"/>
    <s v="Standard"/>
    <d v="2022-05-28T00:00:00"/>
    <d v="2024-01-10T00:00:00"/>
    <x v="1980"/>
    <n v="3242"/>
    <n v="2358"/>
    <s v="Paid"/>
    <n v="19"/>
    <d v="2024-01-10T00:00:00"/>
    <n v="1"/>
    <n v="2641"/>
    <n v="0.42"/>
    <s v="Normal"/>
    <n v="2024"/>
    <s v="January"/>
  </r>
  <r>
    <n v="4397"/>
    <x v="134"/>
    <x v="4"/>
    <s v="East"/>
    <s v="Premium"/>
    <d v="2022-11-04T00:00:00"/>
    <d v="2024-05-21T00:00:00"/>
    <x v="1876"/>
    <n v="4012.75"/>
    <n v="8456"/>
    <s v="Overdue"/>
    <n v="18"/>
    <d v="2024-05-21T00:00:00"/>
    <n v="1"/>
    <n v="2642"/>
    <n v="1.05"/>
    <s v="Outlier"/>
    <n v="2024"/>
    <s v="May"/>
  </r>
  <r>
    <n v="4400"/>
    <x v="139"/>
    <x v="0"/>
    <s v="East"/>
    <s v="Standard"/>
    <d v="2022-01-26T00:00:00"/>
    <d v="2023-07-04T00:00:00"/>
    <x v="1981"/>
    <n v="1480"/>
    <n v="1851"/>
    <s v="Pending"/>
    <n v="17"/>
    <d v="2023-07-04T00:00:00"/>
    <n v="0"/>
    <n v="2643"/>
    <n v="0.56000000000000005"/>
    <s v="Normal"/>
    <n v="2023"/>
    <s v="July"/>
  </r>
  <r>
    <n v="4401"/>
    <x v="372"/>
    <x v="3"/>
    <s v="East"/>
    <s v="Premium"/>
    <d v="2022-02-13T00:00:00"/>
    <d v="2023-07-18T00:00:00"/>
    <x v="1982"/>
    <n v="2021"/>
    <n v="577.01"/>
    <s v="Overdue"/>
    <n v="17"/>
    <d v="2023-07-18T00:00:00"/>
    <n v="0"/>
    <n v="2644"/>
    <n v="0.2"/>
    <s v="Normal"/>
    <n v="2023"/>
    <s v="July"/>
  </r>
  <r>
    <n v="4403"/>
    <x v="69"/>
    <x v="3"/>
    <s v="West"/>
    <s v="Basic"/>
    <d v="2022-06-18T00:00:00"/>
    <d v="2022-10-20T00:00:00"/>
    <x v="1983"/>
    <n v="6066"/>
    <n v="-2613"/>
    <s v="Pending"/>
    <n v="4"/>
    <d v="2022-10-20T00:00:00"/>
    <n v="0"/>
    <n v="2645"/>
    <n v="-0.76"/>
    <s v="Normal"/>
    <n v="2022"/>
    <s v="October"/>
  </r>
  <r>
    <n v="4404"/>
    <x v="14"/>
    <x v="3"/>
    <s v="North"/>
    <s v="Premium"/>
    <d v="2022-07-29T00:00:00"/>
    <d v="2023-02-25T00:00:00"/>
    <x v="1984"/>
    <n v="4213"/>
    <n v="-1819"/>
    <s v="Pending"/>
    <n v="6"/>
    <d v="2023-02-25T00:00:00"/>
    <n v="0"/>
    <n v="2646"/>
    <n v="-0.76"/>
    <s v="Normal"/>
    <n v="2023"/>
    <s v="February"/>
  </r>
  <r>
    <n v="4405"/>
    <x v="185"/>
    <x v="2"/>
    <s v="North"/>
    <s v="Premium"/>
    <d v="2022-11-18T00:00:00"/>
    <d v="2023-11-27T00:00:00"/>
    <x v="1985"/>
    <n v="4012.75"/>
    <n v="3915"/>
    <s v="Overdue"/>
    <n v="12"/>
    <d v="2023-11-27T00:00:00"/>
    <n v="1"/>
    <n v="2647"/>
    <n v="1.17"/>
    <s v="Outlier"/>
    <n v="2023"/>
    <s v="November"/>
  </r>
  <r>
    <n v="4408"/>
    <x v="122"/>
    <x v="1"/>
    <s v="North"/>
    <s v="Basic"/>
    <d v="2022-04-04T00:00:00"/>
    <d v="2022-07-13T00:00:00"/>
    <x v="1986"/>
    <n v="6943"/>
    <n v="-231"/>
    <s v="NA"/>
    <n v="3"/>
    <d v="2022-07-13T00:00:00"/>
    <n v="0"/>
    <n v="2648"/>
    <n v="-0.03"/>
    <s v="Normal"/>
    <n v="2022"/>
    <s v="July"/>
  </r>
  <r>
    <n v="4409"/>
    <x v="164"/>
    <x v="2"/>
    <s v="East"/>
    <s v="Premium"/>
    <d v="2022-03-03T00:00:00"/>
    <d v="2023-06-15T00:00:00"/>
    <x v="1987"/>
    <n v="2218"/>
    <n v="-313"/>
    <s v="NA"/>
    <n v="15"/>
    <d v="2023-06-15T00:00:00"/>
    <n v="0"/>
    <n v="2649"/>
    <n v="-0.16"/>
    <s v="Normal"/>
    <n v="2023"/>
    <s v="June"/>
  </r>
  <r>
    <n v="4411"/>
    <x v="214"/>
    <x v="1"/>
    <s v="East"/>
    <s v="Basic"/>
    <d v="2022-11-22T00:00:00"/>
    <d v="2024-02-10T00:00:00"/>
    <x v="1988"/>
    <n v="7911"/>
    <n v="1958"/>
    <s v="NA"/>
    <n v="14"/>
    <d v="2024-02-10T00:00:00"/>
    <n v="1"/>
    <n v="2650"/>
    <n v="0.2"/>
    <s v="Normal"/>
    <n v="2024"/>
    <s v="February"/>
  </r>
  <r>
    <n v="4413"/>
    <x v="323"/>
    <x v="3"/>
    <s v="West"/>
    <s v="Standard"/>
    <d v="2022-01-24T00:00:00"/>
    <d v="2023-06-20T00:00:00"/>
    <x v="1091"/>
    <n v="6838"/>
    <n v="577.01"/>
    <s v="Overdue"/>
    <n v="16"/>
    <d v="2023-06-20T00:00:00"/>
    <n v="0"/>
    <n v="2651"/>
    <n v="0.38"/>
    <s v="Normal"/>
    <n v="2023"/>
    <s v="June"/>
  </r>
  <r>
    <n v="4414"/>
    <x v="22"/>
    <x v="1"/>
    <s v="West"/>
    <s v="Premium"/>
    <d v="2022-02-13T00:00:00"/>
    <d v="2022-06-22T00:00:00"/>
    <x v="1989"/>
    <n v="4041"/>
    <n v="1177"/>
    <s v="Paid"/>
    <n v="4"/>
    <d v="2022-06-22T00:00:00"/>
    <n v="0"/>
    <n v="2652"/>
    <n v="0.23"/>
    <s v="Normal"/>
    <n v="2022"/>
    <s v="June"/>
  </r>
  <r>
    <n v="4416"/>
    <x v="265"/>
    <x v="1"/>
    <s v="South"/>
    <s v="Premium"/>
    <d v="2022-09-17T00:00:00"/>
    <d v="2024-02-29T00:00:00"/>
    <x v="1990"/>
    <n v="4012.75"/>
    <n v="4157"/>
    <s v="Paid"/>
    <n v="17"/>
    <d v="2024-02-29T00:00:00"/>
    <n v="0"/>
    <n v="2653"/>
    <n v="1.07"/>
    <s v="Outlier"/>
    <n v="2024"/>
    <s v="February"/>
  </r>
  <r>
    <n v="4417"/>
    <x v="335"/>
    <x v="0"/>
    <s v="West"/>
    <s v="Standard"/>
    <d v="2022-10-07T00:00:00"/>
    <d v="2023-07-22T00:00:00"/>
    <x v="1991"/>
    <n v="4012.75"/>
    <n v="9267"/>
    <s v="NA"/>
    <n v="9"/>
    <d v="2023-07-22T00:00:00"/>
    <n v="1"/>
    <n v="2654"/>
    <n v="1.03"/>
    <s v="Outlier"/>
    <n v="2023"/>
    <s v="July"/>
  </r>
  <r>
    <n v="4419"/>
    <x v="211"/>
    <x v="2"/>
    <s v="South"/>
    <s v="Premium"/>
    <d v="2022-04-03T00:00:00"/>
    <d v="2022-07-21T00:00:00"/>
    <x v="1941"/>
    <n v="4012.75"/>
    <n v="4400"/>
    <s v="Pending"/>
    <n v="3"/>
    <d v="2022-07-21T00:00:00"/>
    <n v="0"/>
    <n v="2655"/>
    <n v="1.2"/>
    <s v="Outlier"/>
    <n v="2022"/>
    <s v="July"/>
  </r>
  <r>
    <n v="4420"/>
    <x v="295"/>
    <x v="0"/>
    <s v="East"/>
    <s v="Premium"/>
    <d v="2022-03-15T00:00:00"/>
    <d v="2023-04-07T00:00:00"/>
    <x v="1992"/>
    <n v="7464"/>
    <n v="-6576"/>
    <s v="Overdue"/>
    <n v="12"/>
    <d v="2023-04-07T00:00:00"/>
    <n v="1"/>
    <n v="2656"/>
    <n v="-7.41"/>
    <s v="Outlier"/>
    <n v="2023"/>
    <s v="April"/>
  </r>
  <r>
    <n v="4421"/>
    <x v="224"/>
    <x v="3"/>
    <s v="West"/>
    <s v="Basic"/>
    <d v="2022-01-21T00:00:00"/>
    <d v="2022-08-09T00:00:00"/>
    <x v="256"/>
    <n v="5335"/>
    <n v="577.01"/>
    <s v="Paid"/>
    <n v="6"/>
    <d v="2022-08-09T00:00:00"/>
    <n v="1"/>
    <n v="2657"/>
    <n v="0.1"/>
    <s v="Normal"/>
    <n v="2022"/>
    <s v="August"/>
  </r>
  <r>
    <n v="4422"/>
    <x v="209"/>
    <x v="0"/>
    <s v="South"/>
    <s v="Basic"/>
    <d v="2022-06-30T00:00:00"/>
    <d v="2023-09-03T00:00:00"/>
    <x v="17"/>
    <n v="3022"/>
    <n v="-3891"/>
    <s v="Paid"/>
    <n v="14"/>
    <d v="2023-09-03T00:00:00"/>
    <n v="0"/>
    <n v="2658"/>
    <n v="-0.78"/>
    <s v="Normal"/>
    <n v="2023"/>
    <s v="September"/>
  </r>
  <r>
    <n v="4423"/>
    <x v="389"/>
    <x v="3"/>
    <s v="West"/>
    <s v="Premium"/>
    <d v="2022-12-10T00:00:00"/>
    <d v="2023-12-29T00:00:00"/>
    <x v="1993"/>
    <n v="4012.75"/>
    <n v="3679"/>
    <s v="Pending"/>
    <n v="12"/>
    <d v="2023-12-29T00:00:00"/>
    <n v="0"/>
    <n v="2659"/>
    <n v="1.17"/>
    <s v="Outlier"/>
    <n v="2023"/>
    <s v="December"/>
  </r>
  <r>
    <n v="4424"/>
    <x v="24"/>
    <x v="4"/>
    <s v="North"/>
    <s v="Basic"/>
    <d v="2022-03-23T00:00:00"/>
    <d v="2022-06-10T00:00:00"/>
    <x v="1994"/>
    <n v="5959"/>
    <n v="-2975"/>
    <s v="NA"/>
    <n v="2"/>
    <d v="2022-06-10T00:00:00"/>
    <n v="0"/>
    <n v="2660"/>
    <n v="-1"/>
    <s v="Normal"/>
    <n v="2022"/>
    <s v="June"/>
  </r>
  <r>
    <n v="4427"/>
    <x v="132"/>
    <x v="3"/>
    <s v="East"/>
    <s v="Basic"/>
    <d v="2022-04-11T00:00:00"/>
    <d v="2023-08-11T00:00:00"/>
    <x v="1995"/>
    <n v="6263"/>
    <n v="1855"/>
    <s v="Paid"/>
    <n v="16"/>
    <d v="2023-08-11T00:00:00"/>
    <n v="0"/>
    <n v="2661"/>
    <n v="0.23"/>
    <s v="Normal"/>
    <n v="2023"/>
    <s v="August"/>
  </r>
  <r>
    <n v="4430"/>
    <x v="62"/>
    <x v="2"/>
    <s v="South"/>
    <s v="Basic"/>
    <d v="2022-06-12T00:00:00"/>
    <d v="2022-12-09T00:00:00"/>
    <x v="1996"/>
    <n v="1265"/>
    <n v="7903"/>
    <s v="Pending"/>
    <n v="5"/>
    <d v="2022-12-09T00:00:00"/>
    <n v="1"/>
    <n v="2662"/>
    <n v="0.86"/>
    <s v="Normal"/>
    <n v="2022"/>
    <s v="December"/>
  </r>
  <r>
    <n v="4431"/>
    <x v="389"/>
    <x v="4"/>
    <s v="West"/>
    <s v="Standard"/>
    <d v="2022-09-11T00:00:00"/>
    <d v="2023-03-16T00:00:00"/>
    <x v="1997"/>
    <n v="5073"/>
    <n v="-2643"/>
    <s v="Paid"/>
    <n v="6"/>
    <d v="2023-03-16T00:00:00"/>
    <n v="0"/>
    <n v="2663"/>
    <n v="-1.0900000000000001"/>
    <s v="Outlier"/>
    <n v="2023"/>
    <s v="March"/>
  </r>
  <r>
    <n v="4432"/>
    <x v="77"/>
    <x v="1"/>
    <s v="West"/>
    <s v="Basic"/>
    <d v="2022-09-08T00:00:00"/>
    <d v="2023-07-12T00:00:00"/>
    <x v="1998"/>
    <n v="1777"/>
    <n v="3864"/>
    <s v="Paid"/>
    <n v="10"/>
    <d v="2023-07-12T00:00:00"/>
    <n v="1"/>
    <n v="2664"/>
    <n v="0.68"/>
    <s v="Normal"/>
    <n v="2023"/>
    <s v="July"/>
  </r>
  <r>
    <n v="4433"/>
    <x v="395"/>
    <x v="4"/>
    <s v="West"/>
    <s v="Standard"/>
    <d v="2022-06-30T00:00:00"/>
    <d v="2023-12-04T00:00:00"/>
    <x v="1999"/>
    <n v="138"/>
    <n v="142"/>
    <s v="Overdue"/>
    <n v="17"/>
    <d v="2023-12-04T00:00:00"/>
    <n v="0"/>
    <n v="2665"/>
    <n v="0.51"/>
    <s v="Normal"/>
    <n v="2023"/>
    <s v="December"/>
  </r>
  <r>
    <n v="4434"/>
    <x v="93"/>
    <x v="4"/>
    <s v="North"/>
    <s v="Standard"/>
    <d v="2022-10-13T00:00:00"/>
    <d v="2023-03-01T00:00:00"/>
    <x v="2000"/>
    <n v="5594"/>
    <n v="-3078"/>
    <s v="Overdue"/>
    <n v="4"/>
    <d v="2023-03-01T00:00:00"/>
    <n v="0"/>
    <n v="2666"/>
    <n v="-1.22"/>
    <s v="Outlier"/>
    <n v="2023"/>
    <s v="March"/>
  </r>
  <r>
    <n v="4435"/>
    <x v="195"/>
    <x v="0"/>
    <s v="East"/>
    <s v="Basic"/>
    <d v="2022-08-26T00:00:00"/>
    <d v="2022-11-05T00:00:00"/>
    <x v="1153"/>
    <n v="6505"/>
    <n v="3345"/>
    <s v="Paid"/>
    <n v="2"/>
    <d v="2022-11-05T00:00:00"/>
    <n v="1"/>
    <n v="2667"/>
    <n v="0.34"/>
    <s v="Normal"/>
    <n v="2022"/>
    <s v="November"/>
  </r>
  <r>
    <n v="4437"/>
    <x v="308"/>
    <x v="1"/>
    <s v="North"/>
    <s v="Basic"/>
    <d v="2022-05-31T00:00:00"/>
    <d v="2022-08-30T00:00:00"/>
    <x v="2001"/>
    <n v="4356"/>
    <n v="-2687"/>
    <s v="Pending"/>
    <n v="2"/>
    <d v="2022-08-30T00:00:00"/>
    <n v="0"/>
    <n v="2668"/>
    <n v="-1.61"/>
    <s v="Outlier"/>
    <n v="2022"/>
    <s v="August"/>
  </r>
  <r>
    <n v="4439"/>
    <x v="160"/>
    <x v="3"/>
    <s v="North"/>
    <s v="Basic"/>
    <d v="2022-07-10T00:00:00"/>
    <d v="2023-01-31T00:00:00"/>
    <x v="2002"/>
    <n v="4154"/>
    <n v="5513"/>
    <s v="NA"/>
    <n v="6"/>
    <d v="2023-01-31T00:00:00"/>
    <n v="1"/>
    <n v="2669"/>
    <n v="0.56999999999999995"/>
    <s v="Normal"/>
    <n v="2023"/>
    <s v="January"/>
  </r>
  <r>
    <n v="4440"/>
    <x v="45"/>
    <x v="0"/>
    <s v="South"/>
    <s v="Standard"/>
    <d v="2022-05-11T00:00:00"/>
    <d v="2023-01-12T00:00:00"/>
    <x v="2003"/>
    <n v="3367"/>
    <n v="2074"/>
    <s v="Pending"/>
    <n v="8"/>
    <d v="2023-01-12T00:00:00"/>
    <n v="1"/>
    <n v="2670"/>
    <n v="0.38"/>
    <s v="Normal"/>
    <n v="2023"/>
    <s v="January"/>
  </r>
  <r>
    <n v="4441"/>
    <x v="192"/>
    <x v="1"/>
    <s v="East"/>
    <s v="Premium"/>
    <d v="2022-11-25T00:00:00"/>
    <d v="2024-02-11T00:00:00"/>
    <x v="2004"/>
    <n v="2951"/>
    <n v="1104"/>
    <s v="Overdue"/>
    <n v="14"/>
    <d v="2024-02-11T00:00:00"/>
    <n v="0"/>
    <n v="2671"/>
    <n v="0.27"/>
    <s v="Normal"/>
    <n v="2024"/>
    <s v="February"/>
  </r>
  <r>
    <n v="4443"/>
    <x v="117"/>
    <x v="2"/>
    <s v="North"/>
    <s v="Basic"/>
    <d v="2022-02-15T00:00:00"/>
    <d v="2023-09-21T00:00:00"/>
    <x v="1041"/>
    <n v="6317"/>
    <n v="-2089"/>
    <s v="Overdue"/>
    <n v="19"/>
    <d v="2023-09-21T00:00:00"/>
    <n v="0"/>
    <n v="2672"/>
    <n v="-0.49"/>
    <s v="Normal"/>
    <n v="2023"/>
    <s v="September"/>
  </r>
  <r>
    <n v="4444"/>
    <x v="393"/>
    <x v="0"/>
    <s v="East"/>
    <s v="Standard"/>
    <d v="2022-01-07T00:00:00"/>
    <d v="2022-07-22T00:00:00"/>
    <x v="2005"/>
    <n v="1655"/>
    <n v="577.01"/>
    <s v="NA"/>
    <n v="6"/>
    <d v="2022-07-22T00:00:00"/>
    <n v="0"/>
    <n v="2673"/>
    <n v="0.15"/>
    <s v="Normal"/>
    <n v="2022"/>
    <s v="July"/>
  </r>
  <r>
    <n v="4446"/>
    <x v="268"/>
    <x v="0"/>
    <s v="East"/>
    <s v="Premium"/>
    <d v="2022-04-22T00:00:00"/>
    <d v="2022-05-30T00:00:00"/>
    <x v="2006"/>
    <n v="4012.75"/>
    <n v="577.01"/>
    <s v="Pending"/>
    <n v="1"/>
    <d v="2022-05-30T00:00:00"/>
    <n v="0"/>
    <n v="2674"/>
    <n v="0.1"/>
    <s v="Normal"/>
    <n v="2022"/>
    <s v="May"/>
  </r>
  <r>
    <n v="4447"/>
    <x v="230"/>
    <x v="4"/>
    <s v="East"/>
    <s v="Basic"/>
    <d v="2022-05-29T00:00:00"/>
    <d v="2023-11-13T00:00:00"/>
    <x v="2007"/>
    <n v="3619"/>
    <n v="5783"/>
    <s v="NA"/>
    <n v="17"/>
    <d v="2023-11-13T00:00:00"/>
    <n v="1"/>
    <n v="2675"/>
    <n v="0.62"/>
    <s v="Normal"/>
    <n v="2023"/>
    <s v="November"/>
  </r>
  <r>
    <n v="4448"/>
    <x v="350"/>
    <x v="2"/>
    <s v="West"/>
    <s v="Premium"/>
    <d v="2022-02-15T00:00:00"/>
    <d v="2022-07-24T00:00:00"/>
    <x v="2008"/>
    <n v="5907"/>
    <n v="1939"/>
    <s v="NA"/>
    <n v="5"/>
    <d v="2022-07-24T00:00:00"/>
    <n v="0"/>
    <n v="2676"/>
    <n v="0.25"/>
    <s v="Normal"/>
    <n v="2022"/>
    <s v="July"/>
  </r>
  <r>
    <n v="4451"/>
    <x v="320"/>
    <x v="4"/>
    <s v="North"/>
    <s v="Premium"/>
    <d v="2022-08-13T00:00:00"/>
    <d v="2024-01-13T00:00:00"/>
    <x v="2009"/>
    <n v="2519"/>
    <n v="-1502"/>
    <s v="Overdue"/>
    <n v="17"/>
    <d v="2024-01-13T00:00:00"/>
    <n v="1"/>
    <n v="2677"/>
    <n v="-1.48"/>
    <s v="Outlier"/>
    <n v="2024"/>
    <s v="January"/>
  </r>
  <r>
    <n v="4452"/>
    <x v="291"/>
    <x v="0"/>
    <s v="South"/>
    <s v="Premium"/>
    <d v="2022-11-22T00:00:00"/>
    <d v="2023-11-25T00:00:00"/>
    <x v="2010"/>
    <n v="3339"/>
    <n v="3940"/>
    <s v="Pending"/>
    <n v="12"/>
    <d v="2023-11-25T00:00:00"/>
    <n v="0"/>
    <n v="2678"/>
    <n v="0.54"/>
    <s v="Normal"/>
    <n v="2023"/>
    <s v="November"/>
  </r>
  <r>
    <n v="4453"/>
    <x v="348"/>
    <x v="0"/>
    <s v="North"/>
    <s v="Premium"/>
    <d v="2022-09-24T00:00:00"/>
    <d v="2022-12-27T00:00:00"/>
    <x v="2011"/>
    <n v="2368"/>
    <n v="3793"/>
    <s v="Pending"/>
    <n v="3"/>
    <d v="2022-12-27T00:00:00"/>
    <n v="0"/>
    <n v="2679"/>
    <n v="0.62"/>
    <s v="Normal"/>
    <n v="2022"/>
    <s v="December"/>
  </r>
  <r>
    <n v="4454"/>
    <x v="108"/>
    <x v="3"/>
    <s v="East"/>
    <s v="Basic"/>
    <d v="2022-09-22T00:00:00"/>
    <d v="2023-09-01T00:00:00"/>
    <x v="1673"/>
    <n v="4517"/>
    <n v="2173"/>
    <s v="Overdue"/>
    <n v="11"/>
    <d v="2023-09-01T00:00:00"/>
    <n v="1"/>
    <n v="2680"/>
    <n v="0.32"/>
    <s v="Normal"/>
    <n v="2023"/>
    <s v="September"/>
  </r>
  <r>
    <n v="4456"/>
    <x v="18"/>
    <x v="3"/>
    <s v="North"/>
    <s v="Premium"/>
    <d v="2022-08-28T00:00:00"/>
    <d v="2023-01-13T00:00:00"/>
    <x v="17"/>
    <n v="245"/>
    <n v="-2118"/>
    <s v="Overdue"/>
    <n v="4"/>
    <d v="2023-01-13T00:00:00"/>
    <n v="1"/>
    <n v="2681"/>
    <n v="-0.43"/>
    <s v="Normal"/>
    <n v="2023"/>
    <s v="January"/>
  </r>
  <r>
    <n v="4457"/>
    <x v="265"/>
    <x v="2"/>
    <s v="North"/>
    <s v="Basic"/>
    <d v="2022-06-26T00:00:00"/>
    <d v="2023-04-30T00:00:00"/>
    <x v="2012"/>
    <n v="4012.75"/>
    <n v="8929"/>
    <s v="NA"/>
    <n v="10"/>
    <d v="2023-04-30T00:00:00"/>
    <n v="0"/>
    <n v="2682"/>
    <n v="1.1200000000000001"/>
    <s v="Outlier"/>
    <n v="2023"/>
    <s v="April"/>
  </r>
  <r>
    <n v="4458"/>
    <x v="273"/>
    <x v="2"/>
    <s v="South"/>
    <s v="Standard"/>
    <d v="2022-02-15T00:00:00"/>
    <d v="2023-07-02T00:00:00"/>
    <x v="2013"/>
    <n v="2910"/>
    <n v="1105"/>
    <s v="Overdue"/>
    <n v="16"/>
    <d v="2023-07-02T00:00:00"/>
    <n v="0"/>
    <n v="2683"/>
    <n v="0.28000000000000003"/>
    <s v="Normal"/>
    <n v="2023"/>
    <s v="July"/>
  </r>
  <r>
    <n v="4459"/>
    <x v="398"/>
    <x v="2"/>
    <s v="West"/>
    <s v="Basic"/>
    <d v="2022-08-06T00:00:00"/>
    <d v="2023-05-10T00:00:00"/>
    <x v="17"/>
    <n v="3945"/>
    <n v="-4299"/>
    <s v="Paid"/>
    <n v="9"/>
    <d v="2023-05-10T00:00:00"/>
    <n v="0"/>
    <n v="2684"/>
    <n v="-0.87"/>
    <s v="Normal"/>
    <n v="2023"/>
    <s v="May"/>
  </r>
  <r>
    <n v="4460"/>
    <x v="218"/>
    <x v="2"/>
    <s v="South"/>
    <s v="Premium"/>
    <d v="2022-02-05T00:00:00"/>
    <d v="2023-09-06T00:00:00"/>
    <x v="2014"/>
    <n v="1991"/>
    <n v="577.01"/>
    <s v="Pending"/>
    <n v="19"/>
    <d v="2023-09-06T00:00:00"/>
    <n v="1"/>
    <n v="2685"/>
    <n v="0.08"/>
    <s v="Normal"/>
    <n v="2023"/>
    <s v="September"/>
  </r>
  <r>
    <n v="4461"/>
    <x v="196"/>
    <x v="4"/>
    <s v="South"/>
    <s v="Standard"/>
    <d v="2022-08-04T00:00:00"/>
    <d v="2023-09-14T00:00:00"/>
    <x v="2015"/>
    <n v="7512"/>
    <n v="1251"/>
    <s v="Paid"/>
    <n v="13"/>
    <d v="2023-09-14T00:00:00"/>
    <n v="0"/>
    <n v="2686"/>
    <n v="0.14000000000000001"/>
    <s v="Normal"/>
    <n v="2023"/>
    <s v="September"/>
  </r>
  <r>
    <n v="4463"/>
    <x v="30"/>
    <x v="2"/>
    <s v="West"/>
    <s v="Basic"/>
    <d v="2022-10-10T00:00:00"/>
    <d v="2022-12-02T00:00:00"/>
    <x v="2016"/>
    <n v="5519"/>
    <n v="3112"/>
    <s v="Paid"/>
    <n v="1"/>
    <d v="2022-12-02T00:00:00"/>
    <n v="0"/>
    <n v="2687"/>
    <n v="0.36"/>
    <s v="Normal"/>
    <n v="2022"/>
    <s v="December"/>
  </r>
  <r>
    <n v="4464"/>
    <x v="12"/>
    <x v="0"/>
    <s v="East"/>
    <s v="Standard"/>
    <d v="2022-12-04T00:00:00"/>
    <d v="2023-05-13T00:00:00"/>
    <x v="2017"/>
    <n v="7480"/>
    <n v="1631"/>
    <s v="NA"/>
    <n v="5"/>
    <d v="2023-05-13T00:00:00"/>
    <n v="0"/>
    <n v="2688"/>
    <n v="0.18"/>
    <s v="Normal"/>
    <n v="2023"/>
    <s v="May"/>
  </r>
  <r>
    <n v="4465"/>
    <x v="158"/>
    <x v="4"/>
    <s v="East"/>
    <s v="Basic"/>
    <d v="2022-02-13T00:00:00"/>
    <d v="2023-01-16T00:00:00"/>
    <x v="2018"/>
    <n v="2608"/>
    <n v="4164"/>
    <s v="Pending"/>
    <n v="11"/>
    <d v="2023-01-16T00:00:00"/>
    <n v="1"/>
    <n v="2689"/>
    <n v="0.61"/>
    <s v="Normal"/>
    <n v="2023"/>
    <s v="January"/>
  </r>
  <r>
    <n v="4470"/>
    <x v="186"/>
    <x v="2"/>
    <s v="North"/>
    <s v="Premium"/>
    <d v="2022-12-08T00:00:00"/>
    <d v="2023-07-07T00:00:00"/>
    <x v="2019"/>
    <n v="5525"/>
    <n v="-5025"/>
    <s v="NA"/>
    <n v="6"/>
    <d v="2023-07-07T00:00:00"/>
    <n v="0"/>
    <n v="2690"/>
    <n v="-10.050000000000001"/>
    <s v="Outlier"/>
    <n v="2023"/>
    <s v="July"/>
  </r>
  <r>
    <n v="4472"/>
    <x v="345"/>
    <x v="0"/>
    <s v="West"/>
    <s v="Premium"/>
    <d v="2022-01-11T00:00:00"/>
    <d v="2022-02-19T00:00:00"/>
    <x v="2020"/>
    <n v="4099"/>
    <n v="-3557"/>
    <s v="Pending"/>
    <n v="1"/>
    <d v="2022-02-19T00:00:00"/>
    <n v="0"/>
    <n v="2691"/>
    <n v="-6.56"/>
    <s v="Outlier"/>
    <n v="2022"/>
    <s v="February"/>
  </r>
  <r>
    <n v="4473"/>
    <x v="400"/>
    <x v="0"/>
    <s v="East"/>
    <s v="Basic"/>
    <d v="2022-06-04T00:00:00"/>
    <d v="2022-12-13T00:00:00"/>
    <x v="17"/>
    <n v="1476"/>
    <n v="-3279"/>
    <s v="NA"/>
    <n v="6"/>
    <d v="2022-12-13T00:00:00"/>
    <n v="1"/>
    <n v="2692"/>
    <n v="-0.66"/>
    <s v="Normal"/>
    <n v="2022"/>
    <s v="December"/>
  </r>
  <r>
    <n v="4474"/>
    <x v="20"/>
    <x v="0"/>
    <s v="East"/>
    <s v="Standard"/>
    <d v="2022-11-17T00:00:00"/>
    <d v="2024-03-27T00:00:00"/>
    <x v="1134"/>
    <n v="601"/>
    <n v="9380"/>
    <s v="Pending"/>
    <n v="16"/>
    <d v="2024-03-27T00:00:00"/>
    <n v="1"/>
    <n v="2693"/>
    <n v="0.94"/>
    <s v="Normal"/>
    <n v="2024"/>
    <s v="March"/>
  </r>
  <r>
    <n v="4478"/>
    <x v="217"/>
    <x v="0"/>
    <s v="West"/>
    <s v="Standard"/>
    <d v="2022-05-10T00:00:00"/>
    <d v="2023-04-01T00:00:00"/>
    <x v="2021"/>
    <n v="7589"/>
    <n v="-372"/>
    <s v="Pending"/>
    <n v="10"/>
    <d v="2023-04-01T00:00:00"/>
    <n v="0"/>
    <n v="2694"/>
    <n v="-0.05"/>
    <s v="Normal"/>
    <n v="2023"/>
    <s v="April"/>
  </r>
  <r>
    <n v="4479"/>
    <x v="172"/>
    <x v="3"/>
    <s v="South"/>
    <s v="Basic"/>
    <d v="2022-10-11T00:00:00"/>
    <d v="2023-10-12T00:00:00"/>
    <x v="2022"/>
    <n v="4012.75"/>
    <n v="443"/>
    <s v="Paid"/>
    <n v="12"/>
    <d v="2023-10-12T00:00:00"/>
    <n v="0"/>
    <n v="2695"/>
    <n v="1.3"/>
    <s v="Outlier"/>
    <n v="2023"/>
    <s v="October"/>
  </r>
  <r>
    <n v="4480"/>
    <x v="175"/>
    <x v="3"/>
    <s v="East"/>
    <s v="Standard"/>
    <d v="2022-06-22T00:00:00"/>
    <d v="2023-12-27T00:00:00"/>
    <x v="17"/>
    <n v="3361"/>
    <n v="577.01"/>
    <s v="Paid"/>
    <n v="18"/>
    <d v="2023-12-27T00:00:00"/>
    <n v="1"/>
    <n v="2696"/>
    <n v="0.12"/>
    <s v="Normal"/>
    <n v="2023"/>
    <s v="December"/>
  </r>
  <r>
    <n v="4481"/>
    <x v="277"/>
    <x v="1"/>
    <s v="North"/>
    <s v="Basic"/>
    <d v="2022-09-09T00:00:00"/>
    <d v="2024-01-01T00:00:00"/>
    <x v="17"/>
    <n v="4012.75"/>
    <n v="-1638"/>
    <s v="Paid"/>
    <n v="15"/>
    <d v="2024-01-01T00:00:00"/>
    <n v="1"/>
    <n v="2697"/>
    <n v="-0.33"/>
    <s v="Normal"/>
    <n v="2024"/>
    <s v="January"/>
  </r>
  <r>
    <n v="4483"/>
    <x v="77"/>
    <x v="3"/>
    <s v="South"/>
    <s v="Standard"/>
    <d v="2022-11-26T00:00:00"/>
    <d v="2024-05-16T00:00:00"/>
    <x v="1077"/>
    <n v="2841"/>
    <n v="-2309"/>
    <s v="Overdue"/>
    <n v="17"/>
    <d v="2024-05-16T00:00:00"/>
    <n v="1"/>
    <n v="2698"/>
    <n v="-4.34"/>
    <s v="Outlier"/>
    <n v="2024"/>
    <s v="May"/>
  </r>
  <r>
    <n v="4484"/>
    <x v="45"/>
    <x v="0"/>
    <s v="West"/>
    <s v="Premium"/>
    <d v="2022-01-20T00:00:00"/>
    <d v="2023-02-10T00:00:00"/>
    <x v="2023"/>
    <n v="2761"/>
    <n v="1368"/>
    <s v="NA"/>
    <n v="12"/>
    <d v="2023-02-10T00:00:00"/>
    <n v="1"/>
    <n v="2699"/>
    <n v="0.33"/>
    <s v="Normal"/>
    <n v="2023"/>
    <s v="February"/>
  </r>
  <r>
    <n v="4485"/>
    <x v="134"/>
    <x v="2"/>
    <s v="South"/>
    <s v="Standard"/>
    <d v="2022-09-03T00:00:00"/>
    <d v="2022-12-03T00:00:00"/>
    <x v="1001"/>
    <n v="6507"/>
    <n v="3184"/>
    <s v="NA"/>
    <n v="3"/>
    <d v="2022-12-03T00:00:00"/>
    <n v="0"/>
    <n v="2700"/>
    <n v="0.33"/>
    <s v="Normal"/>
    <n v="2022"/>
    <s v="December"/>
  </r>
  <r>
    <n v="4487"/>
    <x v="0"/>
    <x v="2"/>
    <s v="East"/>
    <s v="Basic"/>
    <d v="2022-06-21T00:00:00"/>
    <d v="2024-02-03T00:00:00"/>
    <x v="685"/>
    <n v="7756"/>
    <n v="-1448"/>
    <s v="NA"/>
    <n v="19"/>
    <d v="2024-02-03T00:00:00"/>
    <n v="0"/>
    <n v="2701"/>
    <n v="-0.23"/>
    <s v="Normal"/>
    <n v="2024"/>
    <s v="February"/>
  </r>
  <r>
    <n v="4490"/>
    <x v="85"/>
    <x v="3"/>
    <s v="East"/>
    <s v="Basic"/>
    <d v="2022-06-02T00:00:00"/>
    <d v="2023-01-23T00:00:00"/>
    <x v="2024"/>
    <n v="7582"/>
    <n v="1559"/>
    <s v="Pending"/>
    <n v="7"/>
    <d v="2023-01-23T00:00:00"/>
    <n v="1"/>
    <n v="2702"/>
    <n v="0.17"/>
    <s v="Normal"/>
    <n v="2023"/>
    <s v="January"/>
  </r>
  <r>
    <n v="4491"/>
    <x v="265"/>
    <x v="4"/>
    <s v="North"/>
    <s v="Standard"/>
    <d v="2022-03-30T00:00:00"/>
    <d v="2022-10-10T00:00:00"/>
    <x v="2025"/>
    <n v="6307"/>
    <n v="775"/>
    <s v="Overdue"/>
    <n v="6"/>
    <d v="2022-10-10T00:00:00"/>
    <n v="1"/>
    <n v="2703"/>
    <n v="0.11"/>
    <s v="Normal"/>
    <n v="2022"/>
    <s v="October"/>
  </r>
  <r>
    <n v="4492"/>
    <x v="390"/>
    <x v="3"/>
    <s v="South"/>
    <s v="Basic"/>
    <d v="2022-01-31T00:00:00"/>
    <d v="2022-03-25T00:00:00"/>
    <x v="320"/>
    <n v="7012"/>
    <n v="-3315"/>
    <s v="Overdue"/>
    <n v="1"/>
    <d v="2022-03-25T00:00:00"/>
    <n v="1"/>
    <n v="2704"/>
    <n v="-0.9"/>
    <s v="Normal"/>
    <n v="2022"/>
    <s v="March"/>
  </r>
  <r>
    <n v="4493"/>
    <x v="123"/>
    <x v="2"/>
    <s v="East"/>
    <s v="Premium"/>
    <d v="2022-10-20T00:00:00"/>
    <d v="2023-08-25T00:00:00"/>
    <x v="2026"/>
    <n v="3944"/>
    <n v="-3225"/>
    <s v="Paid"/>
    <n v="10"/>
    <d v="2023-08-25T00:00:00"/>
    <n v="0"/>
    <n v="2705"/>
    <n v="-4.49"/>
    <s v="Outlier"/>
    <n v="2023"/>
    <s v="August"/>
  </r>
  <r>
    <n v="4494"/>
    <x v="346"/>
    <x v="4"/>
    <s v="North"/>
    <s v="Basic"/>
    <d v="2022-11-01T00:00:00"/>
    <d v="2023-08-28T00:00:00"/>
    <x v="90"/>
    <n v="862"/>
    <n v="8617"/>
    <s v="Pending"/>
    <n v="9"/>
    <d v="2023-08-28T00:00:00"/>
    <n v="0"/>
    <n v="2706"/>
    <n v="0.91"/>
    <s v="Normal"/>
    <n v="2023"/>
    <s v="August"/>
  </r>
  <r>
    <n v="4495"/>
    <x v="337"/>
    <x v="2"/>
    <s v="North"/>
    <s v="Premium"/>
    <d v="2022-03-20T00:00:00"/>
    <d v="2023-05-19T00:00:00"/>
    <x v="2027"/>
    <n v="6632"/>
    <n v="-4472"/>
    <s v="Overdue"/>
    <n v="13"/>
    <d v="2023-05-19T00:00:00"/>
    <n v="0"/>
    <n v="2707"/>
    <n v="-2.0699999999999998"/>
    <s v="Outlier"/>
    <n v="2023"/>
    <s v="May"/>
  </r>
  <r>
    <n v="4497"/>
    <x v="197"/>
    <x v="2"/>
    <s v="North"/>
    <s v="Premium"/>
    <d v="2022-12-31T00:00:00"/>
    <d v="2023-02-07T00:00:00"/>
    <x v="1896"/>
    <n v="3761"/>
    <n v="577.01"/>
    <s v="Overdue"/>
    <n v="1"/>
    <d v="2023-02-07T00:00:00"/>
    <n v="1"/>
    <n v="2708"/>
    <n v="0.16"/>
    <s v="Normal"/>
    <n v="2023"/>
    <s v="February"/>
  </r>
  <r>
    <n v="4499"/>
    <x v="366"/>
    <x v="0"/>
    <s v="East"/>
    <s v="Standard"/>
    <d v="2022-04-22T00:00:00"/>
    <d v="2023-01-29T00:00:00"/>
    <x v="2028"/>
    <n v="4012.75"/>
    <n v="7824"/>
    <s v="Paid"/>
    <n v="9"/>
    <d v="2023-01-29T00:00:00"/>
    <n v="0"/>
    <n v="2709"/>
    <n v="1.1299999999999999"/>
    <s v="Outlier"/>
    <n v="2023"/>
    <s v="January"/>
  </r>
  <r>
    <n v="4500"/>
    <x v="273"/>
    <x v="0"/>
    <s v="East"/>
    <s v="Premium"/>
    <d v="2022-01-16T00:00:00"/>
    <d v="2022-08-20T00:00:00"/>
    <x v="984"/>
    <n v="5661"/>
    <n v="-1857"/>
    <s v="Paid"/>
    <n v="7"/>
    <d v="2022-08-20T00:00:00"/>
    <n v="1"/>
    <n v="2710"/>
    <n v="-0.49"/>
    <s v="Normal"/>
    <n v="2022"/>
    <s v="August"/>
  </r>
  <r>
    <n v="4503"/>
    <x v="135"/>
    <x v="4"/>
    <s v="East"/>
    <s v="Standard"/>
    <d v="2022-01-19T00:00:00"/>
    <d v="2023-03-14T00:00:00"/>
    <x v="2029"/>
    <n v="7657"/>
    <n v="577.01"/>
    <s v="NA"/>
    <n v="13"/>
    <d v="2023-03-14T00:00:00"/>
    <n v="1"/>
    <n v="2711"/>
    <n v="0.14000000000000001"/>
    <s v="Normal"/>
    <n v="2023"/>
    <s v="March"/>
  </r>
  <r>
    <n v="4507"/>
    <x v="37"/>
    <x v="3"/>
    <s v="South"/>
    <s v="Standard"/>
    <d v="2022-11-08T00:00:00"/>
    <d v="2023-06-22T00:00:00"/>
    <x v="2030"/>
    <n v="3618"/>
    <n v="-2626"/>
    <s v="Pending"/>
    <n v="7"/>
    <d v="2023-06-22T00:00:00"/>
    <n v="0"/>
    <n v="2712"/>
    <n v="-2.65"/>
    <s v="Outlier"/>
    <n v="2023"/>
    <s v="June"/>
  </r>
  <r>
    <n v="4509"/>
    <x v="397"/>
    <x v="0"/>
    <s v="North"/>
    <s v="Premium"/>
    <d v="2022-05-03T00:00:00"/>
    <d v="2023-06-20T00:00:00"/>
    <x v="2031"/>
    <n v="3549"/>
    <n v="-1165"/>
    <s v="Paid"/>
    <n v="13"/>
    <d v="2023-06-20T00:00:00"/>
    <n v="0"/>
    <n v="2713"/>
    <n v="-0.49"/>
    <s v="Normal"/>
    <n v="2023"/>
    <s v="June"/>
  </r>
  <r>
    <n v="4510"/>
    <x v="103"/>
    <x v="2"/>
    <s v="North"/>
    <s v="Basic"/>
    <d v="2022-03-15T00:00:00"/>
    <d v="2022-05-31T00:00:00"/>
    <x v="2032"/>
    <n v="1292"/>
    <n v="5060"/>
    <s v="Overdue"/>
    <n v="2"/>
    <d v="2022-05-31T00:00:00"/>
    <n v="0"/>
    <n v="2714"/>
    <n v="0.8"/>
    <s v="Normal"/>
    <n v="2022"/>
    <s v="May"/>
  </r>
  <r>
    <n v="4512"/>
    <x v="266"/>
    <x v="3"/>
    <s v="East"/>
    <s v="Basic"/>
    <d v="2022-03-02T00:00:00"/>
    <d v="2022-06-04T00:00:00"/>
    <x v="2033"/>
    <n v="245"/>
    <n v="1227"/>
    <s v="NA"/>
    <n v="3"/>
    <d v="2022-06-04T00:00:00"/>
    <n v="1"/>
    <n v="2715"/>
    <n v="0.83"/>
    <s v="Normal"/>
    <n v="2022"/>
    <s v="June"/>
  </r>
  <r>
    <n v="4513"/>
    <x v="241"/>
    <x v="3"/>
    <s v="West"/>
    <s v="Standard"/>
    <d v="2022-06-22T00:00:00"/>
    <d v="2023-11-05T00:00:00"/>
    <x v="2034"/>
    <n v="2446"/>
    <n v="4597"/>
    <s v="Pending"/>
    <n v="16"/>
    <d v="2023-11-05T00:00:00"/>
    <n v="1"/>
    <n v="2716"/>
    <n v="0.65"/>
    <s v="Normal"/>
    <n v="2023"/>
    <s v="November"/>
  </r>
  <r>
    <n v="4514"/>
    <x v="57"/>
    <x v="0"/>
    <s v="South"/>
    <s v="Standard"/>
    <d v="2022-12-01T00:00:00"/>
    <d v="2023-06-20T00:00:00"/>
    <x v="2035"/>
    <n v="6945"/>
    <n v="-913"/>
    <s v="NA"/>
    <n v="6"/>
    <d v="2023-06-20T00:00:00"/>
    <n v="1"/>
    <n v="2717"/>
    <n v="-0.15"/>
    <s v="Normal"/>
    <n v="2023"/>
    <s v="June"/>
  </r>
  <r>
    <n v="4516"/>
    <x v="302"/>
    <x v="3"/>
    <s v="East"/>
    <s v="Standard"/>
    <d v="2022-03-01T00:00:00"/>
    <d v="2023-01-26T00:00:00"/>
    <x v="2036"/>
    <n v="2396"/>
    <n v="2895"/>
    <s v="Pending"/>
    <n v="10"/>
    <d v="2023-01-26T00:00:00"/>
    <n v="1"/>
    <n v="2718"/>
    <n v="0.55000000000000004"/>
    <s v="Normal"/>
    <n v="2023"/>
    <s v="January"/>
  </r>
  <r>
    <n v="4518"/>
    <x v="288"/>
    <x v="1"/>
    <s v="East"/>
    <s v="Premium"/>
    <d v="2022-04-04T00:00:00"/>
    <d v="2022-11-09T00:00:00"/>
    <x v="519"/>
    <n v="389"/>
    <n v="2828"/>
    <s v="Paid"/>
    <n v="7"/>
    <d v="2022-11-09T00:00:00"/>
    <n v="1"/>
    <n v="2719"/>
    <n v="0.88"/>
    <s v="Normal"/>
    <n v="2022"/>
    <s v="November"/>
  </r>
  <r>
    <n v="4521"/>
    <x v="28"/>
    <x v="2"/>
    <s v="South"/>
    <s v="Basic"/>
    <d v="2022-10-10T00:00:00"/>
    <d v="2023-12-21T00:00:00"/>
    <x v="2037"/>
    <n v="7327"/>
    <n v="-4657"/>
    <s v="NA"/>
    <n v="14"/>
    <d v="2023-12-21T00:00:00"/>
    <n v="1"/>
    <n v="2720"/>
    <n v="-1.74"/>
    <s v="Outlier"/>
    <n v="2023"/>
    <s v="December"/>
  </r>
  <r>
    <n v="4522"/>
    <x v="183"/>
    <x v="3"/>
    <s v="East"/>
    <s v="Standard"/>
    <d v="2022-12-29T00:00:00"/>
    <d v="2024-06-14T00:00:00"/>
    <x v="2038"/>
    <n v="6606"/>
    <n v="1467"/>
    <s v="Pending"/>
    <n v="17"/>
    <d v="2024-06-14T00:00:00"/>
    <n v="1"/>
    <n v="2721"/>
    <n v="0.18"/>
    <s v="Normal"/>
    <n v="2024"/>
    <s v="June"/>
  </r>
  <r>
    <n v="4523"/>
    <x v="96"/>
    <x v="4"/>
    <s v="West"/>
    <s v="Basic"/>
    <d v="2022-04-26T00:00:00"/>
    <d v="2023-05-06T00:00:00"/>
    <x v="2039"/>
    <n v="2608"/>
    <n v="6778"/>
    <s v="NA"/>
    <n v="12"/>
    <d v="2023-05-06T00:00:00"/>
    <n v="0"/>
    <n v="2722"/>
    <n v="0.72"/>
    <s v="Normal"/>
    <n v="2023"/>
    <s v="May"/>
  </r>
  <r>
    <n v="4524"/>
    <x v="126"/>
    <x v="3"/>
    <s v="West"/>
    <s v="Premium"/>
    <d v="2022-09-30T00:00:00"/>
    <d v="2023-07-01T00:00:00"/>
    <x v="17"/>
    <n v="4582"/>
    <n v="-4935"/>
    <s v="Pending"/>
    <n v="9"/>
    <d v="2023-07-01T00:00:00"/>
    <n v="1"/>
    <n v="2723"/>
    <n v="-0.99"/>
    <s v="Normal"/>
    <n v="2023"/>
    <s v="July"/>
  </r>
  <r>
    <n v="4526"/>
    <x v="145"/>
    <x v="2"/>
    <s v="South"/>
    <s v="Standard"/>
    <d v="2022-03-19T00:00:00"/>
    <d v="2023-05-24T00:00:00"/>
    <x v="2040"/>
    <n v="3198"/>
    <n v="5140"/>
    <s v="NA"/>
    <n v="14"/>
    <d v="2023-05-24T00:00:00"/>
    <n v="1"/>
    <n v="2724"/>
    <n v="0.62"/>
    <s v="Normal"/>
    <n v="2023"/>
    <s v="May"/>
  </r>
  <r>
    <n v="4531"/>
    <x v="288"/>
    <x v="1"/>
    <s v="East"/>
    <s v="Standard"/>
    <d v="2022-05-26T00:00:00"/>
    <d v="2023-08-05T00:00:00"/>
    <x v="1914"/>
    <n v="3302"/>
    <n v="-2644"/>
    <s v="Paid"/>
    <n v="14"/>
    <d v="2023-08-05T00:00:00"/>
    <n v="0"/>
    <n v="2725"/>
    <n v="-4.0199999999999996"/>
    <s v="Outlier"/>
    <n v="2023"/>
    <s v="August"/>
  </r>
  <r>
    <n v="4532"/>
    <x v="390"/>
    <x v="3"/>
    <s v="North"/>
    <s v="Premium"/>
    <d v="2022-05-19T00:00:00"/>
    <d v="2023-10-29T00:00:00"/>
    <x v="2041"/>
    <n v="5584"/>
    <n v="577.01"/>
    <s v="Paid"/>
    <n v="17"/>
    <d v="2023-10-29T00:00:00"/>
    <n v="1"/>
    <n v="2726"/>
    <n v="0.13"/>
    <s v="Normal"/>
    <n v="2023"/>
    <s v="October"/>
  </r>
  <r>
    <n v="4535"/>
    <x v="183"/>
    <x v="0"/>
    <s v="South"/>
    <s v="Standard"/>
    <d v="2022-01-01T00:00:00"/>
    <d v="2022-05-18T00:00:00"/>
    <x v="2042"/>
    <n v="6073"/>
    <n v="3588"/>
    <s v="Overdue"/>
    <n v="4"/>
    <d v="2022-05-18T00:00:00"/>
    <n v="1"/>
    <n v="2727"/>
    <n v="0.37"/>
    <s v="Normal"/>
    <n v="2022"/>
    <s v="May"/>
  </r>
  <r>
    <n v="4537"/>
    <x v="127"/>
    <x v="3"/>
    <s v="South"/>
    <s v="Standard"/>
    <d v="2022-03-31T00:00:00"/>
    <d v="2023-04-18T00:00:00"/>
    <x v="2043"/>
    <n v="4012.75"/>
    <n v="7759"/>
    <s v="Pending"/>
    <n v="12"/>
    <d v="2023-04-18T00:00:00"/>
    <n v="1"/>
    <n v="2728"/>
    <n v="1.1100000000000001"/>
    <s v="Outlier"/>
    <n v="2023"/>
    <s v="April"/>
  </r>
  <r>
    <n v="4538"/>
    <x v="148"/>
    <x v="4"/>
    <s v="South"/>
    <s v="Premium"/>
    <d v="2022-07-23T00:00:00"/>
    <d v="2023-01-13T00:00:00"/>
    <x v="2044"/>
    <n v="7081"/>
    <n v="-2847"/>
    <s v="NA"/>
    <n v="5"/>
    <d v="2023-01-13T00:00:00"/>
    <n v="1"/>
    <n v="2729"/>
    <n v="-0.67"/>
    <s v="Normal"/>
    <n v="2023"/>
    <s v="January"/>
  </r>
  <r>
    <n v="4540"/>
    <x v="374"/>
    <x v="4"/>
    <s v="North"/>
    <s v="Basic"/>
    <d v="2022-06-01T00:00:00"/>
    <d v="2023-06-15T00:00:00"/>
    <x v="91"/>
    <n v="3216"/>
    <n v="4423"/>
    <s v="Overdue"/>
    <n v="12"/>
    <d v="2023-06-15T00:00:00"/>
    <n v="1"/>
    <n v="2730"/>
    <n v="0.57999999999999996"/>
    <s v="Normal"/>
    <n v="2023"/>
    <s v="June"/>
  </r>
  <r>
    <n v="4542"/>
    <x v="261"/>
    <x v="2"/>
    <s v="East"/>
    <s v="Standard"/>
    <d v="2022-08-26T00:00:00"/>
    <d v="2023-08-08T00:00:00"/>
    <x v="1408"/>
    <n v="1824"/>
    <n v="4709"/>
    <s v="Pending"/>
    <n v="11"/>
    <d v="2023-08-08T00:00:00"/>
    <n v="0"/>
    <n v="2731"/>
    <n v="0.72"/>
    <s v="Normal"/>
    <n v="2023"/>
    <s v="August"/>
  </r>
  <r>
    <n v="4544"/>
    <x v="67"/>
    <x v="4"/>
    <s v="North"/>
    <s v="Basic"/>
    <d v="2022-04-26T00:00:00"/>
    <d v="2023-06-07T00:00:00"/>
    <x v="2045"/>
    <n v="5102"/>
    <n v="-4490"/>
    <s v="Overdue"/>
    <n v="13"/>
    <d v="2023-06-07T00:00:00"/>
    <n v="1"/>
    <n v="2732"/>
    <n v="-7.34"/>
    <s v="Outlier"/>
    <n v="2023"/>
    <s v="June"/>
  </r>
  <r>
    <n v="4546"/>
    <x v="221"/>
    <x v="1"/>
    <s v="East"/>
    <s v="Premium"/>
    <d v="2022-02-22T00:00:00"/>
    <d v="2022-07-30T00:00:00"/>
    <x v="2046"/>
    <n v="3755"/>
    <n v="3484"/>
    <s v="NA"/>
    <n v="5"/>
    <d v="2022-07-30T00:00:00"/>
    <n v="1"/>
    <n v="2733"/>
    <n v="0.48"/>
    <s v="Normal"/>
    <n v="2022"/>
    <s v="July"/>
  </r>
  <r>
    <n v="4547"/>
    <x v="318"/>
    <x v="3"/>
    <s v="West"/>
    <s v="Standard"/>
    <d v="2022-11-13T00:00:00"/>
    <d v="2023-07-21T00:00:00"/>
    <x v="2047"/>
    <n v="3834"/>
    <n v="-1503"/>
    <s v="Paid"/>
    <n v="8"/>
    <d v="2023-07-21T00:00:00"/>
    <n v="0"/>
    <n v="2734"/>
    <n v="-0.64"/>
    <s v="Normal"/>
    <n v="2023"/>
    <s v="July"/>
  </r>
  <r>
    <n v="4550"/>
    <x v="289"/>
    <x v="2"/>
    <s v="North"/>
    <s v="Basic"/>
    <d v="2022-04-05T00:00:00"/>
    <d v="2023-10-24T00:00:00"/>
    <x v="2048"/>
    <n v="5952"/>
    <n v="1270"/>
    <s v="Pending"/>
    <n v="18"/>
    <d v="2023-10-24T00:00:00"/>
    <n v="0"/>
    <n v="2735"/>
    <n v="0.18"/>
    <s v="Normal"/>
    <n v="2023"/>
    <s v="October"/>
  </r>
  <r>
    <n v="4553"/>
    <x v="177"/>
    <x v="2"/>
    <s v="East"/>
    <s v="Standard"/>
    <d v="2022-03-05T00:00:00"/>
    <d v="2022-09-15T00:00:00"/>
    <x v="2049"/>
    <n v="4631"/>
    <n v="934"/>
    <s v="Pending"/>
    <n v="6"/>
    <d v="2022-09-15T00:00:00"/>
    <n v="1"/>
    <n v="2736"/>
    <n v="0.17"/>
    <s v="Normal"/>
    <n v="2022"/>
    <s v="September"/>
  </r>
  <r>
    <n v="4554"/>
    <x v="138"/>
    <x v="0"/>
    <s v="South"/>
    <s v="Basic"/>
    <d v="2022-04-14T00:00:00"/>
    <d v="2022-10-08T00:00:00"/>
    <x v="2050"/>
    <n v="7978"/>
    <n v="-1915"/>
    <s v="Overdue"/>
    <n v="5"/>
    <d v="2022-10-08T00:00:00"/>
    <n v="0"/>
    <n v="2737"/>
    <n v="-0.32"/>
    <s v="Normal"/>
    <n v="2022"/>
    <s v="October"/>
  </r>
  <r>
    <n v="4556"/>
    <x v="388"/>
    <x v="4"/>
    <s v="West"/>
    <s v="Standard"/>
    <d v="2022-12-31T00:00:00"/>
    <d v="2024-08-04T00:00:00"/>
    <x v="1496"/>
    <n v="5836"/>
    <n v="-2999"/>
    <s v="Paid"/>
    <n v="19"/>
    <d v="2024-08-04T00:00:00"/>
    <n v="1"/>
    <n v="2738"/>
    <n v="-1.06"/>
    <s v="Outlier"/>
    <n v="2024"/>
    <s v="August"/>
  </r>
  <r>
    <n v="4560"/>
    <x v="282"/>
    <x v="3"/>
    <s v="North"/>
    <s v="Standard"/>
    <d v="2022-04-30T00:00:00"/>
    <d v="2023-12-04T00:00:00"/>
    <x v="2051"/>
    <n v="4374"/>
    <n v="897"/>
    <s v="Paid"/>
    <n v="19"/>
    <d v="2023-12-04T00:00:00"/>
    <n v="1"/>
    <n v="2739"/>
    <n v="0.17"/>
    <s v="Normal"/>
    <n v="2023"/>
    <s v="December"/>
  </r>
  <r>
    <n v="4562"/>
    <x v="6"/>
    <x v="0"/>
    <s v="South"/>
    <s v="Standard"/>
    <d v="2022-06-25T00:00:00"/>
    <d v="2023-07-02T00:00:00"/>
    <x v="2052"/>
    <n v="687"/>
    <n v="7958"/>
    <s v="NA"/>
    <n v="12"/>
    <d v="2023-07-02T00:00:00"/>
    <n v="1"/>
    <n v="2740"/>
    <n v="0.92"/>
    <s v="Normal"/>
    <n v="2023"/>
    <s v="July"/>
  </r>
  <r>
    <n v="4563"/>
    <x v="293"/>
    <x v="1"/>
    <s v="West"/>
    <s v="Basic"/>
    <d v="2022-06-17T00:00:00"/>
    <d v="2023-12-09T00:00:00"/>
    <x v="2053"/>
    <n v="53"/>
    <n v="4453"/>
    <s v="Overdue"/>
    <n v="17"/>
    <d v="2023-12-09T00:00:00"/>
    <n v="1"/>
    <n v="2741"/>
    <n v="0.99"/>
    <s v="Normal"/>
    <n v="2023"/>
    <s v="December"/>
  </r>
  <r>
    <n v="4565"/>
    <x v="356"/>
    <x v="3"/>
    <s v="North"/>
    <s v="Basic"/>
    <d v="2022-08-10T00:00:00"/>
    <d v="2023-12-29T00:00:00"/>
    <x v="2054"/>
    <n v="1014"/>
    <n v="7622"/>
    <s v="NA"/>
    <n v="16"/>
    <d v="2023-12-29T00:00:00"/>
    <n v="1"/>
    <n v="2742"/>
    <n v="0.88"/>
    <s v="Normal"/>
    <n v="2023"/>
    <s v="December"/>
  </r>
  <r>
    <n v="4568"/>
    <x v="234"/>
    <x v="4"/>
    <s v="North"/>
    <s v="Standard"/>
    <d v="2022-04-20T00:00:00"/>
    <d v="2023-06-28T00:00:00"/>
    <x v="2055"/>
    <n v="6794"/>
    <n v="577.01"/>
    <s v="NA"/>
    <n v="14"/>
    <d v="2023-06-28T00:00:00"/>
    <n v="1"/>
    <n v="2743"/>
    <n v="0.95"/>
    <s v="Normal"/>
    <n v="2023"/>
    <s v="June"/>
  </r>
  <r>
    <n v="4570"/>
    <x v="318"/>
    <x v="3"/>
    <s v="West"/>
    <s v="Premium"/>
    <d v="2022-08-06T00:00:00"/>
    <d v="2023-02-13T00:00:00"/>
    <x v="2056"/>
    <n v="148"/>
    <n v="6409"/>
    <s v="NA"/>
    <n v="6"/>
    <d v="2023-02-13T00:00:00"/>
    <n v="1"/>
    <n v="2744"/>
    <n v="0.98"/>
    <s v="Normal"/>
    <n v="2023"/>
    <s v="February"/>
  </r>
  <r>
    <n v="4571"/>
    <x v="221"/>
    <x v="1"/>
    <s v="South"/>
    <s v="Standard"/>
    <d v="2022-10-10T00:00:00"/>
    <d v="2023-08-23T00:00:00"/>
    <x v="2057"/>
    <n v="2227"/>
    <n v="577.01"/>
    <s v="Pending"/>
    <n v="10"/>
    <d v="2023-08-23T00:00:00"/>
    <n v="1"/>
    <n v="2745"/>
    <n v="0.15"/>
    <s v="Normal"/>
    <n v="2023"/>
    <s v="August"/>
  </r>
  <r>
    <n v="4573"/>
    <x v="224"/>
    <x v="1"/>
    <s v="East"/>
    <s v="Basic"/>
    <d v="2022-10-18T00:00:00"/>
    <d v="2023-11-16T00:00:00"/>
    <x v="418"/>
    <n v="4701"/>
    <n v="1938"/>
    <s v="Overdue"/>
    <n v="12"/>
    <d v="2023-11-16T00:00:00"/>
    <n v="1"/>
    <n v="2746"/>
    <n v="0.28999999999999998"/>
    <s v="Normal"/>
    <n v="2023"/>
    <s v="November"/>
  </r>
  <r>
    <n v="4574"/>
    <x v="237"/>
    <x v="2"/>
    <s v="South"/>
    <s v="Premium"/>
    <d v="2022-06-21T00:00:00"/>
    <d v="2023-07-08T00:00:00"/>
    <x v="656"/>
    <n v="1121"/>
    <n v="4020"/>
    <s v="Overdue"/>
    <n v="12"/>
    <d v="2023-07-08T00:00:00"/>
    <n v="1"/>
    <n v="2747"/>
    <n v="0.78"/>
    <s v="Normal"/>
    <n v="2023"/>
    <s v="July"/>
  </r>
  <r>
    <n v="4575"/>
    <x v="314"/>
    <x v="2"/>
    <s v="East"/>
    <s v="Basic"/>
    <d v="2022-05-09T00:00:00"/>
    <d v="2023-11-13T00:00:00"/>
    <x v="2058"/>
    <n v="4012.75"/>
    <n v="4123"/>
    <s v="NA"/>
    <n v="18"/>
    <d v="2023-11-13T00:00:00"/>
    <n v="1"/>
    <n v="2748"/>
    <n v="1.06"/>
    <s v="Outlier"/>
    <n v="2023"/>
    <s v="November"/>
  </r>
  <r>
    <n v="4577"/>
    <x v="37"/>
    <x v="4"/>
    <s v="West"/>
    <s v="Standard"/>
    <d v="2022-06-03T00:00:00"/>
    <d v="2023-09-09T00:00:00"/>
    <x v="2059"/>
    <n v="4484"/>
    <n v="-3341"/>
    <s v="Pending"/>
    <n v="15"/>
    <d v="2023-09-09T00:00:00"/>
    <n v="0"/>
    <n v="2749"/>
    <n v="-2.92"/>
    <s v="Outlier"/>
    <n v="2023"/>
    <s v="September"/>
  </r>
  <r>
    <n v="4578"/>
    <x v="146"/>
    <x v="0"/>
    <s v="East"/>
    <s v="Basic"/>
    <d v="2022-10-03T00:00:00"/>
    <d v="2023-04-04T00:00:00"/>
    <x v="2060"/>
    <n v="3595"/>
    <n v="-1631"/>
    <s v="Paid"/>
    <n v="6"/>
    <d v="2023-04-04T00:00:00"/>
    <n v="0"/>
    <n v="2750"/>
    <n v="-0.83"/>
    <s v="Normal"/>
    <n v="2023"/>
    <s v="April"/>
  </r>
  <r>
    <n v="4579"/>
    <x v="332"/>
    <x v="3"/>
    <s v="West"/>
    <s v="Basic"/>
    <d v="2022-12-22T00:00:00"/>
    <d v="2023-12-27T00:00:00"/>
    <x v="2061"/>
    <n v="3167"/>
    <n v="2097"/>
    <s v="NA"/>
    <n v="12"/>
    <d v="2023-12-27T00:00:00"/>
    <n v="0"/>
    <n v="2751"/>
    <n v="0.4"/>
    <s v="Normal"/>
    <n v="2023"/>
    <s v="December"/>
  </r>
  <r>
    <n v="4581"/>
    <x v="281"/>
    <x v="3"/>
    <s v="North"/>
    <s v="Basic"/>
    <d v="2022-09-13T00:00:00"/>
    <d v="2023-05-13T00:00:00"/>
    <x v="2062"/>
    <n v="4887"/>
    <n v="939"/>
    <s v="Pending"/>
    <n v="8"/>
    <d v="2023-05-13T00:00:00"/>
    <n v="0"/>
    <n v="2752"/>
    <n v="0.16"/>
    <s v="Normal"/>
    <n v="2023"/>
    <s v="May"/>
  </r>
  <r>
    <n v="4582"/>
    <x v="249"/>
    <x v="0"/>
    <s v="East"/>
    <s v="Standard"/>
    <d v="2022-12-22T00:00:00"/>
    <d v="2023-09-02T00:00:00"/>
    <x v="2063"/>
    <n v="3967"/>
    <n v="577.01"/>
    <s v="Pending"/>
    <n v="8"/>
    <d v="2023-09-02T00:00:00"/>
    <n v="0"/>
    <n v="2753"/>
    <n v="0.16"/>
    <s v="Normal"/>
    <n v="2023"/>
    <s v="September"/>
  </r>
  <r>
    <n v="4583"/>
    <x v="246"/>
    <x v="4"/>
    <s v="South"/>
    <s v="Premium"/>
    <d v="2022-10-19T00:00:00"/>
    <d v="2023-04-12T00:00:00"/>
    <x v="234"/>
    <n v="5619"/>
    <n v="-375"/>
    <s v="Pending"/>
    <n v="5"/>
    <d v="2023-04-12T00:00:00"/>
    <n v="1"/>
    <n v="2754"/>
    <n v="-7.0000000000000007E-2"/>
    <s v="Normal"/>
    <n v="2023"/>
    <s v="April"/>
  </r>
  <r>
    <n v="4584"/>
    <x v="34"/>
    <x v="3"/>
    <s v="North"/>
    <s v="Premium"/>
    <d v="2022-03-01T00:00:00"/>
    <d v="2022-05-14T00:00:00"/>
    <x v="2064"/>
    <n v="7830"/>
    <n v="-6244"/>
    <s v="Overdue"/>
    <n v="2"/>
    <d v="2022-05-14T00:00:00"/>
    <n v="0"/>
    <n v="2755"/>
    <n v="-3.94"/>
    <s v="Outlier"/>
    <n v="2022"/>
    <s v="May"/>
  </r>
  <r>
    <n v="4585"/>
    <x v="301"/>
    <x v="4"/>
    <s v="North"/>
    <s v="Premium"/>
    <d v="2022-05-18T00:00:00"/>
    <d v="2022-12-20T00:00:00"/>
    <x v="17"/>
    <n v="4012.75"/>
    <n v="-471"/>
    <s v="Overdue"/>
    <n v="7"/>
    <d v="2022-12-20T00:00:00"/>
    <n v="1"/>
    <n v="2756"/>
    <n v="-0.09"/>
    <s v="Normal"/>
    <n v="2022"/>
    <s v="December"/>
  </r>
  <r>
    <n v="4586"/>
    <x v="184"/>
    <x v="2"/>
    <s v="South"/>
    <s v="Premium"/>
    <d v="2022-04-22T00:00:00"/>
    <d v="2022-10-31T00:00:00"/>
    <x v="2065"/>
    <n v="4012.75"/>
    <n v="2514"/>
    <s v="Pending"/>
    <n v="6"/>
    <d v="2022-10-31T00:00:00"/>
    <n v="0"/>
    <n v="2757"/>
    <n v="1.24"/>
    <s v="Outlier"/>
    <n v="2022"/>
    <s v="October"/>
  </r>
  <r>
    <n v="4588"/>
    <x v="3"/>
    <x v="4"/>
    <s v="South"/>
    <s v="Premium"/>
    <d v="2022-07-27T00:00:00"/>
    <d v="2022-09-21T00:00:00"/>
    <x v="2066"/>
    <n v="4012.75"/>
    <n v="4164"/>
    <s v="Pending"/>
    <n v="1"/>
    <d v="2022-09-21T00:00:00"/>
    <n v="0"/>
    <n v="2758"/>
    <n v="1.03"/>
    <s v="Outlier"/>
    <n v="2022"/>
    <s v="September"/>
  </r>
  <r>
    <n v="4590"/>
    <x v="367"/>
    <x v="1"/>
    <s v="South"/>
    <s v="Premium"/>
    <d v="2022-04-10T00:00:00"/>
    <d v="2023-06-04T00:00:00"/>
    <x v="2067"/>
    <n v="6949"/>
    <n v="-956"/>
    <s v="Paid"/>
    <n v="13"/>
    <d v="2023-06-04T00:00:00"/>
    <n v="1"/>
    <n v="2759"/>
    <n v="-0.16"/>
    <s v="Normal"/>
    <n v="2023"/>
    <s v="June"/>
  </r>
  <r>
    <n v="4591"/>
    <x v="131"/>
    <x v="2"/>
    <s v="North"/>
    <s v="Standard"/>
    <d v="2022-01-16T00:00:00"/>
    <d v="2022-08-27T00:00:00"/>
    <x v="2068"/>
    <n v="985"/>
    <n v="-253"/>
    <s v="Overdue"/>
    <n v="7"/>
    <d v="2022-08-27T00:00:00"/>
    <n v="1"/>
    <n v="2760"/>
    <n v="-0.35"/>
    <s v="Normal"/>
    <n v="2022"/>
    <s v="August"/>
  </r>
  <r>
    <n v="4592"/>
    <x v="69"/>
    <x v="1"/>
    <s v="West"/>
    <s v="Standard"/>
    <d v="2022-02-11T00:00:00"/>
    <d v="2023-07-02T00:00:00"/>
    <x v="17"/>
    <n v="4545"/>
    <n v="-4957"/>
    <s v="NA"/>
    <n v="16"/>
    <d v="2023-07-02T00:00:00"/>
    <n v="0"/>
    <n v="2761"/>
    <n v="-1"/>
    <s v="Normal"/>
    <n v="2023"/>
    <s v="July"/>
  </r>
  <r>
    <n v="4593"/>
    <x v="201"/>
    <x v="2"/>
    <s v="East"/>
    <s v="Standard"/>
    <d v="2022-05-06T00:00:00"/>
    <d v="2023-05-02T00:00:00"/>
    <x v="2069"/>
    <n v="5813"/>
    <n v="1543"/>
    <s v="Overdue"/>
    <n v="11"/>
    <d v="2023-05-02T00:00:00"/>
    <n v="0"/>
    <n v="2762"/>
    <n v="0.21"/>
    <s v="Normal"/>
    <n v="2023"/>
    <s v="May"/>
  </r>
  <r>
    <n v="4594"/>
    <x v="218"/>
    <x v="1"/>
    <s v="West"/>
    <s v="Standard"/>
    <d v="2022-11-10T00:00:00"/>
    <d v="2023-04-04T00:00:00"/>
    <x v="17"/>
    <n v="3698"/>
    <n v="577.01"/>
    <s v="NA"/>
    <n v="4"/>
    <d v="2023-04-04T00:00:00"/>
    <n v="0"/>
    <n v="2763"/>
    <n v="0.12"/>
    <s v="Normal"/>
    <n v="2023"/>
    <s v="April"/>
  </r>
  <r>
    <n v="4595"/>
    <x v="121"/>
    <x v="3"/>
    <s v="East"/>
    <s v="Standard"/>
    <d v="2022-08-08T00:00:00"/>
    <d v="2023-02-19T00:00:00"/>
    <x v="2070"/>
    <n v="4739"/>
    <n v="-4328"/>
    <s v="Paid"/>
    <n v="6"/>
    <d v="2023-02-19T00:00:00"/>
    <n v="1"/>
    <n v="2764"/>
    <n v="-10.53"/>
    <s v="Outlier"/>
    <n v="2023"/>
    <s v="February"/>
  </r>
  <r>
    <n v="4596"/>
    <x v="357"/>
    <x v="3"/>
    <s v="East"/>
    <s v="Standard"/>
    <d v="2022-03-14T00:00:00"/>
    <d v="2022-11-02T00:00:00"/>
    <x v="2071"/>
    <n v="7419"/>
    <n v="18"/>
    <s v="NA"/>
    <n v="7"/>
    <d v="2022-11-02T00:00:00"/>
    <n v="0"/>
    <n v="2765"/>
    <n v="0"/>
    <s v="Normal"/>
    <n v="2022"/>
    <s v="November"/>
  </r>
  <r>
    <n v="4597"/>
    <x v="128"/>
    <x v="2"/>
    <s v="East"/>
    <s v="Basic"/>
    <d v="2022-08-22T00:00:00"/>
    <d v="2022-10-11T00:00:00"/>
    <x v="2072"/>
    <n v="6579"/>
    <n v="405"/>
    <s v="Overdue"/>
    <n v="1"/>
    <d v="2022-10-11T00:00:00"/>
    <n v="1"/>
    <n v="2766"/>
    <n v="0.06"/>
    <s v="Normal"/>
    <n v="2022"/>
    <s v="October"/>
  </r>
  <r>
    <n v="4598"/>
    <x v="47"/>
    <x v="0"/>
    <s v="South"/>
    <s v="Standard"/>
    <d v="2022-06-05T00:00:00"/>
    <d v="2023-11-26T00:00:00"/>
    <x v="2073"/>
    <n v="2868"/>
    <n v="5655"/>
    <s v="NA"/>
    <n v="17"/>
    <d v="2023-11-26T00:00:00"/>
    <n v="0"/>
    <n v="2767"/>
    <n v="0.66"/>
    <s v="Normal"/>
    <n v="2023"/>
    <s v="November"/>
  </r>
  <r>
    <n v="4599"/>
    <x v="151"/>
    <x v="1"/>
    <s v="North"/>
    <s v="Basic"/>
    <d v="2022-06-28T00:00:00"/>
    <d v="2022-12-26T00:00:00"/>
    <x v="275"/>
    <n v="920"/>
    <n v="332"/>
    <s v="Overdue"/>
    <n v="5"/>
    <d v="2022-12-26T00:00:00"/>
    <n v="0"/>
    <n v="2768"/>
    <n v="0.27"/>
    <s v="Normal"/>
    <n v="2022"/>
    <s v="December"/>
  </r>
  <r>
    <n v="4600"/>
    <x v="369"/>
    <x v="2"/>
    <s v="South"/>
    <s v="Premium"/>
    <d v="2022-07-12T00:00:00"/>
    <d v="2023-02-06T00:00:00"/>
    <x v="17"/>
    <n v="2059"/>
    <n v="-2974"/>
    <s v="NA"/>
    <n v="6"/>
    <d v="2023-02-06T00:00:00"/>
    <n v="0"/>
    <n v="2769"/>
    <n v="-0.6"/>
    <s v="Normal"/>
    <n v="2023"/>
    <s v="February"/>
  </r>
  <r>
    <n v="4603"/>
    <x v="132"/>
    <x v="3"/>
    <s v="East"/>
    <s v="Premium"/>
    <d v="2022-02-18T00:00:00"/>
    <d v="2022-07-29T00:00:00"/>
    <x v="2074"/>
    <n v="1530"/>
    <n v="8326"/>
    <s v="NA"/>
    <n v="5"/>
    <d v="2022-07-29T00:00:00"/>
    <n v="0"/>
    <n v="2770"/>
    <n v="0.84"/>
    <s v="Normal"/>
    <n v="2022"/>
    <s v="July"/>
  </r>
  <r>
    <n v="4604"/>
    <x v="81"/>
    <x v="3"/>
    <s v="North"/>
    <s v="Premium"/>
    <d v="2022-11-07T00:00:00"/>
    <d v="2024-06-15T00:00:00"/>
    <x v="2075"/>
    <n v="5792"/>
    <n v="-3375"/>
    <s v="Overdue"/>
    <n v="19"/>
    <d v="2024-06-15T00:00:00"/>
    <n v="0"/>
    <n v="2771"/>
    <n v="-1.4"/>
    <s v="Outlier"/>
    <n v="2024"/>
    <s v="June"/>
  </r>
  <r>
    <n v="4605"/>
    <x v="97"/>
    <x v="4"/>
    <s v="South"/>
    <s v="Premium"/>
    <d v="2022-11-08T00:00:00"/>
    <d v="2023-06-10T00:00:00"/>
    <x v="2076"/>
    <n v="1680"/>
    <n v="7895"/>
    <s v="Overdue"/>
    <n v="7"/>
    <d v="2023-06-10T00:00:00"/>
    <n v="0"/>
    <n v="2772"/>
    <n v="0.82"/>
    <s v="Normal"/>
    <n v="2023"/>
    <s v="June"/>
  </r>
  <r>
    <n v="4606"/>
    <x v="337"/>
    <x v="3"/>
    <s v="South"/>
    <s v="Basic"/>
    <d v="2022-04-15T00:00:00"/>
    <d v="2023-05-07T00:00:00"/>
    <x v="2077"/>
    <n v="2989"/>
    <n v="1105"/>
    <s v="NA"/>
    <n v="12"/>
    <d v="2023-05-07T00:00:00"/>
    <n v="1"/>
    <n v="2773"/>
    <n v="0.27"/>
    <s v="Normal"/>
    <n v="2023"/>
    <s v="May"/>
  </r>
  <r>
    <n v="4608"/>
    <x v="397"/>
    <x v="4"/>
    <s v="East"/>
    <s v="Standard"/>
    <d v="2022-12-17T00:00:00"/>
    <d v="2023-08-17T00:00:00"/>
    <x v="2078"/>
    <n v="6040"/>
    <n v="-119"/>
    <s v="Pending"/>
    <n v="8"/>
    <d v="2023-08-17T00:00:00"/>
    <n v="1"/>
    <n v="2774"/>
    <n v="-0.02"/>
    <s v="Normal"/>
    <n v="2023"/>
    <s v="August"/>
  </r>
  <r>
    <n v="4610"/>
    <x v="325"/>
    <x v="2"/>
    <s v="South"/>
    <s v="Premium"/>
    <d v="2022-11-20T00:00:00"/>
    <d v="2024-06-15T00:00:00"/>
    <x v="2079"/>
    <n v="1854"/>
    <n v="4126"/>
    <s v="Overdue"/>
    <n v="18"/>
    <d v="2024-06-15T00:00:00"/>
    <n v="0"/>
    <n v="2775"/>
    <n v="0.69"/>
    <s v="Normal"/>
    <n v="2024"/>
    <s v="June"/>
  </r>
  <r>
    <n v="4612"/>
    <x v="345"/>
    <x v="0"/>
    <s v="West"/>
    <s v="Premium"/>
    <d v="2022-06-07T00:00:00"/>
    <d v="2023-11-17T00:00:00"/>
    <x v="401"/>
    <n v="764"/>
    <n v="4669"/>
    <s v="Overdue"/>
    <n v="17"/>
    <d v="2023-11-17T00:00:00"/>
    <n v="1"/>
    <n v="2776"/>
    <n v="0.86"/>
    <s v="Normal"/>
    <n v="2023"/>
    <s v="November"/>
  </r>
  <r>
    <n v="4613"/>
    <x v="143"/>
    <x v="3"/>
    <s v="South"/>
    <s v="Premium"/>
    <d v="2022-08-21T00:00:00"/>
    <d v="2023-04-02T00:00:00"/>
    <x v="2080"/>
    <n v="4254"/>
    <n v="-3957"/>
    <s v="NA"/>
    <n v="7"/>
    <d v="2023-04-02T00:00:00"/>
    <n v="1"/>
    <n v="2777"/>
    <n v="-13.32"/>
    <s v="Outlier"/>
    <n v="2023"/>
    <s v="April"/>
  </r>
  <r>
    <n v="4615"/>
    <x v="14"/>
    <x v="2"/>
    <s v="North"/>
    <s v="Basic"/>
    <d v="2022-10-18T00:00:00"/>
    <d v="2023-11-16T00:00:00"/>
    <x v="191"/>
    <n v="3848"/>
    <n v="1901"/>
    <s v="Overdue"/>
    <n v="12"/>
    <d v="2023-11-16T00:00:00"/>
    <n v="1"/>
    <n v="2778"/>
    <n v="0.33"/>
    <s v="Normal"/>
    <n v="2023"/>
    <s v="November"/>
  </r>
  <r>
    <n v="4617"/>
    <x v="281"/>
    <x v="4"/>
    <s v="South"/>
    <s v="Basic"/>
    <d v="2022-12-07T00:00:00"/>
    <d v="2023-05-21T00:00:00"/>
    <x v="17"/>
    <n v="573"/>
    <n v="577.01"/>
    <s v="Overdue"/>
    <n v="5"/>
    <d v="2023-05-21T00:00:00"/>
    <n v="0"/>
    <n v="2779"/>
    <n v="0.12"/>
    <s v="Normal"/>
    <n v="2023"/>
    <s v="May"/>
  </r>
  <r>
    <n v="4618"/>
    <x v="210"/>
    <x v="0"/>
    <s v="East"/>
    <s v="Basic"/>
    <d v="2022-02-03T00:00:00"/>
    <d v="2023-07-13T00:00:00"/>
    <x v="2081"/>
    <n v="2888"/>
    <n v="-1553"/>
    <s v="Paid"/>
    <n v="17"/>
    <d v="2023-07-13T00:00:00"/>
    <n v="0"/>
    <n v="2780"/>
    <n v="-1.1599999999999999"/>
    <s v="Outlier"/>
    <n v="2023"/>
    <s v="July"/>
  </r>
  <r>
    <n v="4620"/>
    <x v="329"/>
    <x v="4"/>
    <s v="West"/>
    <s v="Standard"/>
    <d v="2022-03-07T00:00:00"/>
    <d v="2022-07-21T00:00:00"/>
    <x v="2082"/>
    <n v="1430"/>
    <n v="-765"/>
    <s v="Pending"/>
    <n v="4"/>
    <d v="2022-07-21T00:00:00"/>
    <n v="1"/>
    <n v="2781"/>
    <n v="-1.1499999999999999"/>
    <s v="Outlier"/>
    <n v="2022"/>
    <s v="July"/>
  </r>
  <r>
    <n v="4621"/>
    <x v="341"/>
    <x v="4"/>
    <s v="South"/>
    <s v="Basic"/>
    <d v="2022-07-24T00:00:00"/>
    <d v="2023-08-10T00:00:00"/>
    <x v="2083"/>
    <n v="3514"/>
    <n v="1875"/>
    <s v="NA"/>
    <n v="12"/>
    <d v="2023-08-10T00:00:00"/>
    <n v="1"/>
    <n v="2782"/>
    <n v="0.35"/>
    <s v="Normal"/>
    <n v="2023"/>
    <s v="August"/>
  </r>
  <r>
    <n v="4622"/>
    <x v="284"/>
    <x v="0"/>
    <s v="East"/>
    <s v="Basic"/>
    <d v="2022-01-29T00:00:00"/>
    <d v="2023-08-28T00:00:00"/>
    <x v="2084"/>
    <n v="1107"/>
    <n v="614"/>
    <s v="Overdue"/>
    <n v="18"/>
    <d v="2023-08-28T00:00:00"/>
    <n v="0"/>
    <n v="2783"/>
    <n v="0.36"/>
    <s v="Normal"/>
    <n v="2023"/>
    <s v="August"/>
  </r>
  <r>
    <n v="4624"/>
    <x v="80"/>
    <x v="0"/>
    <s v="North"/>
    <s v="Basic"/>
    <d v="2022-06-15T00:00:00"/>
    <d v="2023-06-03T00:00:00"/>
    <x v="2085"/>
    <n v="7624"/>
    <n v="-5414"/>
    <s v="Paid"/>
    <n v="11"/>
    <d v="2023-06-03T00:00:00"/>
    <n v="0"/>
    <n v="2784"/>
    <n v="-2.4500000000000002"/>
    <s v="Outlier"/>
    <n v="2023"/>
    <s v="June"/>
  </r>
  <r>
    <n v="4626"/>
    <x v="33"/>
    <x v="2"/>
    <s v="East"/>
    <s v="Premium"/>
    <d v="2022-08-21T00:00:00"/>
    <d v="2023-11-26T00:00:00"/>
    <x v="2086"/>
    <n v="1979"/>
    <n v="1928"/>
    <s v="Pending"/>
    <n v="15"/>
    <d v="2023-11-26T00:00:00"/>
    <n v="1"/>
    <n v="2785"/>
    <n v="0.49"/>
    <s v="Normal"/>
    <n v="2023"/>
    <s v="November"/>
  </r>
  <r>
    <n v="4627"/>
    <x v="277"/>
    <x v="4"/>
    <s v="South"/>
    <s v="Basic"/>
    <d v="2022-08-27T00:00:00"/>
    <d v="2023-10-21T00:00:00"/>
    <x v="2087"/>
    <n v="6973"/>
    <n v="-2221"/>
    <s v="NA"/>
    <n v="13"/>
    <d v="2023-10-21T00:00:00"/>
    <n v="1"/>
    <n v="2786"/>
    <n v="-0.47"/>
    <s v="Normal"/>
    <n v="2023"/>
    <s v="October"/>
  </r>
  <r>
    <n v="4631"/>
    <x v="381"/>
    <x v="4"/>
    <s v="East"/>
    <s v="Premium"/>
    <d v="2022-09-25T00:00:00"/>
    <d v="2022-11-15T00:00:00"/>
    <x v="1476"/>
    <n v="6509"/>
    <n v="1610"/>
    <s v="Pending"/>
    <n v="1"/>
    <d v="2022-11-15T00:00:00"/>
    <n v="1"/>
    <n v="2787"/>
    <n v="0.2"/>
    <s v="Normal"/>
    <n v="2022"/>
    <s v="November"/>
  </r>
  <r>
    <n v="4633"/>
    <x v="221"/>
    <x v="2"/>
    <s v="North"/>
    <s v="Premium"/>
    <d v="2022-09-13T00:00:00"/>
    <d v="2024-03-17T00:00:00"/>
    <x v="2088"/>
    <n v="4012.75"/>
    <n v="3877"/>
    <s v="Paid"/>
    <n v="18"/>
    <d v="2024-03-17T00:00:00"/>
    <n v="0"/>
    <n v="2788"/>
    <n v="1.22"/>
    <s v="Outlier"/>
    <n v="2024"/>
    <s v="March"/>
  </r>
  <r>
    <n v="4634"/>
    <x v="113"/>
    <x v="0"/>
    <s v="East"/>
    <s v="Standard"/>
    <d v="2022-03-28T00:00:00"/>
    <d v="2022-09-22T00:00:00"/>
    <x v="17"/>
    <n v="6610"/>
    <n v="-7712"/>
    <s v="Overdue"/>
    <n v="5"/>
    <d v="2022-09-22T00:00:00"/>
    <n v="0"/>
    <n v="2789"/>
    <n v="-1.55"/>
    <s v="Outlier"/>
    <n v="2022"/>
    <s v="September"/>
  </r>
  <r>
    <n v="4636"/>
    <x v="256"/>
    <x v="1"/>
    <s v="West"/>
    <s v="Premium"/>
    <d v="2022-09-19T00:00:00"/>
    <d v="2024-01-14T00:00:00"/>
    <x v="2089"/>
    <n v="2817"/>
    <n v="2063"/>
    <s v="NA"/>
    <n v="15"/>
    <d v="2024-01-14T00:00:00"/>
    <n v="1"/>
    <n v="2790"/>
    <n v="0.42"/>
    <s v="Normal"/>
    <n v="2024"/>
    <s v="January"/>
  </r>
  <r>
    <n v="4638"/>
    <x v="143"/>
    <x v="0"/>
    <s v="South"/>
    <s v="Basic"/>
    <d v="2022-03-01T00:00:00"/>
    <d v="2023-01-08T00:00:00"/>
    <x v="2090"/>
    <n v="4012.75"/>
    <n v="977"/>
    <s v="Pending"/>
    <n v="10"/>
    <d v="2023-01-08T00:00:00"/>
    <n v="0"/>
    <n v="2791"/>
    <n v="1.1000000000000001"/>
    <s v="Outlier"/>
    <n v="2023"/>
    <s v="January"/>
  </r>
  <r>
    <n v="4639"/>
    <x v="318"/>
    <x v="4"/>
    <s v="East"/>
    <s v="Premium"/>
    <d v="2022-01-14T00:00:00"/>
    <d v="2023-03-21T00:00:00"/>
    <x v="2091"/>
    <n v="4012.75"/>
    <n v="9656"/>
    <s v="Pending"/>
    <n v="14"/>
    <d v="2023-03-21T00:00:00"/>
    <n v="0"/>
    <n v="2792"/>
    <n v="1.02"/>
    <s v="Outlier"/>
    <n v="2023"/>
    <s v="March"/>
  </r>
  <r>
    <n v="4640"/>
    <x v="137"/>
    <x v="1"/>
    <s v="East"/>
    <s v="Basic"/>
    <d v="2022-09-12T00:00:00"/>
    <d v="2024-02-16T00:00:00"/>
    <x v="2042"/>
    <n v="4524"/>
    <n v="577.01"/>
    <s v="Pending"/>
    <n v="17"/>
    <d v="2024-02-16T00:00:00"/>
    <n v="1"/>
    <n v="2793"/>
    <n v="0.06"/>
    <s v="Normal"/>
    <n v="2024"/>
    <s v="February"/>
  </r>
  <r>
    <n v="4642"/>
    <x v="7"/>
    <x v="1"/>
    <s v="South"/>
    <s v="Basic"/>
    <d v="2022-03-08T00:00:00"/>
    <d v="2023-06-13T00:00:00"/>
    <x v="2092"/>
    <n v="6425"/>
    <n v="-224"/>
    <s v="Pending"/>
    <n v="15"/>
    <d v="2023-06-13T00:00:00"/>
    <n v="1"/>
    <n v="2794"/>
    <n v="-0.04"/>
    <s v="Normal"/>
    <n v="2023"/>
    <s v="June"/>
  </r>
  <r>
    <n v="4645"/>
    <x v="329"/>
    <x v="3"/>
    <s v="East"/>
    <s v="Premium"/>
    <d v="2022-02-26T00:00:00"/>
    <d v="2023-05-12T00:00:00"/>
    <x v="2093"/>
    <n v="2997"/>
    <n v="32"/>
    <s v="Paid"/>
    <n v="14"/>
    <d v="2023-05-12T00:00:00"/>
    <n v="0"/>
    <n v="2795"/>
    <n v="0.01"/>
    <s v="Normal"/>
    <n v="2023"/>
    <s v="May"/>
  </r>
  <r>
    <n v="4647"/>
    <x v="336"/>
    <x v="0"/>
    <s v="West"/>
    <s v="Standard"/>
    <d v="2022-09-19T00:00:00"/>
    <d v="2024-01-06T00:00:00"/>
    <x v="2094"/>
    <n v="6955"/>
    <n v="-20"/>
    <s v="Overdue"/>
    <n v="15"/>
    <d v="2024-01-06T00:00:00"/>
    <n v="0"/>
    <n v="2796"/>
    <n v="0"/>
    <s v="Normal"/>
    <n v="2024"/>
    <s v="January"/>
  </r>
  <r>
    <n v="4649"/>
    <x v="398"/>
    <x v="0"/>
    <s v="West"/>
    <s v="Standard"/>
    <d v="2022-03-23T00:00:00"/>
    <d v="2022-11-11T00:00:00"/>
    <x v="17"/>
    <n v="3211"/>
    <n v="-4107"/>
    <s v="Paid"/>
    <n v="7"/>
    <d v="2022-11-11T00:00:00"/>
    <n v="1"/>
    <n v="2797"/>
    <n v="-0.83"/>
    <s v="Normal"/>
    <n v="2022"/>
    <s v="November"/>
  </r>
  <r>
    <n v="4650"/>
    <x v="179"/>
    <x v="4"/>
    <s v="North"/>
    <s v="Premium"/>
    <d v="2022-03-22T00:00:00"/>
    <d v="2022-07-04T00:00:00"/>
    <x v="2095"/>
    <n v="7076"/>
    <n v="-5450"/>
    <s v="Paid"/>
    <n v="3"/>
    <d v="2022-07-04T00:00:00"/>
    <n v="1"/>
    <n v="2798"/>
    <n v="-3.35"/>
    <s v="Outlier"/>
    <n v="2022"/>
    <s v="July"/>
  </r>
  <r>
    <n v="4652"/>
    <x v="359"/>
    <x v="1"/>
    <s v="West"/>
    <s v="Basic"/>
    <d v="2022-05-11T00:00:00"/>
    <d v="2023-04-17T00:00:00"/>
    <x v="17"/>
    <n v="6830"/>
    <n v="577.01"/>
    <s v="Overdue"/>
    <n v="11"/>
    <d v="2023-04-17T00:00:00"/>
    <n v="0"/>
    <n v="2799"/>
    <n v="0.12"/>
    <s v="Normal"/>
    <n v="2023"/>
    <s v="April"/>
  </r>
  <r>
    <n v="4654"/>
    <x v="179"/>
    <x v="2"/>
    <s v="North"/>
    <s v="Basic"/>
    <d v="2022-10-01T00:00:00"/>
    <d v="2024-03-02T00:00:00"/>
    <x v="17"/>
    <n v="359"/>
    <n v="-639"/>
    <s v="Overdue"/>
    <n v="17"/>
    <d v="2024-03-02T00:00:00"/>
    <n v="1"/>
    <n v="2800"/>
    <n v="-0.13"/>
    <s v="Normal"/>
    <n v="2024"/>
    <s v="March"/>
  </r>
  <r>
    <n v="4655"/>
    <x v="374"/>
    <x v="4"/>
    <s v="South"/>
    <s v="Premium"/>
    <d v="2022-07-19T00:00:00"/>
    <d v="2023-06-04T00:00:00"/>
    <x v="2096"/>
    <n v="3962"/>
    <n v="4101"/>
    <s v="Paid"/>
    <n v="10"/>
    <d v="2023-06-04T00:00:00"/>
    <n v="0"/>
    <n v="2801"/>
    <n v="0.51"/>
    <s v="Normal"/>
    <n v="2023"/>
    <s v="June"/>
  </r>
  <r>
    <n v="4656"/>
    <x v="46"/>
    <x v="1"/>
    <s v="East"/>
    <s v="Premium"/>
    <d v="2022-05-17T00:00:00"/>
    <d v="2023-05-17T00:00:00"/>
    <x v="2097"/>
    <n v="4025"/>
    <n v="-2336"/>
    <s v="NA"/>
    <n v="12"/>
    <d v="2023-05-17T00:00:00"/>
    <n v="0"/>
    <n v="2802"/>
    <n v="-1.38"/>
    <s v="Outlier"/>
    <n v="2023"/>
    <s v="May"/>
  </r>
  <r>
    <n v="4658"/>
    <x v="65"/>
    <x v="4"/>
    <s v="North"/>
    <s v="Premium"/>
    <d v="2022-08-21T00:00:00"/>
    <d v="2023-12-04T00:00:00"/>
    <x v="2098"/>
    <n v="4012.75"/>
    <n v="7372"/>
    <s v="Paid"/>
    <n v="15"/>
    <d v="2023-12-04T00:00:00"/>
    <n v="0"/>
    <n v="2803"/>
    <n v="1.03"/>
    <s v="Outlier"/>
    <n v="2023"/>
    <s v="December"/>
  </r>
  <r>
    <n v="4660"/>
    <x v="273"/>
    <x v="1"/>
    <s v="North"/>
    <s v="Standard"/>
    <d v="2022-02-08T00:00:00"/>
    <d v="2022-08-31T00:00:00"/>
    <x v="2099"/>
    <n v="6056"/>
    <n v="-5907"/>
    <s v="Pending"/>
    <n v="6"/>
    <d v="2022-08-31T00:00:00"/>
    <n v="1"/>
    <n v="2804"/>
    <n v="-39.64"/>
    <s v="Outlier"/>
    <n v="2022"/>
    <s v="August"/>
  </r>
  <r>
    <n v="4661"/>
    <x v="160"/>
    <x v="4"/>
    <s v="South"/>
    <s v="Standard"/>
    <d v="2022-01-25T00:00:00"/>
    <d v="2022-06-25T00:00:00"/>
    <x v="1171"/>
    <n v="4469"/>
    <n v="-3251"/>
    <s v="Pending"/>
    <n v="5"/>
    <d v="2022-06-25T00:00:00"/>
    <n v="1"/>
    <n v="2805"/>
    <n v="-2.67"/>
    <s v="Outlier"/>
    <n v="2022"/>
    <s v="June"/>
  </r>
  <r>
    <n v="4663"/>
    <x v="332"/>
    <x v="0"/>
    <s v="North"/>
    <s v="Basic"/>
    <d v="2022-05-15T00:00:00"/>
    <d v="2023-07-27T00:00:00"/>
    <x v="2100"/>
    <n v="3206"/>
    <n v="577.01"/>
    <s v="Overdue"/>
    <n v="14"/>
    <d v="2023-07-27T00:00:00"/>
    <n v="0"/>
    <n v="2806"/>
    <n v="0.47"/>
    <s v="Normal"/>
    <n v="2023"/>
    <s v="July"/>
  </r>
  <r>
    <n v="4664"/>
    <x v="29"/>
    <x v="0"/>
    <s v="West"/>
    <s v="Basic"/>
    <d v="2022-07-03T00:00:00"/>
    <d v="2022-12-12T00:00:00"/>
    <x v="570"/>
    <n v="4012.75"/>
    <n v="577.01"/>
    <s v="Paid"/>
    <n v="5"/>
    <d v="2022-12-12T00:00:00"/>
    <n v="1"/>
    <n v="2807"/>
    <n v="0.09"/>
    <s v="Normal"/>
    <n v="2022"/>
    <s v="December"/>
  </r>
  <r>
    <n v="4666"/>
    <x v="209"/>
    <x v="1"/>
    <s v="West"/>
    <s v="Basic"/>
    <d v="2022-05-25T00:00:00"/>
    <d v="2023-11-07T00:00:00"/>
    <x v="1118"/>
    <n v="1943"/>
    <n v="7335"/>
    <s v="Pending"/>
    <n v="17"/>
    <d v="2023-11-07T00:00:00"/>
    <n v="0"/>
    <n v="2808"/>
    <n v="0.79"/>
    <s v="Normal"/>
    <n v="2023"/>
    <s v="November"/>
  </r>
  <r>
    <n v="4668"/>
    <x v="237"/>
    <x v="2"/>
    <s v="West"/>
    <s v="Basic"/>
    <d v="2022-10-10T00:00:00"/>
    <d v="2024-01-03T00:00:00"/>
    <x v="17"/>
    <n v="1574"/>
    <n v="-3041"/>
    <s v="NA"/>
    <n v="14"/>
    <d v="2024-01-03T00:00:00"/>
    <n v="1"/>
    <n v="2809"/>
    <n v="-0.61"/>
    <s v="Normal"/>
    <n v="2024"/>
    <s v="January"/>
  </r>
  <r>
    <n v="4669"/>
    <x v="209"/>
    <x v="4"/>
    <s v="West"/>
    <s v="Standard"/>
    <d v="2022-11-16T00:00:00"/>
    <d v="2023-08-24T00:00:00"/>
    <x v="2101"/>
    <n v="3458"/>
    <n v="-2054"/>
    <s v="Paid"/>
    <n v="9"/>
    <d v="2023-08-24T00:00:00"/>
    <n v="1"/>
    <n v="2810"/>
    <n v="-1.46"/>
    <s v="Outlier"/>
    <n v="2023"/>
    <s v="August"/>
  </r>
  <r>
    <n v="4672"/>
    <x v="165"/>
    <x v="2"/>
    <s v="North"/>
    <s v="Premium"/>
    <d v="2022-01-30T00:00:00"/>
    <d v="2023-01-15T00:00:00"/>
    <x v="2102"/>
    <n v="2943"/>
    <n v="2023"/>
    <s v="Pending"/>
    <n v="11"/>
    <d v="2023-01-15T00:00:00"/>
    <n v="1"/>
    <n v="2811"/>
    <n v="0.41"/>
    <s v="Normal"/>
    <n v="2023"/>
    <s v="January"/>
  </r>
  <r>
    <n v="4675"/>
    <x v="395"/>
    <x v="3"/>
    <s v="West"/>
    <s v="Basic"/>
    <d v="2022-03-23T00:00:00"/>
    <d v="2022-09-28T00:00:00"/>
    <x v="1830"/>
    <n v="5407"/>
    <n v="-730"/>
    <s v="Paid"/>
    <n v="6"/>
    <d v="2022-09-28T00:00:00"/>
    <n v="0"/>
    <n v="2812"/>
    <n v="-0.16"/>
    <s v="Normal"/>
    <n v="2022"/>
    <s v="September"/>
  </r>
  <r>
    <n v="4677"/>
    <x v="182"/>
    <x v="2"/>
    <s v="South"/>
    <s v="Standard"/>
    <d v="2022-04-05T00:00:00"/>
    <d v="2023-06-13T00:00:00"/>
    <x v="2103"/>
    <n v="7028"/>
    <n v="2108"/>
    <s v="Pending"/>
    <n v="14"/>
    <d v="2023-06-13T00:00:00"/>
    <n v="1"/>
    <n v="2813"/>
    <n v="0.23"/>
    <s v="Normal"/>
    <n v="2023"/>
    <s v="June"/>
  </r>
  <r>
    <n v="4678"/>
    <x v="332"/>
    <x v="1"/>
    <s v="South"/>
    <s v="Standard"/>
    <d v="2022-11-14T00:00:00"/>
    <d v="2023-06-07T00:00:00"/>
    <x v="2104"/>
    <n v="854"/>
    <n v="4361"/>
    <s v="Overdue"/>
    <n v="6"/>
    <d v="2023-06-07T00:00:00"/>
    <n v="0"/>
    <n v="2814"/>
    <n v="0.84"/>
    <s v="Normal"/>
    <n v="2023"/>
    <s v="June"/>
  </r>
  <r>
    <n v="4679"/>
    <x v="295"/>
    <x v="4"/>
    <s v="South"/>
    <s v="Premium"/>
    <d v="2022-04-02T00:00:00"/>
    <d v="2023-05-04T00:00:00"/>
    <x v="2105"/>
    <n v="5956"/>
    <n v="577.01"/>
    <s v="Pending"/>
    <n v="13"/>
    <d v="2023-05-04T00:00:00"/>
    <n v="1"/>
    <n v="2815"/>
    <n v="2.77"/>
    <s v="Outlier"/>
    <n v="2023"/>
    <s v="May"/>
  </r>
  <r>
    <n v="4680"/>
    <x v="399"/>
    <x v="2"/>
    <s v="East"/>
    <s v="Basic"/>
    <d v="2022-11-03T00:00:00"/>
    <d v="2023-11-22T00:00:00"/>
    <x v="1305"/>
    <n v="3815"/>
    <n v="-3232"/>
    <s v="Pending"/>
    <n v="12"/>
    <d v="2023-11-22T00:00:00"/>
    <n v="1"/>
    <n v="2816"/>
    <n v="-5.54"/>
    <s v="Outlier"/>
    <n v="2023"/>
    <s v="November"/>
  </r>
  <r>
    <n v="4683"/>
    <x v="37"/>
    <x v="1"/>
    <s v="East"/>
    <s v="Standard"/>
    <d v="2022-02-22T00:00:00"/>
    <d v="2023-03-28T00:00:00"/>
    <x v="2106"/>
    <n v="7937"/>
    <n v="-5588"/>
    <s v="Overdue"/>
    <n v="13"/>
    <d v="2023-03-28T00:00:00"/>
    <n v="1"/>
    <n v="2817"/>
    <n v="-2.38"/>
    <s v="Outlier"/>
    <n v="2023"/>
    <s v="March"/>
  </r>
  <r>
    <n v="4684"/>
    <x v="210"/>
    <x v="0"/>
    <s v="West"/>
    <s v="Basic"/>
    <d v="2022-02-27T00:00:00"/>
    <d v="2022-06-18T00:00:00"/>
    <x v="2107"/>
    <n v="284"/>
    <n v="2089"/>
    <s v="Paid"/>
    <n v="3"/>
    <d v="2022-06-18T00:00:00"/>
    <n v="1"/>
    <n v="2818"/>
    <n v="0.88"/>
    <s v="Normal"/>
    <n v="2022"/>
    <s v="June"/>
  </r>
  <r>
    <n v="4685"/>
    <x v="327"/>
    <x v="2"/>
    <s v="West"/>
    <s v="Basic"/>
    <d v="2022-06-28T00:00:00"/>
    <d v="2024-01-16T00:00:00"/>
    <x v="580"/>
    <n v="2425"/>
    <n v="7360"/>
    <s v="Paid"/>
    <n v="18"/>
    <d v="2024-01-16T00:00:00"/>
    <n v="0"/>
    <n v="2819"/>
    <n v="0.75"/>
    <s v="Normal"/>
    <n v="2024"/>
    <s v="January"/>
  </r>
  <r>
    <n v="4686"/>
    <x v="289"/>
    <x v="3"/>
    <s v="North"/>
    <s v="Standard"/>
    <d v="2022-03-10T00:00:00"/>
    <d v="2022-09-13T00:00:00"/>
    <x v="17"/>
    <n v="4012.75"/>
    <n v="311"/>
    <s v="Pending"/>
    <n v="6"/>
    <d v="2022-09-13T00:00:00"/>
    <n v="0"/>
    <n v="2820"/>
    <n v="0.06"/>
    <s v="Normal"/>
    <n v="2022"/>
    <s v="September"/>
  </r>
  <r>
    <n v="4689"/>
    <x v="321"/>
    <x v="4"/>
    <s v="West"/>
    <s v="Premium"/>
    <d v="2022-05-15T00:00:00"/>
    <d v="2023-11-14T00:00:00"/>
    <x v="916"/>
    <n v="2185"/>
    <n v="-1104"/>
    <s v="Pending"/>
    <n v="17"/>
    <d v="2023-11-14T00:00:00"/>
    <n v="0"/>
    <n v="2821"/>
    <n v="-1.02"/>
    <s v="Outlier"/>
    <n v="2023"/>
    <s v="November"/>
  </r>
  <r>
    <n v="4691"/>
    <x v="202"/>
    <x v="2"/>
    <s v="West"/>
    <s v="Premium"/>
    <d v="2022-05-18T00:00:00"/>
    <d v="2023-04-07T00:00:00"/>
    <x v="1260"/>
    <n v="7349"/>
    <n v="-6267"/>
    <s v="Overdue"/>
    <n v="10"/>
    <d v="2023-04-07T00:00:00"/>
    <n v="0"/>
    <n v="2822"/>
    <n v="-5.79"/>
    <s v="Outlier"/>
    <n v="2023"/>
    <s v="April"/>
  </r>
  <r>
    <n v="4694"/>
    <x v="85"/>
    <x v="0"/>
    <s v="East"/>
    <s v="Premium"/>
    <d v="2022-07-26T00:00:00"/>
    <d v="2022-09-11T00:00:00"/>
    <x v="2108"/>
    <n v="1061"/>
    <n v="8927"/>
    <s v="Pending"/>
    <n v="1"/>
    <d v="2022-09-11T00:00:00"/>
    <n v="0"/>
    <n v="2823"/>
    <n v="0.89"/>
    <s v="Normal"/>
    <n v="2022"/>
    <s v="September"/>
  </r>
  <r>
    <n v="4696"/>
    <x v="272"/>
    <x v="3"/>
    <s v="South"/>
    <s v="Standard"/>
    <d v="2022-09-09T00:00:00"/>
    <d v="2023-06-22T00:00:00"/>
    <x v="17"/>
    <n v="6485"/>
    <n v="577.01"/>
    <s v="Overdue"/>
    <n v="9"/>
    <d v="2023-06-22T00:00:00"/>
    <n v="1"/>
    <n v="2824"/>
    <n v="0.12"/>
    <s v="Normal"/>
    <n v="2023"/>
    <s v="June"/>
  </r>
  <r>
    <n v="4697"/>
    <x v="49"/>
    <x v="1"/>
    <s v="East"/>
    <s v="Basic"/>
    <d v="2022-11-15T00:00:00"/>
    <d v="2024-05-31T00:00:00"/>
    <x v="2109"/>
    <n v="1419"/>
    <n v="2775"/>
    <s v="NA"/>
    <n v="18"/>
    <d v="2024-05-31T00:00:00"/>
    <n v="1"/>
    <n v="2825"/>
    <n v="0.66"/>
    <s v="Normal"/>
    <n v="2024"/>
    <s v="May"/>
  </r>
  <r>
    <n v="4698"/>
    <x v="41"/>
    <x v="3"/>
    <s v="North"/>
    <s v="Standard"/>
    <d v="2022-04-26T00:00:00"/>
    <d v="2022-07-25T00:00:00"/>
    <x v="1255"/>
    <n v="5226"/>
    <n v="709"/>
    <s v="Pending"/>
    <n v="2"/>
    <d v="2022-07-25T00:00:00"/>
    <n v="0"/>
    <n v="2826"/>
    <n v="0.12"/>
    <s v="Normal"/>
    <n v="2022"/>
    <s v="July"/>
  </r>
  <r>
    <n v="4699"/>
    <x v="399"/>
    <x v="4"/>
    <s v="South"/>
    <s v="Premium"/>
    <d v="2022-11-12T00:00:00"/>
    <d v="2023-10-26T00:00:00"/>
    <x v="180"/>
    <n v="5256"/>
    <n v="-288"/>
    <s v="Overdue"/>
    <n v="11"/>
    <d v="2023-10-26T00:00:00"/>
    <n v="0"/>
    <n v="2827"/>
    <n v="-0.06"/>
    <s v="Normal"/>
    <n v="2023"/>
    <s v="October"/>
  </r>
  <r>
    <n v="4700"/>
    <x v="85"/>
    <x v="4"/>
    <s v="East"/>
    <s v="Basic"/>
    <d v="2022-04-21T00:00:00"/>
    <d v="2022-06-08T00:00:00"/>
    <x v="2110"/>
    <n v="2910"/>
    <n v="5618"/>
    <s v="Overdue"/>
    <n v="1"/>
    <d v="2022-06-08T00:00:00"/>
    <n v="1"/>
    <n v="2828"/>
    <n v="0.66"/>
    <s v="Normal"/>
    <n v="2022"/>
    <s v="June"/>
  </r>
  <r>
    <n v="4701"/>
    <x v="161"/>
    <x v="0"/>
    <s v="East"/>
    <s v="Premium"/>
    <d v="2022-06-16T00:00:00"/>
    <d v="2022-10-11T00:00:00"/>
    <x v="503"/>
    <n v="4727"/>
    <n v="73"/>
    <s v="Pending"/>
    <n v="3"/>
    <d v="2022-10-11T00:00:00"/>
    <n v="1"/>
    <n v="2829"/>
    <n v="0.02"/>
    <s v="Normal"/>
    <n v="2022"/>
    <s v="October"/>
  </r>
  <r>
    <n v="4704"/>
    <x v="397"/>
    <x v="1"/>
    <s v="South"/>
    <s v="Premium"/>
    <d v="2022-02-25T00:00:00"/>
    <d v="2022-07-31T00:00:00"/>
    <x v="1601"/>
    <n v="7108"/>
    <n v="-914"/>
    <s v="Overdue"/>
    <n v="5"/>
    <d v="2022-07-31T00:00:00"/>
    <n v="0"/>
    <n v="2830"/>
    <n v="-0.15"/>
    <s v="Normal"/>
    <n v="2022"/>
    <s v="July"/>
  </r>
  <r>
    <n v="4705"/>
    <x v="217"/>
    <x v="1"/>
    <s v="South"/>
    <s v="Standard"/>
    <d v="2022-06-27T00:00:00"/>
    <d v="2023-10-06T00:00:00"/>
    <x v="2111"/>
    <n v="7056"/>
    <n v="-2138"/>
    <s v="NA"/>
    <n v="15"/>
    <d v="2023-10-06T00:00:00"/>
    <n v="1"/>
    <n v="2831"/>
    <n v="-0.43"/>
    <s v="Normal"/>
    <n v="2023"/>
    <s v="October"/>
  </r>
  <r>
    <n v="4706"/>
    <x v="281"/>
    <x v="0"/>
    <s v="West"/>
    <s v="Standard"/>
    <d v="2022-12-10T00:00:00"/>
    <d v="2023-08-29T00:00:00"/>
    <x v="2112"/>
    <n v="3633"/>
    <n v="3926"/>
    <s v="Paid"/>
    <n v="8"/>
    <d v="2023-08-29T00:00:00"/>
    <n v="0"/>
    <n v="2832"/>
    <n v="0.52"/>
    <s v="Normal"/>
    <n v="2023"/>
    <s v="August"/>
  </r>
  <r>
    <n v="4707"/>
    <x v="180"/>
    <x v="2"/>
    <s v="North"/>
    <s v="Premium"/>
    <d v="2022-09-28T00:00:00"/>
    <d v="2023-05-16T00:00:00"/>
    <x v="2113"/>
    <n v="1193"/>
    <n v="8008"/>
    <s v="Pending"/>
    <n v="7"/>
    <d v="2023-05-16T00:00:00"/>
    <n v="0"/>
    <n v="2833"/>
    <n v="0.87"/>
    <s v="Normal"/>
    <n v="2023"/>
    <s v="May"/>
  </r>
  <r>
    <n v="4708"/>
    <x v="346"/>
    <x v="0"/>
    <s v="East"/>
    <s v="Standard"/>
    <d v="2022-04-26T00:00:00"/>
    <d v="2023-02-19T00:00:00"/>
    <x v="2114"/>
    <n v="2341"/>
    <n v="4158"/>
    <s v="Paid"/>
    <n v="9"/>
    <d v="2023-02-19T00:00:00"/>
    <n v="1"/>
    <n v="2834"/>
    <n v="0.64"/>
    <s v="Normal"/>
    <n v="2023"/>
    <s v="February"/>
  </r>
  <r>
    <n v="4709"/>
    <x v="145"/>
    <x v="0"/>
    <s v="South"/>
    <s v="Premium"/>
    <d v="2022-11-22T00:00:00"/>
    <d v="2023-04-28T00:00:00"/>
    <x v="2115"/>
    <n v="6046"/>
    <n v="-590"/>
    <s v="Paid"/>
    <n v="5"/>
    <d v="2023-04-28T00:00:00"/>
    <n v="0"/>
    <n v="2835"/>
    <n v="-0.11"/>
    <s v="Normal"/>
    <n v="2023"/>
    <s v="April"/>
  </r>
  <r>
    <n v="4710"/>
    <x v="391"/>
    <x v="4"/>
    <s v="West"/>
    <s v="Standard"/>
    <d v="2022-03-17T00:00:00"/>
    <d v="2022-12-10T00:00:00"/>
    <x v="2116"/>
    <n v="3595"/>
    <n v="-481"/>
    <s v="Paid"/>
    <n v="8"/>
    <d v="2022-12-10T00:00:00"/>
    <n v="1"/>
    <n v="2836"/>
    <n v="-0.15"/>
    <s v="Normal"/>
    <n v="2022"/>
    <s v="December"/>
  </r>
  <r>
    <n v="4711"/>
    <x v="292"/>
    <x v="1"/>
    <s v="North"/>
    <s v="Premium"/>
    <d v="2022-07-29T00:00:00"/>
    <d v="2023-04-06T00:00:00"/>
    <x v="2117"/>
    <n v="1967"/>
    <n v="-402"/>
    <s v="NA"/>
    <n v="8"/>
    <d v="2023-04-06T00:00:00"/>
    <n v="0"/>
    <n v="2837"/>
    <n v="-0.26"/>
    <s v="Normal"/>
    <n v="2023"/>
    <s v="April"/>
  </r>
  <r>
    <n v="4712"/>
    <x v="205"/>
    <x v="3"/>
    <s v="East"/>
    <s v="Premium"/>
    <d v="2022-11-09T00:00:00"/>
    <d v="2024-04-12T00:00:00"/>
    <x v="2118"/>
    <n v="696"/>
    <n v="3979"/>
    <s v="Overdue"/>
    <n v="17"/>
    <d v="2024-04-12T00:00:00"/>
    <n v="1"/>
    <n v="2838"/>
    <n v="0.85"/>
    <s v="Normal"/>
    <n v="2024"/>
    <s v="April"/>
  </r>
  <r>
    <n v="4715"/>
    <x v="279"/>
    <x v="2"/>
    <s v="East"/>
    <s v="Basic"/>
    <d v="2022-05-30T00:00:00"/>
    <d v="2023-11-24T00:00:00"/>
    <x v="2119"/>
    <n v="4012.75"/>
    <n v="2490"/>
    <s v="Pending"/>
    <n v="17"/>
    <d v="2023-11-24T00:00:00"/>
    <n v="1"/>
    <n v="2839"/>
    <n v="1.06"/>
    <s v="Outlier"/>
    <n v="2023"/>
    <s v="November"/>
  </r>
  <r>
    <n v="4717"/>
    <x v="230"/>
    <x v="0"/>
    <s v="East"/>
    <s v="Premium"/>
    <d v="2022-11-10T00:00:00"/>
    <d v="2024-05-18T00:00:00"/>
    <x v="2120"/>
    <n v="1235"/>
    <n v="6678"/>
    <s v="Paid"/>
    <n v="18"/>
    <d v="2024-05-18T00:00:00"/>
    <n v="1"/>
    <n v="2840"/>
    <n v="0.84"/>
    <s v="Normal"/>
    <n v="2024"/>
    <s v="May"/>
  </r>
  <r>
    <n v="4718"/>
    <x v="205"/>
    <x v="0"/>
    <s v="West"/>
    <s v="Premium"/>
    <d v="2022-12-11T00:00:00"/>
    <d v="2023-02-16T00:00:00"/>
    <x v="17"/>
    <n v="4895"/>
    <n v="-5224"/>
    <s v="Pending"/>
    <n v="2"/>
    <d v="2023-02-16T00:00:00"/>
    <n v="0"/>
    <n v="2841"/>
    <n v="-1.05"/>
    <s v="Outlier"/>
    <n v="2023"/>
    <s v="February"/>
  </r>
  <r>
    <n v="4720"/>
    <x v="337"/>
    <x v="4"/>
    <s v="West"/>
    <s v="Standard"/>
    <d v="2022-04-16T00:00:00"/>
    <d v="2023-05-06T00:00:00"/>
    <x v="2121"/>
    <n v="970"/>
    <n v="6904"/>
    <s v="Paid"/>
    <n v="12"/>
    <d v="2023-05-06T00:00:00"/>
    <n v="1"/>
    <n v="2842"/>
    <n v="0.88"/>
    <s v="Normal"/>
    <n v="2023"/>
    <s v="May"/>
  </r>
  <r>
    <n v="4721"/>
    <x v="360"/>
    <x v="3"/>
    <s v="East"/>
    <s v="Premium"/>
    <d v="2022-05-05T00:00:00"/>
    <d v="2023-05-07T00:00:00"/>
    <x v="17"/>
    <n v="6405"/>
    <n v="-8205"/>
    <s v="Overdue"/>
    <n v="12"/>
    <d v="2023-05-07T00:00:00"/>
    <n v="1"/>
    <n v="2843"/>
    <n v="-1.65"/>
    <s v="Outlier"/>
    <n v="2023"/>
    <s v="May"/>
  </r>
  <r>
    <n v="4724"/>
    <x v="239"/>
    <x v="0"/>
    <s v="South"/>
    <s v="Standard"/>
    <d v="2022-12-22T00:00:00"/>
    <d v="2023-10-05T00:00:00"/>
    <x v="2122"/>
    <n v="7471"/>
    <n v="-4540"/>
    <s v="Paid"/>
    <n v="9"/>
    <d v="2023-10-05T00:00:00"/>
    <n v="1"/>
    <n v="2844"/>
    <n v="-1.55"/>
    <s v="Outlier"/>
    <n v="2023"/>
    <s v="October"/>
  </r>
  <r>
    <n v="4725"/>
    <x v="393"/>
    <x v="1"/>
    <s v="South"/>
    <s v="Basic"/>
    <d v="2022-03-06T00:00:00"/>
    <d v="2022-06-01T00:00:00"/>
    <x v="753"/>
    <n v="7994"/>
    <n v="-4109"/>
    <s v="Pending"/>
    <n v="2"/>
    <d v="2022-06-01T00:00:00"/>
    <n v="0"/>
    <n v="2845"/>
    <n v="-1.06"/>
    <s v="Outlier"/>
    <n v="2022"/>
    <s v="June"/>
  </r>
  <r>
    <n v="4727"/>
    <x v="382"/>
    <x v="3"/>
    <s v="East"/>
    <s v="Premium"/>
    <d v="2022-09-17T00:00:00"/>
    <d v="2023-03-05T00:00:00"/>
    <x v="20"/>
    <n v="362"/>
    <n v="1170"/>
    <s v="Pending"/>
    <n v="5"/>
    <d v="2023-03-05T00:00:00"/>
    <n v="0"/>
    <n v="2846"/>
    <n v="0.76"/>
    <s v="Normal"/>
    <n v="2023"/>
    <s v="March"/>
  </r>
  <r>
    <n v="4728"/>
    <x v="181"/>
    <x v="1"/>
    <s v="North"/>
    <s v="Standard"/>
    <d v="2022-09-06T00:00:00"/>
    <d v="2023-01-11T00:00:00"/>
    <x v="2123"/>
    <n v="5988"/>
    <n v="2765"/>
    <s v="Pending"/>
    <n v="4"/>
    <d v="2023-01-11T00:00:00"/>
    <n v="0"/>
    <n v="2847"/>
    <n v="0.32"/>
    <s v="Normal"/>
    <n v="2023"/>
    <s v="January"/>
  </r>
  <r>
    <n v="4734"/>
    <x v="231"/>
    <x v="1"/>
    <s v="East"/>
    <s v="Basic"/>
    <d v="2022-06-14T00:00:00"/>
    <d v="2023-02-08T00:00:00"/>
    <x v="17"/>
    <n v="5171"/>
    <n v="-5721"/>
    <s v="NA"/>
    <n v="7"/>
    <d v="2023-02-08T00:00:00"/>
    <n v="1"/>
    <n v="2848"/>
    <n v="-1.1499999999999999"/>
    <s v="Outlier"/>
    <n v="2023"/>
    <s v="February"/>
  </r>
  <r>
    <n v="4741"/>
    <x v="244"/>
    <x v="1"/>
    <s v="East"/>
    <s v="Standard"/>
    <d v="2022-06-02T00:00:00"/>
    <d v="2024-01-22T00:00:00"/>
    <x v="2124"/>
    <n v="6385"/>
    <n v="-5738"/>
    <s v="NA"/>
    <n v="19"/>
    <d v="2024-01-22T00:00:00"/>
    <n v="0"/>
    <n v="2849"/>
    <n v="-8.8699999999999992"/>
    <s v="Outlier"/>
    <n v="2024"/>
    <s v="January"/>
  </r>
  <r>
    <n v="4742"/>
    <x v="308"/>
    <x v="3"/>
    <s v="South"/>
    <s v="Premium"/>
    <d v="2022-10-01T00:00:00"/>
    <d v="2023-11-04T00:00:00"/>
    <x v="2125"/>
    <n v="346"/>
    <n v="577.01"/>
    <s v="Pending"/>
    <n v="13"/>
    <d v="2023-11-04T00:00:00"/>
    <n v="1"/>
    <n v="2850"/>
    <n v="20.61"/>
    <s v="Outlier"/>
    <n v="2023"/>
    <s v="November"/>
  </r>
  <r>
    <n v="4744"/>
    <x v="92"/>
    <x v="1"/>
    <s v="East"/>
    <s v="Premium"/>
    <d v="2022-12-22T00:00:00"/>
    <d v="2023-10-23T00:00:00"/>
    <x v="2126"/>
    <n v="1768"/>
    <n v="3494"/>
    <s v="Paid"/>
    <n v="10"/>
    <d v="2023-10-23T00:00:00"/>
    <n v="0"/>
    <n v="2851"/>
    <n v="0.66"/>
    <s v="Normal"/>
    <n v="2023"/>
    <s v="October"/>
  </r>
  <r>
    <n v="4745"/>
    <x v="235"/>
    <x v="0"/>
    <s v="West"/>
    <s v="Premium"/>
    <d v="2022-10-11T00:00:00"/>
    <d v="2023-05-03T00:00:00"/>
    <x v="17"/>
    <n v="4012.75"/>
    <n v="-415"/>
    <s v="Paid"/>
    <n v="6"/>
    <d v="2023-05-03T00:00:00"/>
    <n v="1"/>
    <n v="2852"/>
    <n v="-0.08"/>
    <s v="Normal"/>
    <n v="2023"/>
    <s v="May"/>
  </r>
  <r>
    <n v="4746"/>
    <x v="172"/>
    <x v="3"/>
    <s v="West"/>
    <s v="Standard"/>
    <d v="2022-04-05T00:00:00"/>
    <d v="2022-09-08T00:00:00"/>
    <x v="17"/>
    <n v="3110"/>
    <n v="-3576"/>
    <s v="Overdue"/>
    <n v="5"/>
    <d v="2022-09-08T00:00:00"/>
    <n v="0"/>
    <n v="2853"/>
    <n v="-0.72"/>
    <s v="Normal"/>
    <n v="2022"/>
    <s v="September"/>
  </r>
  <r>
    <n v="4748"/>
    <x v="42"/>
    <x v="2"/>
    <s v="North"/>
    <s v="Basic"/>
    <d v="2022-10-14T00:00:00"/>
    <d v="2023-12-24T00:00:00"/>
    <x v="2127"/>
    <n v="4686"/>
    <n v="-685"/>
    <s v="Paid"/>
    <n v="14"/>
    <d v="2023-12-24T00:00:00"/>
    <n v="1"/>
    <n v="2854"/>
    <n v="-0.17"/>
    <s v="Normal"/>
    <n v="2023"/>
    <s v="December"/>
  </r>
  <r>
    <n v="4749"/>
    <x v="205"/>
    <x v="3"/>
    <s v="West"/>
    <s v="Basic"/>
    <d v="2022-05-08T00:00:00"/>
    <d v="2022-11-22T00:00:00"/>
    <x v="2128"/>
    <n v="4023"/>
    <n v="2367"/>
    <s v="Overdue"/>
    <n v="6"/>
    <d v="2022-11-22T00:00:00"/>
    <n v="1"/>
    <n v="2855"/>
    <n v="0.37"/>
    <s v="Normal"/>
    <n v="2022"/>
    <s v="November"/>
  </r>
  <r>
    <n v="4750"/>
    <x v="391"/>
    <x v="3"/>
    <s v="West"/>
    <s v="Basic"/>
    <d v="2022-05-22T00:00:00"/>
    <d v="2023-11-12T00:00:00"/>
    <x v="2129"/>
    <n v="2622"/>
    <n v="577.01"/>
    <s v="NA"/>
    <n v="17"/>
    <d v="2023-11-12T00:00:00"/>
    <n v="1"/>
    <n v="2856"/>
    <n v="7.0000000000000007E-2"/>
    <s v="Normal"/>
    <n v="2023"/>
    <s v="November"/>
  </r>
  <r>
    <n v="4752"/>
    <x v="269"/>
    <x v="1"/>
    <s v="East"/>
    <s v="Premium"/>
    <d v="2022-09-08T00:00:00"/>
    <d v="2023-06-26T00:00:00"/>
    <x v="237"/>
    <n v="4323"/>
    <n v="3542"/>
    <s v="Paid"/>
    <n v="9"/>
    <d v="2023-06-26T00:00:00"/>
    <n v="0"/>
    <n v="2857"/>
    <n v="0.45"/>
    <s v="Normal"/>
    <n v="2023"/>
    <s v="June"/>
  </r>
  <r>
    <n v="4754"/>
    <x v="119"/>
    <x v="0"/>
    <s v="West"/>
    <s v="Standard"/>
    <d v="2022-01-15T00:00:00"/>
    <d v="2022-04-16T00:00:00"/>
    <x v="2130"/>
    <n v="5093"/>
    <n v="1497"/>
    <s v="Pending"/>
    <n v="3"/>
    <d v="2022-04-16T00:00:00"/>
    <n v="1"/>
    <n v="2858"/>
    <n v="0.23"/>
    <s v="Normal"/>
    <n v="2022"/>
    <s v="April"/>
  </r>
  <r>
    <n v="4757"/>
    <x v="37"/>
    <x v="0"/>
    <s v="East"/>
    <s v="Basic"/>
    <d v="2022-01-10T00:00:00"/>
    <d v="2023-08-03T00:00:00"/>
    <x v="2131"/>
    <n v="3804"/>
    <n v="4158"/>
    <s v="Pending"/>
    <n v="18"/>
    <d v="2023-08-03T00:00:00"/>
    <n v="1"/>
    <n v="2859"/>
    <n v="0.52"/>
    <s v="Normal"/>
    <n v="2023"/>
    <s v="August"/>
  </r>
  <r>
    <n v="4760"/>
    <x v="285"/>
    <x v="3"/>
    <s v="West"/>
    <s v="Standard"/>
    <d v="2022-06-10T00:00:00"/>
    <d v="2023-02-09T00:00:00"/>
    <x v="2132"/>
    <n v="2811"/>
    <n v="5450"/>
    <s v="Paid"/>
    <n v="7"/>
    <d v="2023-02-09T00:00:00"/>
    <n v="0"/>
    <n v="2860"/>
    <n v="0.66"/>
    <s v="Normal"/>
    <n v="2023"/>
    <s v="February"/>
  </r>
  <r>
    <n v="4764"/>
    <x v="100"/>
    <x v="1"/>
    <s v="West"/>
    <s v="Premium"/>
    <d v="2022-02-02T00:00:00"/>
    <d v="2023-05-03T00:00:00"/>
    <x v="2133"/>
    <n v="3543"/>
    <n v="1645"/>
    <s v="Paid"/>
    <n v="15"/>
    <d v="2023-05-03T00:00:00"/>
    <n v="1"/>
    <n v="2861"/>
    <n v="0.32"/>
    <s v="Normal"/>
    <n v="2023"/>
    <s v="May"/>
  </r>
  <r>
    <n v="4765"/>
    <x v="192"/>
    <x v="2"/>
    <s v="West"/>
    <s v="Standard"/>
    <d v="2022-07-22T00:00:00"/>
    <d v="2023-11-02T00:00:00"/>
    <x v="235"/>
    <n v="6716"/>
    <n v="1700"/>
    <s v="Overdue"/>
    <n v="15"/>
    <d v="2023-11-02T00:00:00"/>
    <n v="1"/>
    <n v="2862"/>
    <n v="0.2"/>
    <s v="Normal"/>
    <n v="2023"/>
    <s v="November"/>
  </r>
  <r>
    <n v="4769"/>
    <x v="362"/>
    <x v="2"/>
    <s v="East"/>
    <s v="Standard"/>
    <d v="2022-04-15T00:00:00"/>
    <d v="2023-05-04T00:00:00"/>
    <x v="2134"/>
    <n v="3810"/>
    <n v="5738"/>
    <s v="NA"/>
    <n v="12"/>
    <d v="2023-05-04T00:00:00"/>
    <n v="1"/>
    <n v="2863"/>
    <n v="0.6"/>
    <s v="Normal"/>
    <n v="2023"/>
    <s v="May"/>
  </r>
  <r>
    <n v="4772"/>
    <x v="162"/>
    <x v="1"/>
    <s v="South"/>
    <s v="Standard"/>
    <d v="2022-01-27T00:00:00"/>
    <d v="2022-08-30T00:00:00"/>
    <x v="1784"/>
    <n v="6981"/>
    <n v="529"/>
    <s v="Pending"/>
    <n v="7"/>
    <d v="2022-08-30T00:00:00"/>
    <n v="0"/>
    <n v="2864"/>
    <n v="7.0000000000000007E-2"/>
    <s v="Normal"/>
    <n v="2022"/>
    <s v="August"/>
  </r>
  <r>
    <n v="4773"/>
    <x v="265"/>
    <x v="0"/>
    <s v="East"/>
    <s v="Standard"/>
    <d v="2022-11-09T00:00:00"/>
    <d v="2023-08-27T00:00:00"/>
    <x v="1593"/>
    <n v="4012.75"/>
    <n v="5260"/>
    <s v="Paid"/>
    <n v="9"/>
    <d v="2023-08-27T00:00:00"/>
    <n v="1"/>
    <n v="2865"/>
    <n v="1.1100000000000001"/>
    <s v="Outlier"/>
    <n v="2023"/>
    <s v="August"/>
  </r>
  <r>
    <n v="4774"/>
    <x v="399"/>
    <x v="4"/>
    <s v="North"/>
    <s v="Premium"/>
    <d v="2022-11-12T00:00:00"/>
    <d v="2023-09-12T00:00:00"/>
    <x v="2135"/>
    <n v="7587"/>
    <n v="-6278"/>
    <s v="Paid"/>
    <n v="10"/>
    <d v="2023-09-12T00:00:00"/>
    <n v="0"/>
    <n v="2866"/>
    <n v="-4.8"/>
    <s v="Outlier"/>
    <n v="2023"/>
    <s v="September"/>
  </r>
  <r>
    <n v="4775"/>
    <x v="50"/>
    <x v="1"/>
    <s v="East"/>
    <s v="Premium"/>
    <d v="2022-03-17T00:00:00"/>
    <d v="2023-08-20T00:00:00"/>
    <x v="2136"/>
    <n v="4012.75"/>
    <n v="577.01"/>
    <s v="NA"/>
    <n v="17"/>
    <d v="2023-08-20T00:00:00"/>
    <n v="0"/>
    <n v="2867"/>
    <n v="0.37"/>
    <s v="Normal"/>
    <n v="2023"/>
    <s v="August"/>
  </r>
  <r>
    <n v="4777"/>
    <x v="40"/>
    <x v="2"/>
    <s v="West"/>
    <s v="Premium"/>
    <d v="2022-12-12T00:00:00"/>
    <d v="2024-05-06T00:00:00"/>
    <x v="2137"/>
    <n v="7720"/>
    <n v="577.01"/>
    <s v="Paid"/>
    <n v="16"/>
    <d v="2024-05-06T00:00:00"/>
    <n v="0"/>
    <n v="2868"/>
    <n v="0.15"/>
    <s v="Normal"/>
    <n v="2024"/>
    <s v="May"/>
  </r>
  <r>
    <n v="4778"/>
    <x v="54"/>
    <x v="1"/>
    <s v="North"/>
    <s v="Basic"/>
    <d v="2022-05-13T00:00:00"/>
    <d v="2023-09-04T00:00:00"/>
    <x v="1329"/>
    <n v="6797"/>
    <n v="1760"/>
    <s v="Pending"/>
    <n v="15"/>
    <d v="2023-09-04T00:00:00"/>
    <n v="0"/>
    <n v="2869"/>
    <n v="0.21"/>
    <s v="Normal"/>
    <n v="2023"/>
    <s v="September"/>
  </r>
  <r>
    <n v="4779"/>
    <x v="260"/>
    <x v="1"/>
    <s v="North"/>
    <s v="Premium"/>
    <d v="2022-08-20T00:00:00"/>
    <d v="2023-04-01T00:00:00"/>
    <x v="2138"/>
    <n v="6015"/>
    <n v="577.01"/>
    <s v="NA"/>
    <n v="7"/>
    <d v="2023-04-01T00:00:00"/>
    <n v="0"/>
    <n v="2870"/>
    <n v="7.0000000000000007E-2"/>
    <s v="Normal"/>
    <n v="2023"/>
    <s v="April"/>
  </r>
  <r>
    <n v="4781"/>
    <x v="191"/>
    <x v="2"/>
    <s v="West"/>
    <s v="Premium"/>
    <d v="2022-12-07T00:00:00"/>
    <d v="2023-03-22T00:00:00"/>
    <x v="2139"/>
    <n v="632"/>
    <n v="8270"/>
    <s v="NA"/>
    <n v="3"/>
    <d v="2023-03-22T00:00:00"/>
    <n v="0"/>
    <n v="2871"/>
    <n v="0.93"/>
    <s v="Normal"/>
    <n v="2023"/>
    <s v="March"/>
  </r>
  <r>
    <n v="4784"/>
    <x v="313"/>
    <x v="3"/>
    <s v="East"/>
    <s v="Premium"/>
    <d v="2022-12-13T00:00:00"/>
    <d v="2024-08-04T00:00:00"/>
    <x v="2140"/>
    <n v="3055"/>
    <n v="1426"/>
    <s v="Pending"/>
    <n v="19"/>
    <d v="2024-08-04T00:00:00"/>
    <n v="0"/>
    <n v="2872"/>
    <n v="0.32"/>
    <s v="Normal"/>
    <n v="2024"/>
    <s v="August"/>
  </r>
  <r>
    <n v="4787"/>
    <x v="190"/>
    <x v="1"/>
    <s v="West"/>
    <s v="Premium"/>
    <d v="2022-01-15T00:00:00"/>
    <d v="2023-08-25T00:00:00"/>
    <x v="2141"/>
    <n v="6460"/>
    <n v="1173"/>
    <s v="NA"/>
    <n v="19"/>
    <d v="2023-08-25T00:00:00"/>
    <n v="1"/>
    <n v="2873"/>
    <n v="0.15"/>
    <s v="Normal"/>
    <n v="2023"/>
    <s v="August"/>
  </r>
  <r>
    <n v="4788"/>
    <x v="72"/>
    <x v="3"/>
    <s v="West"/>
    <s v="Premium"/>
    <d v="2022-04-06T00:00:00"/>
    <d v="2022-06-16T00:00:00"/>
    <x v="2142"/>
    <n v="5462"/>
    <n v="577.01"/>
    <s v="Paid"/>
    <n v="2"/>
    <d v="2022-06-16T00:00:00"/>
    <n v="0"/>
    <n v="2874"/>
    <n v="0.11"/>
    <s v="Normal"/>
    <n v="2022"/>
    <s v="June"/>
  </r>
  <r>
    <n v="4789"/>
    <x v="203"/>
    <x v="3"/>
    <s v="East"/>
    <s v="Premium"/>
    <d v="2022-08-18T00:00:00"/>
    <d v="2023-09-21T00:00:00"/>
    <x v="983"/>
    <n v="705"/>
    <n v="4323"/>
    <s v="Paid"/>
    <n v="13"/>
    <d v="2023-09-21T00:00:00"/>
    <n v="0"/>
    <n v="2875"/>
    <n v="0.86"/>
    <s v="Normal"/>
    <n v="2023"/>
    <s v="September"/>
  </r>
  <r>
    <n v="4792"/>
    <x v="247"/>
    <x v="4"/>
    <s v="East"/>
    <s v="Basic"/>
    <d v="2022-05-30T00:00:00"/>
    <d v="2023-10-21T00:00:00"/>
    <x v="2143"/>
    <n v="7293"/>
    <n v="-7191"/>
    <s v="Paid"/>
    <n v="16"/>
    <d v="2023-10-21T00:00:00"/>
    <n v="1"/>
    <n v="2876"/>
    <n v="-70.5"/>
    <s v="Outlier"/>
    <n v="2023"/>
    <s v="October"/>
  </r>
  <r>
    <n v="4793"/>
    <x v="257"/>
    <x v="0"/>
    <s v="West"/>
    <s v="Premium"/>
    <d v="2022-06-12T00:00:00"/>
    <d v="2022-10-09T00:00:00"/>
    <x v="17"/>
    <n v="7066"/>
    <n v="-9054"/>
    <s v="Overdue"/>
    <n v="3"/>
    <d v="2022-10-09T00:00:00"/>
    <n v="0"/>
    <n v="2877"/>
    <n v="-1.82"/>
    <s v="Outlier"/>
    <n v="2022"/>
    <s v="October"/>
  </r>
  <r>
    <n v="4794"/>
    <x v="302"/>
    <x v="1"/>
    <s v="North"/>
    <s v="Standard"/>
    <d v="2022-08-06T00:00:00"/>
    <d v="2023-07-08T00:00:00"/>
    <x v="2144"/>
    <n v="3673"/>
    <n v="-2745"/>
    <s v="Paid"/>
    <n v="11"/>
    <d v="2023-07-08T00:00:00"/>
    <n v="1"/>
    <n v="2878"/>
    <n v="-2.96"/>
    <s v="Outlier"/>
    <n v="2023"/>
    <s v="July"/>
  </r>
  <r>
    <n v="4796"/>
    <x v="64"/>
    <x v="0"/>
    <s v="East"/>
    <s v="Basic"/>
    <d v="2022-07-31T00:00:00"/>
    <d v="2023-03-13T00:00:00"/>
    <x v="2145"/>
    <n v="7492"/>
    <n v="-1361"/>
    <s v="NA"/>
    <n v="7"/>
    <d v="2023-03-13T00:00:00"/>
    <n v="0"/>
    <n v="2879"/>
    <n v="-0.22"/>
    <s v="Normal"/>
    <n v="2023"/>
    <s v="March"/>
  </r>
  <r>
    <n v="4799"/>
    <x v="7"/>
    <x v="3"/>
    <s v="North"/>
    <s v="Basic"/>
    <d v="2022-10-20T00:00:00"/>
    <d v="2023-12-19T00:00:00"/>
    <x v="2146"/>
    <n v="715"/>
    <n v="9003"/>
    <s v="Paid"/>
    <n v="13"/>
    <d v="2023-12-19T00:00:00"/>
    <n v="0"/>
    <n v="2880"/>
    <n v="0.93"/>
    <s v="Normal"/>
    <n v="2023"/>
    <s v="December"/>
  </r>
  <r>
    <n v="4801"/>
    <x v="70"/>
    <x v="3"/>
    <s v="West"/>
    <s v="Basic"/>
    <d v="2022-03-21T00:00:00"/>
    <d v="2023-05-14T00:00:00"/>
    <x v="1047"/>
    <n v="4012.75"/>
    <n v="4623"/>
    <s v="NA"/>
    <n v="13"/>
    <d v="2023-05-14T00:00:00"/>
    <n v="1"/>
    <n v="2881"/>
    <n v="1.22"/>
    <s v="Outlier"/>
    <n v="2023"/>
    <s v="May"/>
  </r>
  <r>
    <n v="4803"/>
    <x v="396"/>
    <x v="2"/>
    <s v="North"/>
    <s v="Basic"/>
    <d v="2022-06-25T00:00:00"/>
    <d v="2023-10-06T00:00:00"/>
    <x v="17"/>
    <n v="633"/>
    <n v="577.01"/>
    <s v="Pending"/>
    <n v="15"/>
    <d v="2023-10-06T00:00:00"/>
    <n v="0"/>
    <n v="2882"/>
    <n v="0.12"/>
    <s v="Normal"/>
    <n v="2023"/>
    <s v="October"/>
  </r>
  <r>
    <n v="4806"/>
    <x v="395"/>
    <x v="0"/>
    <s v="North"/>
    <s v="Premium"/>
    <d v="2022-04-20T00:00:00"/>
    <d v="2023-03-06T00:00:00"/>
    <x v="2147"/>
    <n v="5829"/>
    <n v="3964"/>
    <s v="Paid"/>
    <n v="10"/>
    <d v="2023-03-06T00:00:00"/>
    <n v="0"/>
    <n v="2883"/>
    <n v="0.4"/>
    <s v="Normal"/>
    <n v="2023"/>
    <s v="March"/>
  </r>
  <r>
    <n v="4808"/>
    <x v="60"/>
    <x v="1"/>
    <s v="West"/>
    <s v="Standard"/>
    <d v="2022-02-08T00:00:00"/>
    <d v="2022-12-21T00:00:00"/>
    <x v="2148"/>
    <n v="4967"/>
    <n v="577.01"/>
    <s v="Overdue"/>
    <n v="10"/>
    <d v="2022-12-21T00:00:00"/>
    <n v="0"/>
    <n v="2884"/>
    <n v="0.1"/>
    <s v="Normal"/>
    <n v="2022"/>
    <s v="December"/>
  </r>
  <r>
    <n v="4809"/>
    <x v="277"/>
    <x v="1"/>
    <s v="North"/>
    <s v="Basic"/>
    <d v="2022-03-03T00:00:00"/>
    <d v="2022-05-02T00:00:00"/>
    <x v="17"/>
    <n v="7985"/>
    <n v="-9154"/>
    <s v="Paid"/>
    <n v="1"/>
    <d v="2022-05-02T00:00:00"/>
    <n v="0"/>
    <n v="2885"/>
    <n v="-1.84"/>
    <s v="Outlier"/>
    <n v="2022"/>
    <s v="May"/>
  </r>
  <r>
    <n v="4810"/>
    <x v="144"/>
    <x v="3"/>
    <s v="South"/>
    <s v="Standard"/>
    <d v="2022-12-18T00:00:00"/>
    <d v="2023-04-18T00:00:00"/>
    <x v="648"/>
    <n v="7973"/>
    <n v="-19"/>
    <s v="NA"/>
    <n v="4"/>
    <d v="2023-04-18T00:00:00"/>
    <n v="1"/>
    <n v="2886"/>
    <n v="0"/>
    <s v="Normal"/>
    <n v="2023"/>
    <s v="April"/>
  </r>
  <r>
    <n v="4813"/>
    <x v="171"/>
    <x v="1"/>
    <s v="West"/>
    <s v="Standard"/>
    <d v="2022-12-06T00:00:00"/>
    <d v="2024-03-21T00:00:00"/>
    <x v="182"/>
    <n v="4012.75"/>
    <n v="6138"/>
    <s v="NA"/>
    <n v="15"/>
    <d v="2024-03-21T00:00:00"/>
    <n v="1"/>
    <n v="2887"/>
    <n v="1.1399999999999999"/>
    <s v="Outlier"/>
    <n v="2024"/>
    <s v="March"/>
  </r>
  <r>
    <n v="4814"/>
    <x v="337"/>
    <x v="3"/>
    <s v="West"/>
    <s v="Basic"/>
    <d v="2022-06-11T00:00:00"/>
    <d v="2023-06-19T00:00:00"/>
    <x v="17"/>
    <n v="3639"/>
    <n v="-5621"/>
    <s v="NA"/>
    <n v="12"/>
    <d v="2023-06-19T00:00:00"/>
    <n v="0"/>
    <n v="2888"/>
    <n v="-1.1299999999999999"/>
    <s v="Outlier"/>
    <n v="2023"/>
    <s v="June"/>
  </r>
  <r>
    <n v="4817"/>
    <x v="45"/>
    <x v="3"/>
    <s v="East"/>
    <s v="Premium"/>
    <d v="2022-02-20T00:00:00"/>
    <d v="2023-05-15T00:00:00"/>
    <x v="2149"/>
    <n v="601"/>
    <n v="326"/>
    <s v="Overdue"/>
    <n v="14"/>
    <d v="2023-05-15T00:00:00"/>
    <n v="0"/>
    <n v="2889"/>
    <n v="0.35"/>
    <s v="Normal"/>
    <n v="2023"/>
    <s v="May"/>
  </r>
  <r>
    <n v="4818"/>
    <x v="27"/>
    <x v="2"/>
    <s v="West"/>
    <s v="Basic"/>
    <d v="2022-01-13T00:00:00"/>
    <d v="2022-02-15T00:00:00"/>
    <x v="2150"/>
    <n v="4849"/>
    <n v="-1357"/>
    <s v="Overdue"/>
    <n v="1"/>
    <d v="2022-02-15T00:00:00"/>
    <n v="0"/>
    <n v="2890"/>
    <n v="-0.39"/>
    <s v="Normal"/>
    <n v="2022"/>
    <s v="February"/>
  </r>
  <r>
    <n v="4819"/>
    <x v="102"/>
    <x v="2"/>
    <s v="South"/>
    <s v="Premium"/>
    <d v="2022-02-03T00:00:00"/>
    <d v="2022-11-10T00:00:00"/>
    <x v="1696"/>
    <n v="5630"/>
    <n v="-548"/>
    <s v="Overdue"/>
    <n v="9"/>
    <d v="2022-11-10T00:00:00"/>
    <n v="0"/>
    <n v="2891"/>
    <n v="-0.11"/>
    <s v="Normal"/>
    <n v="2022"/>
    <s v="November"/>
  </r>
  <r>
    <n v="4820"/>
    <x v="338"/>
    <x v="0"/>
    <s v="North"/>
    <s v="Standard"/>
    <d v="2022-08-24T00:00:00"/>
    <d v="2023-05-27T00:00:00"/>
    <x v="2151"/>
    <n v="7777"/>
    <n v="577.01"/>
    <s v="NA"/>
    <n v="9"/>
    <d v="2023-05-27T00:00:00"/>
    <n v="0"/>
    <n v="2892"/>
    <n v="0.06"/>
    <s v="Normal"/>
    <n v="2023"/>
    <s v="May"/>
  </r>
  <r>
    <n v="4824"/>
    <x v="228"/>
    <x v="2"/>
    <s v="North"/>
    <s v="Premium"/>
    <d v="2022-08-03T00:00:00"/>
    <d v="2023-10-09T00:00:00"/>
    <x v="2152"/>
    <n v="1031"/>
    <n v="5577"/>
    <s v="NA"/>
    <n v="14"/>
    <d v="2023-10-09T00:00:00"/>
    <n v="1"/>
    <n v="2893"/>
    <n v="0.84"/>
    <s v="Normal"/>
    <n v="2023"/>
    <s v="October"/>
  </r>
  <r>
    <n v="4825"/>
    <x v="358"/>
    <x v="3"/>
    <s v="East"/>
    <s v="Basic"/>
    <d v="2022-06-07T00:00:00"/>
    <d v="2022-12-30T00:00:00"/>
    <x v="2153"/>
    <n v="2183"/>
    <n v="6574"/>
    <s v="Overdue"/>
    <n v="6"/>
    <d v="2022-12-30T00:00:00"/>
    <n v="0"/>
    <n v="2894"/>
    <n v="0.75"/>
    <s v="Normal"/>
    <n v="2022"/>
    <s v="December"/>
  </r>
  <r>
    <n v="4827"/>
    <x v="392"/>
    <x v="3"/>
    <s v="East"/>
    <s v="Standard"/>
    <d v="2022-08-31T00:00:00"/>
    <d v="2022-10-30T00:00:00"/>
    <x v="2154"/>
    <n v="7056"/>
    <n v="-3257"/>
    <s v="Paid"/>
    <n v="1"/>
    <d v="2022-10-30T00:00:00"/>
    <n v="1"/>
    <n v="2895"/>
    <n v="-0.86"/>
    <s v="Normal"/>
    <n v="2022"/>
    <s v="October"/>
  </r>
  <r>
    <n v="4828"/>
    <x v="369"/>
    <x v="3"/>
    <s v="South"/>
    <s v="Standard"/>
    <d v="2022-06-06T00:00:00"/>
    <d v="2023-02-11T00:00:00"/>
    <x v="2155"/>
    <n v="2635"/>
    <n v="3941"/>
    <s v="Overdue"/>
    <n v="8"/>
    <d v="2023-02-11T00:00:00"/>
    <n v="1"/>
    <n v="2896"/>
    <n v="0.6"/>
    <s v="Normal"/>
    <n v="2023"/>
    <s v="February"/>
  </r>
  <r>
    <n v="4829"/>
    <x v="138"/>
    <x v="2"/>
    <s v="North"/>
    <s v="Basic"/>
    <d v="2022-03-11T00:00:00"/>
    <d v="2023-02-04T00:00:00"/>
    <x v="2156"/>
    <n v="5776"/>
    <n v="2188"/>
    <s v="Pending"/>
    <n v="10"/>
    <d v="2023-02-04T00:00:00"/>
    <n v="1"/>
    <n v="2897"/>
    <n v="0.27"/>
    <s v="Normal"/>
    <n v="2023"/>
    <s v="February"/>
  </r>
  <r>
    <n v="4831"/>
    <x v="323"/>
    <x v="1"/>
    <s v="North"/>
    <s v="Standard"/>
    <d v="2022-10-03T00:00:00"/>
    <d v="2024-05-12T00:00:00"/>
    <x v="2157"/>
    <n v="1689"/>
    <n v="4120"/>
    <s v="Paid"/>
    <n v="19"/>
    <d v="2024-05-12T00:00:00"/>
    <n v="1"/>
    <n v="2898"/>
    <n v="0.71"/>
    <s v="Normal"/>
    <n v="2024"/>
    <s v="May"/>
  </r>
  <r>
    <n v="4832"/>
    <x v="381"/>
    <x v="0"/>
    <s v="East"/>
    <s v="Basic"/>
    <d v="2022-05-29T00:00:00"/>
    <d v="2023-03-23T00:00:00"/>
    <x v="2158"/>
    <n v="2807"/>
    <n v="-646"/>
    <s v="Overdue"/>
    <n v="9"/>
    <d v="2023-03-23T00:00:00"/>
    <n v="0"/>
    <n v="2899"/>
    <n v="-0.3"/>
    <s v="Normal"/>
    <n v="2023"/>
    <s v="March"/>
  </r>
  <r>
    <n v="4833"/>
    <x v="271"/>
    <x v="1"/>
    <s v="North"/>
    <s v="Premium"/>
    <d v="2022-11-26T00:00:00"/>
    <d v="2023-03-14T00:00:00"/>
    <x v="2159"/>
    <n v="7455"/>
    <n v="1780"/>
    <s v="Paid"/>
    <n v="3"/>
    <d v="2023-03-14T00:00:00"/>
    <n v="1"/>
    <n v="2900"/>
    <n v="0.19"/>
    <s v="Normal"/>
    <n v="2023"/>
    <s v="March"/>
  </r>
  <r>
    <n v="4834"/>
    <x v="147"/>
    <x v="2"/>
    <s v="West"/>
    <s v="Basic"/>
    <d v="2022-09-14T00:00:00"/>
    <d v="2023-08-23T00:00:00"/>
    <x v="2160"/>
    <n v="6958"/>
    <n v="-774"/>
    <s v="NA"/>
    <n v="11"/>
    <d v="2023-08-23T00:00:00"/>
    <n v="0"/>
    <n v="2901"/>
    <n v="-0.13"/>
    <s v="Normal"/>
    <n v="2023"/>
    <s v="August"/>
  </r>
  <r>
    <n v="4835"/>
    <x v="40"/>
    <x v="2"/>
    <s v="North"/>
    <s v="Premium"/>
    <d v="2022-09-17T00:00:00"/>
    <d v="2022-12-16T00:00:00"/>
    <x v="2161"/>
    <n v="732"/>
    <n v="3408"/>
    <s v="NA"/>
    <n v="2"/>
    <d v="2022-12-16T00:00:00"/>
    <n v="1"/>
    <n v="2902"/>
    <n v="0.82"/>
    <s v="Normal"/>
    <n v="2022"/>
    <s v="December"/>
  </r>
  <r>
    <n v="4836"/>
    <x v="321"/>
    <x v="3"/>
    <s v="North"/>
    <s v="Standard"/>
    <d v="2022-07-25T00:00:00"/>
    <d v="2023-09-27T00:00:00"/>
    <x v="2162"/>
    <n v="1829"/>
    <n v="5880"/>
    <s v="Overdue"/>
    <n v="14"/>
    <d v="2023-09-27T00:00:00"/>
    <n v="0"/>
    <n v="2903"/>
    <n v="0.76"/>
    <s v="Normal"/>
    <n v="2023"/>
    <s v="September"/>
  </r>
  <r>
    <n v="4838"/>
    <x v="262"/>
    <x v="4"/>
    <s v="South"/>
    <s v="Premium"/>
    <d v="2022-05-26T00:00:00"/>
    <d v="2023-09-16T00:00:00"/>
    <x v="17"/>
    <n v="6994"/>
    <n v="-8347"/>
    <s v="Paid"/>
    <n v="15"/>
    <d v="2023-09-16T00:00:00"/>
    <n v="0"/>
    <n v="2904"/>
    <n v="-1.68"/>
    <s v="Outlier"/>
    <n v="2023"/>
    <s v="September"/>
  </r>
  <r>
    <n v="4839"/>
    <x v="23"/>
    <x v="1"/>
    <s v="South"/>
    <s v="Basic"/>
    <d v="2022-08-11T00:00:00"/>
    <d v="2023-06-19T00:00:00"/>
    <x v="2163"/>
    <n v="4397"/>
    <n v="-4131"/>
    <s v="Overdue"/>
    <n v="10"/>
    <d v="2023-06-19T00:00:00"/>
    <n v="0"/>
    <n v="2905"/>
    <n v="-15.53"/>
    <s v="Outlier"/>
    <n v="2023"/>
    <s v="June"/>
  </r>
  <r>
    <n v="4840"/>
    <x v="40"/>
    <x v="0"/>
    <s v="North"/>
    <s v="Basic"/>
    <d v="2022-05-06T00:00:00"/>
    <d v="2023-08-08T00:00:00"/>
    <x v="17"/>
    <n v="7946"/>
    <n v="-7969"/>
    <s v="Overdue"/>
    <n v="15"/>
    <d v="2023-08-08T00:00:00"/>
    <n v="1"/>
    <n v="2906"/>
    <n v="-1.6"/>
    <s v="Outlier"/>
    <n v="2023"/>
    <s v="August"/>
  </r>
  <r>
    <n v="4842"/>
    <x v="400"/>
    <x v="4"/>
    <s v="North"/>
    <s v="Standard"/>
    <d v="2022-11-22T00:00:00"/>
    <d v="2023-08-01T00:00:00"/>
    <x v="17"/>
    <n v="4012.75"/>
    <n v="-596"/>
    <s v="Paid"/>
    <n v="8"/>
    <d v="2023-08-01T00:00:00"/>
    <n v="0"/>
    <n v="2907"/>
    <n v="-0.12"/>
    <s v="Normal"/>
    <n v="2023"/>
    <s v="August"/>
  </r>
  <r>
    <n v="4843"/>
    <x v="366"/>
    <x v="4"/>
    <s v="South"/>
    <s v="Premium"/>
    <d v="2022-11-20T00:00:00"/>
    <d v="2023-10-12T00:00:00"/>
    <x v="2054"/>
    <n v="5418"/>
    <n v="3218"/>
    <s v="Pending"/>
    <n v="10"/>
    <d v="2023-10-12T00:00:00"/>
    <n v="0"/>
    <n v="2908"/>
    <n v="0.37"/>
    <s v="Normal"/>
    <n v="2023"/>
    <s v="October"/>
  </r>
  <r>
    <n v="4844"/>
    <x v="238"/>
    <x v="4"/>
    <s v="East"/>
    <s v="Basic"/>
    <d v="2022-03-16T00:00:00"/>
    <d v="2023-10-04T00:00:00"/>
    <x v="2164"/>
    <n v="2035"/>
    <n v="6350"/>
    <s v="NA"/>
    <n v="18"/>
    <d v="2023-10-04T00:00:00"/>
    <n v="1"/>
    <n v="2909"/>
    <n v="0.76"/>
    <s v="Normal"/>
    <n v="2023"/>
    <s v="October"/>
  </r>
  <r>
    <n v="4846"/>
    <x v="140"/>
    <x v="0"/>
    <s v="East"/>
    <s v="Premium"/>
    <d v="2022-12-22T00:00:00"/>
    <d v="2023-08-21T00:00:00"/>
    <x v="1409"/>
    <n v="4894"/>
    <n v="4980"/>
    <s v="NA"/>
    <n v="7"/>
    <d v="2023-08-21T00:00:00"/>
    <n v="0"/>
    <n v="2910"/>
    <n v="0.5"/>
    <s v="Normal"/>
    <n v="2023"/>
    <s v="August"/>
  </r>
  <r>
    <n v="4849"/>
    <x v="333"/>
    <x v="2"/>
    <s v="South"/>
    <s v="Premium"/>
    <d v="2022-07-25T00:00:00"/>
    <d v="2023-01-29T00:00:00"/>
    <x v="2165"/>
    <n v="2411"/>
    <n v="2023"/>
    <s v="Pending"/>
    <n v="6"/>
    <d v="2023-01-29T00:00:00"/>
    <n v="0"/>
    <n v="2911"/>
    <n v="0.46"/>
    <s v="Normal"/>
    <n v="2023"/>
    <s v="January"/>
  </r>
  <r>
    <n v="4851"/>
    <x v="166"/>
    <x v="3"/>
    <s v="North"/>
    <s v="Standard"/>
    <d v="2022-11-27T00:00:00"/>
    <d v="2023-02-23T00:00:00"/>
    <x v="2063"/>
    <n v="7064"/>
    <n v="577.01"/>
    <s v="NA"/>
    <n v="2"/>
    <d v="2023-02-23T00:00:00"/>
    <n v="0"/>
    <n v="2912"/>
    <n v="0.16"/>
    <s v="Normal"/>
    <n v="2023"/>
    <s v="February"/>
  </r>
  <r>
    <n v="4853"/>
    <x v="122"/>
    <x v="2"/>
    <s v="West"/>
    <s v="Basic"/>
    <d v="2022-05-15T00:00:00"/>
    <d v="2022-10-06T00:00:00"/>
    <x v="603"/>
    <n v="406"/>
    <n v="889"/>
    <s v="NA"/>
    <n v="4"/>
    <d v="2022-10-06T00:00:00"/>
    <n v="1"/>
    <n v="2913"/>
    <n v="0.69"/>
    <s v="Normal"/>
    <n v="2022"/>
    <s v="October"/>
  </r>
  <r>
    <n v="4855"/>
    <x v="206"/>
    <x v="2"/>
    <s v="East"/>
    <s v="Standard"/>
    <d v="2022-06-06T00:00:00"/>
    <d v="2024-01-04T00:00:00"/>
    <x v="1042"/>
    <n v="984"/>
    <n v="5672"/>
    <s v="Pending"/>
    <n v="18"/>
    <d v="2024-01-04T00:00:00"/>
    <n v="0"/>
    <n v="2914"/>
    <n v="0.85"/>
    <s v="Normal"/>
    <n v="2024"/>
    <s v="January"/>
  </r>
  <r>
    <n v="4857"/>
    <x v="272"/>
    <x v="4"/>
    <s v="West"/>
    <s v="Standard"/>
    <d v="2022-01-14T00:00:00"/>
    <d v="2023-08-13T00:00:00"/>
    <x v="2166"/>
    <n v="4770"/>
    <n v="-2072"/>
    <s v="Pending"/>
    <n v="18"/>
    <d v="2023-08-13T00:00:00"/>
    <n v="1"/>
    <n v="2915"/>
    <n v="-0.77"/>
    <s v="Normal"/>
    <n v="2023"/>
    <s v="August"/>
  </r>
  <r>
    <n v="4860"/>
    <x v="275"/>
    <x v="0"/>
    <s v="East"/>
    <s v="Basic"/>
    <d v="2022-10-22T00:00:00"/>
    <d v="2023-02-15T00:00:00"/>
    <x v="2167"/>
    <n v="3873"/>
    <n v="5308"/>
    <s v="Paid"/>
    <n v="3"/>
    <d v="2023-02-15T00:00:00"/>
    <n v="1"/>
    <n v="2916"/>
    <n v="0.57999999999999996"/>
    <s v="Normal"/>
    <n v="2023"/>
    <s v="February"/>
  </r>
  <r>
    <n v="4862"/>
    <x v="45"/>
    <x v="1"/>
    <s v="South"/>
    <s v="Premium"/>
    <d v="2022-05-30T00:00:00"/>
    <d v="2023-09-12T00:00:00"/>
    <x v="776"/>
    <n v="4435"/>
    <n v="5051"/>
    <s v="Pending"/>
    <n v="15"/>
    <d v="2023-09-12T00:00:00"/>
    <n v="1"/>
    <n v="2917"/>
    <n v="0.53"/>
    <s v="Normal"/>
    <n v="2023"/>
    <s v="September"/>
  </r>
  <r>
    <n v="4864"/>
    <x v="389"/>
    <x v="0"/>
    <s v="West"/>
    <s v="Standard"/>
    <d v="2022-04-03T00:00:00"/>
    <d v="2022-06-18T00:00:00"/>
    <x v="2168"/>
    <n v="4012.75"/>
    <n v="746"/>
    <s v="NA"/>
    <n v="2"/>
    <d v="2022-06-18T00:00:00"/>
    <n v="0"/>
    <n v="2918"/>
    <n v="2.4300000000000002"/>
    <s v="Outlier"/>
    <n v="2022"/>
    <s v="June"/>
  </r>
  <r>
    <n v="4865"/>
    <x v="174"/>
    <x v="1"/>
    <s v="South"/>
    <s v="Basic"/>
    <d v="2022-04-24T00:00:00"/>
    <d v="2023-11-02T00:00:00"/>
    <x v="2169"/>
    <n v="6989"/>
    <n v="-116"/>
    <s v="Pending"/>
    <n v="18"/>
    <d v="2023-11-02T00:00:00"/>
    <n v="0"/>
    <n v="2919"/>
    <n v="-0.02"/>
    <s v="Normal"/>
    <n v="2023"/>
    <s v="November"/>
  </r>
  <r>
    <n v="4866"/>
    <x v="303"/>
    <x v="4"/>
    <s v="South"/>
    <s v="Basic"/>
    <d v="2022-10-05T00:00:00"/>
    <d v="2024-05-22T00:00:00"/>
    <x v="2170"/>
    <n v="7212"/>
    <n v="281"/>
    <s v="Paid"/>
    <n v="19"/>
    <d v="2024-05-22T00:00:00"/>
    <n v="1"/>
    <n v="2920"/>
    <n v="0.04"/>
    <s v="Normal"/>
    <n v="2024"/>
    <s v="May"/>
  </r>
  <r>
    <n v="4867"/>
    <x v="144"/>
    <x v="2"/>
    <s v="West"/>
    <s v="Standard"/>
    <d v="2022-03-22T00:00:00"/>
    <d v="2022-09-09T00:00:00"/>
    <x v="2171"/>
    <n v="1464"/>
    <n v="3331"/>
    <s v="NA"/>
    <n v="5"/>
    <d v="2022-09-09T00:00:00"/>
    <n v="0"/>
    <n v="2921"/>
    <n v="0.69"/>
    <s v="Normal"/>
    <n v="2022"/>
    <s v="September"/>
  </r>
  <r>
    <n v="4869"/>
    <x v="305"/>
    <x v="3"/>
    <s v="West"/>
    <s v="Premium"/>
    <d v="2022-12-10T00:00:00"/>
    <d v="2023-04-13T00:00:00"/>
    <x v="17"/>
    <n v="3294"/>
    <n v="-5057"/>
    <s v="NA"/>
    <n v="4"/>
    <d v="2023-04-13T00:00:00"/>
    <n v="0"/>
    <n v="2922"/>
    <n v="-1.02"/>
    <s v="Outlier"/>
    <n v="2023"/>
    <s v="April"/>
  </r>
  <r>
    <n v="4870"/>
    <x v="271"/>
    <x v="2"/>
    <s v="East"/>
    <s v="Basic"/>
    <d v="2022-06-21T00:00:00"/>
    <d v="2023-08-18T00:00:00"/>
    <x v="1240"/>
    <n v="3243"/>
    <n v="-2851"/>
    <s v="NA"/>
    <n v="13"/>
    <d v="2023-08-18T00:00:00"/>
    <n v="1"/>
    <n v="2923"/>
    <n v="-7.27"/>
    <s v="Outlier"/>
    <n v="2023"/>
    <s v="August"/>
  </r>
  <r>
    <n v="4876"/>
    <x v="371"/>
    <x v="0"/>
    <s v="North"/>
    <s v="Basic"/>
    <d v="2022-01-16T00:00:00"/>
    <d v="2022-03-30T00:00:00"/>
    <x v="2172"/>
    <n v="594"/>
    <n v="8615"/>
    <s v="Overdue"/>
    <n v="2"/>
    <d v="2022-03-30T00:00:00"/>
    <n v="1"/>
    <n v="2924"/>
    <n v="0.94"/>
    <s v="Normal"/>
    <n v="2022"/>
    <s v="March"/>
  </r>
  <r>
    <n v="4877"/>
    <x v="393"/>
    <x v="1"/>
    <s v="West"/>
    <s v="Premium"/>
    <d v="2022-11-04T00:00:00"/>
    <d v="2023-04-06T00:00:00"/>
    <x v="2173"/>
    <n v="816"/>
    <n v="7710"/>
    <s v="Paid"/>
    <n v="5"/>
    <d v="2023-04-06T00:00:00"/>
    <n v="0"/>
    <n v="2925"/>
    <n v="0.9"/>
    <s v="Normal"/>
    <n v="2023"/>
    <s v="April"/>
  </r>
  <r>
    <n v="4878"/>
    <x v="23"/>
    <x v="2"/>
    <s v="East"/>
    <s v="Standard"/>
    <d v="2022-01-13T00:00:00"/>
    <d v="2023-07-21T00:00:00"/>
    <x v="17"/>
    <n v="758"/>
    <n v="-955"/>
    <s v="Overdue"/>
    <n v="18"/>
    <d v="2023-07-21T00:00:00"/>
    <n v="1"/>
    <n v="2926"/>
    <n v="-0.19"/>
    <s v="Normal"/>
    <n v="2023"/>
    <s v="July"/>
  </r>
  <r>
    <n v="4881"/>
    <x v="170"/>
    <x v="1"/>
    <s v="North"/>
    <s v="Premium"/>
    <d v="2022-02-28T00:00:00"/>
    <d v="2023-09-28T00:00:00"/>
    <x v="2174"/>
    <n v="6893"/>
    <n v="-6806"/>
    <s v="NA"/>
    <n v="19"/>
    <d v="2023-09-28T00:00:00"/>
    <n v="0"/>
    <n v="2927"/>
    <n v="-78.23"/>
    <s v="Outlier"/>
    <n v="2023"/>
    <s v="September"/>
  </r>
  <r>
    <n v="4883"/>
    <x v="6"/>
    <x v="2"/>
    <s v="West"/>
    <s v="Premium"/>
    <d v="2022-09-15T00:00:00"/>
    <d v="2023-04-19T00:00:00"/>
    <x v="2175"/>
    <n v="4012.75"/>
    <n v="8588"/>
    <s v="Pending"/>
    <n v="7"/>
    <d v="2023-04-19T00:00:00"/>
    <n v="0"/>
    <n v="2928"/>
    <n v="1.02"/>
    <s v="Outlier"/>
    <n v="2023"/>
    <s v="April"/>
  </r>
  <r>
    <n v="4884"/>
    <x v="123"/>
    <x v="1"/>
    <s v="South"/>
    <s v="Standard"/>
    <d v="2022-08-16T00:00:00"/>
    <d v="2022-09-29T00:00:00"/>
    <x v="2176"/>
    <n v="6547"/>
    <n v="577.01"/>
    <s v="Paid"/>
    <n v="1"/>
    <d v="2022-09-29T00:00:00"/>
    <n v="1"/>
    <n v="2929"/>
    <n v="7.0000000000000007E-2"/>
    <s v="Normal"/>
    <n v="2022"/>
    <s v="September"/>
  </r>
  <r>
    <n v="4885"/>
    <x v="244"/>
    <x v="1"/>
    <s v="North"/>
    <s v="Premium"/>
    <d v="2022-09-29T00:00:00"/>
    <d v="2023-04-07T00:00:00"/>
    <x v="2177"/>
    <n v="2686"/>
    <n v="577.01"/>
    <s v="NA"/>
    <n v="6"/>
    <d v="2023-04-07T00:00:00"/>
    <n v="0"/>
    <n v="2930"/>
    <n v="0.06"/>
    <s v="Normal"/>
    <n v="2023"/>
    <s v="April"/>
  </r>
  <r>
    <n v="4886"/>
    <x v="208"/>
    <x v="4"/>
    <s v="West"/>
    <s v="Basic"/>
    <d v="2022-07-01T00:00:00"/>
    <d v="2024-01-14T00:00:00"/>
    <x v="1830"/>
    <n v="5015"/>
    <n v="-338"/>
    <s v="Paid"/>
    <n v="18"/>
    <d v="2024-01-14T00:00:00"/>
    <n v="1"/>
    <n v="2931"/>
    <n v="-7.0000000000000007E-2"/>
    <s v="Normal"/>
    <n v="2024"/>
    <s v="January"/>
  </r>
  <r>
    <n v="4890"/>
    <x v="330"/>
    <x v="4"/>
    <s v="East"/>
    <s v="Basic"/>
    <d v="2022-02-16T00:00:00"/>
    <d v="2022-09-21T00:00:00"/>
    <x v="2178"/>
    <n v="5993"/>
    <n v="577.01"/>
    <s v="NA"/>
    <n v="7"/>
    <d v="2022-09-21T00:00:00"/>
    <n v="1"/>
    <n v="2932"/>
    <n v="0.06"/>
    <s v="Normal"/>
    <n v="2022"/>
    <s v="September"/>
  </r>
  <r>
    <n v="4891"/>
    <x v="379"/>
    <x v="2"/>
    <s v="East"/>
    <s v="Standard"/>
    <d v="2022-03-01T00:00:00"/>
    <d v="2022-12-27T00:00:00"/>
    <x v="2179"/>
    <n v="6122"/>
    <n v="3445"/>
    <s v="Overdue"/>
    <n v="9"/>
    <d v="2022-12-27T00:00:00"/>
    <n v="1"/>
    <n v="2933"/>
    <n v="0.36"/>
    <s v="Normal"/>
    <n v="2022"/>
    <s v="December"/>
  </r>
  <r>
    <n v="4892"/>
    <x v="216"/>
    <x v="0"/>
    <s v="West"/>
    <s v="Premium"/>
    <d v="2022-10-23T00:00:00"/>
    <d v="2024-03-09T00:00:00"/>
    <x v="2180"/>
    <n v="4010"/>
    <n v="3126"/>
    <s v="Pending"/>
    <n v="16"/>
    <d v="2024-03-09T00:00:00"/>
    <n v="0"/>
    <n v="2934"/>
    <n v="0.44"/>
    <s v="Normal"/>
    <n v="2024"/>
    <s v="March"/>
  </r>
  <r>
    <n v="4894"/>
    <x v="183"/>
    <x v="1"/>
    <s v="East"/>
    <s v="Premium"/>
    <d v="2022-09-06T00:00:00"/>
    <d v="2023-03-19T00:00:00"/>
    <x v="2181"/>
    <n v="1623"/>
    <n v="6394"/>
    <s v="Pending"/>
    <n v="6"/>
    <d v="2023-03-19T00:00:00"/>
    <n v="0"/>
    <n v="2935"/>
    <n v="0.8"/>
    <s v="Normal"/>
    <n v="2023"/>
    <s v="March"/>
  </r>
  <r>
    <n v="4896"/>
    <x v="49"/>
    <x v="0"/>
    <s v="East"/>
    <s v="Standard"/>
    <d v="2022-03-07T00:00:00"/>
    <d v="2022-11-11T00:00:00"/>
    <x v="2182"/>
    <n v="4012.75"/>
    <n v="4532"/>
    <s v="NA"/>
    <n v="8"/>
    <d v="2022-11-11T00:00:00"/>
    <n v="1"/>
    <n v="2936"/>
    <n v="1.18"/>
    <s v="Outlier"/>
    <n v="2022"/>
    <s v="November"/>
  </r>
  <r>
    <n v="4897"/>
    <x v="109"/>
    <x v="0"/>
    <s v="North"/>
    <s v="Basic"/>
    <d v="2022-06-23T00:00:00"/>
    <d v="2023-02-01T00:00:00"/>
    <x v="2183"/>
    <n v="5623"/>
    <n v="-3830"/>
    <s v="Pending"/>
    <n v="7"/>
    <d v="2023-02-01T00:00:00"/>
    <n v="0"/>
    <n v="2937"/>
    <n v="-2.14"/>
    <s v="Outlier"/>
    <n v="2023"/>
    <s v="February"/>
  </r>
  <r>
    <n v="4898"/>
    <x v="138"/>
    <x v="0"/>
    <s v="East"/>
    <s v="Premium"/>
    <d v="2022-02-01T00:00:00"/>
    <d v="2023-01-20T00:00:00"/>
    <x v="2184"/>
    <n v="3554"/>
    <n v="4058"/>
    <s v="Pending"/>
    <n v="11"/>
    <d v="2023-01-20T00:00:00"/>
    <n v="0"/>
    <n v="2938"/>
    <n v="0.53"/>
    <s v="Normal"/>
    <n v="2023"/>
    <s v="January"/>
  </r>
  <r>
    <n v="4899"/>
    <x v="250"/>
    <x v="1"/>
    <s v="South"/>
    <s v="Standard"/>
    <d v="2022-02-01T00:00:00"/>
    <d v="2022-08-28T00:00:00"/>
    <x v="2185"/>
    <n v="5716"/>
    <n v="2708"/>
    <s v="Paid"/>
    <n v="6"/>
    <d v="2022-08-28T00:00:00"/>
    <n v="0"/>
    <n v="2939"/>
    <n v="0.32"/>
    <s v="Normal"/>
    <n v="2022"/>
    <s v="August"/>
  </r>
  <r>
    <n v="4901"/>
    <x v="21"/>
    <x v="2"/>
    <s v="West"/>
    <s v="Standard"/>
    <d v="2022-06-09T00:00:00"/>
    <d v="2022-11-01T00:00:00"/>
    <x v="2186"/>
    <n v="6402"/>
    <n v="2410"/>
    <s v="Paid"/>
    <n v="4"/>
    <d v="2022-11-01T00:00:00"/>
    <n v="1"/>
    <n v="2940"/>
    <n v="0.27"/>
    <s v="Normal"/>
    <n v="2022"/>
    <s v="November"/>
  </r>
  <r>
    <n v="4902"/>
    <x v="393"/>
    <x v="1"/>
    <s v="South"/>
    <s v="Standard"/>
    <d v="2022-12-28T00:00:00"/>
    <d v="2023-10-11T00:00:00"/>
    <x v="778"/>
    <n v="4805"/>
    <n v="2078"/>
    <s v="NA"/>
    <n v="9"/>
    <d v="2023-10-11T00:00:00"/>
    <n v="0"/>
    <n v="2941"/>
    <n v="0.3"/>
    <s v="Normal"/>
    <n v="2023"/>
    <s v="October"/>
  </r>
  <r>
    <n v="4903"/>
    <x v="316"/>
    <x v="0"/>
    <s v="South"/>
    <s v="Standard"/>
    <d v="2022-11-08T00:00:00"/>
    <d v="2024-06-28T00:00:00"/>
    <x v="2187"/>
    <n v="5162"/>
    <n v="-3559"/>
    <s v="Overdue"/>
    <n v="19"/>
    <d v="2024-06-28T00:00:00"/>
    <n v="0"/>
    <n v="2942"/>
    <n v="-2.2200000000000002"/>
    <s v="Outlier"/>
    <n v="2024"/>
    <s v="June"/>
  </r>
  <r>
    <n v="4905"/>
    <x v="233"/>
    <x v="0"/>
    <s v="East"/>
    <s v="Premium"/>
    <d v="2022-03-10T00:00:00"/>
    <d v="2023-06-23T00:00:00"/>
    <x v="2188"/>
    <n v="6262"/>
    <n v="-1934"/>
    <s v="NA"/>
    <n v="15"/>
    <d v="2023-06-23T00:00:00"/>
    <n v="0"/>
    <n v="2943"/>
    <n v="-0.45"/>
    <s v="Normal"/>
    <n v="2023"/>
    <s v="June"/>
  </r>
  <r>
    <n v="4906"/>
    <x v="343"/>
    <x v="0"/>
    <s v="South"/>
    <s v="Premium"/>
    <d v="2022-10-14T00:00:00"/>
    <d v="2022-12-12T00:00:00"/>
    <x v="2189"/>
    <n v="4041"/>
    <n v="413"/>
    <s v="Overdue"/>
    <n v="1"/>
    <d v="2022-12-12T00:00:00"/>
    <n v="1"/>
    <n v="2944"/>
    <n v="0.09"/>
    <s v="Normal"/>
    <n v="2022"/>
    <s v="December"/>
  </r>
  <r>
    <n v="4907"/>
    <x v="283"/>
    <x v="1"/>
    <s v="South"/>
    <s v="Standard"/>
    <d v="2022-09-19T00:00:00"/>
    <d v="2023-04-14T00:00:00"/>
    <x v="2190"/>
    <n v="3220"/>
    <n v="-2661"/>
    <s v="Paid"/>
    <n v="6"/>
    <d v="2023-04-14T00:00:00"/>
    <n v="1"/>
    <n v="2945"/>
    <n v="-4.76"/>
    <s v="Outlier"/>
    <n v="2023"/>
    <s v="April"/>
  </r>
  <r>
    <n v="4908"/>
    <x v="221"/>
    <x v="4"/>
    <s v="South"/>
    <s v="Premium"/>
    <d v="2022-11-04T00:00:00"/>
    <d v="2023-04-05T00:00:00"/>
    <x v="2191"/>
    <n v="5360"/>
    <n v="577.01"/>
    <s v="Pending"/>
    <n v="5"/>
    <d v="2023-04-05T00:00:00"/>
    <n v="0"/>
    <n v="2946"/>
    <n v="0.13"/>
    <s v="Normal"/>
    <n v="2023"/>
    <s v="April"/>
  </r>
  <r>
    <n v="4910"/>
    <x v="278"/>
    <x v="0"/>
    <s v="East"/>
    <s v="Premium"/>
    <d v="2022-08-12T00:00:00"/>
    <d v="2022-10-01T00:00:00"/>
    <x v="2192"/>
    <n v="4405"/>
    <n v="4304"/>
    <s v="Pending"/>
    <n v="1"/>
    <d v="2022-10-01T00:00:00"/>
    <n v="1"/>
    <n v="2947"/>
    <n v="0.49"/>
    <s v="Normal"/>
    <n v="2022"/>
    <s v="October"/>
  </r>
  <r>
    <n v="4911"/>
    <x v="298"/>
    <x v="4"/>
    <s v="North"/>
    <s v="Standard"/>
    <d v="2022-12-09T00:00:00"/>
    <d v="2024-07-12T00:00:00"/>
    <x v="2193"/>
    <n v="923"/>
    <n v="5316"/>
    <s v="NA"/>
    <n v="19"/>
    <d v="2024-07-12T00:00:00"/>
    <n v="1"/>
    <n v="2948"/>
    <n v="0.85"/>
    <s v="Normal"/>
    <n v="2024"/>
    <s v="July"/>
  </r>
  <r>
    <n v="4912"/>
    <x v="153"/>
    <x v="0"/>
    <s v="West"/>
    <s v="Standard"/>
    <d v="2022-07-25T00:00:00"/>
    <d v="2023-01-10T00:00:00"/>
    <x v="17"/>
    <n v="1831"/>
    <n v="-2401"/>
    <s v="Overdue"/>
    <n v="5"/>
    <d v="2023-01-10T00:00:00"/>
    <n v="1"/>
    <n v="2949"/>
    <n v="-0.48"/>
    <s v="Normal"/>
    <n v="2023"/>
    <s v="January"/>
  </r>
  <r>
    <n v="4914"/>
    <x v="143"/>
    <x v="2"/>
    <s v="South"/>
    <s v="Premium"/>
    <d v="2022-01-03T00:00:00"/>
    <d v="2022-02-12T00:00:00"/>
    <x v="2194"/>
    <n v="4986"/>
    <n v="577.01"/>
    <s v="NA"/>
    <n v="1"/>
    <d v="2022-02-12T00:00:00"/>
    <n v="1"/>
    <n v="2950"/>
    <n v="0.9"/>
    <s v="Normal"/>
    <n v="2022"/>
    <s v="February"/>
  </r>
  <r>
    <n v="4916"/>
    <x v="29"/>
    <x v="4"/>
    <s v="West"/>
    <s v="Standard"/>
    <d v="2022-07-10T00:00:00"/>
    <d v="2023-10-07T00:00:00"/>
    <x v="2195"/>
    <n v="4708"/>
    <n v="1266"/>
    <s v="Overdue"/>
    <n v="14"/>
    <d v="2023-10-07T00:00:00"/>
    <n v="1"/>
    <n v="2951"/>
    <n v="0.21"/>
    <s v="Normal"/>
    <n v="2023"/>
    <s v="October"/>
  </r>
  <r>
    <n v="4919"/>
    <x v="206"/>
    <x v="3"/>
    <s v="South"/>
    <s v="Standard"/>
    <d v="2022-04-06T00:00:00"/>
    <d v="2023-02-12T00:00:00"/>
    <x v="2196"/>
    <n v="7323"/>
    <n v="94"/>
    <s v="NA"/>
    <n v="10"/>
    <d v="2023-02-12T00:00:00"/>
    <n v="0"/>
    <n v="2952"/>
    <n v="0.01"/>
    <s v="Normal"/>
    <n v="2023"/>
    <s v="February"/>
  </r>
  <r>
    <n v="4920"/>
    <x v="198"/>
    <x v="4"/>
    <s v="East"/>
    <s v="Premium"/>
    <d v="2022-12-07T00:00:00"/>
    <d v="2023-10-30T00:00:00"/>
    <x v="642"/>
    <n v="1319"/>
    <n v="577.01"/>
    <s v="Paid"/>
    <n v="10"/>
    <d v="2023-10-30T00:00:00"/>
    <n v="1"/>
    <n v="2953"/>
    <n v="0.53"/>
    <s v="Normal"/>
    <n v="2023"/>
    <s v="October"/>
  </r>
  <r>
    <n v="4922"/>
    <x v="278"/>
    <x v="4"/>
    <s v="South"/>
    <s v="Basic"/>
    <d v="2022-03-03T00:00:00"/>
    <d v="2023-04-25T00:00:00"/>
    <x v="2197"/>
    <n v="282"/>
    <n v="2938"/>
    <s v="Overdue"/>
    <n v="13"/>
    <d v="2023-04-25T00:00:00"/>
    <n v="1"/>
    <n v="2954"/>
    <n v="0.91"/>
    <s v="Normal"/>
    <n v="2023"/>
    <s v="April"/>
  </r>
  <r>
    <n v="4923"/>
    <x v="98"/>
    <x v="1"/>
    <s v="North"/>
    <s v="Standard"/>
    <d v="2022-05-04T00:00:00"/>
    <d v="2023-02-11T00:00:00"/>
    <x v="17"/>
    <n v="4042"/>
    <n v="-5903"/>
    <s v="Paid"/>
    <n v="9"/>
    <d v="2023-02-11T00:00:00"/>
    <n v="0"/>
    <n v="2955"/>
    <n v="-1.19"/>
    <s v="Outlier"/>
    <n v="2023"/>
    <s v="February"/>
  </r>
  <r>
    <n v="4924"/>
    <x v="315"/>
    <x v="4"/>
    <s v="North"/>
    <s v="Standard"/>
    <d v="2022-12-24T00:00:00"/>
    <d v="2023-03-14T00:00:00"/>
    <x v="4"/>
    <n v="5591"/>
    <n v="1527"/>
    <s v="Pending"/>
    <n v="2"/>
    <d v="2023-03-14T00:00:00"/>
    <n v="0"/>
    <n v="2956"/>
    <n v="0.21"/>
    <s v="Normal"/>
    <n v="2023"/>
    <s v="March"/>
  </r>
  <r>
    <n v="4925"/>
    <x v="6"/>
    <x v="4"/>
    <s v="West"/>
    <s v="Standard"/>
    <d v="2022-03-02T00:00:00"/>
    <d v="2023-03-15T00:00:00"/>
    <x v="2198"/>
    <n v="4012.75"/>
    <n v="577.01"/>
    <s v="Overdue"/>
    <n v="12"/>
    <d v="2023-03-15T00:00:00"/>
    <n v="1"/>
    <n v="2957"/>
    <n v="0.94"/>
    <s v="Normal"/>
    <n v="2023"/>
    <s v="March"/>
  </r>
  <r>
    <n v="4926"/>
    <x v="183"/>
    <x v="4"/>
    <s v="East"/>
    <s v="Standard"/>
    <d v="2022-02-09T00:00:00"/>
    <d v="2022-09-20T00:00:00"/>
    <x v="2199"/>
    <n v="3156"/>
    <n v="4723"/>
    <s v="Overdue"/>
    <n v="7"/>
    <d v="2022-09-20T00:00:00"/>
    <n v="1"/>
    <n v="2958"/>
    <n v="0.6"/>
    <s v="Normal"/>
    <n v="2022"/>
    <s v="September"/>
  </r>
  <r>
    <n v="4927"/>
    <x v="173"/>
    <x v="4"/>
    <s v="West"/>
    <s v="Standard"/>
    <d v="2022-09-11T00:00:00"/>
    <d v="2023-10-20T00:00:00"/>
    <x v="2200"/>
    <n v="7769"/>
    <n v="2056"/>
    <s v="NA"/>
    <n v="13"/>
    <d v="2023-10-20T00:00:00"/>
    <n v="0"/>
    <n v="2959"/>
    <n v="0.21"/>
    <s v="Normal"/>
    <n v="2023"/>
    <s v="October"/>
  </r>
  <r>
    <n v="4928"/>
    <x v="123"/>
    <x v="2"/>
    <s v="South"/>
    <s v="Standard"/>
    <d v="2022-09-22T00:00:00"/>
    <d v="2024-02-20T00:00:00"/>
    <x v="1330"/>
    <n v="2187"/>
    <n v="2346"/>
    <s v="Overdue"/>
    <n v="16"/>
    <d v="2024-02-20T00:00:00"/>
    <n v="0"/>
    <n v="2960"/>
    <n v="0.52"/>
    <s v="Normal"/>
    <n v="2024"/>
    <s v="February"/>
  </r>
  <r>
    <n v="4930"/>
    <x v="182"/>
    <x v="1"/>
    <s v="North"/>
    <s v="Standard"/>
    <d v="2022-01-01T00:00:00"/>
    <d v="2023-05-16T00:00:00"/>
    <x v="17"/>
    <n v="4012.75"/>
    <n v="18"/>
    <s v="Overdue"/>
    <n v="16"/>
    <d v="2023-05-16T00:00:00"/>
    <n v="0"/>
    <n v="2961"/>
    <n v="0"/>
    <s v="Normal"/>
    <n v="2023"/>
    <s v="May"/>
  </r>
  <r>
    <n v="4931"/>
    <x v="152"/>
    <x v="0"/>
    <s v="East"/>
    <s v="Standard"/>
    <d v="2022-05-24T00:00:00"/>
    <d v="2022-12-14T00:00:00"/>
    <x v="17"/>
    <n v="4012.75"/>
    <n v="567"/>
    <s v="NA"/>
    <n v="6"/>
    <d v="2022-12-14T00:00:00"/>
    <n v="0"/>
    <n v="2962"/>
    <n v="0.11"/>
    <s v="Normal"/>
    <n v="2022"/>
    <s v="December"/>
  </r>
  <r>
    <n v="4932"/>
    <x v="241"/>
    <x v="3"/>
    <s v="West"/>
    <s v="Basic"/>
    <d v="2022-02-28T00:00:00"/>
    <d v="2023-06-15T00:00:00"/>
    <x v="2201"/>
    <n v="2977"/>
    <n v="577.01"/>
    <s v="Overdue"/>
    <n v="15"/>
    <d v="2023-06-15T00:00:00"/>
    <n v="0"/>
    <n v="2963"/>
    <n v="0.08"/>
    <s v="Normal"/>
    <n v="2023"/>
    <s v="June"/>
  </r>
  <r>
    <n v="4933"/>
    <x v="348"/>
    <x v="4"/>
    <s v="West"/>
    <s v="Basic"/>
    <d v="2022-05-06T00:00:00"/>
    <d v="2023-03-16T00:00:00"/>
    <x v="1052"/>
    <n v="1108"/>
    <n v="2652"/>
    <s v="NA"/>
    <n v="10"/>
    <d v="2023-03-16T00:00:00"/>
    <n v="0"/>
    <n v="2964"/>
    <n v="0.71"/>
    <s v="Normal"/>
    <n v="2023"/>
    <s v="March"/>
  </r>
  <r>
    <n v="4935"/>
    <x v="306"/>
    <x v="1"/>
    <s v="South"/>
    <s v="Basic"/>
    <d v="2022-02-16T00:00:00"/>
    <d v="2023-04-07T00:00:00"/>
    <x v="2202"/>
    <n v="2777"/>
    <n v="577.01"/>
    <s v="Paid"/>
    <n v="13"/>
    <d v="2023-04-07T00:00:00"/>
    <n v="0"/>
    <n v="2965"/>
    <n v="0.42"/>
    <s v="Normal"/>
    <n v="2023"/>
    <s v="April"/>
  </r>
  <r>
    <n v="4937"/>
    <x v="19"/>
    <x v="3"/>
    <s v="West"/>
    <s v="Standard"/>
    <d v="2022-12-16T00:00:00"/>
    <d v="2023-03-21T00:00:00"/>
    <x v="17"/>
    <n v="729"/>
    <n v="577.01"/>
    <s v="Pending"/>
    <n v="3"/>
    <d v="2023-03-21T00:00:00"/>
    <n v="1"/>
    <n v="2966"/>
    <n v="0.12"/>
    <s v="Normal"/>
    <n v="2023"/>
    <s v="March"/>
  </r>
  <r>
    <n v="4941"/>
    <x v="75"/>
    <x v="0"/>
    <s v="West"/>
    <s v="Premium"/>
    <d v="2022-11-01T00:00:00"/>
    <d v="2022-12-02T00:00:00"/>
    <x v="2203"/>
    <n v="6650"/>
    <n v="577.01"/>
    <s v="NA"/>
    <n v="1"/>
    <d v="2022-12-02T00:00:00"/>
    <n v="0"/>
    <n v="2967"/>
    <n v="0.88"/>
    <s v="Normal"/>
    <n v="2022"/>
    <s v="December"/>
  </r>
  <r>
    <n v="4944"/>
    <x v="119"/>
    <x v="2"/>
    <s v="West"/>
    <s v="Premium"/>
    <d v="2022-02-17T00:00:00"/>
    <d v="2022-08-07T00:00:00"/>
    <x v="2204"/>
    <n v="7623"/>
    <n v="-2453"/>
    <s v="Pending"/>
    <n v="5"/>
    <d v="2022-08-07T00:00:00"/>
    <n v="0"/>
    <n v="2968"/>
    <n v="-0.47"/>
    <s v="Normal"/>
    <n v="2022"/>
    <s v="August"/>
  </r>
  <r>
    <n v="4945"/>
    <x v="300"/>
    <x v="0"/>
    <s v="South"/>
    <s v="Basic"/>
    <d v="2022-09-19T00:00:00"/>
    <d v="2023-01-26T00:00:00"/>
    <x v="2205"/>
    <n v="1028"/>
    <n v="1763"/>
    <s v="NA"/>
    <n v="4"/>
    <d v="2023-01-26T00:00:00"/>
    <n v="0"/>
    <n v="2969"/>
    <n v="0.63"/>
    <s v="Normal"/>
    <n v="2023"/>
    <s v="January"/>
  </r>
  <r>
    <n v="4947"/>
    <x v="177"/>
    <x v="2"/>
    <s v="West"/>
    <s v="Standard"/>
    <d v="2022-10-01T00:00:00"/>
    <d v="2023-10-25T00:00:00"/>
    <x v="2206"/>
    <n v="4012.75"/>
    <n v="8878"/>
    <s v="Paid"/>
    <n v="12"/>
    <d v="2023-10-25T00:00:00"/>
    <n v="1"/>
    <n v="2970"/>
    <n v="1.1000000000000001"/>
    <s v="Outlier"/>
    <n v="2023"/>
    <s v="October"/>
  </r>
  <r>
    <n v="4948"/>
    <x v="111"/>
    <x v="2"/>
    <s v="East"/>
    <s v="Basic"/>
    <d v="2022-11-12T00:00:00"/>
    <d v="2024-03-04T00:00:00"/>
    <x v="2043"/>
    <n v="3577"/>
    <n v="3400"/>
    <s v="Paid"/>
    <n v="15"/>
    <d v="2024-03-04T00:00:00"/>
    <n v="1"/>
    <n v="2971"/>
    <n v="0.49"/>
    <s v="Normal"/>
    <n v="2024"/>
    <s v="March"/>
  </r>
  <r>
    <n v="4951"/>
    <x v="391"/>
    <x v="1"/>
    <s v="East"/>
    <s v="Basic"/>
    <d v="2022-12-12T00:00:00"/>
    <d v="2023-12-21T00:00:00"/>
    <x v="2207"/>
    <n v="4666"/>
    <n v="2521"/>
    <s v="Overdue"/>
    <n v="12"/>
    <d v="2023-12-21T00:00:00"/>
    <n v="0"/>
    <n v="2972"/>
    <n v="0.35"/>
    <s v="Normal"/>
    <n v="2023"/>
    <s v="December"/>
  </r>
  <r>
    <n v="4952"/>
    <x v="171"/>
    <x v="0"/>
    <s v="East"/>
    <s v="Standard"/>
    <d v="2022-11-14T00:00:00"/>
    <d v="2023-12-24T00:00:00"/>
    <x v="2208"/>
    <n v="4012.75"/>
    <n v="5281"/>
    <s v="Overdue"/>
    <n v="13"/>
    <d v="2023-12-24T00:00:00"/>
    <n v="0"/>
    <n v="2973"/>
    <n v="1.1299999999999999"/>
    <s v="Outlier"/>
    <n v="2023"/>
    <s v="December"/>
  </r>
  <r>
    <n v="4954"/>
    <x v="114"/>
    <x v="1"/>
    <s v="East"/>
    <s v="Premium"/>
    <d v="2022-12-03T00:00:00"/>
    <d v="2023-03-14T00:00:00"/>
    <x v="2209"/>
    <n v="205"/>
    <n v="375"/>
    <s v="Paid"/>
    <n v="3"/>
    <d v="2023-03-14T00:00:00"/>
    <n v="0"/>
    <n v="2974"/>
    <n v="0.65"/>
    <s v="Normal"/>
    <n v="2023"/>
    <s v="March"/>
  </r>
  <r>
    <n v="4955"/>
    <x v="198"/>
    <x v="0"/>
    <s v="South"/>
    <s v="Standard"/>
    <d v="2022-08-21T00:00:00"/>
    <d v="2023-03-24T00:00:00"/>
    <x v="2210"/>
    <n v="6402"/>
    <n v="-1326"/>
    <s v="NA"/>
    <n v="7"/>
    <d v="2023-03-24T00:00:00"/>
    <n v="1"/>
    <n v="2975"/>
    <n v="-0.26"/>
    <s v="Normal"/>
    <n v="2023"/>
    <s v="March"/>
  </r>
  <r>
    <n v="4957"/>
    <x v="132"/>
    <x v="1"/>
    <s v="West"/>
    <s v="Premium"/>
    <d v="2022-05-12T00:00:00"/>
    <d v="2022-11-27T00:00:00"/>
    <x v="1613"/>
    <n v="1594"/>
    <n v="696"/>
    <s v="Paid"/>
    <n v="6"/>
    <d v="2022-11-27T00:00:00"/>
    <n v="1"/>
    <n v="2976"/>
    <n v="0.3"/>
    <s v="Normal"/>
    <n v="2022"/>
    <s v="November"/>
  </r>
  <r>
    <n v="4960"/>
    <x v="1"/>
    <x v="0"/>
    <s v="South"/>
    <s v="Premium"/>
    <d v="2022-11-20T00:00:00"/>
    <d v="2023-01-27T00:00:00"/>
    <x v="2211"/>
    <n v="6823"/>
    <n v="2618"/>
    <s v="NA"/>
    <n v="2"/>
    <d v="2023-01-27T00:00:00"/>
    <n v="0"/>
    <n v="2977"/>
    <n v="0.28000000000000003"/>
    <s v="Normal"/>
    <n v="2023"/>
    <s v="January"/>
  </r>
  <r>
    <n v="4961"/>
    <x v="23"/>
    <x v="0"/>
    <s v="North"/>
    <s v="Basic"/>
    <d v="2022-05-13T00:00:00"/>
    <d v="2023-06-30T00:00:00"/>
    <x v="934"/>
    <n v="3963"/>
    <n v="3143"/>
    <s v="Overdue"/>
    <n v="13"/>
    <d v="2023-06-30T00:00:00"/>
    <n v="1"/>
    <n v="2978"/>
    <n v="0.44"/>
    <s v="Normal"/>
    <n v="2023"/>
    <s v="June"/>
  </r>
  <r>
    <n v="4969"/>
    <x v="250"/>
    <x v="0"/>
    <s v="West"/>
    <s v="Standard"/>
    <d v="2022-12-21T00:00:00"/>
    <d v="2023-12-09T00:00:00"/>
    <x v="17"/>
    <n v="835"/>
    <n v="-1474"/>
    <s v="Paid"/>
    <n v="11"/>
    <d v="2023-12-09T00:00:00"/>
    <n v="0"/>
    <n v="2979"/>
    <n v="-0.3"/>
    <s v="Normal"/>
    <n v="2023"/>
    <s v="December"/>
  </r>
  <r>
    <n v="4971"/>
    <x v="33"/>
    <x v="1"/>
    <s v="West"/>
    <s v="Standard"/>
    <d v="2022-11-18T00:00:00"/>
    <d v="2022-12-24T00:00:00"/>
    <x v="17"/>
    <n v="4550"/>
    <n v="-5011"/>
    <s v="NA"/>
    <n v="1"/>
    <d v="2022-12-24T00:00:00"/>
    <n v="0"/>
    <n v="2980"/>
    <n v="-1.01"/>
    <s v="Outlier"/>
    <n v="2022"/>
    <s v="December"/>
  </r>
  <r>
    <n v="4972"/>
    <x v="61"/>
    <x v="2"/>
    <s v="West"/>
    <s v="Premium"/>
    <d v="2022-06-22T00:00:00"/>
    <d v="2023-02-26T00:00:00"/>
    <x v="2212"/>
    <n v="6528"/>
    <n v="-5559"/>
    <s v="Pending"/>
    <n v="8"/>
    <d v="2023-02-26T00:00:00"/>
    <n v="0"/>
    <n v="2981"/>
    <n v="-5.74"/>
    <s v="Outlier"/>
    <n v="2023"/>
    <s v="February"/>
  </r>
  <r>
    <n v="4978"/>
    <x v="162"/>
    <x v="4"/>
    <s v="West"/>
    <s v="Basic"/>
    <d v="2022-11-04T00:00:00"/>
    <d v="2024-02-29T00:00:00"/>
    <x v="2213"/>
    <n v="4622"/>
    <n v="570"/>
    <s v="NA"/>
    <n v="15"/>
    <d v="2024-02-29T00:00:00"/>
    <n v="1"/>
    <n v="2982"/>
    <n v="0.11"/>
    <s v="Normal"/>
    <n v="2024"/>
    <s v="February"/>
  </r>
  <r>
    <n v="4979"/>
    <x v="48"/>
    <x v="4"/>
    <s v="West"/>
    <s v="Basic"/>
    <d v="2022-02-03T00:00:00"/>
    <d v="2023-07-15T00:00:00"/>
    <x v="2214"/>
    <n v="5425"/>
    <n v="1959"/>
    <s v="NA"/>
    <n v="17"/>
    <d v="2023-07-15T00:00:00"/>
    <n v="1"/>
    <n v="2983"/>
    <n v="0.27"/>
    <s v="Normal"/>
    <n v="2023"/>
    <s v="July"/>
  </r>
  <r>
    <n v="4980"/>
    <x v="300"/>
    <x v="1"/>
    <s v="West"/>
    <s v="Standard"/>
    <d v="2022-12-15T00:00:00"/>
    <d v="2023-07-31T00:00:00"/>
    <x v="2215"/>
    <n v="3439"/>
    <n v="-2612"/>
    <s v="NA"/>
    <n v="7"/>
    <d v="2023-07-31T00:00:00"/>
    <n v="0"/>
    <n v="2984"/>
    <n v="-3.16"/>
    <s v="Outlier"/>
    <n v="2023"/>
    <s v="July"/>
  </r>
  <r>
    <n v="4981"/>
    <x v="142"/>
    <x v="2"/>
    <s v="East"/>
    <s v="Premium"/>
    <d v="2022-04-22T00:00:00"/>
    <d v="2022-06-26T00:00:00"/>
    <x v="2216"/>
    <n v="3280"/>
    <n v="-138"/>
    <s v="Pending"/>
    <n v="2"/>
    <d v="2022-06-26T00:00:00"/>
    <n v="1"/>
    <n v="2985"/>
    <n v="-0.04"/>
    <s v="Normal"/>
    <n v="2022"/>
    <s v="June"/>
  </r>
  <r>
    <n v="4986"/>
    <x v="265"/>
    <x v="1"/>
    <s v="South"/>
    <s v="Basic"/>
    <d v="2022-01-30T00:00:00"/>
    <d v="2023-06-09T00:00:00"/>
    <x v="17"/>
    <n v="4038"/>
    <n v="-5816"/>
    <s v="Overdue"/>
    <n v="16"/>
    <d v="2023-06-09T00:00:00"/>
    <n v="0"/>
    <n v="2986"/>
    <n v="-1.17"/>
    <s v="Outlier"/>
    <n v="2023"/>
    <s v="June"/>
  </r>
  <r>
    <n v="4987"/>
    <x v="314"/>
    <x v="3"/>
    <s v="West"/>
    <s v="Premium"/>
    <d v="2022-01-27T00:00:00"/>
    <d v="2022-09-26T00:00:00"/>
    <x v="222"/>
    <n v="7466"/>
    <n v="-4789"/>
    <s v="NA"/>
    <n v="7"/>
    <d v="2022-09-26T00:00:00"/>
    <n v="0"/>
    <n v="2987"/>
    <n v="-1.79"/>
    <s v="Outlier"/>
    <n v="2022"/>
    <s v="September"/>
  </r>
  <r>
    <n v="4989"/>
    <x v="26"/>
    <x v="3"/>
    <s v="South"/>
    <s v="Premium"/>
    <d v="2022-04-19T00:00:00"/>
    <d v="2023-02-17T00:00:00"/>
    <x v="1832"/>
    <n v="3574"/>
    <n v="699"/>
    <s v="Pending"/>
    <n v="9"/>
    <d v="2023-02-17T00:00:00"/>
    <n v="0"/>
    <n v="2988"/>
    <n v="0.16"/>
    <s v="Normal"/>
    <n v="2023"/>
    <s v="February"/>
  </r>
  <r>
    <n v="4990"/>
    <x v="149"/>
    <x v="4"/>
    <s v="South"/>
    <s v="Premium"/>
    <d v="2022-08-22T00:00:00"/>
    <d v="2024-04-11T00:00:00"/>
    <x v="2217"/>
    <n v="1471"/>
    <n v="577.01"/>
    <s v="Paid"/>
    <n v="19"/>
    <d v="2024-04-11T00:00:00"/>
    <n v="0"/>
    <n v="2989"/>
    <n v="0.1"/>
    <s v="Normal"/>
    <n v="2024"/>
    <s v="April"/>
  </r>
  <r>
    <n v="4991"/>
    <x v="231"/>
    <x v="0"/>
    <s v="North"/>
    <s v="Basic"/>
    <d v="2022-05-06T00:00:00"/>
    <d v="2023-12-18T00:00:00"/>
    <x v="2218"/>
    <n v="1175"/>
    <n v="2235"/>
    <s v="NA"/>
    <n v="19"/>
    <d v="2023-12-18T00:00:00"/>
    <n v="0"/>
    <n v="2990"/>
    <n v="0.66"/>
    <s v="Normal"/>
    <n v="2023"/>
    <s v="December"/>
  </r>
  <r>
    <n v="4993"/>
    <x v="216"/>
    <x v="4"/>
    <s v="North"/>
    <s v="Basic"/>
    <d v="2022-08-20T00:00:00"/>
    <d v="2024-02-06T00:00:00"/>
    <x v="17"/>
    <n v="5733"/>
    <n v="-7406"/>
    <s v="Paid"/>
    <n v="17"/>
    <d v="2024-02-06T00:00:00"/>
    <n v="1"/>
    <n v="2991"/>
    <n v="-1.49"/>
    <s v="Outlier"/>
    <n v="2024"/>
    <s v="February"/>
  </r>
  <r>
    <n v="4994"/>
    <x v="330"/>
    <x v="3"/>
    <s v="East"/>
    <s v="Premium"/>
    <d v="2022-11-12T00:00:00"/>
    <d v="2023-05-19T00:00:00"/>
    <x v="17"/>
    <n v="1445"/>
    <n v="-2606"/>
    <s v="Pending"/>
    <n v="6"/>
    <d v="2023-05-19T00:00:00"/>
    <n v="1"/>
    <n v="2992"/>
    <n v="-0.52"/>
    <s v="Normal"/>
    <n v="2023"/>
    <s v="May"/>
  </r>
  <r>
    <n v="4997"/>
    <x v="393"/>
    <x v="3"/>
    <s v="North"/>
    <s v="Premium"/>
    <d v="2022-05-12T00:00:00"/>
    <d v="2023-03-31T00:00:00"/>
    <x v="2219"/>
    <n v="6882"/>
    <n v="-5055"/>
    <s v="Pending"/>
    <n v="10"/>
    <d v="2023-03-31T00:00:00"/>
    <n v="0"/>
    <n v="2993"/>
    <n v="-2.77"/>
    <s v="Outlier"/>
    <n v="2023"/>
    <s v="March"/>
  </r>
  <r>
    <n v="4999"/>
    <x v="171"/>
    <x v="0"/>
    <s v="West"/>
    <s v="Basic"/>
    <d v="2022-08-12T00:00:00"/>
    <d v="2022-12-26T00:00:00"/>
    <x v="2220"/>
    <n v="1497"/>
    <n v="5217"/>
    <s v="Paid"/>
    <n v="4"/>
    <d v="2022-12-26T00:00:00"/>
    <n v="0"/>
    <n v="2994"/>
    <n v="0.78"/>
    <s v="Normal"/>
    <n v="2022"/>
    <s v="December"/>
  </r>
  <r>
    <m/>
    <x v="401"/>
    <x v="5"/>
    <m/>
    <m/>
    <m/>
    <m/>
    <x v="2221"/>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4">
  <r>
    <n v="1"/>
    <n v="271"/>
    <x v="0"/>
    <x v="0"/>
    <x v="0"/>
    <d v="2022-12-06T00:00:00"/>
    <x v="0"/>
    <n v="1872"/>
    <n v="7917"/>
    <n v="-6045"/>
    <x v="0"/>
    <n v="1"/>
    <x v="0"/>
    <d v="2023-01-20T00:00:00"/>
    <n v="0"/>
    <n v="1"/>
    <n v="-3.23"/>
    <s v="Outlier"/>
    <n v="2023"/>
    <s v="January"/>
  </r>
  <r>
    <n v="2"/>
    <n v="270"/>
    <x v="1"/>
    <x v="1"/>
    <x v="1"/>
    <d v="2022-02-16T00:00:00"/>
    <x v="1"/>
    <n v="1329"/>
    <n v="4642"/>
    <n v="577.01"/>
    <x v="0"/>
    <n v="3"/>
    <x v="0"/>
    <d v="2022-05-18T00:00:00"/>
    <n v="0"/>
    <n v="2"/>
    <n v="0.43"/>
    <s v="Normal"/>
    <n v="2022"/>
    <s v="May"/>
  </r>
  <r>
    <n v="3"/>
    <n v="135"/>
    <x v="0"/>
    <x v="2"/>
    <x v="1"/>
    <d v="2022-06-25T00:00:00"/>
    <x v="2"/>
    <n v="6492"/>
    <n v="4358"/>
    <n v="2134"/>
    <x v="1"/>
    <n v="14"/>
    <x v="1"/>
    <d v="2023-09-15T00:00:00"/>
    <n v="1"/>
    <n v="3"/>
    <n v="0.33"/>
    <s v="Normal"/>
    <n v="2023"/>
    <s v="September"/>
  </r>
  <r>
    <n v="4"/>
    <n v="447"/>
    <x v="1"/>
    <x v="0"/>
    <x v="0"/>
    <d v="2022-06-27T00:00:00"/>
    <x v="3"/>
    <n v="6643"/>
    <n v="7007"/>
    <n v="-364"/>
    <x v="1"/>
    <n v="17"/>
    <x v="1"/>
    <d v="2023-12-05T00:00:00"/>
    <n v="0"/>
    <n v="4"/>
    <n v="-0.05"/>
    <s v="Normal"/>
    <n v="2023"/>
    <s v="December"/>
  </r>
  <r>
    <n v="5"/>
    <n v="183"/>
    <x v="1"/>
    <x v="1"/>
    <x v="0"/>
    <d v="2022-04-10T00:00:00"/>
    <x v="4"/>
    <n v="7118"/>
    <n v="92"/>
    <n v="7026"/>
    <x v="1"/>
    <n v="11"/>
    <x v="1"/>
    <d v="2023-04-05T00:00:00"/>
    <n v="1"/>
    <n v="5"/>
    <n v="0.99"/>
    <s v="Normal"/>
    <n v="2023"/>
    <s v="April"/>
  </r>
  <r>
    <n v="6"/>
    <n v="341"/>
    <x v="0"/>
    <x v="1"/>
    <x v="0"/>
    <d v="2022-05-01T00:00:00"/>
    <x v="5"/>
    <n v="9585"/>
    <n v="1926"/>
    <n v="7659"/>
    <x v="1"/>
    <n v="5"/>
    <x v="0"/>
    <d v="2022-10-13T00:00:00"/>
    <n v="0"/>
    <n v="6"/>
    <n v="0.8"/>
    <s v="Normal"/>
    <n v="2022"/>
    <s v="October"/>
  </r>
  <r>
    <n v="7"/>
    <n v="413"/>
    <x v="0"/>
    <x v="3"/>
    <x v="1"/>
    <d v="2022-12-20T00:00:00"/>
    <x v="6"/>
    <n v="7193"/>
    <n v="7314"/>
    <n v="-121"/>
    <x v="2"/>
    <n v="7"/>
    <x v="1"/>
    <d v="2023-08-06T00:00:00"/>
    <n v="0"/>
    <n v="7"/>
    <n v="-0.02"/>
    <s v="Normal"/>
    <n v="2023"/>
    <s v="August"/>
  </r>
  <r>
    <n v="8"/>
    <n v="351"/>
    <x v="1"/>
    <x v="0"/>
    <x v="2"/>
    <d v="2022-07-04T00:00:00"/>
    <x v="7"/>
    <n v="2216"/>
    <n v="2945"/>
    <n v="-729"/>
    <x v="1"/>
    <n v="8"/>
    <x v="1"/>
    <d v="2023-03-04T00:00:00"/>
    <n v="1"/>
    <n v="8"/>
    <n v="-0.33"/>
    <s v="Normal"/>
    <n v="2023"/>
    <s v="March"/>
  </r>
  <r>
    <n v="9"/>
    <n v="284"/>
    <x v="2"/>
    <x v="0"/>
    <x v="1"/>
    <d v="2022-11-09T00:00:00"/>
    <x v="8"/>
    <n v="9847"/>
    <n v="2008"/>
    <n v="7839"/>
    <x v="1"/>
    <n v="18"/>
    <x v="1"/>
    <d v="2024-05-13T00:00:00"/>
    <n v="1"/>
    <n v="9"/>
    <n v="0.8"/>
    <s v="Normal"/>
    <n v="2024"/>
    <s v="May"/>
  </r>
  <r>
    <n v="11"/>
    <n v="266"/>
    <x v="3"/>
    <x v="2"/>
    <x v="1"/>
    <d v="2022-08-18T00:00:00"/>
    <x v="9"/>
    <n v="9821"/>
    <n v="1857"/>
    <n v="7964"/>
    <x v="1"/>
    <n v="13"/>
    <x v="1"/>
    <d v="2023-10-15T00:00:00"/>
    <n v="0"/>
    <n v="10"/>
    <n v="0.81"/>
    <s v="Normal"/>
    <n v="2023"/>
    <s v="October"/>
  </r>
  <r>
    <n v="12"/>
    <n v="251"/>
    <x v="3"/>
    <x v="1"/>
    <x v="1"/>
    <d v="2022-06-08T00:00:00"/>
    <x v="10"/>
    <n v="2195"/>
    <n v="6020"/>
    <n v="-3825"/>
    <x v="0"/>
    <n v="14"/>
    <x v="1"/>
    <d v="2023-08-29T00:00:00"/>
    <n v="0"/>
    <n v="11"/>
    <n v="-1.74"/>
    <s v="Outlier"/>
    <n v="2023"/>
    <s v="August"/>
  </r>
  <r>
    <n v="15"/>
    <n v="306"/>
    <x v="2"/>
    <x v="0"/>
    <x v="2"/>
    <d v="2022-02-05T00:00:00"/>
    <x v="11"/>
    <n v="4890"/>
    <n v="7735"/>
    <n v="-2845"/>
    <x v="1"/>
    <n v="16"/>
    <x v="1"/>
    <d v="2023-06-30T00:00:00"/>
    <n v="0"/>
    <n v="12"/>
    <n v="-0.57999999999999996"/>
    <s v="Normal"/>
    <n v="2023"/>
    <s v="June"/>
  </r>
  <r>
    <n v="16"/>
    <n v="292"/>
    <x v="3"/>
    <x v="1"/>
    <x v="2"/>
    <d v="2022-02-06T00:00:00"/>
    <x v="12"/>
    <n v="2264"/>
    <n v="2826"/>
    <n v="-562"/>
    <x v="1"/>
    <n v="15"/>
    <x v="1"/>
    <d v="2023-05-31T00:00:00"/>
    <n v="1"/>
    <n v="13"/>
    <n v="-0.25"/>
    <s v="Normal"/>
    <n v="2023"/>
    <s v="May"/>
  </r>
  <r>
    <n v="19"/>
    <n v="253"/>
    <x v="3"/>
    <x v="1"/>
    <x v="1"/>
    <d v="2022-02-17T00:00:00"/>
    <x v="13"/>
    <n v="8230"/>
    <n v="7801"/>
    <n v="429"/>
    <x v="2"/>
    <n v="4"/>
    <x v="0"/>
    <d v="2022-06-18T00:00:00"/>
    <n v="1"/>
    <n v="14"/>
    <n v="0.05"/>
    <s v="Normal"/>
    <n v="2022"/>
    <s v="June"/>
  </r>
  <r>
    <n v="20"/>
    <n v="279"/>
    <x v="3"/>
    <x v="1"/>
    <x v="2"/>
    <d v="2022-01-23T00:00:00"/>
    <x v="14"/>
    <n v="8417"/>
    <n v="6632"/>
    <n v="1785"/>
    <x v="1"/>
    <n v="18"/>
    <x v="1"/>
    <d v="2023-08-21T00:00:00"/>
    <n v="0"/>
    <n v="15"/>
    <n v="0.21"/>
    <s v="Normal"/>
    <n v="2023"/>
    <s v="August"/>
  </r>
  <r>
    <n v="21"/>
    <n v="399"/>
    <x v="1"/>
    <x v="1"/>
    <x v="2"/>
    <d v="2022-02-19T00:00:00"/>
    <x v="15"/>
    <n v="215"/>
    <n v="5335"/>
    <n v="-5120"/>
    <x v="2"/>
    <n v="13"/>
    <x v="1"/>
    <d v="2023-04-11T00:00:00"/>
    <n v="1"/>
    <n v="16"/>
    <n v="-23.81"/>
    <s v="Outlier"/>
    <n v="2023"/>
    <s v="April"/>
  </r>
  <r>
    <n v="27"/>
    <n v="338"/>
    <x v="0"/>
    <x v="2"/>
    <x v="2"/>
    <d v="2022-12-09T00:00:00"/>
    <x v="3"/>
    <n v="9568"/>
    <n v="3741"/>
    <n v="5827"/>
    <x v="0"/>
    <n v="11"/>
    <x v="1"/>
    <d v="2023-12-05T00:00:00"/>
    <n v="1"/>
    <n v="17"/>
    <n v="0.61"/>
    <s v="Normal"/>
    <n v="2023"/>
    <s v="December"/>
  </r>
  <r>
    <n v="28"/>
    <n v="430"/>
    <x v="2"/>
    <x v="2"/>
    <x v="2"/>
    <d v="2022-08-14T00:00:00"/>
    <x v="16"/>
    <n v="4967.93"/>
    <n v="7457"/>
    <n v="-8027"/>
    <x v="2"/>
    <n v="2"/>
    <x v="0"/>
    <d v="2022-11-03T00:00:00"/>
    <n v="0"/>
    <n v="18"/>
    <n v="-1.62"/>
    <s v="Outlier"/>
    <n v="2022"/>
    <s v="November"/>
  </r>
  <r>
    <n v="29"/>
    <n v="228"/>
    <x v="0"/>
    <x v="0"/>
    <x v="1"/>
    <d v="2022-01-19T00:00:00"/>
    <x v="17"/>
    <n v="3875"/>
    <n v="657"/>
    <n v="3218"/>
    <x v="1"/>
    <n v="6"/>
    <x v="2"/>
    <d v="2022-08-09T00:00:00"/>
    <n v="1"/>
    <n v="19"/>
    <n v="0.83"/>
    <s v="Normal"/>
    <n v="2022"/>
    <s v="August"/>
  </r>
  <r>
    <n v="30"/>
    <n v="214"/>
    <x v="3"/>
    <x v="1"/>
    <x v="1"/>
    <d v="2022-03-06T00:00:00"/>
    <x v="18"/>
    <n v="3813"/>
    <n v="6533"/>
    <n v="-2720"/>
    <x v="1"/>
    <n v="15"/>
    <x v="1"/>
    <d v="2023-06-17T00:00:00"/>
    <n v="0"/>
    <n v="20"/>
    <n v="-0.71"/>
    <s v="Normal"/>
    <n v="2023"/>
    <s v="June"/>
  </r>
  <r>
    <n v="31"/>
    <n v="314"/>
    <x v="3"/>
    <x v="3"/>
    <x v="1"/>
    <d v="2022-01-10T00:00:00"/>
    <x v="19"/>
    <n v="1532"/>
    <n v="1477"/>
    <n v="55"/>
    <x v="1"/>
    <n v="13"/>
    <x v="1"/>
    <d v="2023-02-19T00:00:00"/>
    <n v="1"/>
    <n v="21"/>
    <n v="0.04"/>
    <s v="Normal"/>
    <n v="2023"/>
    <s v="February"/>
  </r>
  <r>
    <n v="34"/>
    <n v="434"/>
    <x v="2"/>
    <x v="1"/>
    <x v="2"/>
    <d v="2022-01-30T00:00:00"/>
    <x v="20"/>
    <n v="6526"/>
    <n v="1043"/>
    <n v="5483"/>
    <x v="0"/>
    <n v="15"/>
    <x v="1"/>
    <d v="2023-05-14T00:00:00"/>
    <n v="1"/>
    <n v="22"/>
    <n v="0.84"/>
    <s v="Normal"/>
    <n v="2023"/>
    <s v="May"/>
  </r>
  <r>
    <n v="35"/>
    <n v="305"/>
    <x v="2"/>
    <x v="0"/>
    <x v="1"/>
    <d v="2022-12-05T00:00:00"/>
    <x v="21"/>
    <n v="4967.93"/>
    <n v="3024"/>
    <n v="-3085"/>
    <x v="2"/>
    <n v="18"/>
    <x v="1"/>
    <d v="2024-06-15T00:00:00"/>
    <n v="1"/>
    <n v="23"/>
    <n v="-0.62"/>
    <s v="Normal"/>
    <n v="2024"/>
    <s v="June"/>
  </r>
  <r>
    <n v="37"/>
    <n v="336"/>
    <x v="2"/>
    <x v="3"/>
    <x v="2"/>
    <d v="2022-04-12T00:00:00"/>
    <x v="22"/>
    <n v="4967.93"/>
    <n v="1624"/>
    <n v="577.01"/>
    <x v="2"/>
    <n v="11"/>
    <x v="1"/>
    <d v="2023-03-19T00:00:00"/>
    <n v="1"/>
    <n v="24"/>
    <n v="0.12"/>
    <s v="Normal"/>
    <n v="2023"/>
    <s v="March"/>
  </r>
  <r>
    <n v="40"/>
    <n v="308"/>
    <x v="1"/>
    <x v="0"/>
    <x v="2"/>
    <d v="2022-01-23T00:00:00"/>
    <x v="23"/>
    <n v="2456"/>
    <n v="7694"/>
    <n v="-5238"/>
    <x v="2"/>
    <n v="7"/>
    <x v="1"/>
    <d v="2022-08-27T00:00:00"/>
    <n v="1"/>
    <n v="25"/>
    <n v="-2.13"/>
    <s v="Outlier"/>
    <n v="2022"/>
    <s v="August"/>
  </r>
  <r>
    <n v="41"/>
    <n v="183"/>
    <x v="3"/>
    <x v="1"/>
    <x v="1"/>
    <d v="2022-01-01T00:00:00"/>
    <x v="24"/>
    <n v="4967.93"/>
    <n v="4622"/>
    <n v="-5758"/>
    <x v="0"/>
    <n v="17"/>
    <x v="1"/>
    <d v="2023-06-14T00:00:00"/>
    <n v="1"/>
    <n v="26"/>
    <n v="-1.1599999999999999"/>
    <s v="Outlier"/>
    <n v="2023"/>
    <s v="June"/>
  </r>
  <r>
    <n v="42"/>
    <n v="424"/>
    <x v="0"/>
    <x v="3"/>
    <x v="2"/>
    <d v="2022-11-12T00:00:00"/>
    <x v="25"/>
    <n v="2322"/>
    <n v="3720"/>
    <n v="-1398"/>
    <x v="1"/>
    <n v="17"/>
    <x v="1"/>
    <d v="2024-04-28T00:00:00"/>
    <n v="1"/>
    <n v="27"/>
    <n v="-0.6"/>
    <s v="Normal"/>
    <n v="2024"/>
    <s v="April"/>
  </r>
  <r>
    <n v="43"/>
    <n v="117"/>
    <x v="0"/>
    <x v="1"/>
    <x v="0"/>
    <d v="2022-08-27T00:00:00"/>
    <x v="26"/>
    <n v="9757"/>
    <n v="4012.75"/>
    <n v="10664"/>
    <x v="1"/>
    <n v="7"/>
    <x v="1"/>
    <d v="2023-04-08T00:00:00"/>
    <n v="0"/>
    <n v="28"/>
    <n v="1.0900000000000001"/>
    <s v="Outlier"/>
    <n v="2023"/>
    <s v="April"/>
  </r>
  <r>
    <n v="44"/>
    <n v="189"/>
    <x v="2"/>
    <x v="2"/>
    <x v="0"/>
    <d v="2022-09-03T00:00:00"/>
    <x v="27"/>
    <n v="6863"/>
    <n v="5970"/>
    <n v="893"/>
    <x v="2"/>
    <n v="10"/>
    <x v="1"/>
    <d v="2023-07-03T00:00:00"/>
    <n v="0"/>
    <n v="29"/>
    <n v="0.13"/>
    <s v="Normal"/>
    <n v="2023"/>
    <s v="July"/>
  </r>
  <r>
    <n v="45"/>
    <n v="482"/>
    <x v="3"/>
    <x v="3"/>
    <x v="0"/>
    <d v="2022-07-16T00:00:00"/>
    <x v="28"/>
    <n v="8973"/>
    <n v="7330"/>
    <n v="1643"/>
    <x v="1"/>
    <n v="6"/>
    <x v="2"/>
    <d v="2023-01-27T00:00:00"/>
    <n v="0"/>
    <n v="30"/>
    <n v="0.18"/>
    <s v="Normal"/>
    <n v="2023"/>
    <s v="January"/>
  </r>
  <r>
    <n v="48"/>
    <n v="208"/>
    <x v="0"/>
    <x v="1"/>
    <x v="1"/>
    <d v="2022-09-30T00:00:00"/>
    <x v="29"/>
    <n v="4967.93"/>
    <n v="4012.75"/>
    <n v="148"/>
    <x v="1"/>
    <n v="4"/>
    <x v="0"/>
    <d v="2023-02-02T00:00:00"/>
    <n v="1"/>
    <n v="31"/>
    <n v="0.03"/>
    <s v="Normal"/>
    <n v="2023"/>
    <s v="February"/>
  </r>
  <r>
    <n v="49"/>
    <n v="245"/>
    <x v="4"/>
    <x v="3"/>
    <x v="0"/>
    <d v="2022-07-14T00:00:00"/>
    <x v="30"/>
    <n v="2763"/>
    <n v="3889"/>
    <n v="-1126"/>
    <x v="0"/>
    <n v="5"/>
    <x v="0"/>
    <d v="2023-01-13T00:00:00"/>
    <n v="1"/>
    <n v="32"/>
    <n v="-0.41"/>
    <s v="Normal"/>
    <n v="2023"/>
    <s v="January"/>
  </r>
  <r>
    <n v="50"/>
    <n v="327"/>
    <x v="0"/>
    <x v="2"/>
    <x v="0"/>
    <d v="2022-08-22T00:00:00"/>
    <x v="31"/>
    <n v="4967.93"/>
    <n v="1478"/>
    <n v="-2427"/>
    <x v="1"/>
    <n v="2"/>
    <x v="0"/>
    <d v="2022-10-24T00:00:00"/>
    <n v="1"/>
    <n v="33"/>
    <n v="-0.49"/>
    <s v="Normal"/>
    <n v="2022"/>
    <s v="October"/>
  </r>
  <r>
    <n v="52"/>
    <n v="404"/>
    <x v="1"/>
    <x v="0"/>
    <x v="2"/>
    <d v="2022-02-05T00:00:00"/>
    <x v="32"/>
    <n v="2986"/>
    <n v="7992"/>
    <n v="-5006"/>
    <x v="1"/>
    <n v="16"/>
    <x v="1"/>
    <d v="2023-06-19T00:00:00"/>
    <n v="0"/>
    <n v="34"/>
    <n v="-1.68"/>
    <s v="Outlier"/>
    <n v="2023"/>
    <s v="June"/>
  </r>
  <r>
    <n v="53"/>
    <n v="100"/>
    <x v="4"/>
    <x v="2"/>
    <x v="2"/>
    <d v="2022-01-17T00:00:00"/>
    <x v="33"/>
    <n v="4967.93"/>
    <n v="5221"/>
    <n v="-5276"/>
    <x v="1"/>
    <n v="16"/>
    <x v="1"/>
    <d v="2023-05-21T00:00:00"/>
    <n v="1"/>
    <n v="35"/>
    <n v="-1.06"/>
    <s v="Outlier"/>
    <n v="2023"/>
    <s v="May"/>
  </r>
  <r>
    <n v="55"/>
    <n v="114"/>
    <x v="3"/>
    <x v="3"/>
    <x v="1"/>
    <d v="2022-04-21T00:00:00"/>
    <x v="34"/>
    <n v="4967.93"/>
    <n v="728"/>
    <n v="-2462"/>
    <x v="0"/>
    <n v="5"/>
    <x v="0"/>
    <d v="2022-10-14T00:00:00"/>
    <n v="0"/>
    <n v="36"/>
    <n v="-0.5"/>
    <s v="Normal"/>
    <n v="2022"/>
    <s v="October"/>
  </r>
  <r>
    <n v="56"/>
    <n v="412"/>
    <x v="3"/>
    <x v="0"/>
    <x v="1"/>
    <d v="2022-12-20T00:00:00"/>
    <x v="35"/>
    <n v="9519"/>
    <n v="7896"/>
    <n v="1623"/>
    <x v="1"/>
    <n v="11"/>
    <x v="1"/>
    <d v="2023-11-25T00:00:00"/>
    <n v="0"/>
    <n v="37"/>
    <n v="0.17"/>
    <s v="Normal"/>
    <n v="2023"/>
    <s v="November"/>
  </r>
  <r>
    <n v="57"/>
    <n v="185"/>
    <x v="3"/>
    <x v="1"/>
    <x v="2"/>
    <d v="2022-09-07T00:00:00"/>
    <x v="36"/>
    <n v="8456"/>
    <n v="5492"/>
    <n v="2964"/>
    <x v="0"/>
    <n v="10"/>
    <x v="1"/>
    <d v="2023-07-29T00:00:00"/>
    <n v="0"/>
    <n v="38"/>
    <n v="0.35"/>
    <s v="Normal"/>
    <n v="2023"/>
    <s v="July"/>
  </r>
  <r>
    <n v="58"/>
    <n v="419"/>
    <x v="3"/>
    <x v="1"/>
    <x v="1"/>
    <d v="2022-06-13T00:00:00"/>
    <x v="37"/>
    <n v="6434"/>
    <n v="1994"/>
    <n v="4440"/>
    <x v="2"/>
    <n v="2"/>
    <x v="0"/>
    <d v="2022-09-05T00:00:00"/>
    <n v="1"/>
    <n v="39"/>
    <n v="0.69"/>
    <s v="Normal"/>
    <n v="2022"/>
    <s v="September"/>
  </r>
  <r>
    <n v="59"/>
    <n v="159"/>
    <x v="1"/>
    <x v="0"/>
    <x v="2"/>
    <d v="2022-03-25T00:00:00"/>
    <x v="38"/>
    <n v="9712"/>
    <n v="4012.75"/>
    <n v="10385"/>
    <x v="1"/>
    <n v="1"/>
    <x v="0"/>
    <d v="2022-04-25T00:00:00"/>
    <n v="1"/>
    <n v="40"/>
    <n v="1.07"/>
    <s v="Outlier"/>
    <n v="2022"/>
    <s v="April"/>
  </r>
  <r>
    <n v="64"/>
    <n v="314"/>
    <x v="4"/>
    <x v="0"/>
    <x v="2"/>
    <d v="2022-07-31T00:00:00"/>
    <x v="32"/>
    <n v="5374"/>
    <n v="1628"/>
    <n v="3746"/>
    <x v="2"/>
    <n v="10"/>
    <x v="1"/>
    <d v="2023-06-19T00:00:00"/>
    <n v="1"/>
    <n v="41"/>
    <n v="0.7"/>
    <s v="Normal"/>
    <n v="2023"/>
    <s v="June"/>
  </r>
  <r>
    <n v="65"/>
    <n v="329"/>
    <x v="4"/>
    <x v="0"/>
    <x v="2"/>
    <d v="2022-08-20T00:00:00"/>
    <x v="39"/>
    <n v="4967.93"/>
    <n v="4012.75"/>
    <n v="577.01"/>
    <x v="0"/>
    <n v="13"/>
    <x v="1"/>
    <d v="2023-09-27T00:00:00"/>
    <n v="1"/>
    <n v="42"/>
    <n v="0.12"/>
    <s v="Normal"/>
    <n v="2023"/>
    <s v="September"/>
  </r>
  <r>
    <n v="69"/>
    <n v="272"/>
    <x v="4"/>
    <x v="2"/>
    <x v="2"/>
    <d v="2022-12-10T00:00:00"/>
    <x v="40"/>
    <n v="7719"/>
    <n v="2116"/>
    <n v="5603"/>
    <x v="2"/>
    <n v="6"/>
    <x v="2"/>
    <d v="2023-07-02T00:00:00"/>
    <n v="0"/>
    <n v="43"/>
    <n v="0.73"/>
    <s v="Normal"/>
    <n v="2023"/>
    <s v="July"/>
  </r>
  <r>
    <n v="72"/>
    <n v="112"/>
    <x v="3"/>
    <x v="0"/>
    <x v="1"/>
    <d v="2022-06-14T00:00:00"/>
    <x v="41"/>
    <n v="6865"/>
    <n v="6378"/>
    <n v="487"/>
    <x v="2"/>
    <n v="10"/>
    <x v="1"/>
    <d v="2023-04-28T00:00:00"/>
    <n v="1"/>
    <n v="44"/>
    <n v="7.0000000000000007E-2"/>
    <s v="Normal"/>
    <n v="2023"/>
    <s v="April"/>
  </r>
  <r>
    <n v="75"/>
    <n v="428"/>
    <x v="3"/>
    <x v="1"/>
    <x v="1"/>
    <d v="2022-07-03T00:00:00"/>
    <x v="42"/>
    <n v="1051"/>
    <n v="892"/>
    <n v="159"/>
    <x v="1"/>
    <n v="8"/>
    <x v="1"/>
    <d v="2023-03-05T00:00:00"/>
    <n v="0"/>
    <n v="45"/>
    <n v="0.15"/>
    <s v="Normal"/>
    <n v="2023"/>
    <s v="March"/>
  </r>
  <r>
    <n v="76"/>
    <n v="482"/>
    <x v="4"/>
    <x v="2"/>
    <x v="0"/>
    <d v="2022-12-04T00:00:00"/>
    <x v="43"/>
    <n v="1497"/>
    <n v="4012.75"/>
    <n v="2075"/>
    <x v="1"/>
    <n v="8"/>
    <x v="1"/>
    <d v="2023-09-01T00:00:00"/>
    <n v="0"/>
    <n v="46"/>
    <n v="1.39"/>
    <s v="Outlier"/>
    <n v="2023"/>
    <s v="September"/>
  </r>
  <r>
    <n v="78"/>
    <n v="472"/>
    <x v="0"/>
    <x v="0"/>
    <x v="2"/>
    <d v="2022-03-01T00:00:00"/>
    <x v="44"/>
    <n v="861"/>
    <n v="1211"/>
    <n v="-350"/>
    <x v="0"/>
    <n v="11"/>
    <x v="1"/>
    <d v="2023-02-08T00:00:00"/>
    <n v="1"/>
    <n v="47"/>
    <n v="-0.41"/>
    <s v="Normal"/>
    <n v="2023"/>
    <s v="February"/>
  </r>
  <r>
    <n v="79"/>
    <n v="380"/>
    <x v="2"/>
    <x v="3"/>
    <x v="0"/>
    <d v="2022-07-10T00:00:00"/>
    <x v="45"/>
    <n v="5417"/>
    <n v="7941"/>
    <n v="-2524"/>
    <x v="1"/>
    <n v="5"/>
    <x v="0"/>
    <d v="2023-01-02T00:00:00"/>
    <n v="1"/>
    <n v="48"/>
    <n v="-0.47"/>
    <s v="Normal"/>
    <n v="2023"/>
    <s v="January"/>
  </r>
  <r>
    <n v="80"/>
    <n v="312"/>
    <x v="2"/>
    <x v="0"/>
    <x v="0"/>
    <d v="2022-08-17T00:00:00"/>
    <x v="46"/>
    <n v="4967.93"/>
    <n v="7065"/>
    <n v="-8712"/>
    <x v="1"/>
    <n v="13"/>
    <x v="1"/>
    <d v="2023-09-19T00:00:00"/>
    <n v="1"/>
    <n v="49"/>
    <n v="-1.75"/>
    <s v="Outlier"/>
    <n v="2023"/>
    <s v="September"/>
  </r>
  <r>
    <n v="85"/>
    <n v="436"/>
    <x v="2"/>
    <x v="3"/>
    <x v="0"/>
    <d v="2022-03-02T00:00:00"/>
    <x v="47"/>
    <n v="4967.93"/>
    <n v="3289"/>
    <n v="-4561"/>
    <x v="2"/>
    <n v="2"/>
    <x v="0"/>
    <d v="2022-05-03T00:00:00"/>
    <n v="1"/>
    <n v="50"/>
    <n v="-0.92"/>
    <s v="Normal"/>
    <n v="2022"/>
    <s v="May"/>
  </r>
  <r>
    <n v="86"/>
    <n v="408"/>
    <x v="3"/>
    <x v="3"/>
    <x v="1"/>
    <d v="2022-09-22T00:00:00"/>
    <x v="48"/>
    <n v="3417"/>
    <n v="581"/>
    <n v="2836"/>
    <x v="1"/>
    <n v="13"/>
    <x v="1"/>
    <d v="2023-11-02T00:00:00"/>
    <n v="0"/>
    <n v="51"/>
    <n v="0.83"/>
    <s v="Normal"/>
    <n v="2023"/>
    <s v="November"/>
  </r>
  <r>
    <n v="87"/>
    <n v="208"/>
    <x v="0"/>
    <x v="3"/>
    <x v="2"/>
    <d v="2022-08-03T00:00:00"/>
    <x v="49"/>
    <n v="393"/>
    <n v="4166"/>
    <n v="-3773"/>
    <x v="1"/>
    <n v="13"/>
    <x v="1"/>
    <d v="2023-09-14T00:00:00"/>
    <n v="1"/>
    <n v="52"/>
    <n v="-9.6"/>
    <s v="Outlier"/>
    <n v="2023"/>
    <s v="September"/>
  </r>
  <r>
    <n v="88"/>
    <n v="295"/>
    <x v="4"/>
    <x v="1"/>
    <x v="2"/>
    <d v="2022-10-22T00:00:00"/>
    <x v="50"/>
    <n v="5966"/>
    <n v="430"/>
    <n v="577.01"/>
    <x v="1"/>
    <n v="10"/>
    <x v="1"/>
    <d v="2023-09-08T00:00:00"/>
    <n v="0"/>
    <n v="53"/>
    <n v="0.1"/>
    <s v="Normal"/>
    <n v="2023"/>
    <s v="September"/>
  </r>
  <r>
    <n v="89"/>
    <n v="218"/>
    <x v="0"/>
    <x v="0"/>
    <x v="2"/>
    <d v="2022-07-18T00:00:00"/>
    <x v="51"/>
    <n v="4967.93"/>
    <n v="6221"/>
    <n v="-7849"/>
    <x v="0"/>
    <n v="16"/>
    <x v="1"/>
    <d v="2023-12-17T00:00:00"/>
    <n v="1"/>
    <n v="54"/>
    <n v="-1.58"/>
    <s v="Outlier"/>
    <n v="2023"/>
    <s v="December"/>
  </r>
  <r>
    <n v="90"/>
    <n v="493"/>
    <x v="4"/>
    <x v="0"/>
    <x v="0"/>
    <d v="2022-04-09T00:00:00"/>
    <x v="52"/>
    <n v="3420"/>
    <n v="6478"/>
    <n v="-3058"/>
    <x v="0"/>
    <n v="17"/>
    <x v="1"/>
    <d v="2023-10-04T00:00:00"/>
    <n v="0"/>
    <n v="55"/>
    <n v="-0.89"/>
    <s v="Normal"/>
    <n v="2023"/>
    <s v="October"/>
  </r>
  <r>
    <n v="91"/>
    <n v="233"/>
    <x v="3"/>
    <x v="3"/>
    <x v="2"/>
    <d v="2022-05-12T00:00:00"/>
    <x v="53"/>
    <n v="4726"/>
    <n v="2548"/>
    <n v="2178"/>
    <x v="2"/>
    <n v="1"/>
    <x v="0"/>
    <d v="2022-07-11T00:00:00"/>
    <n v="1"/>
    <n v="56"/>
    <n v="0.46"/>
    <s v="Normal"/>
    <n v="2022"/>
    <s v="July"/>
  </r>
  <r>
    <n v="92"/>
    <n v="118"/>
    <x v="2"/>
    <x v="2"/>
    <x v="0"/>
    <d v="2022-12-05T00:00:00"/>
    <x v="54"/>
    <n v="2383"/>
    <n v="6332"/>
    <n v="-3949"/>
    <x v="1"/>
    <n v="15"/>
    <x v="1"/>
    <d v="2024-03-22T00:00:00"/>
    <n v="1"/>
    <n v="57"/>
    <n v="-1.66"/>
    <s v="Outlier"/>
    <n v="2024"/>
    <s v="March"/>
  </r>
  <r>
    <n v="95"/>
    <n v="192"/>
    <x v="4"/>
    <x v="2"/>
    <x v="1"/>
    <d v="2022-08-18T00:00:00"/>
    <x v="55"/>
    <n v="1226"/>
    <n v="5215"/>
    <n v="-3989"/>
    <x v="0"/>
    <n v="14"/>
    <x v="1"/>
    <d v="2023-11-06T00:00:00"/>
    <n v="1"/>
    <n v="58"/>
    <n v="-3.25"/>
    <s v="Outlier"/>
    <n v="2023"/>
    <s v="November"/>
  </r>
  <r>
    <n v="96"/>
    <n v="140"/>
    <x v="4"/>
    <x v="1"/>
    <x v="1"/>
    <d v="2022-07-02T00:00:00"/>
    <x v="56"/>
    <n v="2434"/>
    <n v="6261"/>
    <n v="-3827"/>
    <x v="1"/>
    <n v="15"/>
    <x v="1"/>
    <d v="2023-10-02T00:00:00"/>
    <n v="0"/>
    <n v="59"/>
    <n v="-1.57"/>
    <s v="Outlier"/>
    <n v="2023"/>
    <s v="October"/>
  </r>
  <r>
    <n v="97"/>
    <n v="287"/>
    <x v="1"/>
    <x v="1"/>
    <x v="0"/>
    <d v="2022-06-27T00:00:00"/>
    <x v="57"/>
    <n v="9736"/>
    <n v="7700"/>
    <n v="2036"/>
    <x v="1"/>
    <n v="18"/>
    <x v="1"/>
    <d v="2024-01-22T00:00:00"/>
    <n v="0"/>
    <n v="60"/>
    <n v="0.21"/>
    <s v="Normal"/>
    <n v="2024"/>
    <s v="January"/>
  </r>
  <r>
    <n v="98"/>
    <n v="296"/>
    <x v="2"/>
    <x v="3"/>
    <x v="0"/>
    <d v="2022-08-25T00:00:00"/>
    <x v="58"/>
    <n v="4967.93"/>
    <n v="1269"/>
    <n v="-2766"/>
    <x v="2"/>
    <n v="7"/>
    <x v="1"/>
    <d v="2023-04-02T00:00:00"/>
    <n v="1"/>
    <n v="61"/>
    <n v="-0.56000000000000005"/>
    <s v="Normal"/>
    <n v="2023"/>
    <s v="April"/>
  </r>
  <r>
    <n v="101"/>
    <n v="112"/>
    <x v="1"/>
    <x v="0"/>
    <x v="1"/>
    <d v="2022-06-16T00:00:00"/>
    <x v="59"/>
    <n v="5013"/>
    <n v="4543"/>
    <n v="470"/>
    <x v="1"/>
    <n v="9"/>
    <x v="1"/>
    <d v="2023-03-25T00:00:00"/>
    <n v="1"/>
    <n v="62"/>
    <n v="0.09"/>
    <s v="Normal"/>
    <n v="2023"/>
    <s v="March"/>
  </r>
  <r>
    <n v="103"/>
    <n v="252"/>
    <x v="1"/>
    <x v="3"/>
    <x v="1"/>
    <d v="2022-11-18T00:00:00"/>
    <x v="60"/>
    <n v="3070"/>
    <n v="4012.75"/>
    <n v="3780"/>
    <x v="0"/>
    <n v="10"/>
    <x v="1"/>
    <d v="2023-09-28T00:00:00"/>
    <n v="1"/>
    <n v="63"/>
    <n v="1.23"/>
    <s v="Outlier"/>
    <n v="2023"/>
    <s v="September"/>
  </r>
  <r>
    <n v="104"/>
    <n v="308"/>
    <x v="3"/>
    <x v="1"/>
    <x v="0"/>
    <d v="2022-09-14T00:00:00"/>
    <x v="61"/>
    <n v="7648"/>
    <n v="2611"/>
    <n v="5037"/>
    <x v="0"/>
    <n v="16"/>
    <x v="1"/>
    <d v="2024-01-14T00:00:00"/>
    <n v="0"/>
    <n v="64"/>
    <n v="0.66"/>
    <s v="Normal"/>
    <n v="2024"/>
    <s v="January"/>
  </r>
  <r>
    <n v="105"/>
    <n v="492"/>
    <x v="0"/>
    <x v="1"/>
    <x v="0"/>
    <d v="2022-07-27T00:00:00"/>
    <x v="62"/>
    <n v="6771"/>
    <n v="917"/>
    <n v="5854"/>
    <x v="2"/>
    <n v="6"/>
    <x v="2"/>
    <d v="2023-02-07T00:00:00"/>
    <n v="0"/>
    <n v="65"/>
    <n v="0.86"/>
    <s v="Normal"/>
    <n v="2023"/>
    <s v="February"/>
  </r>
  <r>
    <n v="106"/>
    <n v="379"/>
    <x v="1"/>
    <x v="3"/>
    <x v="0"/>
    <d v="2022-07-23T00:00:00"/>
    <x v="63"/>
    <n v="9755"/>
    <n v="4012.75"/>
    <n v="10048"/>
    <x v="0"/>
    <n v="5"/>
    <x v="0"/>
    <d v="2023-01-05T00:00:00"/>
    <n v="0"/>
    <n v="66"/>
    <n v="1.03"/>
    <s v="Outlier"/>
    <n v="2023"/>
    <s v="January"/>
  </r>
  <r>
    <n v="109"/>
    <n v="335"/>
    <x v="2"/>
    <x v="0"/>
    <x v="0"/>
    <d v="2022-09-04T00:00:00"/>
    <x v="64"/>
    <n v="8004"/>
    <n v="3434"/>
    <n v="577.01"/>
    <x v="1"/>
    <n v="6"/>
    <x v="2"/>
    <d v="2023-03-07T00:00:00"/>
    <n v="1"/>
    <n v="67"/>
    <n v="7.0000000000000007E-2"/>
    <s v="Normal"/>
    <n v="2023"/>
    <s v="March"/>
  </r>
  <r>
    <n v="110"/>
    <n v="451"/>
    <x v="4"/>
    <x v="3"/>
    <x v="2"/>
    <d v="2022-02-04T00:00:00"/>
    <x v="65"/>
    <n v="7749"/>
    <n v="4148"/>
    <n v="577.01"/>
    <x v="1"/>
    <n v="11"/>
    <x v="1"/>
    <d v="2023-01-14T00:00:00"/>
    <n v="1"/>
    <n v="68"/>
    <n v="7.0000000000000007E-2"/>
    <s v="Normal"/>
    <n v="2023"/>
    <s v="January"/>
  </r>
  <r>
    <n v="112"/>
    <n v="301"/>
    <x v="0"/>
    <x v="1"/>
    <x v="0"/>
    <d v="2022-03-02T00:00:00"/>
    <x v="66"/>
    <n v="6697"/>
    <n v="3012"/>
    <n v="3685"/>
    <x v="1"/>
    <n v="16"/>
    <x v="1"/>
    <d v="2023-07-04T00:00:00"/>
    <n v="1"/>
    <n v="69"/>
    <n v="0.55000000000000004"/>
    <s v="Normal"/>
    <n v="2023"/>
    <s v="July"/>
  </r>
  <r>
    <n v="114"/>
    <n v="278"/>
    <x v="1"/>
    <x v="3"/>
    <x v="2"/>
    <d v="2022-02-11T00:00:00"/>
    <x v="67"/>
    <n v="8981"/>
    <n v="4107"/>
    <n v="4874"/>
    <x v="1"/>
    <n v="12"/>
    <x v="1"/>
    <d v="2023-02-20T00:00:00"/>
    <n v="1"/>
    <n v="70"/>
    <n v="0.54"/>
    <s v="Normal"/>
    <n v="2023"/>
    <s v="February"/>
  </r>
  <r>
    <n v="117"/>
    <n v="222"/>
    <x v="0"/>
    <x v="3"/>
    <x v="2"/>
    <d v="2022-07-22T00:00:00"/>
    <x v="64"/>
    <n v="5947"/>
    <n v="7508"/>
    <n v="-1561"/>
    <x v="2"/>
    <n v="7"/>
    <x v="1"/>
    <d v="2023-03-07T00:00:00"/>
    <n v="1"/>
    <n v="71"/>
    <n v="-0.26"/>
    <s v="Normal"/>
    <n v="2023"/>
    <s v="March"/>
  </r>
  <r>
    <n v="118"/>
    <n v="223"/>
    <x v="3"/>
    <x v="3"/>
    <x v="2"/>
    <d v="2022-01-31T00:00:00"/>
    <x v="68"/>
    <n v="4031"/>
    <n v="716"/>
    <n v="3315"/>
    <x v="1"/>
    <n v="19"/>
    <x v="1"/>
    <d v="2023-09-10T00:00:00"/>
    <n v="0"/>
    <n v="72"/>
    <n v="0.82"/>
    <s v="Normal"/>
    <n v="2023"/>
    <s v="September"/>
  </r>
  <r>
    <n v="120"/>
    <n v="372"/>
    <x v="0"/>
    <x v="3"/>
    <x v="1"/>
    <d v="2022-04-05T00:00:00"/>
    <x v="69"/>
    <n v="4705"/>
    <n v="4012.75"/>
    <n v="5328"/>
    <x v="1"/>
    <n v="15"/>
    <x v="1"/>
    <d v="2023-07-18T00:00:00"/>
    <n v="1"/>
    <n v="73"/>
    <n v="1.1299999999999999"/>
    <s v="Outlier"/>
    <n v="2023"/>
    <s v="July"/>
  </r>
  <r>
    <n v="121"/>
    <n v="364"/>
    <x v="4"/>
    <x v="1"/>
    <x v="2"/>
    <d v="2022-12-21T00:00:00"/>
    <x v="44"/>
    <n v="7645"/>
    <n v="4012.75"/>
    <n v="8408"/>
    <x v="1"/>
    <n v="1"/>
    <x v="0"/>
    <d v="2023-02-08T00:00:00"/>
    <n v="1"/>
    <n v="74"/>
    <n v="1.1000000000000001"/>
    <s v="Outlier"/>
    <n v="2023"/>
    <s v="February"/>
  </r>
  <r>
    <n v="124"/>
    <n v="270"/>
    <x v="3"/>
    <x v="0"/>
    <x v="0"/>
    <d v="2022-08-14T00:00:00"/>
    <x v="70"/>
    <n v="4967.93"/>
    <n v="4007"/>
    <n v="-5022"/>
    <x v="2"/>
    <n v="10"/>
    <x v="1"/>
    <d v="2023-06-22T00:00:00"/>
    <n v="0"/>
    <n v="75"/>
    <n v="-1.01"/>
    <s v="Outlier"/>
    <n v="2023"/>
    <s v="June"/>
  </r>
  <r>
    <n v="125"/>
    <n v="239"/>
    <x v="2"/>
    <x v="2"/>
    <x v="0"/>
    <d v="2022-05-09T00:00:00"/>
    <x v="71"/>
    <n v="461"/>
    <n v="4160"/>
    <n v="-3699"/>
    <x v="2"/>
    <n v="14"/>
    <x v="1"/>
    <d v="2023-07-31T00:00:00"/>
    <n v="1"/>
    <n v="76"/>
    <n v="-8.02"/>
    <s v="Outlier"/>
    <n v="2023"/>
    <s v="July"/>
  </r>
  <r>
    <n v="131"/>
    <n v="357"/>
    <x v="1"/>
    <x v="0"/>
    <x v="1"/>
    <d v="2022-12-03T00:00:00"/>
    <x v="72"/>
    <n v="898"/>
    <n v="1825"/>
    <n v="-927"/>
    <x v="1"/>
    <n v="8"/>
    <x v="1"/>
    <d v="2023-08-12T00:00:00"/>
    <n v="0"/>
    <n v="77"/>
    <n v="-1.03"/>
    <s v="Outlier"/>
    <n v="2023"/>
    <s v="August"/>
  </r>
  <r>
    <n v="132"/>
    <n v="268"/>
    <x v="0"/>
    <x v="3"/>
    <x v="0"/>
    <d v="2022-12-29T00:00:00"/>
    <x v="73"/>
    <n v="408"/>
    <n v="3308"/>
    <n v="-2900"/>
    <x v="0"/>
    <n v="17"/>
    <x v="1"/>
    <d v="2024-05-29T00:00:00"/>
    <n v="1"/>
    <n v="78"/>
    <n v="-7.11"/>
    <s v="Outlier"/>
    <n v="2024"/>
    <s v="May"/>
  </r>
  <r>
    <n v="134"/>
    <n v="231"/>
    <x v="2"/>
    <x v="1"/>
    <x v="1"/>
    <d v="2022-07-27T00:00:00"/>
    <x v="74"/>
    <n v="7287"/>
    <n v="4012.75"/>
    <n v="7505"/>
    <x v="1"/>
    <n v="17"/>
    <x v="1"/>
    <d v="2024-01-04T00:00:00"/>
    <n v="1"/>
    <n v="79"/>
    <n v="1.03"/>
    <s v="Outlier"/>
    <n v="2024"/>
    <s v="January"/>
  </r>
  <r>
    <n v="136"/>
    <n v="306"/>
    <x v="0"/>
    <x v="3"/>
    <x v="2"/>
    <d v="2022-01-07T00:00:00"/>
    <x v="75"/>
    <n v="4081"/>
    <n v="585"/>
    <n v="3496"/>
    <x v="2"/>
    <n v="12"/>
    <x v="1"/>
    <d v="2023-02-01T00:00:00"/>
    <n v="1"/>
    <n v="80"/>
    <n v="0.86"/>
    <s v="Normal"/>
    <n v="2023"/>
    <s v="February"/>
  </r>
  <r>
    <n v="137"/>
    <n v="352"/>
    <x v="1"/>
    <x v="2"/>
    <x v="2"/>
    <d v="2022-08-11T00:00:00"/>
    <x v="76"/>
    <n v="8046"/>
    <n v="7904"/>
    <n v="142"/>
    <x v="1"/>
    <n v="2"/>
    <x v="0"/>
    <d v="2022-11-08T00:00:00"/>
    <n v="1"/>
    <n v="81"/>
    <n v="0.02"/>
    <s v="Normal"/>
    <n v="2022"/>
    <s v="November"/>
  </r>
  <r>
    <n v="139"/>
    <n v="396"/>
    <x v="2"/>
    <x v="0"/>
    <x v="1"/>
    <d v="2022-12-22T00:00:00"/>
    <x v="77"/>
    <n v="2896"/>
    <n v="2405"/>
    <n v="491"/>
    <x v="2"/>
    <n v="13"/>
    <x v="1"/>
    <d v="2024-02-16T00:00:00"/>
    <n v="0"/>
    <n v="82"/>
    <n v="0.17"/>
    <s v="Normal"/>
    <n v="2024"/>
    <s v="February"/>
  </r>
  <r>
    <n v="140"/>
    <n v="299"/>
    <x v="4"/>
    <x v="3"/>
    <x v="1"/>
    <d v="2022-01-22T00:00:00"/>
    <x v="78"/>
    <n v="4967.93"/>
    <n v="294"/>
    <n v="-1016"/>
    <x v="1"/>
    <n v="5"/>
    <x v="0"/>
    <d v="2022-07-13T00:00:00"/>
    <n v="0"/>
    <n v="83"/>
    <n v="-0.2"/>
    <s v="Normal"/>
    <n v="2022"/>
    <s v="July"/>
  </r>
  <r>
    <n v="142"/>
    <n v="200"/>
    <x v="4"/>
    <x v="3"/>
    <x v="0"/>
    <d v="2022-01-06T00:00:00"/>
    <x v="79"/>
    <n v="47"/>
    <n v="302"/>
    <n v="-255"/>
    <x v="0"/>
    <n v="19"/>
    <x v="1"/>
    <d v="2023-08-07T00:00:00"/>
    <n v="1"/>
    <n v="84"/>
    <n v="-5.43"/>
    <s v="Outlier"/>
    <n v="2023"/>
    <s v="August"/>
  </r>
  <r>
    <n v="143"/>
    <n v="155"/>
    <x v="0"/>
    <x v="2"/>
    <x v="0"/>
    <d v="2022-03-26T00:00:00"/>
    <x v="80"/>
    <n v="4967.93"/>
    <n v="7984"/>
    <n v="-8448"/>
    <x v="1"/>
    <n v="9"/>
    <x v="1"/>
    <d v="2023-01-12T00:00:00"/>
    <n v="0"/>
    <n v="85"/>
    <n v="-1.7"/>
    <s v="Outlier"/>
    <n v="2023"/>
    <s v="January"/>
  </r>
  <r>
    <n v="145"/>
    <n v="288"/>
    <x v="4"/>
    <x v="1"/>
    <x v="0"/>
    <d v="2022-12-27T00:00:00"/>
    <x v="81"/>
    <n v="4967.93"/>
    <n v="7742"/>
    <n v="-8677"/>
    <x v="1"/>
    <n v="14"/>
    <x v="1"/>
    <d v="2024-03-17T00:00:00"/>
    <n v="1"/>
    <n v="86"/>
    <n v="-1.75"/>
    <s v="Outlier"/>
    <n v="2024"/>
    <s v="March"/>
  </r>
  <r>
    <n v="146"/>
    <n v="240"/>
    <x v="0"/>
    <x v="2"/>
    <x v="1"/>
    <d v="2022-10-04T00:00:00"/>
    <x v="82"/>
    <n v="1892"/>
    <n v="7655"/>
    <n v="-5763"/>
    <x v="2"/>
    <n v="7"/>
    <x v="1"/>
    <d v="2023-05-28T00:00:00"/>
    <n v="1"/>
    <n v="87"/>
    <n v="-3.05"/>
    <s v="Outlier"/>
    <n v="2023"/>
    <s v="May"/>
  </r>
  <r>
    <n v="147"/>
    <n v="339"/>
    <x v="0"/>
    <x v="3"/>
    <x v="0"/>
    <d v="2022-10-23T00:00:00"/>
    <x v="83"/>
    <n v="4967.93"/>
    <n v="7875"/>
    <n v="-9351"/>
    <x v="1"/>
    <n v="7"/>
    <x v="1"/>
    <d v="2023-06-06T00:00:00"/>
    <n v="1"/>
    <n v="88"/>
    <n v="-1.88"/>
    <s v="Outlier"/>
    <n v="2023"/>
    <s v="June"/>
  </r>
  <r>
    <n v="148"/>
    <n v="318"/>
    <x v="3"/>
    <x v="2"/>
    <x v="1"/>
    <d v="2022-09-16T00:00:00"/>
    <x v="84"/>
    <n v="722"/>
    <n v="4012.75"/>
    <n v="1655"/>
    <x v="1"/>
    <n v="8"/>
    <x v="1"/>
    <d v="2023-06-10T00:00:00"/>
    <n v="1"/>
    <n v="89"/>
    <n v="2.29"/>
    <s v="Outlier"/>
    <n v="2023"/>
    <s v="June"/>
  </r>
  <r>
    <n v="149"/>
    <n v="132"/>
    <x v="3"/>
    <x v="1"/>
    <x v="2"/>
    <d v="2022-06-22T00:00:00"/>
    <x v="85"/>
    <n v="8283"/>
    <n v="294"/>
    <n v="7989"/>
    <x v="1"/>
    <n v="9"/>
    <x v="1"/>
    <d v="2023-03-24T00:00:00"/>
    <n v="0"/>
    <n v="90"/>
    <n v="0.96"/>
    <s v="Normal"/>
    <n v="2023"/>
    <s v="March"/>
  </r>
  <r>
    <n v="150"/>
    <n v="230"/>
    <x v="1"/>
    <x v="3"/>
    <x v="2"/>
    <d v="2022-10-17T00:00:00"/>
    <x v="86"/>
    <n v="4853"/>
    <n v="7126"/>
    <n v="-2273"/>
    <x v="1"/>
    <n v="14"/>
    <x v="1"/>
    <d v="2023-12-26T00:00:00"/>
    <n v="0"/>
    <n v="91"/>
    <n v="-0.47"/>
    <s v="Normal"/>
    <n v="2023"/>
    <s v="December"/>
  </r>
  <r>
    <n v="151"/>
    <n v="137"/>
    <x v="0"/>
    <x v="0"/>
    <x v="2"/>
    <d v="2022-11-24T00:00:00"/>
    <x v="87"/>
    <n v="5442"/>
    <n v="719"/>
    <n v="4723"/>
    <x v="1"/>
    <n v="11"/>
    <x v="1"/>
    <d v="2023-11-01T00:00:00"/>
    <n v="1"/>
    <n v="92"/>
    <n v="0.87"/>
    <s v="Normal"/>
    <n v="2023"/>
    <s v="November"/>
  </r>
  <r>
    <n v="152"/>
    <n v="398"/>
    <x v="3"/>
    <x v="1"/>
    <x v="1"/>
    <d v="2022-10-18T00:00:00"/>
    <x v="88"/>
    <n v="762"/>
    <n v="4763"/>
    <n v="-4001"/>
    <x v="0"/>
    <n v="7"/>
    <x v="1"/>
    <d v="2023-06-07T00:00:00"/>
    <n v="1"/>
    <n v="93"/>
    <n v="-5.25"/>
    <s v="Outlier"/>
    <n v="2023"/>
    <s v="June"/>
  </r>
  <r>
    <n v="153"/>
    <n v="171"/>
    <x v="4"/>
    <x v="0"/>
    <x v="1"/>
    <d v="2022-08-21T00:00:00"/>
    <x v="89"/>
    <n v="3395"/>
    <n v="6931"/>
    <n v="-3536"/>
    <x v="1"/>
    <n v="6"/>
    <x v="2"/>
    <d v="2023-03-12T00:00:00"/>
    <n v="0"/>
    <n v="94"/>
    <n v="-1.04"/>
    <s v="Outlier"/>
    <n v="2023"/>
    <s v="March"/>
  </r>
  <r>
    <n v="154"/>
    <n v="153"/>
    <x v="0"/>
    <x v="1"/>
    <x v="2"/>
    <d v="2022-11-08T00:00:00"/>
    <x v="90"/>
    <n v="3265"/>
    <n v="4072"/>
    <n v="-807"/>
    <x v="1"/>
    <n v="1"/>
    <x v="0"/>
    <d v="2022-12-18T00:00:00"/>
    <n v="1"/>
    <n v="95"/>
    <n v="-0.25"/>
    <s v="Normal"/>
    <n v="2022"/>
    <s v="December"/>
  </r>
  <r>
    <n v="156"/>
    <n v="219"/>
    <x v="0"/>
    <x v="0"/>
    <x v="1"/>
    <d v="2022-01-06T00:00:00"/>
    <x v="91"/>
    <n v="5802"/>
    <n v="1287"/>
    <n v="4515"/>
    <x v="2"/>
    <n v="2"/>
    <x v="0"/>
    <d v="2022-03-29T00:00:00"/>
    <n v="0"/>
    <n v="96"/>
    <n v="0.78"/>
    <s v="Normal"/>
    <n v="2022"/>
    <s v="March"/>
  </r>
  <r>
    <n v="158"/>
    <n v="429"/>
    <x v="2"/>
    <x v="0"/>
    <x v="0"/>
    <d v="2022-07-25T00:00:00"/>
    <x v="92"/>
    <n v="8778"/>
    <n v="487"/>
    <n v="8291"/>
    <x v="1"/>
    <n v="5"/>
    <x v="0"/>
    <d v="2023-01-23T00:00:00"/>
    <n v="0"/>
    <n v="97"/>
    <n v="0.94"/>
    <s v="Normal"/>
    <n v="2023"/>
    <s v="January"/>
  </r>
  <r>
    <n v="159"/>
    <n v="470"/>
    <x v="0"/>
    <x v="2"/>
    <x v="0"/>
    <d v="2022-03-04T00:00:00"/>
    <x v="93"/>
    <n v="9829"/>
    <n v="5720"/>
    <n v="4109"/>
    <x v="1"/>
    <n v="7"/>
    <x v="1"/>
    <d v="2022-10-06T00:00:00"/>
    <n v="1"/>
    <n v="98"/>
    <n v="0.42"/>
    <s v="Normal"/>
    <n v="2022"/>
    <s v="October"/>
  </r>
  <r>
    <n v="160"/>
    <n v="146"/>
    <x v="3"/>
    <x v="1"/>
    <x v="0"/>
    <d v="2022-12-28T00:00:00"/>
    <x v="94"/>
    <n v="4403"/>
    <n v="1269"/>
    <n v="3134"/>
    <x v="1"/>
    <n v="5"/>
    <x v="0"/>
    <d v="2023-06-13T00:00:00"/>
    <n v="1"/>
    <n v="99"/>
    <n v="0.71"/>
    <s v="Normal"/>
    <n v="2023"/>
    <s v="June"/>
  </r>
  <r>
    <n v="164"/>
    <n v="327"/>
    <x v="1"/>
    <x v="0"/>
    <x v="2"/>
    <d v="2022-08-06T00:00:00"/>
    <x v="58"/>
    <n v="9063"/>
    <n v="488"/>
    <n v="8575"/>
    <x v="1"/>
    <n v="7"/>
    <x v="1"/>
    <d v="2023-04-02T00:00:00"/>
    <n v="1"/>
    <n v="100"/>
    <n v="0.95"/>
    <s v="Normal"/>
    <n v="2023"/>
    <s v="April"/>
  </r>
  <r>
    <n v="167"/>
    <n v="110"/>
    <x v="2"/>
    <x v="3"/>
    <x v="2"/>
    <d v="2022-04-23T00:00:00"/>
    <x v="95"/>
    <n v="343"/>
    <n v="4241"/>
    <n v="-3898"/>
    <x v="1"/>
    <n v="17"/>
    <x v="1"/>
    <d v="2023-10-12T00:00:00"/>
    <n v="1"/>
    <n v="101"/>
    <n v="-11.36"/>
    <s v="Outlier"/>
    <n v="2023"/>
    <s v="October"/>
  </r>
  <r>
    <n v="170"/>
    <n v="473"/>
    <x v="3"/>
    <x v="1"/>
    <x v="2"/>
    <d v="2022-08-27T00:00:00"/>
    <x v="29"/>
    <n v="4468"/>
    <n v="4000"/>
    <n v="468"/>
    <x v="2"/>
    <n v="5"/>
    <x v="0"/>
    <d v="2023-02-02T00:00:00"/>
    <n v="1"/>
    <n v="102"/>
    <n v="0.1"/>
    <s v="Normal"/>
    <n v="2023"/>
    <s v="February"/>
  </r>
  <r>
    <n v="171"/>
    <n v="143"/>
    <x v="4"/>
    <x v="0"/>
    <x v="1"/>
    <d v="2022-07-29T00:00:00"/>
    <x v="96"/>
    <n v="5146"/>
    <n v="3188"/>
    <n v="1958"/>
    <x v="1"/>
    <n v="17"/>
    <x v="1"/>
    <d v="2024-01-26T00:00:00"/>
    <n v="0"/>
    <n v="103"/>
    <n v="0.38"/>
    <s v="Normal"/>
    <n v="2024"/>
    <s v="January"/>
  </r>
  <r>
    <n v="172"/>
    <n v="464"/>
    <x v="3"/>
    <x v="0"/>
    <x v="1"/>
    <d v="2022-08-07T00:00:00"/>
    <x v="71"/>
    <n v="3274"/>
    <n v="2821"/>
    <n v="453"/>
    <x v="0"/>
    <n v="11"/>
    <x v="1"/>
    <d v="2023-07-31T00:00:00"/>
    <n v="1"/>
    <n v="104"/>
    <n v="0.14000000000000001"/>
    <s v="Normal"/>
    <n v="2023"/>
    <s v="July"/>
  </r>
  <r>
    <n v="176"/>
    <n v="430"/>
    <x v="3"/>
    <x v="1"/>
    <x v="0"/>
    <d v="2022-03-10T00:00:00"/>
    <x v="97"/>
    <n v="4320"/>
    <n v="5028"/>
    <n v="-708"/>
    <x v="2"/>
    <n v="3"/>
    <x v="0"/>
    <d v="2022-06-26T00:00:00"/>
    <n v="1"/>
    <n v="105"/>
    <n v="-0.16"/>
    <s v="Normal"/>
    <n v="2022"/>
    <s v="June"/>
  </r>
  <r>
    <n v="177"/>
    <n v="496"/>
    <x v="0"/>
    <x v="1"/>
    <x v="1"/>
    <d v="2022-04-06T00:00:00"/>
    <x v="98"/>
    <n v="3021"/>
    <n v="4005"/>
    <n v="-984"/>
    <x v="1"/>
    <n v="12"/>
    <x v="1"/>
    <d v="2023-04-16T00:00:00"/>
    <n v="0"/>
    <n v="106"/>
    <n v="-0.33"/>
    <s v="Normal"/>
    <n v="2023"/>
    <s v="April"/>
  </r>
  <r>
    <n v="178"/>
    <n v="286"/>
    <x v="4"/>
    <x v="1"/>
    <x v="2"/>
    <d v="2022-03-03T00:00:00"/>
    <x v="72"/>
    <n v="6598"/>
    <n v="3532"/>
    <n v="3066"/>
    <x v="0"/>
    <n v="17"/>
    <x v="1"/>
    <d v="2023-08-12T00:00:00"/>
    <n v="0"/>
    <n v="107"/>
    <n v="0.46"/>
    <s v="Normal"/>
    <n v="2023"/>
    <s v="August"/>
  </r>
  <r>
    <n v="179"/>
    <n v="244"/>
    <x v="1"/>
    <x v="3"/>
    <x v="0"/>
    <d v="2022-08-13T00:00:00"/>
    <x v="99"/>
    <n v="9479"/>
    <n v="3072"/>
    <n v="6407"/>
    <x v="0"/>
    <n v="6"/>
    <x v="2"/>
    <d v="2023-02-23T00:00:00"/>
    <n v="0"/>
    <n v="108"/>
    <n v="0.68"/>
    <s v="Normal"/>
    <n v="2023"/>
    <s v="February"/>
  </r>
  <r>
    <n v="182"/>
    <n v="499"/>
    <x v="0"/>
    <x v="1"/>
    <x v="0"/>
    <d v="2022-11-23T00:00:00"/>
    <x v="14"/>
    <n v="7639"/>
    <n v="1980"/>
    <n v="5659"/>
    <x v="0"/>
    <n v="8"/>
    <x v="1"/>
    <d v="2023-08-21T00:00:00"/>
    <n v="0"/>
    <n v="109"/>
    <n v="0.74"/>
    <s v="Normal"/>
    <n v="2023"/>
    <s v="August"/>
  </r>
  <r>
    <n v="183"/>
    <n v="166"/>
    <x v="1"/>
    <x v="3"/>
    <x v="0"/>
    <d v="2022-01-23T00:00:00"/>
    <x v="100"/>
    <n v="9206"/>
    <n v="4012.75"/>
    <n v="9441"/>
    <x v="0"/>
    <n v="8"/>
    <x v="1"/>
    <d v="2022-09-23T00:00:00"/>
    <n v="0"/>
    <n v="110"/>
    <n v="1.03"/>
    <s v="Outlier"/>
    <n v="2022"/>
    <s v="September"/>
  </r>
  <r>
    <n v="186"/>
    <n v="273"/>
    <x v="1"/>
    <x v="0"/>
    <x v="1"/>
    <d v="2022-07-23T00:00:00"/>
    <x v="101"/>
    <n v="9104"/>
    <n v="7631"/>
    <n v="577.01"/>
    <x v="1"/>
    <n v="3"/>
    <x v="0"/>
    <d v="2022-11-17T00:00:00"/>
    <n v="0"/>
    <n v="111"/>
    <n v="0.06"/>
    <s v="Normal"/>
    <n v="2022"/>
    <s v="November"/>
  </r>
  <r>
    <n v="187"/>
    <n v="184"/>
    <x v="3"/>
    <x v="2"/>
    <x v="1"/>
    <d v="2022-03-01T00:00:00"/>
    <x v="102"/>
    <n v="6248"/>
    <n v="1832"/>
    <n v="577.01"/>
    <x v="0"/>
    <n v="4"/>
    <x v="0"/>
    <d v="2022-07-12T00:00:00"/>
    <n v="1"/>
    <n v="112"/>
    <n v="0.09"/>
    <s v="Normal"/>
    <n v="2022"/>
    <s v="July"/>
  </r>
  <r>
    <n v="188"/>
    <n v="306"/>
    <x v="2"/>
    <x v="3"/>
    <x v="0"/>
    <d v="2022-05-27T00:00:00"/>
    <x v="103"/>
    <n v="4122"/>
    <n v="5363"/>
    <n v="-1241"/>
    <x v="2"/>
    <n v="16"/>
    <x v="1"/>
    <d v="2023-10-05T00:00:00"/>
    <n v="1"/>
    <n v="113"/>
    <n v="-0.3"/>
    <s v="Normal"/>
    <n v="2023"/>
    <s v="October"/>
  </r>
  <r>
    <n v="189"/>
    <n v="293"/>
    <x v="4"/>
    <x v="2"/>
    <x v="2"/>
    <d v="2022-11-02T00:00:00"/>
    <x v="104"/>
    <n v="8057"/>
    <n v="594"/>
    <n v="7463"/>
    <x v="0"/>
    <n v="18"/>
    <x v="1"/>
    <d v="2024-05-28T00:00:00"/>
    <n v="0"/>
    <n v="114"/>
    <n v="0.93"/>
    <s v="Normal"/>
    <n v="2024"/>
    <s v="May"/>
  </r>
  <r>
    <n v="190"/>
    <n v="328"/>
    <x v="1"/>
    <x v="1"/>
    <x v="0"/>
    <d v="2022-02-16T00:00:00"/>
    <x v="105"/>
    <n v="3731"/>
    <n v="6802"/>
    <n v="-3071"/>
    <x v="0"/>
    <n v="9"/>
    <x v="1"/>
    <d v="2022-12-05T00:00:00"/>
    <n v="0"/>
    <n v="115"/>
    <n v="-0.82"/>
    <s v="Normal"/>
    <n v="2022"/>
    <s v="December"/>
  </r>
  <r>
    <n v="191"/>
    <n v="498"/>
    <x v="4"/>
    <x v="0"/>
    <x v="2"/>
    <d v="2022-12-11T00:00:00"/>
    <x v="106"/>
    <n v="7182"/>
    <n v="7580"/>
    <n v="-398"/>
    <x v="1"/>
    <n v="18"/>
    <x v="1"/>
    <d v="2024-06-11T00:00:00"/>
    <n v="0"/>
    <n v="116"/>
    <n v="-0.06"/>
    <s v="Normal"/>
    <n v="2024"/>
    <s v="June"/>
  </r>
  <r>
    <n v="193"/>
    <n v="227"/>
    <x v="1"/>
    <x v="3"/>
    <x v="1"/>
    <d v="2022-04-04T00:00:00"/>
    <x v="107"/>
    <n v="4967.93"/>
    <n v="5629"/>
    <n v="-7240"/>
    <x v="2"/>
    <n v="5"/>
    <x v="0"/>
    <d v="2022-10-03T00:00:00"/>
    <n v="0"/>
    <n v="117"/>
    <n v="-1.46"/>
    <s v="Outlier"/>
    <n v="2022"/>
    <s v="October"/>
  </r>
  <r>
    <n v="195"/>
    <n v="337"/>
    <x v="0"/>
    <x v="1"/>
    <x v="0"/>
    <d v="2022-11-05T00:00:00"/>
    <x v="108"/>
    <n v="2540"/>
    <n v="3282"/>
    <n v="-742"/>
    <x v="1"/>
    <n v="5"/>
    <x v="0"/>
    <d v="2023-04-30T00:00:00"/>
    <n v="1"/>
    <n v="118"/>
    <n v="-0.28999999999999998"/>
    <s v="Normal"/>
    <n v="2023"/>
    <s v="April"/>
  </r>
  <r>
    <n v="196"/>
    <n v="458"/>
    <x v="1"/>
    <x v="2"/>
    <x v="2"/>
    <d v="2022-11-30T00:00:00"/>
    <x v="109"/>
    <n v="4391"/>
    <n v="184"/>
    <n v="4207"/>
    <x v="2"/>
    <n v="16"/>
    <x v="1"/>
    <d v="2024-04-08T00:00:00"/>
    <n v="1"/>
    <n v="119"/>
    <n v="0.96"/>
    <s v="Normal"/>
    <n v="2024"/>
    <s v="April"/>
  </r>
  <r>
    <n v="198"/>
    <n v="192"/>
    <x v="3"/>
    <x v="2"/>
    <x v="2"/>
    <d v="2022-06-02T00:00:00"/>
    <x v="110"/>
    <n v="241"/>
    <n v="4012.75"/>
    <n v="1116"/>
    <x v="2"/>
    <n v="4"/>
    <x v="0"/>
    <d v="2022-10-31T00:00:00"/>
    <n v="1"/>
    <n v="120"/>
    <n v="4.63"/>
    <s v="Outlier"/>
    <n v="2022"/>
    <s v="October"/>
  </r>
  <r>
    <n v="200"/>
    <n v="412"/>
    <x v="4"/>
    <x v="1"/>
    <x v="2"/>
    <d v="2022-04-11T00:00:00"/>
    <x v="111"/>
    <n v="8343"/>
    <n v="4666"/>
    <n v="3677"/>
    <x v="0"/>
    <n v="19"/>
    <x v="1"/>
    <d v="2023-11-16T00:00:00"/>
    <n v="0"/>
    <n v="121"/>
    <n v="0.44"/>
    <s v="Normal"/>
    <n v="2023"/>
    <s v="November"/>
  </r>
  <r>
    <n v="201"/>
    <n v="457"/>
    <x v="1"/>
    <x v="2"/>
    <x v="2"/>
    <d v="2022-07-16T00:00:00"/>
    <x v="68"/>
    <n v="4967.93"/>
    <n v="7087"/>
    <n v="-8682"/>
    <x v="0"/>
    <n v="13"/>
    <x v="1"/>
    <d v="2023-09-10T00:00:00"/>
    <n v="1"/>
    <n v="122"/>
    <n v="-1.75"/>
    <s v="Outlier"/>
    <n v="2023"/>
    <s v="September"/>
  </r>
  <r>
    <n v="202"/>
    <n v="184"/>
    <x v="2"/>
    <x v="3"/>
    <x v="2"/>
    <d v="2022-03-30T00:00:00"/>
    <x v="112"/>
    <n v="2543"/>
    <n v="1788"/>
    <n v="755"/>
    <x v="0"/>
    <n v="1"/>
    <x v="0"/>
    <d v="2022-05-04T00:00:00"/>
    <n v="0"/>
    <n v="123"/>
    <n v="0.3"/>
    <s v="Normal"/>
    <n v="2022"/>
    <s v="May"/>
  </r>
  <r>
    <n v="205"/>
    <n v="485"/>
    <x v="1"/>
    <x v="3"/>
    <x v="0"/>
    <d v="2022-05-11T00:00:00"/>
    <x v="113"/>
    <n v="5463"/>
    <n v="6798"/>
    <n v="-1335"/>
    <x v="0"/>
    <n v="15"/>
    <x v="1"/>
    <d v="2023-08-15T00:00:00"/>
    <n v="0"/>
    <n v="124"/>
    <n v="-0.24"/>
    <s v="Normal"/>
    <n v="2023"/>
    <s v="August"/>
  </r>
  <r>
    <n v="206"/>
    <n v="428"/>
    <x v="2"/>
    <x v="2"/>
    <x v="2"/>
    <d v="2022-02-15T00:00:00"/>
    <x v="114"/>
    <n v="9191"/>
    <n v="3454"/>
    <n v="5737"/>
    <x v="2"/>
    <n v="8"/>
    <x v="1"/>
    <d v="2022-10-21T00:00:00"/>
    <n v="0"/>
    <n v="125"/>
    <n v="0.62"/>
    <s v="Normal"/>
    <n v="2022"/>
    <s v="October"/>
  </r>
  <r>
    <n v="209"/>
    <n v="441"/>
    <x v="4"/>
    <x v="2"/>
    <x v="2"/>
    <d v="2022-08-23T00:00:00"/>
    <x v="115"/>
    <n v="9191"/>
    <n v="4969"/>
    <n v="4222"/>
    <x v="1"/>
    <n v="4"/>
    <x v="0"/>
    <d v="2023-01-01T00:00:00"/>
    <n v="0"/>
    <n v="126"/>
    <n v="0.46"/>
    <s v="Normal"/>
    <n v="2023"/>
    <s v="January"/>
  </r>
  <r>
    <n v="210"/>
    <n v="380"/>
    <x v="3"/>
    <x v="2"/>
    <x v="1"/>
    <d v="2022-12-19T00:00:00"/>
    <x v="116"/>
    <n v="4967.93"/>
    <n v="748"/>
    <n v="-1748"/>
    <x v="1"/>
    <n v="6"/>
    <x v="2"/>
    <d v="2023-06-27T00:00:00"/>
    <n v="0"/>
    <n v="127"/>
    <n v="-0.35"/>
    <s v="Normal"/>
    <n v="2023"/>
    <s v="June"/>
  </r>
  <r>
    <n v="213"/>
    <n v="339"/>
    <x v="1"/>
    <x v="3"/>
    <x v="0"/>
    <d v="2022-11-10T00:00:00"/>
    <x v="117"/>
    <n v="743"/>
    <n v="4012.75"/>
    <n v="1000"/>
    <x v="0"/>
    <n v="19"/>
    <x v="1"/>
    <d v="2024-06-21T00:00:00"/>
    <n v="1"/>
    <n v="128"/>
    <n v="1.35"/>
    <s v="Outlier"/>
    <n v="2024"/>
    <s v="June"/>
  </r>
  <r>
    <n v="214"/>
    <n v="253"/>
    <x v="1"/>
    <x v="1"/>
    <x v="1"/>
    <d v="2022-02-10T00:00:00"/>
    <x v="118"/>
    <n v="2830"/>
    <n v="3813"/>
    <n v="-983"/>
    <x v="2"/>
    <n v="7"/>
    <x v="1"/>
    <d v="2022-09-13T00:00:00"/>
    <n v="1"/>
    <n v="129"/>
    <n v="-0.35"/>
    <s v="Normal"/>
    <n v="2022"/>
    <s v="September"/>
  </r>
  <r>
    <n v="215"/>
    <n v="195"/>
    <x v="3"/>
    <x v="0"/>
    <x v="1"/>
    <d v="2022-08-26T00:00:00"/>
    <x v="119"/>
    <n v="981"/>
    <n v="6276"/>
    <n v="-5295"/>
    <x v="1"/>
    <n v="14"/>
    <x v="1"/>
    <d v="2023-11-17T00:00:00"/>
    <n v="0"/>
    <n v="130"/>
    <n v="-5.4"/>
    <s v="Outlier"/>
    <n v="2023"/>
    <s v="November"/>
  </r>
  <r>
    <n v="217"/>
    <n v="205"/>
    <x v="3"/>
    <x v="0"/>
    <x v="2"/>
    <d v="2022-05-04T00:00:00"/>
    <x v="120"/>
    <n v="32"/>
    <n v="2944"/>
    <n v="-2912"/>
    <x v="2"/>
    <n v="9"/>
    <x v="1"/>
    <d v="2023-03-01T00:00:00"/>
    <n v="0"/>
    <n v="131"/>
    <n v="-91"/>
    <s v="Outlier"/>
    <n v="2023"/>
    <s v="March"/>
  </r>
  <r>
    <n v="218"/>
    <n v="182"/>
    <x v="1"/>
    <x v="0"/>
    <x v="1"/>
    <d v="2022-02-07T00:00:00"/>
    <x v="121"/>
    <n v="4967.93"/>
    <n v="7558"/>
    <n v="-8275"/>
    <x v="1"/>
    <n v="3"/>
    <x v="0"/>
    <d v="2022-05-15T00:00:00"/>
    <n v="0"/>
    <n v="132"/>
    <n v="-1.67"/>
    <s v="Outlier"/>
    <n v="2022"/>
    <s v="May"/>
  </r>
  <r>
    <n v="219"/>
    <n v="488"/>
    <x v="1"/>
    <x v="2"/>
    <x v="1"/>
    <d v="2022-05-07T00:00:00"/>
    <x v="122"/>
    <n v="4967.93"/>
    <n v="5628"/>
    <n v="-6578"/>
    <x v="2"/>
    <n v="19"/>
    <x v="1"/>
    <d v="2023-12-21T00:00:00"/>
    <n v="1"/>
    <n v="133"/>
    <n v="-1.32"/>
    <s v="Outlier"/>
    <n v="2023"/>
    <s v="December"/>
  </r>
  <r>
    <n v="220"/>
    <n v="150"/>
    <x v="4"/>
    <x v="0"/>
    <x v="0"/>
    <d v="2022-05-04T00:00:00"/>
    <x v="123"/>
    <n v="6508"/>
    <n v="6205"/>
    <n v="577.01"/>
    <x v="0"/>
    <n v="2"/>
    <x v="0"/>
    <d v="2022-07-19T00:00:00"/>
    <n v="1"/>
    <n v="134"/>
    <n v="0.09"/>
    <s v="Normal"/>
    <n v="2022"/>
    <s v="July"/>
  </r>
  <r>
    <n v="223"/>
    <n v="322"/>
    <x v="3"/>
    <x v="0"/>
    <x v="2"/>
    <d v="2022-12-02T00:00:00"/>
    <x v="45"/>
    <n v="365"/>
    <n v="5059"/>
    <n v="-4694"/>
    <x v="1"/>
    <n v="1"/>
    <x v="0"/>
    <d v="2023-01-02T00:00:00"/>
    <n v="1"/>
    <n v="135"/>
    <n v="-12.86"/>
    <s v="Outlier"/>
    <n v="2023"/>
    <s v="January"/>
  </r>
  <r>
    <n v="225"/>
    <n v="405"/>
    <x v="4"/>
    <x v="1"/>
    <x v="1"/>
    <d v="2022-03-02T00:00:00"/>
    <x v="124"/>
    <n v="1943"/>
    <n v="3624"/>
    <n v="-1681"/>
    <x v="0"/>
    <n v="13"/>
    <x v="1"/>
    <d v="2023-04-13T00:00:00"/>
    <n v="0"/>
    <n v="136"/>
    <n v="-0.87"/>
    <s v="Normal"/>
    <n v="2023"/>
    <s v="April"/>
  </r>
  <r>
    <n v="227"/>
    <n v="212"/>
    <x v="3"/>
    <x v="1"/>
    <x v="0"/>
    <d v="2022-12-25T00:00:00"/>
    <x v="125"/>
    <n v="3946"/>
    <n v="2792"/>
    <n v="1154"/>
    <x v="0"/>
    <n v="9"/>
    <x v="1"/>
    <d v="2023-10-10T00:00:00"/>
    <n v="0"/>
    <n v="137"/>
    <n v="0.28999999999999998"/>
    <s v="Normal"/>
    <n v="2023"/>
    <s v="October"/>
  </r>
  <r>
    <n v="228"/>
    <n v="177"/>
    <x v="4"/>
    <x v="1"/>
    <x v="1"/>
    <d v="2022-08-24T00:00:00"/>
    <x v="126"/>
    <n v="5149"/>
    <n v="4012.75"/>
    <n v="5417"/>
    <x v="1"/>
    <n v="18"/>
    <x v="1"/>
    <d v="2024-03-05T00:00:00"/>
    <n v="1"/>
    <n v="138"/>
    <n v="1.05"/>
    <s v="Outlier"/>
    <n v="2024"/>
    <s v="March"/>
  </r>
  <r>
    <n v="229"/>
    <n v="295"/>
    <x v="0"/>
    <x v="0"/>
    <x v="0"/>
    <d v="2022-08-07T00:00:00"/>
    <x v="127"/>
    <n v="4967.93"/>
    <n v="3787"/>
    <n v="-3963"/>
    <x v="2"/>
    <n v="19"/>
    <x v="1"/>
    <d v="2024-03-07T00:00:00"/>
    <n v="1"/>
    <n v="139"/>
    <n v="-0.8"/>
    <s v="Normal"/>
    <n v="2024"/>
    <s v="March"/>
  </r>
  <r>
    <n v="230"/>
    <n v="452"/>
    <x v="4"/>
    <x v="2"/>
    <x v="1"/>
    <d v="2022-08-15T00:00:00"/>
    <x v="128"/>
    <n v="4967.93"/>
    <n v="4017"/>
    <n v="-4699"/>
    <x v="0"/>
    <n v="18"/>
    <x v="1"/>
    <d v="2024-02-21T00:00:00"/>
    <n v="0"/>
    <n v="140"/>
    <n v="-0.95"/>
    <s v="Normal"/>
    <n v="2024"/>
    <s v="February"/>
  </r>
  <r>
    <n v="231"/>
    <n v="193"/>
    <x v="4"/>
    <x v="3"/>
    <x v="2"/>
    <d v="2022-07-29T00:00:00"/>
    <x v="129"/>
    <n v="7033"/>
    <n v="1273"/>
    <n v="5760"/>
    <x v="1"/>
    <n v="10"/>
    <x v="1"/>
    <d v="2023-06-02T00:00:00"/>
    <n v="0"/>
    <n v="141"/>
    <n v="0.82"/>
    <s v="Normal"/>
    <n v="2023"/>
    <s v="June"/>
  </r>
  <r>
    <n v="232"/>
    <n v="403"/>
    <x v="3"/>
    <x v="2"/>
    <x v="1"/>
    <d v="2022-04-19T00:00:00"/>
    <x v="130"/>
    <n v="4967.93"/>
    <n v="4542"/>
    <n v="-5397"/>
    <x v="0"/>
    <n v="11"/>
    <x v="1"/>
    <d v="2023-03-28T00:00:00"/>
    <n v="1"/>
    <n v="142"/>
    <n v="-1.0900000000000001"/>
    <s v="Outlier"/>
    <n v="2023"/>
    <s v="March"/>
  </r>
  <r>
    <n v="238"/>
    <n v="255"/>
    <x v="4"/>
    <x v="0"/>
    <x v="2"/>
    <d v="2022-04-26T00:00:00"/>
    <x v="131"/>
    <n v="1734"/>
    <n v="4816"/>
    <n v="-3082"/>
    <x v="1"/>
    <n v="13"/>
    <x v="1"/>
    <d v="2023-06-01T00:00:00"/>
    <n v="0"/>
    <n v="143"/>
    <n v="-1.78"/>
    <s v="Outlier"/>
    <n v="2023"/>
    <s v="June"/>
  </r>
  <r>
    <n v="239"/>
    <n v="472"/>
    <x v="4"/>
    <x v="2"/>
    <x v="2"/>
    <d v="2022-08-11T00:00:00"/>
    <x v="132"/>
    <n v="9423"/>
    <n v="885"/>
    <n v="8538"/>
    <x v="2"/>
    <n v="2"/>
    <x v="0"/>
    <d v="2022-11-02T00:00:00"/>
    <n v="0"/>
    <n v="144"/>
    <n v="0.91"/>
    <s v="Normal"/>
    <n v="2022"/>
    <s v="November"/>
  </r>
  <r>
    <n v="241"/>
    <n v="246"/>
    <x v="2"/>
    <x v="1"/>
    <x v="1"/>
    <d v="2022-06-11T00:00:00"/>
    <x v="133"/>
    <n v="8092"/>
    <n v="3626"/>
    <n v="4466"/>
    <x v="1"/>
    <n v="8"/>
    <x v="1"/>
    <d v="2023-02-12T00:00:00"/>
    <n v="1"/>
    <n v="145"/>
    <n v="0.55000000000000004"/>
    <s v="Normal"/>
    <n v="2023"/>
    <s v="February"/>
  </r>
  <r>
    <n v="242"/>
    <n v="398"/>
    <x v="4"/>
    <x v="1"/>
    <x v="2"/>
    <d v="2022-01-23T00:00:00"/>
    <x v="134"/>
    <n v="6266"/>
    <n v="3293"/>
    <n v="2973"/>
    <x v="1"/>
    <n v="9"/>
    <x v="1"/>
    <d v="2022-11-05T00:00:00"/>
    <n v="1"/>
    <n v="146"/>
    <n v="0.47"/>
    <s v="Normal"/>
    <n v="2022"/>
    <s v="November"/>
  </r>
  <r>
    <n v="243"/>
    <n v="333"/>
    <x v="3"/>
    <x v="3"/>
    <x v="2"/>
    <d v="2022-09-20T00:00:00"/>
    <x v="135"/>
    <n v="2502"/>
    <n v="6145"/>
    <n v="-3643"/>
    <x v="1"/>
    <n v="19"/>
    <x v="1"/>
    <d v="2024-04-21T00:00:00"/>
    <n v="0"/>
    <n v="147"/>
    <n v="-1.46"/>
    <s v="Outlier"/>
    <n v="2024"/>
    <s v="April"/>
  </r>
  <r>
    <n v="244"/>
    <n v="469"/>
    <x v="4"/>
    <x v="3"/>
    <x v="0"/>
    <d v="2022-08-05T00:00:00"/>
    <x v="136"/>
    <n v="600"/>
    <n v="2957"/>
    <n v="-2357"/>
    <x v="2"/>
    <n v="12"/>
    <x v="1"/>
    <d v="2023-08-11T00:00:00"/>
    <n v="0"/>
    <n v="148"/>
    <n v="-3.93"/>
    <s v="Outlier"/>
    <n v="2023"/>
    <s v="August"/>
  </r>
  <r>
    <n v="246"/>
    <n v="295"/>
    <x v="2"/>
    <x v="1"/>
    <x v="0"/>
    <d v="2022-11-08T00:00:00"/>
    <x v="137"/>
    <n v="2058"/>
    <n v="2053"/>
    <n v="5"/>
    <x v="0"/>
    <n v="6"/>
    <x v="2"/>
    <d v="2023-05-19T00:00:00"/>
    <n v="1"/>
    <n v="149"/>
    <n v="0"/>
    <s v="Normal"/>
    <n v="2023"/>
    <s v="May"/>
  </r>
  <r>
    <n v="248"/>
    <n v="272"/>
    <x v="1"/>
    <x v="1"/>
    <x v="2"/>
    <d v="2022-02-22T00:00:00"/>
    <x v="138"/>
    <n v="1008"/>
    <n v="3089"/>
    <n v="-2081"/>
    <x v="1"/>
    <n v="7"/>
    <x v="1"/>
    <d v="2022-10-11T00:00:00"/>
    <n v="0"/>
    <n v="150"/>
    <n v="-2.06"/>
    <s v="Outlier"/>
    <n v="2022"/>
    <s v="October"/>
  </r>
  <r>
    <n v="250"/>
    <n v="466"/>
    <x v="4"/>
    <x v="1"/>
    <x v="2"/>
    <d v="2022-04-23T00:00:00"/>
    <x v="20"/>
    <n v="1123"/>
    <n v="5411"/>
    <n v="-4288"/>
    <x v="1"/>
    <n v="12"/>
    <x v="1"/>
    <d v="2023-05-14T00:00:00"/>
    <n v="1"/>
    <n v="151"/>
    <n v="-3.82"/>
    <s v="Outlier"/>
    <n v="2023"/>
    <s v="May"/>
  </r>
  <r>
    <n v="253"/>
    <n v="413"/>
    <x v="4"/>
    <x v="3"/>
    <x v="2"/>
    <d v="2022-03-04T00:00:00"/>
    <x v="125"/>
    <n v="4967.93"/>
    <n v="5846"/>
    <n v="-7107"/>
    <x v="1"/>
    <n v="19"/>
    <x v="1"/>
    <d v="2023-10-10T00:00:00"/>
    <n v="1"/>
    <n v="152"/>
    <n v="-1.43"/>
    <s v="Outlier"/>
    <n v="2023"/>
    <s v="October"/>
  </r>
  <r>
    <n v="254"/>
    <n v="368"/>
    <x v="2"/>
    <x v="3"/>
    <x v="1"/>
    <d v="2022-04-23T00:00:00"/>
    <x v="139"/>
    <n v="5068"/>
    <n v="2420"/>
    <n v="2648"/>
    <x v="1"/>
    <n v="3"/>
    <x v="0"/>
    <d v="2022-08-04T00:00:00"/>
    <n v="0"/>
    <n v="153"/>
    <n v="0.52"/>
    <s v="Normal"/>
    <n v="2022"/>
    <s v="August"/>
  </r>
  <r>
    <n v="255"/>
    <n v="364"/>
    <x v="2"/>
    <x v="0"/>
    <x v="2"/>
    <d v="2022-11-01T00:00:00"/>
    <x v="140"/>
    <n v="4967.93"/>
    <n v="5472"/>
    <n v="577.01"/>
    <x v="1"/>
    <n v="7"/>
    <x v="1"/>
    <d v="2023-06-20T00:00:00"/>
    <n v="0"/>
    <n v="154"/>
    <n v="0.12"/>
    <s v="Normal"/>
    <n v="2023"/>
    <s v="June"/>
  </r>
  <r>
    <n v="256"/>
    <n v="299"/>
    <x v="1"/>
    <x v="3"/>
    <x v="2"/>
    <d v="2022-05-11T00:00:00"/>
    <x v="141"/>
    <n v="6008"/>
    <n v="4088"/>
    <n v="1920"/>
    <x v="1"/>
    <n v="2"/>
    <x v="0"/>
    <d v="2022-08-03T00:00:00"/>
    <n v="1"/>
    <n v="155"/>
    <n v="0.32"/>
    <s v="Normal"/>
    <n v="2022"/>
    <s v="August"/>
  </r>
  <r>
    <n v="259"/>
    <n v="258"/>
    <x v="4"/>
    <x v="3"/>
    <x v="2"/>
    <d v="2022-08-29T00:00:00"/>
    <x v="142"/>
    <n v="7012"/>
    <n v="4342"/>
    <n v="2670"/>
    <x v="2"/>
    <n v="4"/>
    <x v="0"/>
    <d v="2023-01-22T00:00:00"/>
    <n v="1"/>
    <n v="156"/>
    <n v="0.38"/>
    <s v="Normal"/>
    <n v="2023"/>
    <s v="January"/>
  </r>
  <r>
    <n v="263"/>
    <n v="380"/>
    <x v="0"/>
    <x v="0"/>
    <x v="0"/>
    <d v="2022-05-11T00:00:00"/>
    <x v="143"/>
    <n v="4967.93"/>
    <n v="5134"/>
    <n v="-5652"/>
    <x v="2"/>
    <n v="2"/>
    <x v="0"/>
    <d v="2022-07-26T00:00:00"/>
    <n v="0"/>
    <n v="157"/>
    <n v="-1.1399999999999999"/>
    <s v="Outlier"/>
    <n v="2022"/>
    <s v="July"/>
  </r>
  <r>
    <n v="267"/>
    <n v="179"/>
    <x v="3"/>
    <x v="0"/>
    <x v="2"/>
    <d v="2022-02-04T00:00:00"/>
    <x v="144"/>
    <n v="7433"/>
    <n v="159"/>
    <n v="7274"/>
    <x v="1"/>
    <n v="19"/>
    <x v="1"/>
    <d v="2023-09-13T00:00:00"/>
    <n v="0"/>
    <n v="158"/>
    <n v="0.98"/>
    <s v="Normal"/>
    <n v="2023"/>
    <s v="September"/>
  </r>
  <r>
    <n v="268"/>
    <n v="348"/>
    <x v="1"/>
    <x v="3"/>
    <x v="0"/>
    <d v="2022-10-02T00:00:00"/>
    <x v="145"/>
    <n v="8402"/>
    <n v="6381"/>
    <n v="2021"/>
    <x v="1"/>
    <n v="3"/>
    <x v="0"/>
    <d v="2023-01-09T00:00:00"/>
    <n v="1"/>
    <n v="159"/>
    <n v="0.24"/>
    <s v="Normal"/>
    <n v="2023"/>
    <s v="January"/>
  </r>
  <r>
    <n v="269"/>
    <n v="327"/>
    <x v="3"/>
    <x v="3"/>
    <x v="0"/>
    <d v="2022-08-05T00:00:00"/>
    <x v="131"/>
    <n v="4967.93"/>
    <n v="3802"/>
    <n v="-4363"/>
    <x v="0"/>
    <n v="9"/>
    <x v="1"/>
    <d v="2023-06-01T00:00:00"/>
    <n v="0"/>
    <n v="160"/>
    <n v="-0.88"/>
    <s v="Normal"/>
    <n v="2023"/>
    <s v="June"/>
  </r>
  <r>
    <n v="272"/>
    <n v="174"/>
    <x v="4"/>
    <x v="2"/>
    <x v="1"/>
    <d v="2022-07-07T00:00:00"/>
    <x v="99"/>
    <n v="2035"/>
    <n v="4330"/>
    <n v="-2295"/>
    <x v="1"/>
    <n v="7"/>
    <x v="1"/>
    <d v="2023-02-23T00:00:00"/>
    <n v="1"/>
    <n v="161"/>
    <n v="-1.1299999999999999"/>
    <s v="Outlier"/>
    <n v="2023"/>
    <s v="February"/>
  </r>
  <r>
    <n v="273"/>
    <n v="468"/>
    <x v="0"/>
    <x v="3"/>
    <x v="1"/>
    <d v="2022-02-16T00:00:00"/>
    <x v="146"/>
    <n v="7259"/>
    <n v="6555"/>
    <n v="704"/>
    <x v="2"/>
    <n v="19"/>
    <x v="1"/>
    <d v="2023-10-08T00:00:00"/>
    <n v="1"/>
    <n v="162"/>
    <n v="0.1"/>
    <s v="Normal"/>
    <n v="2023"/>
    <s v="October"/>
  </r>
  <r>
    <n v="274"/>
    <n v="469"/>
    <x v="3"/>
    <x v="0"/>
    <x v="2"/>
    <d v="2022-02-12T00:00:00"/>
    <x v="147"/>
    <n v="4666"/>
    <n v="3603"/>
    <n v="577.01"/>
    <x v="1"/>
    <n v="4"/>
    <x v="0"/>
    <d v="2022-06-29T00:00:00"/>
    <n v="1"/>
    <n v="163"/>
    <n v="0.12"/>
    <s v="Normal"/>
    <n v="2022"/>
    <s v="June"/>
  </r>
  <r>
    <n v="275"/>
    <n v="204"/>
    <x v="2"/>
    <x v="2"/>
    <x v="2"/>
    <d v="2022-10-15T00:00:00"/>
    <x v="8"/>
    <n v="6204"/>
    <n v="293"/>
    <n v="5911"/>
    <x v="1"/>
    <n v="18"/>
    <x v="1"/>
    <d v="2024-05-13T00:00:00"/>
    <n v="0"/>
    <n v="164"/>
    <n v="0.95"/>
    <s v="Normal"/>
    <n v="2024"/>
    <s v="May"/>
  </r>
  <r>
    <n v="278"/>
    <n v="311"/>
    <x v="1"/>
    <x v="1"/>
    <x v="1"/>
    <d v="2022-08-05T00:00:00"/>
    <x v="148"/>
    <n v="4967.93"/>
    <n v="4141"/>
    <n v="577.01"/>
    <x v="1"/>
    <n v="15"/>
    <x v="1"/>
    <d v="2023-12-02T00:00:00"/>
    <n v="1"/>
    <n v="165"/>
    <n v="0.12"/>
    <s v="Normal"/>
    <n v="2023"/>
    <s v="December"/>
  </r>
  <r>
    <n v="281"/>
    <n v="196"/>
    <x v="2"/>
    <x v="1"/>
    <x v="2"/>
    <d v="2022-10-15T00:00:00"/>
    <x v="149"/>
    <n v="7077"/>
    <n v="4812"/>
    <n v="2265"/>
    <x v="1"/>
    <n v="3"/>
    <x v="0"/>
    <d v="2023-01-31T00:00:00"/>
    <n v="0"/>
    <n v="166"/>
    <n v="0.32"/>
    <s v="Normal"/>
    <n v="2023"/>
    <s v="January"/>
  </r>
  <r>
    <n v="283"/>
    <n v="358"/>
    <x v="2"/>
    <x v="1"/>
    <x v="0"/>
    <d v="2022-04-21T00:00:00"/>
    <x v="150"/>
    <n v="6996"/>
    <n v="6652"/>
    <n v="344"/>
    <x v="1"/>
    <n v="19"/>
    <x v="1"/>
    <d v="2023-11-24T00:00:00"/>
    <n v="0"/>
    <n v="167"/>
    <n v="0.05"/>
    <s v="Normal"/>
    <n v="2023"/>
    <s v="November"/>
  </r>
  <r>
    <n v="284"/>
    <n v="203"/>
    <x v="4"/>
    <x v="2"/>
    <x v="2"/>
    <d v="2022-06-05T00:00:00"/>
    <x v="141"/>
    <n v="4062"/>
    <n v="3361"/>
    <n v="701"/>
    <x v="1"/>
    <n v="1"/>
    <x v="0"/>
    <d v="2022-08-03T00:00:00"/>
    <n v="0"/>
    <n v="168"/>
    <n v="0.17"/>
    <s v="Normal"/>
    <n v="2022"/>
    <s v="August"/>
  </r>
  <r>
    <n v="285"/>
    <n v="402"/>
    <x v="2"/>
    <x v="0"/>
    <x v="2"/>
    <d v="2022-06-28T00:00:00"/>
    <x v="151"/>
    <n v="9717"/>
    <n v="7474"/>
    <n v="2243"/>
    <x v="1"/>
    <n v="1"/>
    <x v="0"/>
    <d v="2022-08-10T00:00:00"/>
    <n v="1"/>
    <n v="169"/>
    <n v="0.23"/>
    <s v="Normal"/>
    <n v="2022"/>
    <s v="August"/>
  </r>
  <r>
    <n v="286"/>
    <n v="136"/>
    <x v="2"/>
    <x v="3"/>
    <x v="2"/>
    <d v="2022-02-28T00:00:00"/>
    <x v="152"/>
    <n v="7570"/>
    <n v="4084"/>
    <n v="3486"/>
    <x v="1"/>
    <n v="3"/>
    <x v="0"/>
    <d v="2022-06-11T00:00:00"/>
    <n v="0"/>
    <n v="170"/>
    <n v="0.46"/>
    <s v="Normal"/>
    <n v="2022"/>
    <s v="June"/>
  </r>
  <r>
    <n v="288"/>
    <n v="449"/>
    <x v="4"/>
    <x v="1"/>
    <x v="0"/>
    <d v="2022-08-20T00:00:00"/>
    <x v="142"/>
    <n v="9720"/>
    <n v="6978"/>
    <n v="2742"/>
    <x v="0"/>
    <n v="5"/>
    <x v="0"/>
    <d v="2023-01-22T00:00:00"/>
    <n v="0"/>
    <n v="171"/>
    <n v="0.28000000000000003"/>
    <s v="Normal"/>
    <n v="2023"/>
    <s v="January"/>
  </r>
  <r>
    <n v="293"/>
    <n v="319"/>
    <x v="2"/>
    <x v="2"/>
    <x v="2"/>
    <d v="2022-04-13T00:00:00"/>
    <x v="114"/>
    <n v="513"/>
    <n v="4012.75"/>
    <n v="850"/>
    <x v="1"/>
    <n v="6"/>
    <x v="2"/>
    <d v="2022-10-21T00:00:00"/>
    <n v="0"/>
    <n v="172"/>
    <n v="1.66"/>
    <s v="Outlier"/>
    <n v="2022"/>
    <s v="October"/>
  </r>
  <r>
    <n v="295"/>
    <n v="354"/>
    <x v="1"/>
    <x v="0"/>
    <x v="2"/>
    <d v="2022-01-23T00:00:00"/>
    <x v="153"/>
    <n v="4967.93"/>
    <n v="5054"/>
    <n v="-5067"/>
    <x v="0"/>
    <n v="14"/>
    <x v="1"/>
    <d v="2023-04-22T00:00:00"/>
    <n v="0"/>
    <n v="173"/>
    <n v="-1.02"/>
    <s v="Outlier"/>
    <n v="2023"/>
    <s v="April"/>
  </r>
  <r>
    <n v="296"/>
    <n v="146"/>
    <x v="0"/>
    <x v="3"/>
    <x v="1"/>
    <d v="2022-03-13T00:00:00"/>
    <x v="154"/>
    <n v="1004"/>
    <n v="1310"/>
    <n v="-306"/>
    <x v="1"/>
    <n v="15"/>
    <x v="1"/>
    <d v="2023-06-24T00:00:00"/>
    <n v="1"/>
    <n v="174"/>
    <n v="-0.3"/>
    <s v="Normal"/>
    <n v="2023"/>
    <s v="June"/>
  </r>
  <r>
    <n v="297"/>
    <n v="294"/>
    <x v="3"/>
    <x v="1"/>
    <x v="1"/>
    <d v="2022-12-05T00:00:00"/>
    <x v="155"/>
    <n v="9919"/>
    <n v="1398"/>
    <n v="8521"/>
    <x v="1"/>
    <n v="1"/>
    <x v="0"/>
    <d v="2023-01-25T00:00:00"/>
    <n v="0"/>
    <n v="175"/>
    <n v="0.86"/>
    <s v="Normal"/>
    <n v="2023"/>
    <s v="January"/>
  </r>
  <r>
    <n v="298"/>
    <n v="116"/>
    <x v="4"/>
    <x v="3"/>
    <x v="2"/>
    <d v="2022-12-21T00:00:00"/>
    <x v="156"/>
    <n v="4867"/>
    <n v="5597"/>
    <n v="-730"/>
    <x v="2"/>
    <n v="2"/>
    <x v="0"/>
    <d v="2023-02-24T00:00:00"/>
    <n v="0"/>
    <n v="176"/>
    <n v="-0.15"/>
    <s v="Normal"/>
    <n v="2023"/>
    <s v="February"/>
  </r>
  <r>
    <n v="301"/>
    <n v="259"/>
    <x v="0"/>
    <x v="3"/>
    <x v="0"/>
    <d v="2022-02-14T00:00:00"/>
    <x v="157"/>
    <n v="9432"/>
    <n v="7849"/>
    <n v="1583"/>
    <x v="2"/>
    <n v="5"/>
    <x v="0"/>
    <d v="2022-07-27T00:00:00"/>
    <n v="0"/>
    <n v="177"/>
    <n v="0.17"/>
    <s v="Normal"/>
    <n v="2022"/>
    <s v="July"/>
  </r>
  <r>
    <n v="302"/>
    <n v="177"/>
    <x v="3"/>
    <x v="1"/>
    <x v="2"/>
    <d v="2022-01-20T00:00:00"/>
    <x v="158"/>
    <n v="6648"/>
    <n v="4913"/>
    <n v="1735"/>
    <x v="2"/>
    <n v="15"/>
    <x v="1"/>
    <d v="2023-05-09T00:00:00"/>
    <n v="0"/>
    <n v="178"/>
    <n v="0.26"/>
    <s v="Normal"/>
    <n v="2023"/>
    <s v="May"/>
  </r>
  <r>
    <n v="305"/>
    <n v="453"/>
    <x v="3"/>
    <x v="3"/>
    <x v="2"/>
    <d v="2022-11-16T00:00:00"/>
    <x v="87"/>
    <n v="1724"/>
    <n v="6599"/>
    <n v="-4875"/>
    <x v="0"/>
    <n v="11"/>
    <x v="1"/>
    <d v="2023-11-01T00:00:00"/>
    <n v="0"/>
    <n v="179"/>
    <n v="-2.83"/>
    <s v="Outlier"/>
    <n v="2023"/>
    <s v="November"/>
  </r>
  <r>
    <n v="307"/>
    <n v="433"/>
    <x v="1"/>
    <x v="3"/>
    <x v="1"/>
    <d v="2022-12-19T00:00:00"/>
    <x v="159"/>
    <n v="2003"/>
    <n v="5741"/>
    <n v="-3738"/>
    <x v="2"/>
    <n v="18"/>
    <x v="1"/>
    <d v="2024-07-17T00:00:00"/>
    <n v="0"/>
    <n v="180"/>
    <n v="-1.87"/>
    <s v="Outlier"/>
    <n v="2024"/>
    <s v="July"/>
  </r>
  <r>
    <n v="308"/>
    <n v="419"/>
    <x v="2"/>
    <x v="3"/>
    <x v="1"/>
    <d v="2022-04-29T00:00:00"/>
    <x v="160"/>
    <n v="2721"/>
    <n v="217"/>
    <n v="2504"/>
    <x v="0"/>
    <n v="5"/>
    <x v="0"/>
    <d v="2022-10-15T00:00:00"/>
    <n v="0"/>
    <n v="181"/>
    <n v="0.92"/>
    <s v="Normal"/>
    <n v="2022"/>
    <s v="October"/>
  </r>
  <r>
    <n v="310"/>
    <n v="361"/>
    <x v="0"/>
    <x v="0"/>
    <x v="0"/>
    <d v="2022-09-26T00:00:00"/>
    <x v="161"/>
    <n v="8248"/>
    <n v="618"/>
    <n v="7630"/>
    <x v="1"/>
    <n v="18"/>
    <x v="1"/>
    <d v="2024-04-18T00:00:00"/>
    <n v="0"/>
    <n v="182"/>
    <n v="0.93"/>
    <s v="Normal"/>
    <n v="2024"/>
    <s v="April"/>
  </r>
  <r>
    <n v="312"/>
    <n v="370"/>
    <x v="4"/>
    <x v="1"/>
    <x v="2"/>
    <d v="2022-04-25T00:00:00"/>
    <x v="162"/>
    <n v="2714"/>
    <n v="3502"/>
    <n v="-788"/>
    <x v="0"/>
    <n v="15"/>
    <x v="1"/>
    <d v="2023-08-01T00:00:00"/>
    <n v="1"/>
    <n v="183"/>
    <n v="-0.28999999999999998"/>
    <s v="Normal"/>
    <n v="2023"/>
    <s v="August"/>
  </r>
  <r>
    <n v="313"/>
    <n v="427"/>
    <x v="3"/>
    <x v="3"/>
    <x v="2"/>
    <d v="2022-09-20T00:00:00"/>
    <x v="26"/>
    <n v="4268"/>
    <n v="4462"/>
    <n v="-194"/>
    <x v="2"/>
    <n v="6"/>
    <x v="2"/>
    <d v="2023-04-08T00:00:00"/>
    <n v="0"/>
    <n v="184"/>
    <n v="-0.05"/>
    <s v="Normal"/>
    <n v="2023"/>
    <s v="April"/>
  </r>
  <r>
    <n v="314"/>
    <n v="352"/>
    <x v="0"/>
    <x v="3"/>
    <x v="2"/>
    <d v="2022-10-24T00:00:00"/>
    <x v="35"/>
    <n v="1455"/>
    <n v="2654"/>
    <n v="-1199"/>
    <x v="1"/>
    <n v="13"/>
    <x v="1"/>
    <d v="2023-11-25T00:00:00"/>
    <n v="0"/>
    <n v="185"/>
    <n v="-0.82"/>
    <s v="Normal"/>
    <n v="2023"/>
    <s v="November"/>
  </r>
  <r>
    <n v="315"/>
    <n v="171"/>
    <x v="0"/>
    <x v="3"/>
    <x v="2"/>
    <d v="2022-02-07T00:00:00"/>
    <x v="108"/>
    <n v="6310"/>
    <n v="3356"/>
    <n v="2954"/>
    <x v="1"/>
    <n v="14"/>
    <x v="1"/>
    <d v="2023-04-30T00:00:00"/>
    <n v="1"/>
    <n v="186"/>
    <n v="0.47"/>
    <s v="Normal"/>
    <n v="2023"/>
    <s v="April"/>
  </r>
  <r>
    <n v="316"/>
    <n v="287"/>
    <x v="2"/>
    <x v="3"/>
    <x v="1"/>
    <d v="2022-01-19T00:00:00"/>
    <x v="163"/>
    <n v="1848"/>
    <n v="5470"/>
    <n v="577.01"/>
    <x v="1"/>
    <n v="17"/>
    <x v="1"/>
    <d v="2023-07-05T00:00:00"/>
    <n v="0"/>
    <n v="187"/>
    <n v="0.31"/>
    <s v="Normal"/>
    <n v="2023"/>
    <s v="July"/>
  </r>
  <r>
    <n v="319"/>
    <n v="199"/>
    <x v="4"/>
    <x v="2"/>
    <x v="1"/>
    <d v="2022-01-11T00:00:00"/>
    <x v="24"/>
    <n v="4967.93"/>
    <n v="5155"/>
    <n v="-5779"/>
    <x v="0"/>
    <n v="17"/>
    <x v="1"/>
    <d v="2023-06-14T00:00:00"/>
    <n v="1"/>
    <n v="188"/>
    <n v="-1.1599999999999999"/>
    <s v="Outlier"/>
    <n v="2023"/>
    <s v="June"/>
  </r>
  <r>
    <n v="321"/>
    <n v="259"/>
    <x v="0"/>
    <x v="2"/>
    <x v="0"/>
    <d v="2022-10-29T00:00:00"/>
    <x v="164"/>
    <n v="9264"/>
    <n v="1537"/>
    <n v="7727"/>
    <x v="1"/>
    <n v="18"/>
    <x v="1"/>
    <d v="2024-05-27T00:00:00"/>
    <n v="0"/>
    <n v="189"/>
    <n v="0.83"/>
    <s v="Normal"/>
    <n v="2024"/>
    <s v="May"/>
  </r>
  <r>
    <n v="322"/>
    <n v="291"/>
    <x v="4"/>
    <x v="1"/>
    <x v="1"/>
    <d v="2022-10-24T00:00:00"/>
    <x v="165"/>
    <n v="5064"/>
    <n v="5984"/>
    <n v="577.01"/>
    <x v="2"/>
    <n v="9"/>
    <x v="1"/>
    <d v="2023-08-10T00:00:00"/>
    <n v="0"/>
    <n v="190"/>
    <n v="0.11"/>
    <s v="Normal"/>
    <n v="2023"/>
    <s v="August"/>
  </r>
  <r>
    <n v="323"/>
    <n v="294"/>
    <x v="3"/>
    <x v="1"/>
    <x v="1"/>
    <d v="2022-01-27T00:00:00"/>
    <x v="166"/>
    <n v="4009"/>
    <n v="4012.75"/>
    <n v="4934"/>
    <x v="1"/>
    <n v="5"/>
    <x v="0"/>
    <d v="2022-07-15T00:00:00"/>
    <n v="0"/>
    <n v="191"/>
    <n v="1.23"/>
    <s v="Outlier"/>
    <n v="2022"/>
    <s v="July"/>
  </r>
  <r>
    <n v="324"/>
    <n v="405"/>
    <x v="0"/>
    <x v="0"/>
    <x v="0"/>
    <d v="2022-05-01T00:00:00"/>
    <x v="55"/>
    <n v="7688"/>
    <n v="5478"/>
    <n v="2210"/>
    <x v="1"/>
    <n v="18"/>
    <x v="1"/>
    <d v="2023-11-06T00:00:00"/>
    <n v="1"/>
    <n v="192"/>
    <n v="0.28999999999999998"/>
    <s v="Normal"/>
    <n v="2023"/>
    <s v="November"/>
  </r>
  <r>
    <n v="325"/>
    <n v="432"/>
    <x v="1"/>
    <x v="1"/>
    <x v="1"/>
    <d v="2022-06-25T00:00:00"/>
    <x v="167"/>
    <n v="6555"/>
    <n v="4012.75"/>
    <n v="7101"/>
    <x v="0"/>
    <n v="5"/>
    <x v="0"/>
    <d v="2022-12-03T00:00:00"/>
    <n v="1"/>
    <n v="193"/>
    <n v="1.08"/>
    <s v="Outlier"/>
    <n v="2022"/>
    <s v="December"/>
  </r>
  <r>
    <n v="326"/>
    <n v="144"/>
    <x v="1"/>
    <x v="2"/>
    <x v="0"/>
    <d v="2022-09-25T00:00:00"/>
    <x v="168"/>
    <n v="5884"/>
    <n v="7037"/>
    <n v="-1153"/>
    <x v="1"/>
    <n v="18"/>
    <x v="1"/>
    <d v="2024-04-01T00:00:00"/>
    <n v="0"/>
    <n v="194"/>
    <n v="-0.2"/>
    <s v="Normal"/>
    <n v="2024"/>
    <s v="April"/>
  </r>
  <r>
    <n v="327"/>
    <n v="301"/>
    <x v="3"/>
    <x v="3"/>
    <x v="0"/>
    <d v="2022-03-09T00:00:00"/>
    <x v="169"/>
    <n v="6269"/>
    <n v="856"/>
    <n v="5413"/>
    <x v="2"/>
    <n v="3"/>
    <x v="0"/>
    <d v="2022-06-27T00:00:00"/>
    <n v="1"/>
    <n v="195"/>
    <n v="0.86"/>
    <s v="Normal"/>
    <n v="2022"/>
    <s v="June"/>
  </r>
  <r>
    <n v="330"/>
    <n v="207"/>
    <x v="3"/>
    <x v="2"/>
    <x v="1"/>
    <d v="2022-05-29T00:00:00"/>
    <x v="170"/>
    <n v="1870"/>
    <n v="4553"/>
    <n v="-2683"/>
    <x v="1"/>
    <n v="16"/>
    <x v="1"/>
    <d v="2023-10-21T00:00:00"/>
    <n v="0"/>
    <n v="196"/>
    <n v="-1.43"/>
    <s v="Outlier"/>
    <n v="2023"/>
    <s v="October"/>
  </r>
  <r>
    <n v="332"/>
    <n v="289"/>
    <x v="0"/>
    <x v="3"/>
    <x v="0"/>
    <d v="2022-09-12T00:00:00"/>
    <x v="171"/>
    <n v="8627"/>
    <n v="5145"/>
    <n v="3482"/>
    <x v="0"/>
    <n v="18"/>
    <x v="1"/>
    <d v="2024-04-03T00:00:00"/>
    <n v="1"/>
    <n v="197"/>
    <n v="0.4"/>
    <s v="Normal"/>
    <n v="2024"/>
    <s v="April"/>
  </r>
  <r>
    <n v="333"/>
    <n v="497"/>
    <x v="3"/>
    <x v="3"/>
    <x v="1"/>
    <d v="2022-04-10T00:00:00"/>
    <x v="172"/>
    <n v="8054"/>
    <n v="1171"/>
    <n v="6883"/>
    <x v="1"/>
    <n v="10"/>
    <x v="1"/>
    <d v="2023-02-26T00:00:00"/>
    <n v="0"/>
    <n v="198"/>
    <n v="0.85"/>
    <s v="Normal"/>
    <n v="2023"/>
    <s v="February"/>
  </r>
  <r>
    <n v="334"/>
    <n v="434"/>
    <x v="2"/>
    <x v="0"/>
    <x v="2"/>
    <d v="2022-04-06T00:00:00"/>
    <x v="173"/>
    <n v="5966"/>
    <n v="2106"/>
    <n v="3860"/>
    <x v="1"/>
    <n v="8"/>
    <x v="1"/>
    <d v="2023-01-04T00:00:00"/>
    <n v="1"/>
    <n v="199"/>
    <n v="0.65"/>
    <s v="Normal"/>
    <n v="2023"/>
    <s v="January"/>
  </r>
  <r>
    <n v="336"/>
    <n v="357"/>
    <x v="1"/>
    <x v="0"/>
    <x v="0"/>
    <d v="2022-05-03T00:00:00"/>
    <x v="174"/>
    <n v="3820"/>
    <n v="2788"/>
    <n v="1032"/>
    <x v="1"/>
    <n v="6"/>
    <x v="2"/>
    <d v="2022-11-19T00:00:00"/>
    <n v="0"/>
    <n v="200"/>
    <n v="0.27"/>
    <s v="Normal"/>
    <n v="2022"/>
    <s v="November"/>
  </r>
  <r>
    <n v="337"/>
    <n v="190"/>
    <x v="4"/>
    <x v="2"/>
    <x v="0"/>
    <d v="2022-03-17T00:00:00"/>
    <x v="175"/>
    <n v="8300"/>
    <n v="3643"/>
    <n v="4657"/>
    <x v="2"/>
    <n v="4"/>
    <x v="0"/>
    <d v="2022-08-07T00:00:00"/>
    <n v="0"/>
    <n v="201"/>
    <n v="0.56000000000000005"/>
    <s v="Normal"/>
    <n v="2022"/>
    <s v="August"/>
  </r>
  <r>
    <n v="338"/>
    <n v="260"/>
    <x v="1"/>
    <x v="3"/>
    <x v="2"/>
    <d v="2022-05-29T00:00:00"/>
    <x v="176"/>
    <n v="6558"/>
    <n v="1628"/>
    <n v="4930"/>
    <x v="0"/>
    <n v="2"/>
    <x v="0"/>
    <d v="2022-08-14T00:00:00"/>
    <n v="0"/>
    <n v="202"/>
    <n v="0.75"/>
    <s v="Normal"/>
    <n v="2022"/>
    <s v="August"/>
  </r>
  <r>
    <n v="339"/>
    <n v="145"/>
    <x v="1"/>
    <x v="3"/>
    <x v="0"/>
    <d v="2022-03-28T00:00:00"/>
    <x v="177"/>
    <n v="4967.93"/>
    <n v="5606"/>
    <n v="577.01"/>
    <x v="0"/>
    <n v="15"/>
    <x v="1"/>
    <d v="2023-07-20T00:00:00"/>
    <n v="1"/>
    <n v="203"/>
    <n v="0.12"/>
    <s v="Normal"/>
    <n v="2023"/>
    <s v="July"/>
  </r>
  <r>
    <n v="340"/>
    <n v="484"/>
    <x v="4"/>
    <x v="1"/>
    <x v="0"/>
    <d v="2022-05-20T00:00:00"/>
    <x v="178"/>
    <n v="7697"/>
    <n v="2620"/>
    <n v="5077"/>
    <x v="1"/>
    <n v="2"/>
    <x v="0"/>
    <d v="2022-08-12T00:00:00"/>
    <n v="1"/>
    <n v="204"/>
    <n v="0.66"/>
    <s v="Normal"/>
    <n v="2022"/>
    <s v="August"/>
  </r>
  <r>
    <n v="342"/>
    <n v="437"/>
    <x v="3"/>
    <x v="0"/>
    <x v="1"/>
    <d v="2022-02-21T00:00:00"/>
    <x v="179"/>
    <n v="6460"/>
    <n v="950"/>
    <n v="577.01"/>
    <x v="1"/>
    <n v="12"/>
    <x v="1"/>
    <d v="2023-03-18T00:00:00"/>
    <n v="1"/>
    <n v="205"/>
    <n v="0.09"/>
    <s v="Normal"/>
    <n v="2023"/>
    <s v="March"/>
  </r>
  <r>
    <n v="346"/>
    <n v="439"/>
    <x v="2"/>
    <x v="1"/>
    <x v="0"/>
    <d v="2022-09-05T00:00:00"/>
    <x v="167"/>
    <n v="4967.93"/>
    <n v="7281"/>
    <n v="-8659"/>
    <x v="2"/>
    <n v="2"/>
    <x v="0"/>
    <d v="2022-12-03T00:00:00"/>
    <n v="1"/>
    <n v="206"/>
    <n v="-1.74"/>
    <s v="Outlier"/>
    <n v="2022"/>
    <s v="December"/>
  </r>
  <r>
    <n v="348"/>
    <n v="391"/>
    <x v="4"/>
    <x v="2"/>
    <x v="2"/>
    <d v="2022-01-17T00:00:00"/>
    <x v="50"/>
    <n v="1328"/>
    <n v="4504"/>
    <n v="-3176"/>
    <x v="0"/>
    <n v="19"/>
    <x v="1"/>
    <d v="2023-09-08T00:00:00"/>
    <n v="0"/>
    <n v="207"/>
    <n v="-2.39"/>
    <s v="Outlier"/>
    <n v="2023"/>
    <s v="September"/>
  </r>
  <r>
    <n v="350"/>
    <n v="388"/>
    <x v="3"/>
    <x v="3"/>
    <x v="0"/>
    <d v="2022-06-28T00:00:00"/>
    <x v="180"/>
    <n v="1908"/>
    <n v="7888"/>
    <n v="577.01"/>
    <x v="1"/>
    <n v="18"/>
    <x v="1"/>
    <d v="2024-01-17T00:00:00"/>
    <n v="0"/>
    <n v="208"/>
    <n v="0.3"/>
    <s v="Normal"/>
    <n v="2024"/>
    <s v="January"/>
  </r>
  <r>
    <n v="351"/>
    <n v="488"/>
    <x v="0"/>
    <x v="2"/>
    <x v="2"/>
    <d v="2022-09-10T00:00:00"/>
    <x v="181"/>
    <n v="9831"/>
    <n v="5280"/>
    <n v="4551"/>
    <x v="1"/>
    <n v="15"/>
    <x v="1"/>
    <d v="2023-12-16T00:00:00"/>
    <n v="1"/>
    <n v="209"/>
    <n v="0.46"/>
    <s v="Normal"/>
    <n v="2023"/>
    <s v="December"/>
  </r>
  <r>
    <n v="352"/>
    <n v="300"/>
    <x v="2"/>
    <x v="2"/>
    <x v="2"/>
    <d v="2022-01-03T00:00:00"/>
    <x v="182"/>
    <n v="8544"/>
    <n v="2046"/>
    <n v="6498"/>
    <x v="1"/>
    <n v="9"/>
    <x v="1"/>
    <d v="2022-10-04T00:00:00"/>
    <n v="1"/>
    <n v="210"/>
    <n v="0.76"/>
    <s v="Normal"/>
    <n v="2022"/>
    <s v="October"/>
  </r>
  <r>
    <n v="356"/>
    <n v="291"/>
    <x v="4"/>
    <x v="0"/>
    <x v="0"/>
    <d v="2022-09-25T00:00:00"/>
    <x v="183"/>
    <n v="3980"/>
    <n v="1971"/>
    <n v="2009"/>
    <x v="2"/>
    <n v="18"/>
    <x v="1"/>
    <d v="2024-04-09T00:00:00"/>
    <n v="1"/>
    <n v="211"/>
    <n v="0.5"/>
    <s v="Normal"/>
    <n v="2024"/>
    <s v="April"/>
  </r>
  <r>
    <n v="359"/>
    <n v="123"/>
    <x v="4"/>
    <x v="2"/>
    <x v="2"/>
    <d v="2022-10-13T00:00:00"/>
    <x v="184"/>
    <n v="4869"/>
    <n v="6061"/>
    <n v="-1192"/>
    <x v="0"/>
    <n v="5"/>
    <x v="0"/>
    <d v="2023-03-30T00:00:00"/>
    <n v="1"/>
    <n v="212"/>
    <n v="-0.24"/>
    <s v="Normal"/>
    <n v="2023"/>
    <s v="March"/>
  </r>
  <r>
    <n v="360"/>
    <n v="368"/>
    <x v="4"/>
    <x v="0"/>
    <x v="1"/>
    <d v="2022-05-10T00:00:00"/>
    <x v="185"/>
    <n v="6648"/>
    <n v="3071"/>
    <n v="3577"/>
    <x v="1"/>
    <n v="11"/>
    <x v="1"/>
    <d v="2023-04-20T00:00:00"/>
    <n v="0"/>
    <n v="213"/>
    <n v="0.54"/>
    <s v="Normal"/>
    <n v="2023"/>
    <s v="April"/>
  </r>
  <r>
    <n v="362"/>
    <n v="437"/>
    <x v="4"/>
    <x v="2"/>
    <x v="0"/>
    <d v="2022-12-14T00:00:00"/>
    <x v="186"/>
    <n v="1462"/>
    <n v="6247"/>
    <n v="-4785"/>
    <x v="1"/>
    <n v="3"/>
    <x v="0"/>
    <d v="2023-04-03T00:00:00"/>
    <n v="1"/>
    <n v="214"/>
    <n v="-3.27"/>
    <s v="Outlier"/>
    <n v="2023"/>
    <s v="April"/>
  </r>
  <r>
    <n v="363"/>
    <n v="456"/>
    <x v="2"/>
    <x v="0"/>
    <x v="0"/>
    <d v="2022-07-27T00:00:00"/>
    <x v="187"/>
    <n v="5019"/>
    <n v="4012.75"/>
    <n v="5144"/>
    <x v="1"/>
    <n v="1"/>
    <x v="0"/>
    <d v="2022-09-12T00:00:00"/>
    <n v="0"/>
    <n v="215"/>
    <n v="1.02"/>
    <s v="Outlier"/>
    <n v="2022"/>
    <s v="September"/>
  </r>
  <r>
    <n v="364"/>
    <n v="402"/>
    <x v="3"/>
    <x v="0"/>
    <x v="1"/>
    <d v="2022-05-16T00:00:00"/>
    <x v="119"/>
    <n v="4967.93"/>
    <n v="6481"/>
    <n v="-6500"/>
    <x v="0"/>
    <n v="18"/>
    <x v="1"/>
    <d v="2023-11-17T00:00:00"/>
    <n v="1"/>
    <n v="216"/>
    <n v="-1.31"/>
    <s v="Outlier"/>
    <n v="2023"/>
    <s v="November"/>
  </r>
  <r>
    <n v="365"/>
    <n v="107"/>
    <x v="0"/>
    <x v="0"/>
    <x v="0"/>
    <d v="2022-05-03T00:00:00"/>
    <x v="188"/>
    <n v="9635"/>
    <n v="4012.75"/>
    <n v="10553"/>
    <x v="2"/>
    <n v="11"/>
    <x v="1"/>
    <d v="2023-04-09T00:00:00"/>
    <n v="1"/>
    <n v="217"/>
    <n v="1.1000000000000001"/>
    <s v="Outlier"/>
    <n v="2023"/>
    <s v="April"/>
  </r>
  <r>
    <n v="368"/>
    <n v="364"/>
    <x v="1"/>
    <x v="0"/>
    <x v="2"/>
    <d v="2022-05-09T00:00:00"/>
    <x v="189"/>
    <n v="4597"/>
    <n v="3680"/>
    <n v="917"/>
    <x v="0"/>
    <n v="10"/>
    <x v="1"/>
    <d v="2023-04-04T00:00:00"/>
    <n v="0"/>
    <n v="218"/>
    <n v="0.2"/>
    <s v="Normal"/>
    <n v="2023"/>
    <s v="April"/>
  </r>
  <r>
    <n v="371"/>
    <n v="146"/>
    <x v="2"/>
    <x v="0"/>
    <x v="1"/>
    <d v="2022-01-24T00:00:00"/>
    <x v="190"/>
    <n v="4967.93"/>
    <n v="2617"/>
    <n v="-3622"/>
    <x v="0"/>
    <n v="6"/>
    <x v="2"/>
    <d v="2022-08-11T00:00:00"/>
    <n v="1"/>
    <n v="219"/>
    <n v="-0.73"/>
    <s v="Normal"/>
    <n v="2022"/>
    <s v="August"/>
  </r>
  <r>
    <n v="372"/>
    <n v="309"/>
    <x v="1"/>
    <x v="3"/>
    <x v="1"/>
    <d v="2022-05-25T00:00:00"/>
    <x v="191"/>
    <n v="4968"/>
    <n v="527"/>
    <n v="4441"/>
    <x v="1"/>
    <n v="18"/>
    <x v="1"/>
    <d v="2023-12-07T00:00:00"/>
    <n v="1"/>
    <n v="220"/>
    <n v="0.89"/>
    <s v="Normal"/>
    <n v="2023"/>
    <s v="December"/>
  </r>
  <r>
    <n v="373"/>
    <n v="417"/>
    <x v="4"/>
    <x v="0"/>
    <x v="0"/>
    <d v="2022-01-15T00:00:00"/>
    <x v="192"/>
    <n v="4967.93"/>
    <n v="5451"/>
    <n v="-6350"/>
    <x v="1"/>
    <n v="11"/>
    <x v="1"/>
    <d v="2023-01-06T00:00:00"/>
    <n v="1"/>
    <n v="221"/>
    <n v="-1.28"/>
    <s v="Outlier"/>
    <n v="2023"/>
    <s v="January"/>
  </r>
  <r>
    <n v="374"/>
    <n v="485"/>
    <x v="0"/>
    <x v="3"/>
    <x v="2"/>
    <d v="2022-05-05T00:00:00"/>
    <x v="193"/>
    <n v="5679"/>
    <n v="4744"/>
    <n v="935"/>
    <x v="2"/>
    <n v="17"/>
    <x v="1"/>
    <d v="2023-10-23T00:00:00"/>
    <n v="0"/>
    <n v="222"/>
    <n v="0.16"/>
    <s v="Normal"/>
    <n v="2023"/>
    <s v="October"/>
  </r>
  <r>
    <n v="375"/>
    <n v="330"/>
    <x v="0"/>
    <x v="0"/>
    <x v="0"/>
    <d v="2022-11-14T00:00:00"/>
    <x v="194"/>
    <n v="5406"/>
    <n v="575"/>
    <n v="4831"/>
    <x v="1"/>
    <n v="16"/>
    <x v="1"/>
    <d v="2024-03-21T00:00:00"/>
    <n v="1"/>
    <n v="223"/>
    <n v="0.89"/>
    <s v="Normal"/>
    <n v="2024"/>
    <s v="March"/>
  </r>
  <r>
    <n v="376"/>
    <n v="329"/>
    <x v="3"/>
    <x v="3"/>
    <x v="0"/>
    <d v="2022-10-16T00:00:00"/>
    <x v="195"/>
    <n v="3469"/>
    <n v="6091"/>
    <n v="-2622"/>
    <x v="2"/>
    <n v="18"/>
    <x v="1"/>
    <d v="2024-04-30T00:00:00"/>
    <n v="0"/>
    <n v="224"/>
    <n v="-0.76"/>
    <s v="Normal"/>
    <n v="2024"/>
    <s v="April"/>
  </r>
  <r>
    <n v="377"/>
    <n v="197"/>
    <x v="1"/>
    <x v="3"/>
    <x v="1"/>
    <d v="2022-12-06T00:00:00"/>
    <x v="196"/>
    <n v="2540"/>
    <n v="4711"/>
    <n v="-2171"/>
    <x v="0"/>
    <n v="9"/>
    <x v="1"/>
    <d v="2023-09-20T00:00:00"/>
    <n v="0"/>
    <n v="225"/>
    <n v="-0.85"/>
    <s v="Normal"/>
    <n v="2023"/>
    <s v="September"/>
  </r>
  <r>
    <n v="379"/>
    <n v="421"/>
    <x v="1"/>
    <x v="3"/>
    <x v="0"/>
    <d v="2022-06-15T00:00:00"/>
    <x v="197"/>
    <n v="2016"/>
    <n v="5561"/>
    <n v="-3545"/>
    <x v="2"/>
    <n v="5"/>
    <x v="0"/>
    <d v="2022-12-10T00:00:00"/>
    <n v="0"/>
    <n v="226"/>
    <n v="-1.76"/>
    <s v="Outlier"/>
    <n v="2022"/>
    <s v="December"/>
  </r>
  <r>
    <n v="381"/>
    <n v="489"/>
    <x v="0"/>
    <x v="3"/>
    <x v="1"/>
    <d v="2022-09-05T00:00:00"/>
    <x v="198"/>
    <n v="1939"/>
    <n v="4012.75"/>
    <n v="2643"/>
    <x v="1"/>
    <n v="4"/>
    <x v="0"/>
    <d v="2023-01-18T00:00:00"/>
    <n v="1"/>
    <n v="227"/>
    <n v="1.36"/>
    <s v="Outlier"/>
    <n v="2023"/>
    <s v="January"/>
  </r>
  <r>
    <n v="382"/>
    <n v="159"/>
    <x v="0"/>
    <x v="3"/>
    <x v="0"/>
    <d v="2022-07-09T00:00:00"/>
    <x v="119"/>
    <n v="3803"/>
    <n v="7737"/>
    <n v="-3934"/>
    <x v="0"/>
    <n v="16"/>
    <x v="1"/>
    <d v="2023-11-17T00:00:00"/>
    <n v="1"/>
    <n v="228"/>
    <n v="-1.03"/>
    <s v="Outlier"/>
    <n v="2023"/>
    <s v="November"/>
  </r>
  <r>
    <n v="384"/>
    <n v="487"/>
    <x v="1"/>
    <x v="2"/>
    <x v="0"/>
    <d v="2022-02-21T00:00:00"/>
    <x v="199"/>
    <n v="1788"/>
    <n v="5236"/>
    <n v="-3448"/>
    <x v="2"/>
    <n v="19"/>
    <x v="1"/>
    <d v="2023-09-24T00:00:00"/>
    <n v="0"/>
    <n v="229"/>
    <n v="-1.93"/>
    <s v="Outlier"/>
    <n v="2023"/>
    <s v="September"/>
  </r>
  <r>
    <n v="386"/>
    <n v="181"/>
    <x v="2"/>
    <x v="2"/>
    <x v="0"/>
    <d v="2022-04-10T00:00:00"/>
    <x v="133"/>
    <n v="4967.93"/>
    <n v="4223"/>
    <n v="-5347"/>
    <x v="1"/>
    <n v="10"/>
    <x v="1"/>
    <d v="2023-02-12T00:00:00"/>
    <n v="1"/>
    <n v="230"/>
    <n v="-1.08"/>
    <s v="Outlier"/>
    <n v="2023"/>
    <s v="February"/>
  </r>
  <r>
    <n v="388"/>
    <n v="265"/>
    <x v="1"/>
    <x v="3"/>
    <x v="1"/>
    <d v="2022-10-30T00:00:00"/>
    <x v="200"/>
    <n v="2459"/>
    <n v="2287"/>
    <n v="172"/>
    <x v="0"/>
    <n v="13"/>
    <x v="1"/>
    <d v="2023-12-09T00:00:00"/>
    <n v="1"/>
    <n v="231"/>
    <n v="7.0000000000000007E-2"/>
    <s v="Normal"/>
    <n v="2023"/>
    <s v="December"/>
  </r>
  <r>
    <n v="389"/>
    <n v="444"/>
    <x v="3"/>
    <x v="2"/>
    <x v="0"/>
    <d v="2022-08-20T00:00:00"/>
    <x v="201"/>
    <n v="9717"/>
    <n v="4012.75"/>
    <n v="10230"/>
    <x v="2"/>
    <n v="3"/>
    <x v="0"/>
    <d v="2022-12-09T00:00:00"/>
    <n v="0"/>
    <n v="232"/>
    <n v="1.05"/>
    <s v="Outlier"/>
    <n v="2022"/>
    <s v="December"/>
  </r>
  <r>
    <n v="390"/>
    <n v="380"/>
    <x v="1"/>
    <x v="1"/>
    <x v="1"/>
    <d v="2022-10-26T00:00:00"/>
    <x v="202"/>
    <n v="2255"/>
    <n v="2025"/>
    <n v="577.01"/>
    <x v="0"/>
    <n v="12"/>
    <x v="1"/>
    <d v="2023-11-19T00:00:00"/>
    <n v="1"/>
    <n v="233"/>
    <n v="0.26"/>
    <s v="Normal"/>
    <n v="2023"/>
    <s v="November"/>
  </r>
  <r>
    <n v="392"/>
    <n v="419"/>
    <x v="4"/>
    <x v="2"/>
    <x v="2"/>
    <d v="2022-02-25T00:00:00"/>
    <x v="203"/>
    <n v="2171"/>
    <n v="397"/>
    <n v="1774"/>
    <x v="2"/>
    <n v="14"/>
    <x v="1"/>
    <d v="2023-05-06T00:00:00"/>
    <n v="0"/>
    <n v="234"/>
    <n v="0.82"/>
    <s v="Normal"/>
    <n v="2023"/>
    <s v="May"/>
  </r>
  <r>
    <n v="393"/>
    <n v="169"/>
    <x v="1"/>
    <x v="2"/>
    <x v="0"/>
    <d v="2022-11-10T00:00:00"/>
    <x v="204"/>
    <n v="4967.93"/>
    <n v="7247"/>
    <n v="-8287"/>
    <x v="1"/>
    <n v="19"/>
    <x v="1"/>
    <d v="2024-06-25T00:00:00"/>
    <n v="1"/>
    <n v="235"/>
    <n v="-1.67"/>
    <s v="Outlier"/>
    <n v="2024"/>
    <s v="June"/>
  </r>
  <r>
    <n v="398"/>
    <n v="371"/>
    <x v="3"/>
    <x v="3"/>
    <x v="2"/>
    <d v="2022-01-10T00:00:00"/>
    <x v="205"/>
    <n v="4967.93"/>
    <n v="4827"/>
    <n v="-5799"/>
    <x v="0"/>
    <n v="18"/>
    <x v="1"/>
    <d v="2023-07-14T00:00:00"/>
    <n v="1"/>
    <n v="236"/>
    <n v="-1.17"/>
    <s v="Outlier"/>
    <n v="2023"/>
    <s v="July"/>
  </r>
  <r>
    <n v="399"/>
    <n v="327"/>
    <x v="0"/>
    <x v="2"/>
    <x v="2"/>
    <d v="2022-08-20T00:00:00"/>
    <x v="150"/>
    <n v="5749"/>
    <n v="1121"/>
    <n v="4628"/>
    <x v="1"/>
    <n v="15"/>
    <x v="1"/>
    <d v="2023-11-24T00:00:00"/>
    <n v="0"/>
    <n v="237"/>
    <n v="0.81"/>
    <s v="Normal"/>
    <n v="2023"/>
    <s v="November"/>
  </r>
  <r>
    <n v="400"/>
    <n v="327"/>
    <x v="0"/>
    <x v="3"/>
    <x v="1"/>
    <d v="2022-06-19T00:00:00"/>
    <x v="206"/>
    <n v="3322"/>
    <n v="3580"/>
    <n v="577.01"/>
    <x v="0"/>
    <n v="13"/>
    <x v="1"/>
    <d v="2023-07-22T00:00:00"/>
    <n v="0"/>
    <n v="238"/>
    <n v="0.17"/>
    <s v="Normal"/>
    <n v="2023"/>
    <s v="July"/>
  </r>
  <r>
    <n v="401"/>
    <n v="130"/>
    <x v="2"/>
    <x v="3"/>
    <x v="2"/>
    <d v="2022-05-02T00:00:00"/>
    <x v="207"/>
    <n v="7936"/>
    <n v="4243"/>
    <n v="3693"/>
    <x v="0"/>
    <n v="5"/>
    <x v="0"/>
    <d v="2022-10-17T00:00:00"/>
    <n v="1"/>
    <n v="239"/>
    <n v="0.47"/>
    <s v="Normal"/>
    <n v="2022"/>
    <s v="October"/>
  </r>
  <r>
    <n v="402"/>
    <n v="101"/>
    <x v="1"/>
    <x v="0"/>
    <x v="2"/>
    <d v="2022-05-30T00:00:00"/>
    <x v="193"/>
    <n v="2599"/>
    <n v="357"/>
    <n v="2242"/>
    <x v="1"/>
    <n v="16"/>
    <x v="1"/>
    <d v="2023-10-23T00:00:00"/>
    <n v="1"/>
    <n v="240"/>
    <n v="0.86"/>
    <s v="Normal"/>
    <n v="2023"/>
    <s v="October"/>
  </r>
  <r>
    <n v="403"/>
    <n v="356"/>
    <x v="0"/>
    <x v="3"/>
    <x v="0"/>
    <d v="2022-09-01T00:00:00"/>
    <x v="94"/>
    <n v="3015"/>
    <n v="2646"/>
    <n v="369"/>
    <x v="0"/>
    <n v="9"/>
    <x v="1"/>
    <d v="2023-06-13T00:00:00"/>
    <n v="1"/>
    <n v="241"/>
    <n v="0.12"/>
    <s v="Normal"/>
    <n v="2023"/>
    <s v="June"/>
  </r>
  <r>
    <n v="406"/>
    <n v="230"/>
    <x v="1"/>
    <x v="1"/>
    <x v="0"/>
    <d v="2022-05-18T00:00:00"/>
    <x v="79"/>
    <n v="4778"/>
    <n v="7461"/>
    <n v="-2683"/>
    <x v="2"/>
    <n v="14"/>
    <x v="1"/>
    <d v="2023-08-07T00:00:00"/>
    <n v="1"/>
    <n v="242"/>
    <n v="-0.56000000000000005"/>
    <s v="Normal"/>
    <n v="2023"/>
    <s v="August"/>
  </r>
  <r>
    <n v="408"/>
    <n v="341"/>
    <x v="1"/>
    <x v="3"/>
    <x v="1"/>
    <d v="2022-07-05T00:00:00"/>
    <x v="208"/>
    <n v="324"/>
    <n v="7173"/>
    <n v="-6849"/>
    <x v="1"/>
    <n v="19"/>
    <x v="1"/>
    <d v="2024-02-09T00:00:00"/>
    <n v="0"/>
    <n v="243"/>
    <n v="-21.14"/>
    <s v="Outlier"/>
    <n v="2024"/>
    <s v="February"/>
  </r>
  <r>
    <n v="409"/>
    <n v="198"/>
    <x v="2"/>
    <x v="2"/>
    <x v="0"/>
    <d v="2022-05-16T00:00:00"/>
    <x v="119"/>
    <n v="5030"/>
    <n v="6655"/>
    <n v="-1625"/>
    <x v="1"/>
    <n v="18"/>
    <x v="1"/>
    <d v="2023-11-17T00:00:00"/>
    <n v="1"/>
    <n v="244"/>
    <n v="-0.32"/>
    <s v="Normal"/>
    <n v="2023"/>
    <s v="November"/>
  </r>
  <r>
    <n v="410"/>
    <n v="499"/>
    <x v="3"/>
    <x v="1"/>
    <x v="1"/>
    <d v="2022-10-17T00:00:00"/>
    <x v="55"/>
    <n v="4967.93"/>
    <n v="4012.75"/>
    <n v="-416"/>
    <x v="0"/>
    <n v="12"/>
    <x v="1"/>
    <d v="2023-11-06T00:00:00"/>
    <n v="1"/>
    <n v="245"/>
    <n v="-0.08"/>
    <s v="Normal"/>
    <n v="2023"/>
    <s v="November"/>
  </r>
  <r>
    <n v="413"/>
    <n v="257"/>
    <x v="1"/>
    <x v="3"/>
    <x v="0"/>
    <d v="2022-03-14T00:00:00"/>
    <x v="32"/>
    <n v="479"/>
    <n v="259"/>
    <n v="220"/>
    <x v="1"/>
    <n v="15"/>
    <x v="1"/>
    <d v="2023-06-19T00:00:00"/>
    <n v="1"/>
    <n v="246"/>
    <n v="0.46"/>
    <s v="Normal"/>
    <n v="2023"/>
    <s v="June"/>
  </r>
  <r>
    <n v="418"/>
    <n v="284"/>
    <x v="1"/>
    <x v="0"/>
    <x v="0"/>
    <d v="2022-12-08T00:00:00"/>
    <x v="209"/>
    <n v="7553"/>
    <n v="1664"/>
    <n v="5889"/>
    <x v="1"/>
    <n v="5"/>
    <x v="0"/>
    <d v="2023-05-23T00:00:00"/>
    <n v="1"/>
    <n v="247"/>
    <n v="0.78"/>
    <s v="Normal"/>
    <n v="2023"/>
    <s v="May"/>
  </r>
  <r>
    <n v="420"/>
    <n v="468"/>
    <x v="0"/>
    <x v="2"/>
    <x v="0"/>
    <d v="2022-03-30T00:00:00"/>
    <x v="82"/>
    <n v="7045"/>
    <n v="5451"/>
    <n v="1594"/>
    <x v="0"/>
    <n v="13"/>
    <x v="1"/>
    <d v="2023-05-28T00:00:00"/>
    <n v="1"/>
    <n v="248"/>
    <n v="0.23"/>
    <s v="Normal"/>
    <n v="2023"/>
    <s v="May"/>
  </r>
  <r>
    <n v="421"/>
    <n v="265"/>
    <x v="3"/>
    <x v="3"/>
    <x v="1"/>
    <d v="2022-08-23T00:00:00"/>
    <x v="210"/>
    <n v="4967.93"/>
    <n v="7305"/>
    <n v="-8923"/>
    <x v="2"/>
    <n v="12"/>
    <x v="1"/>
    <d v="2023-09-12T00:00:00"/>
    <n v="0"/>
    <n v="249"/>
    <n v="-1.8"/>
    <s v="Outlier"/>
    <n v="2023"/>
    <s v="September"/>
  </r>
  <r>
    <n v="422"/>
    <n v="234"/>
    <x v="3"/>
    <x v="0"/>
    <x v="0"/>
    <d v="2022-07-26T00:00:00"/>
    <x v="211"/>
    <n v="6867"/>
    <n v="859"/>
    <n v="577.01"/>
    <x v="0"/>
    <n v="13"/>
    <x v="1"/>
    <d v="2023-09-21T00:00:00"/>
    <n v="1"/>
    <n v="250"/>
    <n v="0.08"/>
    <s v="Normal"/>
    <n v="2023"/>
    <s v="September"/>
  </r>
  <r>
    <n v="423"/>
    <n v="222"/>
    <x v="1"/>
    <x v="1"/>
    <x v="0"/>
    <d v="2022-01-04T00:00:00"/>
    <x v="212"/>
    <n v="6287"/>
    <n v="4012.75"/>
    <n v="7158"/>
    <x v="1"/>
    <n v="11"/>
    <x v="1"/>
    <d v="2022-12-07T00:00:00"/>
    <n v="0"/>
    <n v="251"/>
    <n v="1.1399999999999999"/>
    <s v="Outlier"/>
    <n v="2022"/>
    <s v="December"/>
  </r>
  <r>
    <n v="426"/>
    <n v="397"/>
    <x v="1"/>
    <x v="2"/>
    <x v="2"/>
    <d v="2022-04-18T00:00:00"/>
    <x v="156"/>
    <n v="6829"/>
    <n v="4012.75"/>
    <n v="7367"/>
    <x v="0"/>
    <n v="10"/>
    <x v="1"/>
    <d v="2023-02-24T00:00:00"/>
    <n v="0"/>
    <n v="252"/>
    <n v="1.08"/>
    <s v="Outlier"/>
    <n v="2023"/>
    <s v="February"/>
  </r>
  <r>
    <n v="429"/>
    <n v="454"/>
    <x v="2"/>
    <x v="1"/>
    <x v="2"/>
    <d v="2022-04-05T00:00:00"/>
    <x v="213"/>
    <n v="3774"/>
    <n v="6183"/>
    <n v="-2409"/>
    <x v="0"/>
    <n v="15"/>
    <x v="1"/>
    <d v="2023-07-19T00:00:00"/>
    <n v="0"/>
    <n v="253"/>
    <n v="-0.64"/>
    <s v="Normal"/>
    <n v="2023"/>
    <s v="July"/>
  </r>
  <r>
    <n v="431"/>
    <n v="202"/>
    <x v="3"/>
    <x v="0"/>
    <x v="2"/>
    <d v="2022-11-26T00:00:00"/>
    <x v="214"/>
    <n v="1644"/>
    <n v="1232"/>
    <n v="412"/>
    <x v="1"/>
    <n v="1"/>
    <x v="0"/>
    <d v="2023-01-10T00:00:00"/>
    <n v="1"/>
    <n v="254"/>
    <n v="0.25"/>
    <s v="Normal"/>
    <n v="2023"/>
    <s v="January"/>
  </r>
  <r>
    <n v="432"/>
    <n v="463"/>
    <x v="1"/>
    <x v="2"/>
    <x v="1"/>
    <d v="2022-05-19T00:00:00"/>
    <x v="176"/>
    <n v="5360"/>
    <n v="4012.75"/>
    <n v="5643"/>
    <x v="0"/>
    <n v="2"/>
    <x v="0"/>
    <d v="2022-08-14T00:00:00"/>
    <n v="0"/>
    <n v="255"/>
    <n v="1.05"/>
    <s v="Outlier"/>
    <n v="2022"/>
    <s v="August"/>
  </r>
  <r>
    <n v="435"/>
    <n v="265"/>
    <x v="1"/>
    <x v="3"/>
    <x v="1"/>
    <d v="2022-04-25T00:00:00"/>
    <x v="145"/>
    <n v="8293"/>
    <n v="3971"/>
    <n v="4322"/>
    <x v="0"/>
    <n v="8"/>
    <x v="1"/>
    <d v="2023-01-09T00:00:00"/>
    <n v="1"/>
    <n v="256"/>
    <n v="0.52"/>
    <s v="Normal"/>
    <n v="2023"/>
    <s v="January"/>
  </r>
  <r>
    <n v="436"/>
    <n v="383"/>
    <x v="0"/>
    <x v="3"/>
    <x v="1"/>
    <d v="2022-04-25T00:00:00"/>
    <x v="215"/>
    <n v="7756"/>
    <n v="6223"/>
    <n v="1533"/>
    <x v="1"/>
    <n v="15"/>
    <x v="1"/>
    <d v="2023-08-22T00:00:00"/>
    <n v="1"/>
    <n v="257"/>
    <n v="0.2"/>
    <s v="Normal"/>
    <n v="2023"/>
    <s v="August"/>
  </r>
  <r>
    <n v="437"/>
    <n v="220"/>
    <x v="3"/>
    <x v="0"/>
    <x v="2"/>
    <d v="2022-12-14T00:00:00"/>
    <x v="216"/>
    <n v="4458"/>
    <n v="6333"/>
    <n v="577.01"/>
    <x v="2"/>
    <n v="6"/>
    <x v="2"/>
    <d v="2023-07-10T00:00:00"/>
    <n v="0"/>
    <n v="258"/>
    <n v="0.13"/>
    <s v="Normal"/>
    <n v="2023"/>
    <s v="July"/>
  </r>
  <r>
    <n v="440"/>
    <n v="446"/>
    <x v="0"/>
    <x v="2"/>
    <x v="1"/>
    <d v="2022-04-09T00:00:00"/>
    <x v="217"/>
    <n v="1674"/>
    <n v="5765"/>
    <n v="-4091"/>
    <x v="1"/>
    <n v="13"/>
    <x v="1"/>
    <d v="2023-05-17T00:00:00"/>
    <n v="1"/>
    <n v="259"/>
    <n v="-2.44"/>
    <s v="Outlier"/>
    <n v="2023"/>
    <s v="May"/>
  </r>
  <r>
    <n v="441"/>
    <n v="251"/>
    <x v="1"/>
    <x v="1"/>
    <x v="2"/>
    <d v="2022-05-06T00:00:00"/>
    <x v="218"/>
    <n v="9178"/>
    <n v="888"/>
    <n v="577.01"/>
    <x v="1"/>
    <n v="7"/>
    <x v="1"/>
    <d v="2022-12-27T00:00:00"/>
    <n v="0"/>
    <n v="260"/>
    <n v="0.06"/>
    <s v="Normal"/>
    <n v="2022"/>
    <s v="December"/>
  </r>
  <r>
    <n v="442"/>
    <n v="155"/>
    <x v="2"/>
    <x v="2"/>
    <x v="0"/>
    <d v="2022-02-11T00:00:00"/>
    <x v="219"/>
    <n v="3475"/>
    <n v="7564"/>
    <n v="-4089"/>
    <x v="1"/>
    <n v="11"/>
    <x v="1"/>
    <d v="2023-02-05T00:00:00"/>
    <n v="1"/>
    <n v="261"/>
    <n v="-1.18"/>
    <s v="Outlier"/>
    <n v="2023"/>
    <s v="February"/>
  </r>
  <r>
    <n v="443"/>
    <n v="333"/>
    <x v="2"/>
    <x v="3"/>
    <x v="2"/>
    <d v="2022-11-11T00:00:00"/>
    <x v="220"/>
    <n v="7546"/>
    <n v="4012.75"/>
    <n v="8450"/>
    <x v="0"/>
    <n v="4"/>
    <x v="0"/>
    <d v="2023-03-29T00:00:00"/>
    <n v="1"/>
    <n v="262"/>
    <n v="1.1200000000000001"/>
    <s v="Outlier"/>
    <n v="2023"/>
    <s v="March"/>
  </r>
  <r>
    <n v="445"/>
    <n v="130"/>
    <x v="1"/>
    <x v="0"/>
    <x v="1"/>
    <d v="2022-11-19T00:00:00"/>
    <x v="221"/>
    <n v="15"/>
    <n v="3275"/>
    <n v="-3260"/>
    <x v="1"/>
    <n v="14"/>
    <x v="1"/>
    <d v="2024-02-17T00:00:00"/>
    <n v="0"/>
    <n v="263"/>
    <n v="-217.33"/>
    <s v="Outlier"/>
    <n v="2024"/>
    <s v="February"/>
  </r>
  <r>
    <n v="454"/>
    <n v="185"/>
    <x v="3"/>
    <x v="2"/>
    <x v="2"/>
    <d v="2022-11-01T00:00:00"/>
    <x v="222"/>
    <n v="3430"/>
    <n v="4717"/>
    <n v="-1287"/>
    <x v="2"/>
    <n v="18"/>
    <x v="1"/>
    <d v="2024-05-15T00:00:00"/>
    <n v="0"/>
    <n v="264"/>
    <n v="-0.38"/>
    <s v="Normal"/>
    <n v="2024"/>
    <s v="May"/>
  </r>
  <r>
    <n v="456"/>
    <n v="226"/>
    <x v="4"/>
    <x v="2"/>
    <x v="0"/>
    <d v="2022-05-11T00:00:00"/>
    <x v="186"/>
    <n v="1971"/>
    <n v="6055"/>
    <n v="-4084"/>
    <x v="2"/>
    <n v="10"/>
    <x v="1"/>
    <d v="2023-04-03T00:00:00"/>
    <n v="0"/>
    <n v="265"/>
    <n v="-2.0699999999999998"/>
    <s v="Outlier"/>
    <n v="2023"/>
    <s v="April"/>
  </r>
  <r>
    <n v="457"/>
    <n v="235"/>
    <x v="3"/>
    <x v="0"/>
    <x v="0"/>
    <d v="2022-08-21T00:00:00"/>
    <x v="223"/>
    <n v="5833"/>
    <n v="4920"/>
    <n v="577.01"/>
    <x v="1"/>
    <n v="12"/>
    <x v="1"/>
    <d v="2023-08-23T00:00:00"/>
    <n v="1"/>
    <n v="266"/>
    <n v="0.1"/>
    <s v="Normal"/>
    <n v="2023"/>
    <s v="August"/>
  </r>
  <r>
    <n v="460"/>
    <n v="155"/>
    <x v="3"/>
    <x v="1"/>
    <x v="2"/>
    <d v="2022-04-18T00:00:00"/>
    <x v="224"/>
    <n v="1926"/>
    <n v="1150"/>
    <n v="776"/>
    <x v="2"/>
    <n v="8"/>
    <x v="1"/>
    <d v="2022-12-24T00:00:00"/>
    <n v="0"/>
    <n v="267"/>
    <n v="0.4"/>
    <s v="Normal"/>
    <n v="2022"/>
    <s v="December"/>
  </r>
  <r>
    <n v="463"/>
    <n v="246"/>
    <x v="0"/>
    <x v="0"/>
    <x v="1"/>
    <d v="2022-07-28T00:00:00"/>
    <x v="225"/>
    <n v="2205"/>
    <n v="6897"/>
    <n v="-4692"/>
    <x v="1"/>
    <n v="14"/>
    <x v="1"/>
    <d v="2023-10-26T00:00:00"/>
    <n v="1"/>
    <n v="268"/>
    <n v="-2.13"/>
    <s v="Outlier"/>
    <n v="2023"/>
    <s v="October"/>
  </r>
  <r>
    <n v="465"/>
    <n v="155"/>
    <x v="0"/>
    <x v="1"/>
    <x v="1"/>
    <d v="2022-03-26T00:00:00"/>
    <x v="226"/>
    <n v="8099"/>
    <n v="3170"/>
    <n v="4929"/>
    <x v="1"/>
    <n v="5"/>
    <x v="0"/>
    <d v="2022-09-03T00:00:00"/>
    <n v="0"/>
    <n v="269"/>
    <n v="0.61"/>
    <s v="Normal"/>
    <n v="2022"/>
    <s v="September"/>
  </r>
  <r>
    <n v="466"/>
    <n v="454"/>
    <x v="3"/>
    <x v="0"/>
    <x v="2"/>
    <d v="2022-05-21T00:00:00"/>
    <x v="227"/>
    <n v="2677"/>
    <n v="2636"/>
    <n v="41"/>
    <x v="1"/>
    <n v="4"/>
    <x v="0"/>
    <d v="2022-09-21T00:00:00"/>
    <n v="1"/>
    <n v="270"/>
    <n v="0.02"/>
    <s v="Normal"/>
    <n v="2022"/>
    <s v="September"/>
  </r>
  <r>
    <n v="468"/>
    <n v="410"/>
    <x v="3"/>
    <x v="3"/>
    <x v="1"/>
    <d v="2022-07-31T00:00:00"/>
    <x v="228"/>
    <n v="1400"/>
    <n v="745"/>
    <n v="655"/>
    <x v="2"/>
    <n v="1"/>
    <x v="0"/>
    <d v="2022-09-08T00:00:00"/>
    <n v="0"/>
    <n v="271"/>
    <n v="0.47"/>
    <s v="Normal"/>
    <n v="2022"/>
    <s v="September"/>
  </r>
  <r>
    <n v="469"/>
    <n v="474"/>
    <x v="2"/>
    <x v="1"/>
    <x v="2"/>
    <d v="2022-09-14T00:00:00"/>
    <x v="229"/>
    <n v="4967.93"/>
    <n v="3703"/>
    <n v="-5399"/>
    <x v="1"/>
    <n v="12"/>
    <x v="1"/>
    <d v="2023-09-26T00:00:00"/>
    <n v="0"/>
    <n v="272"/>
    <n v="-1.0900000000000001"/>
    <s v="Outlier"/>
    <n v="2023"/>
    <s v="September"/>
  </r>
  <r>
    <n v="471"/>
    <n v="434"/>
    <x v="1"/>
    <x v="2"/>
    <x v="0"/>
    <d v="2022-08-29T00:00:00"/>
    <x v="230"/>
    <n v="4967.93"/>
    <n v="7041"/>
    <n v="-8997"/>
    <x v="1"/>
    <n v="4"/>
    <x v="0"/>
    <d v="2023-01-07T00:00:00"/>
    <n v="0"/>
    <n v="273"/>
    <n v="-1.81"/>
    <s v="Outlier"/>
    <n v="2023"/>
    <s v="January"/>
  </r>
  <r>
    <n v="472"/>
    <n v="181"/>
    <x v="2"/>
    <x v="0"/>
    <x v="0"/>
    <d v="2022-02-16T00:00:00"/>
    <x v="231"/>
    <n v="5025"/>
    <n v="1457"/>
    <n v="3568"/>
    <x v="1"/>
    <n v="11"/>
    <x v="1"/>
    <d v="2023-01-24T00:00:00"/>
    <n v="1"/>
    <n v="274"/>
    <n v="0.71"/>
    <s v="Normal"/>
    <n v="2023"/>
    <s v="January"/>
  </r>
  <r>
    <n v="473"/>
    <n v="457"/>
    <x v="2"/>
    <x v="2"/>
    <x v="0"/>
    <d v="2022-05-22T00:00:00"/>
    <x v="232"/>
    <n v="1561"/>
    <n v="5346"/>
    <n v="-3785"/>
    <x v="2"/>
    <n v="10"/>
    <x v="1"/>
    <d v="2023-04-17T00:00:00"/>
    <n v="0"/>
    <n v="275"/>
    <n v="-2.42"/>
    <s v="Outlier"/>
    <n v="2023"/>
    <s v="April"/>
  </r>
  <r>
    <n v="474"/>
    <n v="418"/>
    <x v="2"/>
    <x v="0"/>
    <x v="2"/>
    <d v="2022-10-24T00:00:00"/>
    <x v="233"/>
    <n v="2214"/>
    <n v="7258"/>
    <n v="-5044"/>
    <x v="2"/>
    <n v="13"/>
    <x v="1"/>
    <d v="2023-12-23T00:00:00"/>
    <n v="1"/>
    <n v="276"/>
    <n v="-2.2799999999999998"/>
    <s v="Outlier"/>
    <n v="2023"/>
    <s v="December"/>
  </r>
  <r>
    <n v="475"/>
    <n v="315"/>
    <x v="1"/>
    <x v="1"/>
    <x v="0"/>
    <d v="2022-11-22T00:00:00"/>
    <x v="234"/>
    <n v="7048"/>
    <n v="5641"/>
    <n v="1407"/>
    <x v="1"/>
    <n v="18"/>
    <x v="1"/>
    <d v="2024-06-12T00:00:00"/>
    <n v="1"/>
    <n v="277"/>
    <n v="0.2"/>
    <s v="Normal"/>
    <n v="2024"/>
    <s v="June"/>
  </r>
  <r>
    <n v="477"/>
    <n v="259"/>
    <x v="4"/>
    <x v="0"/>
    <x v="1"/>
    <d v="2022-05-03T00:00:00"/>
    <x v="235"/>
    <n v="136"/>
    <n v="2788"/>
    <n v="-2652"/>
    <x v="1"/>
    <n v="9"/>
    <x v="1"/>
    <d v="2023-02-15T00:00:00"/>
    <n v="1"/>
    <n v="278"/>
    <n v="-19.5"/>
    <s v="Outlier"/>
    <n v="2023"/>
    <s v="February"/>
  </r>
  <r>
    <n v="483"/>
    <n v="257"/>
    <x v="0"/>
    <x v="1"/>
    <x v="1"/>
    <d v="2022-09-11T00:00:00"/>
    <x v="165"/>
    <n v="6191"/>
    <n v="6915"/>
    <n v="-724"/>
    <x v="0"/>
    <n v="10"/>
    <x v="1"/>
    <d v="2023-08-10T00:00:00"/>
    <n v="1"/>
    <n v="279"/>
    <n v="-0.12"/>
    <s v="Normal"/>
    <n v="2023"/>
    <s v="August"/>
  </r>
  <r>
    <n v="484"/>
    <n v="205"/>
    <x v="4"/>
    <x v="1"/>
    <x v="1"/>
    <d v="2022-04-07T00:00:00"/>
    <x v="236"/>
    <n v="6522"/>
    <n v="2510"/>
    <n v="4012"/>
    <x v="1"/>
    <n v="1"/>
    <x v="0"/>
    <d v="2022-05-13T00:00:00"/>
    <n v="0"/>
    <n v="280"/>
    <n v="0.62"/>
    <s v="Normal"/>
    <n v="2022"/>
    <s v="May"/>
  </r>
  <r>
    <n v="485"/>
    <n v="412"/>
    <x v="2"/>
    <x v="0"/>
    <x v="1"/>
    <d v="2022-01-30T00:00:00"/>
    <x v="214"/>
    <n v="2540"/>
    <n v="4012.75"/>
    <n v="2722"/>
    <x v="2"/>
    <n v="11"/>
    <x v="1"/>
    <d v="2023-01-10T00:00:00"/>
    <n v="1"/>
    <n v="281"/>
    <n v="1.07"/>
    <s v="Outlier"/>
    <n v="2023"/>
    <s v="January"/>
  </r>
  <r>
    <n v="486"/>
    <n v="252"/>
    <x v="0"/>
    <x v="0"/>
    <x v="2"/>
    <d v="2022-09-25T00:00:00"/>
    <x v="222"/>
    <n v="4868"/>
    <n v="6186"/>
    <n v="-1318"/>
    <x v="1"/>
    <n v="19"/>
    <x v="1"/>
    <d v="2024-05-15T00:00:00"/>
    <n v="1"/>
    <n v="282"/>
    <n v="-0.27"/>
    <s v="Normal"/>
    <n v="2024"/>
    <s v="May"/>
  </r>
  <r>
    <n v="488"/>
    <n v="119"/>
    <x v="0"/>
    <x v="3"/>
    <x v="1"/>
    <d v="2022-12-23T00:00:00"/>
    <x v="237"/>
    <n v="2235"/>
    <n v="4012.75"/>
    <n v="577.01"/>
    <x v="1"/>
    <n v="10"/>
    <x v="1"/>
    <d v="2023-11-08T00:00:00"/>
    <n v="0"/>
    <n v="283"/>
    <n v="0.26"/>
    <s v="Normal"/>
    <n v="2023"/>
    <s v="November"/>
  </r>
  <r>
    <n v="489"/>
    <n v="394"/>
    <x v="3"/>
    <x v="0"/>
    <x v="2"/>
    <d v="2022-01-03T00:00:00"/>
    <x v="238"/>
    <n v="1772"/>
    <n v="2906"/>
    <n v="-1134"/>
    <x v="1"/>
    <n v="18"/>
    <x v="1"/>
    <d v="2023-07-30T00:00:00"/>
    <n v="1"/>
    <n v="284"/>
    <n v="-0.64"/>
    <s v="Normal"/>
    <n v="2023"/>
    <s v="July"/>
  </r>
  <r>
    <n v="490"/>
    <n v="416"/>
    <x v="3"/>
    <x v="2"/>
    <x v="0"/>
    <d v="2022-08-14T00:00:00"/>
    <x v="215"/>
    <n v="5244"/>
    <n v="7838"/>
    <n v="577.01"/>
    <x v="1"/>
    <n v="12"/>
    <x v="1"/>
    <d v="2023-08-22T00:00:00"/>
    <n v="1"/>
    <n v="285"/>
    <n v="0.11"/>
    <s v="Normal"/>
    <n v="2023"/>
    <s v="August"/>
  </r>
  <r>
    <n v="491"/>
    <n v="197"/>
    <x v="1"/>
    <x v="0"/>
    <x v="0"/>
    <d v="2022-03-14T00:00:00"/>
    <x v="229"/>
    <n v="8416"/>
    <n v="4091"/>
    <n v="4325"/>
    <x v="2"/>
    <n v="18"/>
    <x v="1"/>
    <d v="2023-09-26T00:00:00"/>
    <n v="0"/>
    <n v="286"/>
    <n v="0.51"/>
    <s v="Normal"/>
    <n v="2023"/>
    <s v="September"/>
  </r>
  <r>
    <n v="492"/>
    <n v="105"/>
    <x v="0"/>
    <x v="2"/>
    <x v="1"/>
    <d v="2022-05-04T00:00:00"/>
    <x v="239"/>
    <n v="4967.93"/>
    <n v="3960"/>
    <n v="577.01"/>
    <x v="1"/>
    <n v="1"/>
    <x v="0"/>
    <d v="2022-07-03T00:00:00"/>
    <n v="0"/>
    <n v="287"/>
    <n v="0.12"/>
    <s v="Normal"/>
    <n v="2022"/>
    <s v="July"/>
  </r>
  <r>
    <n v="493"/>
    <n v="329"/>
    <x v="1"/>
    <x v="2"/>
    <x v="2"/>
    <d v="2022-10-07T00:00:00"/>
    <x v="240"/>
    <n v="4967.93"/>
    <n v="1695"/>
    <n v="-2377"/>
    <x v="0"/>
    <n v="17"/>
    <x v="1"/>
    <d v="2024-03-27T00:00:00"/>
    <n v="1"/>
    <n v="288"/>
    <n v="-0.48"/>
    <s v="Normal"/>
    <n v="2024"/>
    <s v="March"/>
  </r>
  <r>
    <n v="494"/>
    <n v="213"/>
    <x v="0"/>
    <x v="2"/>
    <x v="1"/>
    <d v="2022-07-04T00:00:00"/>
    <x v="241"/>
    <n v="4967.93"/>
    <n v="6150"/>
    <n v="-7783"/>
    <x v="0"/>
    <n v="6"/>
    <x v="2"/>
    <d v="2023-01-16T00:00:00"/>
    <n v="0"/>
    <n v="289"/>
    <n v="-1.57"/>
    <s v="Outlier"/>
    <n v="2023"/>
    <s v="January"/>
  </r>
  <r>
    <n v="497"/>
    <n v="377"/>
    <x v="2"/>
    <x v="3"/>
    <x v="2"/>
    <d v="2022-07-23T00:00:00"/>
    <x v="44"/>
    <n v="5305"/>
    <n v="6618"/>
    <n v="-1313"/>
    <x v="0"/>
    <n v="6"/>
    <x v="2"/>
    <d v="2023-02-08T00:00:00"/>
    <n v="0"/>
    <n v="290"/>
    <n v="-0.25"/>
    <s v="Normal"/>
    <n v="2023"/>
    <s v="February"/>
  </r>
  <r>
    <n v="498"/>
    <n v="474"/>
    <x v="2"/>
    <x v="1"/>
    <x v="2"/>
    <d v="2022-03-14T00:00:00"/>
    <x v="84"/>
    <n v="7865"/>
    <n v="3776"/>
    <n v="4089"/>
    <x v="1"/>
    <n v="14"/>
    <x v="1"/>
    <d v="2023-06-10T00:00:00"/>
    <n v="1"/>
    <n v="291"/>
    <n v="0.52"/>
    <s v="Normal"/>
    <n v="2023"/>
    <s v="June"/>
  </r>
  <r>
    <n v="501"/>
    <n v="224"/>
    <x v="2"/>
    <x v="2"/>
    <x v="2"/>
    <d v="2022-02-22T00:00:00"/>
    <x v="242"/>
    <n v="7274"/>
    <n v="1064"/>
    <n v="6210"/>
    <x v="1"/>
    <n v="4"/>
    <x v="0"/>
    <d v="2022-07-21T00:00:00"/>
    <n v="1"/>
    <n v="292"/>
    <n v="0.85"/>
    <s v="Normal"/>
    <n v="2022"/>
    <s v="July"/>
  </r>
  <r>
    <n v="502"/>
    <n v="185"/>
    <x v="1"/>
    <x v="1"/>
    <x v="2"/>
    <d v="2022-10-05T00:00:00"/>
    <x v="243"/>
    <n v="3628"/>
    <n v="3677"/>
    <n v="-49"/>
    <x v="1"/>
    <n v="14"/>
    <x v="1"/>
    <d v="2023-12-30T00:00:00"/>
    <n v="0"/>
    <n v="293"/>
    <n v="-0.01"/>
    <s v="Normal"/>
    <n v="2023"/>
    <s v="December"/>
  </r>
  <r>
    <n v="504"/>
    <n v="242"/>
    <x v="4"/>
    <x v="2"/>
    <x v="0"/>
    <d v="2022-08-14T00:00:00"/>
    <x v="244"/>
    <n v="4443"/>
    <n v="5832"/>
    <n v="-1389"/>
    <x v="1"/>
    <n v="4"/>
    <x v="0"/>
    <d v="2022-12-26T00:00:00"/>
    <n v="0"/>
    <n v="294"/>
    <n v="-0.31"/>
    <s v="Normal"/>
    <n v="2022"/>
    <s v="December"/>
  </r>
  <r>
    <n v="505"/>
    <n v="454"/>
    <x v="2"/>
    <x v="1"/>
    <x v="0"/>
    <d v="2022-09-28T00:00:00"/>
    <x v="245"/>
    <n v="8953"/>
    <n v="13"/>
    <n v="8940"/>
    <x v="2"/>
    <n v="19"/>
    <x v="1"/>
    <d v="2024-05-02T00:00:00"/>
    <n v="0"/>
    <n v="295"/>
    <n v="1"/>
    <s v="Normal"/>
    <n v="2024"/>
    <s v="May"/>
  </r>
  <r>
    <n v="506"/>
    <n v="195"/>
    <x v="2"/>
    <x v="2"/>
    <x v="2"/>
    <d v="2022-08-28T00:00:00"/>
    <x v="32"/>
    <n v="5139"/>
    <n v="2278"/>
    <n v="2861"/>
    <x v="1"/>
    <n v="9"/>
    <x v="1"/>
    <d v="2023-06-19T00:00:00"/>
    <n v="1"/>
    <n v="296"/>
    <n v="0.56000000000000005"/>
    <s v="Normal"/>
    <n v="2023"/>
    <s v="June"/>
  </r>
  <r>
    <n v="508"/>
    <n v="366"/>
    <x v="4"/>
    <x v="1"/>
    <x v="0"/>
    <d v="2022-05-23T00:00:00"/>
    <x v="246"/>
    <n v="8764"/>
    <n v="2867"/>
    <n v="5897"/>
    <x v="0"/>
    <n v="4"/>
    <x v="0"/>
    <d v="2022-10-05T00:00:00"/>
    <n v="0"/>
    <n v="297"/>
    <n v="0.67"/>
    <s v="Normal"/>
    <n v="2022"/>
    <s v="October"/>
  </r>
  <r>
    <n v="509"/>
    <n v="419"/>
    <x v="4"/>
    <x v="3"/>
    <x v="0"/>
    <d v="2022-07-29T00:00:00"/>
    <x v="214"/>
    <n v="4967.93"/>
    <n v="4012.75"/>
    <n v="293"/>
    <x v="1"/>
    <n v="5"/>
    <x v="0"/>
    <d v="2023-01-10T00:00:00"/>
    <n v="1"/>
    <n v="298"/>
    <n v="0.06"/>
    <s v="Normal"/>
    <n v="2023"/>
    <s v="January"/>
  </r>
  <r>
    <n v="510"/>
    <n v="261"/>
    <x v="3"/>
    <x v="3"/>
    <x v="1"/>
    <d v="2022-08-11T00:00:00"/>
    <x v="247"/>
    <n v="9833"/>
    <n v="5501"/>
    <n v="4332"/>
    <x v="0"/>
    <n v="16"/>
    <x v="1"/>
    <d v="2023-12-11T00:00:00"/>
    <n v="1"/>
    <n v="299"/>
    <n v="0.44"/>
    <s v="Normal"/>
    <n v="2023"/>
    <s v="December"/>
  </r>
  <r>
    <n v="511"/>
    <n v="237"/>
    <x v="3"/>
    <x v="1"/>
    <x v="1"/>
    <d v="2022-10-07T00:00:00"/>
    <x v="248"/>
    <n v="8651"/>
    <n v="4042"/>
    <n v="4609"/>
    <x v="1"/>
    <n v="13"/>
    <x v="1"/>
    <d v="2023-11-23T00:00:00"/>
    <n v="0"/>
    <n v="300"/>
    <n v="0.53"/>
    <s v="Normal"/>
    <n v="2023"/>
    <s v="November"/>
  </r>
  <r>
    <n v="513"/>
    <n v="132"/>
    <x v="3"/>
    <x v="3"/>
    <x v="1"/>
    <d v="2022-07-17T00:00:00"/>
    <x v="30"/>
    <n v="738"/>
    <n v="5906"/>
    <n v="-5168"/>
    <x v="2"/>
    <n v="5"/>
    <x v="0"/>
    <d v="2023-01-13T00:00:00"/>
    <n v="1"/>
    <n v="301"/>
    <n v="-7"/>
    <s v="Outlier"/>
    <n v="2023"/>
    <s v="January"/>
  </r>
  <r>
    <n v="515"/>
    <n v="260"/>
    <x v="0"/>
    <x v="1"/>
    <x v="0"/>
    <d v="2022-09-14T00:00:00"/>
    <x v="249"/>
    <n v="1001"/>
    <n v="15"/>
    <n v="986"/>
    <x v="2"/>
    <n v="18"/>
    <x v="1"/>
    <d v="2024-04-06T00:00:00"/>
    <n v="0"/>
    <n v="302"/>
    <n v="0.99"/>
    <s v="Normal"/>
    <n v="2024"/>
    <s v="April"/>
  </r>
  <r>
    <n v="516"/>
    <n v="237"/>
    <x v="0"/>
    <x v="1"/>
    <x v="2"/>
    <d v="2022-09-16T00:00:00"/>
    <x v="250"/>
    <n v="634"/>
    <n v="3176"/>
    <n v="577.01"/>
    <x v="2"/>
    <n v="3"/>
    <x v="0"/>
    <d v="2023-01-11T00:00:00"/>
    <n v="0"/>
    <n v="303"/>
    <n v="0.91"/>
    <s v="Normal"/>
    <n v="2023"/>
    <s v="January"/>
  </r>
  <r>
    <n v="518"/>
    <n v="436"/>
    <x v="1"/>
    <x v="2"/>
    <x v="1"/>
    <d v="2022-06-09T00:00:00"/>
    <x v="251"/>
    <n v="1850"/>
    <n v="1133"/>
    <n v="717"/>
    <x v="1"/>
    <n v="4"/>
    <x v="0"/>
    <d v="2022-10-09T00:00:00"/>
    <n v="1"/>
    <n v="304"/>
    <n v="0.39"/>
    <s v="Normal"/>
    <n v="2022"/>
    <s v="October"/>
  </r>
  <r>
    <n v="521"/>
    <n v="381"/>
    <x v="3"/>
    <x v="1"/>
    <x v="2"/>
    <d v="2022-06-30T00:00:00"/>
    <x v="252"/>
    <n v="6150"/>
    <n v="279"/>
    <n v="577.01"/>
    <x v="1"/>
    <n v="17"/>
    <x v="1"/>
    <d v="2023-12-12T00:00:00"/>
    <n v="0"/>
    <n v="305"/>
    <n v="0.09"/>
    <s v="Normal"/>
    <n v="2023"/>
    <s v="December"/>
  </r>
  <r>
    <n v="523"/>
    <n v="196"/>
    <x v="3"/>
    <x v="3"/>
    <x v="0"/>
    <d v="2022-08-28T00:00:00"/>
    <x v="253"/>
    <n v="6259"/>
    <n v="4012.75"/>
    <n v="6521"/>
    <x v="1"/>
    <n v="16"/>
    <x v="1"/>
    <d v="2024-01-24T00:00:00"/>
    <n v="1"/>
    <n v="306"/>
    <n v="1.04"/>
    <s v="Outlier"/>
    <n v="2024"/>
    <s v="January"/>
  </r>
  <r>
    <n v="525"/>
    <n v="191"/>
    <x v="3"/>
    <x v="3"/>
    <x v="2"/>
    <d v="2022-10-12T00:00:00"/>
    <x v="254"/>
    <n v="4091"/>
    <n v="3600"/>
    <n v="491"/>
    <x v="1"/>
    <n v="8"/>
    <x v="1"/>
    <d v="2023-07-06T00:00:00"/>
    <n v="0"/>
    <n v="307"/>
    <n v="0.12"/>
    <s v="Normal"/>
    <n v="2023"/>
    <s v="July"/>
  </r>
  <r>
    <n v="526"/>
    <n v="216"/>
    <x v="1"/>
    <x v="3"/>
    <x v="1"/>
    <d v="2022-01-27T00:00:00"/>
    <x v="255"/>
    <n v="2060"/>
    <n v="4012.75"/>
    <n v="2835"/>
    <x v="2"/>
    <n v="7"/>
    <x v="1"/>
    <d v="2022-09-25T00:00:00"/>
    <n v="1"/>
    <n v="308"/>
    <n v="1.38"/>
    <s v="Outlier"/>
    <n v="2022"/>
    <s v="September"/>
  </r>
  <r>
    <n v="528"/>
    <n v="223"/>
    <x v="3"/>
    <x v="1"/>
    <x v="2"/>
    <d v="2022-12-15T00:00:00"/>
    <x v="9"/>
    <n v="9374"/>
    <n v="3725"/>
    <n v="5649"/>
    <x v="2"/>
    <n v="10"/>
    <x v="1"/>
    <d v="2023-10-15T00:00:00"/>
    <n v="0"/>
    <n v="309"/>
    <n v="0.6"/>
    <s v="Normal"/>
    <n v="2023"/>
    <s v="October"/>
  </r>
  <r>
    <n v="529"/>
    <n v="201"/>
    <x v="3"/>
    <x v="2"/>
    <x v="0"/>
    <d v="2022-08-23T00:00:00"/>
    <x v="256"/>
    <n v="4967.93"/>
    <n v="7730"/>
    <n v="-8420"/>
    <x v="1"/>
    <n v="15"/>
    <x v="1"/>
    <d v="2023-12-10T00:00:00"/>
    <n v="0"/>
    <n v="310"/>
    <n v="-1.69"/>
    <s v="Outlier"/>
    <n v="2023"/>
    <s v="December"/>
  </r>
  <r>
    <n v="532"/>
    <n v="273"/>
    <x v="2"/>
    <x v="0"/>
    <x v="2"/>
    <d v="2022-02-28T00:00:00"/>
    <x v="107"/>
    <n v="6521"/>
    <n v="4664"/>
    <n v="1857"/>
    <x v="0"/>
    <n v="7"/>
    <x v="1"/>
    <d v="2022-10-03T00:00:00"/>
    <n v="1"/>
    <n v="311"/>
    <n v="0.28000000000000003"/>
    <s v="Normal"/>
    <n v="2022"/>
    <s v="October"/>
  </r>
  <r>
    <n v="534"/>
    <n v="209"/>
    <x v="3"/>
    <x v="0"/>
    <x v="1"/>
    <d v="2022-07-04T00:00:00"/>
    <x v="257"/>
    <n v="5960"/>
    <n v="3196"/>
    <n v="577.01"/>
    <x v="2"/>
    <n v="14"/>
    <x v="1"/>
    <d v="2023-09-11T00:00:00"/>
    <n v="1"/>
    <n v="312"/>
    <n v="0.1"/>
    <s v="Normal"/>
    <n v="2023"/>
    <s v="September"/>
  </r>
  <r>
    <n v="535"/>
    <n v="125"/>
    <x v="3"/>
    <x v="1"/>
    <x v="2"/>
    <d v="2022-03-12T00:00:00"/>
    <x v="258"/>
    <n v="4967.93"/>
    <n v="6264"/>
    <n v="-8054"/>
    <x v="2"/>
    <n v="3"/>
    <x v="0"/>
    <d v="2022-06-19T00:00:00"/>
    <n v="0"/>
    <n v="313"/>
    <n v="-1.62"/>
    <s v="Outlier"/>
    <n v="2022"/>
    <s v="June"/>
  </r>
  <r>
    <n v="537"/>
    <n v="402"/>
    <x v="1"/>
    <x v="2"/>
    <x v="2"/>
    <d v="2022-07-24T00:00:00"/>
    <x v="259"/>
    <n v="4967.93"/>
    <n v="758"/>
    <n v="-1727"/>
    <x v="1"/>
    <n v="18"/>
    <x v="1"/>
    <d v="2024-02-20T00:00:00"/>
    <n v="1"/>
    <n v="314"/>
    <n v="-0.35"/>
    <s v="Normal"/>
    <n v="2024"/>
    <s v="February"/>
  </r>
  <r>
    <n v="539"/>
    <n v="366"/>
    <x v="3"/>
    <x v="0"/>
    <x v="1"/>
    <d v="2022-05-12T00:00:00"/>
    <x v="260"/>
    <n v="3883"/>
    <n v="3100"/>
    <n v="783"/>
    <x v="1"/>
    <n v="13"/>
    <x v="1"/>
    <d v="2023-07-11T00:00:00"/>
    <n v="1"/>
    <n v="315"/>
    <n v="0.2"/>
    <s v="Normal"/>
    <n v="2023"/>
    <s v="July"/>
  </r>
  <r>
    <n v="542"/>
    <n v="494"/>
    <x v="4"/>
    <x v="1"/>
    <x v="2"/>
    <d v="2022-01-07T00:00:00"/>
    <x v="227"/>
    <n v="4967.93"/>
    <n v="7857"/>
    <n v="-8726"/>
    <x v="1"/>
    <n v="8"/>
    <x v="1"/>
    <d v="2022-09-21T00:00:00"/>
    <n v="1"/>
    <n v="316"/>
    <n v="-1.76"/>
    <s v="Outlier"/>
    <n v="2022"/>
    <s v="September"/>
  </r>
  <r>
    <n v="548"/>
    <n v="154"/>
    <x v="1"/>
    <x v="0"/>
    <x v="0"/>
    <d v="2022-02-05T00:00:00"/>
    <x v="261"/>
    <n v="3246"/>
    <n v="1929"/>
    <n v="1317"/>
    <x v="1"/>
    <n v="14"/>
    <x v="1"/>
    <d v="2023-05-02T00:00:00"/>
    <n v="0"/>
    <n v="317"/>
    <n v="0.41"/>
    <s v="Normal"/>
    <n v="2023"/>
    <s v="May"/>
  </r>
  <r>
    <n v="549"/>
    <n v="301"/>
    <x v="3"/>
    <x v="1"/>
    <x v="1"/>
    <d v="2022-02-21T00:00:00"/>
    <x v="262"/>
    <n v="4967.93"/>
    <n v="7413"/>
    <n v="577.01"/>
    <x v="1"/>
    <n v="15"/>
    <x v="1"/>
    <d v="2023-05-27T00:00:00"/>
    <n v="1"/>
    <n v="318"/>
    <n v="0.12"/>
    <s v="Normal"/>
    <n v="2023"/>
    <s v="May"/>
  </r>
  <r>
    <n v="555"/>
    <n v="470"/>
    <x v="1"/>
    <x v="0"/>
    <x v="2"/>
    <d v="2022-03-16T00:00:00"/>
    <x v="263"/>
    <n v="8802"/>
    <n v="4012.75"/>
    <n v="577.01"/>
    <x v="2"/>
    <n v="2"/>
    <x v="0"/>
    <d v="2022-06-12T00:00:00"/>
    <n v="0"/>
    <n v="319"/>
    <n v="7.0000000000000007E-2"/>
    <s v="Normal"/>
    <n v="2022"/>
    <s v="June"/>
  </r>
  <r>
    <n v="557"/>
    <n v="290"/>
    <x v="1"/>
    <x v="2"/>
    <x v="2"/>
    <d v="2022-07-12T00:00:00"/>
    <x v="264"/>
    <n v="1646"/>
    <n v="2078"/>
    <n v="-432"/>
    <x v="1"/>
    <n v="14"/>
    <x v="1"/>
    <d v="2023-09-17T00:00:00"/>
    <n v="0"/>
    <n v="320"/>
    <n v="-0.26"/>
    <s v="Normal"/>
    <n v="2023"/>
    <s v="September"/>
  </r>
  <r>
    <n v="559"/>
    <n v="181"/>
    <x v="4"/>
    <x v="2"/>
    <x v="1"/>
    <d v="2022-04-03T00:00:00"/>
    <x v="258"/>
    <n v="8192"/>
    <n v="2678"/>
    <n v="5514"/>
    <x v="2"/>
    <n v="2"/>
    <x v="0"/>
    <d v="2022-06-19T00:00:00"/>
    <n v="0"/>
    <n v="321"/>
    <n v="0.67"/>
    <s v="Normal"/>
    <n v="2022"/>
    <s v="June"/>
  </r>
  <r>
    <n v="562"/>
    <n v="253"/>
    <x v="0"/>
    <x v="1"/>
    <x v="0"/>
    <d v="2022-11-24T00:00:00"/>
    <x v="265"/>
    <n v="4967.93"/>
    <n v="4012.75"/>
    <n v="-375"/>
    <x v="1"/>
    <n v="13"/>
    <x v="1"/>
    <d v="2024-01-16T00:00:00"/>
    <n v="1"/>
    <n v="322"/>
    <n v="-0.08"/>
    <s v="Normal"/>
    <n v="2024"/>
    <s v="January"/>
  </r>
  <r>
    <n v="565"/>
    <n v="317"/>
    <x v="1"/>
    <x v="2"/>
    <x v="0"/>
    <d v="2022-10-16T00:00:00"/>
    <x v="266"/>
    <n v="7800"/>
    <n v="5002"/>
    <n v="2798"/>
    <x v="1"/>
    <n v="12"/>
    <x v="1"/>
    <d v="2023-11-09T00:00:00"/>
    <n v="1"/>
    <n v="323"/>
    <n v="0.36"/>
    <s v="Normal"/>
    <n v="2023"/>
    <s v="November"/>
  </r>
  <r>
    <n v="566"/>
    <n v="386"/>
    <x v="1"/>
    <x v="1"/>
    <x v="0"/>
    <d v="2022-05-10T00:00:00"/>
    <x v="267"/>
    <n v="4967.93"/>
    <n v="7087"/>
    <n v="-7679"/>
    <x v="0"/>
    <n v="1"/>
    <x v="0"/>
    <d v="2022-06-10T00:00:00"/>
    <n v="0"/>
    <n v="324"/>
    <n v="-1.55"/>
    <s v="Outlier"/>
    <n v="2022"/>
    <s v="June"/>
  </r>
  <r>
    <n v="567"/>
    <n v="185"/>
    <x v="1"/>
    <x v="1"/>
    <x v="1"/>
    <d v="2022-09-08T00:00:00"/>
    <x v="156"/>
    <n v="4967.93"/>
    <n v="6799"/>
    <n v="-7262"/>
    <x v="1"/>
    <n v="5"/>
    <x v="0"/>
    <d v="2023-02-24T00:00:00"/>
    <n v="1"/>
    <n v="325"/>
    <n v="-1.46"/>
    <s v="Outlier"/>
    <n v="2023"/>
    <s v="February"/>
  </r>
  <r>
    <n v="568"/>
    <n v="310"/>
    <x v="4"/>
    <x v="3"/>
    <x v="0"/>
    <d v="2022-12-16T00:00:00"/>
    <x v="259"/>
    <n v="2547"/>
    <n v="6970"/>
    <n v="-4423"/>
    <x v="1"/>
    <n v="14"/>
    <x v="1"/>
    <d v="2024-02-20T00:00:00"/>
    <n v="0"/>
    <n v="326"/>
    <n v="-1.74"/>
    <s v="Outlier"/>
    <n v="2024"/>
    <s v="February"/>
  </r>
  <r>
    <n v="570"/>
    <n v="351"/>
    <x v="4"/>
    <x v="3"/>
    <x v="1"/>
    <d v="2022-12-31T00:00:00"/>
    <x v="268"/>
    <n v="4967.93"/>
    <n v="223"/>
    <n v="-1194"/>
    <x v="1"/>
    <n v="11"/>
    <x v="1"/>
    <d v="2023-12-06T00:00:00"/>
    <n v="0"/>
    <n v="327"/>
    <n v="-0.24"/>
    <s v="Normal"/>
    <n v="2023"/>
    <s v="December"/>
  </r>
  <r>
    <n v="572"/>
    <n v="269"/>
    <x v="4"/>
    <x v="2"/>
    <x v="1"/>
    <d v="2022-05-23T00:00:00"/>
    <x v="269"/>
    <n v="7046"/>
    <n v="2930"/>
    <n v="4116"/>
    <x v="1"/>
    <n v="14"/>
    <x v="1"/>
    <d v="2023-08-02T00:00:00"/>
    <n v="0"/>
    <n v="328"/>
    <n v="0.57999999999999996"/>
    <s v="Normal"/>
    <n v="2023"/>
    <s v="August"/>
  </r>
  <r>
    <n v="574"/>
    <n v="131"/>
    <x v="4"/>
    <x v="2"/>
    <x v="1"/>
    <d v="2022-03-15T00:00:00"/>
    <x v="179"/>
    <n v="2805"/>
    <n v="4886"/>
    <n v="577.01"/>
    <x v="2"/>
    <n v="12"/>
    <x v="1"/>
    <d v="2023-03-18T00:00:00"/>
    <n v="1"/>
    <n v="329"/>
    <n v="0.21"/>
    <s v="Normal"/>
    <n v="2023"/>
    <s v="March"/>
  </r>
  <r>
    <n v="575"/>
    <n v="354"/>
    <x v="3"/>
    <x v="3"/>
    <x v="0"/>
    <d v="2022-03-25T00:00:00"/>
    <x v="270"/>
    <n v="6101"/>
    <n v="2024"/>
    <n v="577.01"/>
    <x v="0"/>
    <n v="17"/>
    <x v="1"/>
    <d v="2023-09-09T00:00:00"/>
    <n v="0"/>
    <n v="330"/>
    <n v="0.09"/>
    <s v="Normal"/>
    <n v="2023"/>
    <s v="September"/>
  </r>
  <r>
    <n v="577"/>
    <n v="105"/>
    <x v="2"/>
    <x v="3"/>
    <x v="2"/>
    <d v="2022-08-17T00:00:00"/>
    <x v="59"/>
    <n v="7979"/>
    <n v="3014"/>
    <n v="4965"/>
    <x v="0"/>
    <n v="7"/>
    <x v="1"/>
    <d v="2023-03-25T00:00:00"/>
    <n v="0"/>
    <n v="331"/>
    <n v="0.62"/>
    <s v="Normal"/>
    <n v="2023"/>
    <s v="March"/>
  </r>
  <r>
    <n v="580"/>
    <n v="435"/>
    <x v="1"/>
    <x v="3"/>
    <x v="2"/>
    <d v="2022-09-22T00:00:00"/>
    <x v="271"/>
    <n v="3576"/>
    <n v="411"/>
    <n v="3165"/>
    <x v="1"/>
    <n v="12"/>
    <x v="1"/>
    <d v="2023-09-29T00:00:00"/>
    <n v="1"/>
    <n v="332"/>
    <n v="0.89"/>
    <s v="Normal"/>
    <n v="2023"/>
    <s v="September"/>
  </r>
  <r>
    <n v="581"/>
    <n v="365"/>
    <x v="4"/>
    <x v="0"/>
    <x v="0"/>
    <d v="2022-05-22T00:00:00"/>
    <x v="272"/>
    <n v="7849"/>
    <n v="4012.75"/>
    <n v="577.01"/>
    <x v="1"/>
    <n v="13"/>
    <x v="1"/>
    <d v="2023-07-01T00:00:00"/>
    <n v="1"/>
    <n v="333"/>
    <n v="7.0000000000000007E-2"/>
    <s v="Normal"/>
    <n v="2023"/>
    <s v="July"/>
  </r>
  <r>
    <n v="582"/>
    <n v="107"/>
    <x v="1"/>
    <x v="0"/>
    <x v="2"/>
    <d v="2022-12-09T00:00:00"/>
    <x v="240"/>
    <n v="5267"/>
    <n v="4419"/>
    <n v="848"/>
    <x v="1"/>
    <n v="15"/>
    <x v="1"/>
    <d v="2024-03-27T00:00:00"/>
    <n v="0"/>
    <n v="334"/>
    <n v="0.16"/>
    <s v="Normal"/>
    <n v="2024"/>
    <s v="March"/>
  </r>
  <r>
    <n v="584"/>
    <n v="193"/>
    <x v="0"/>
    <x v="1"/>
    <x v="2"/>
    <d v="2022-04-02T00:00:00"/>
    <x v="273"/>
    <n v="9004"/>
    <n v="2672"/>
    <n v="6332"/>
    <x v="1"/>
    <n v="13"/>
    <x v="1"/>
    <d v="2023-05-03T00:00:00"/>
    <n v="0"/>
    <n v="335"/>
    <n v="0.7"/>
    <s v="Normal"/>
    <n v="2023"/>
    <s v="May"/>
  </r>
  <r>
    <n v="586"/>
    <n v="337"/>
    <x v="1"/>
    <x v="3"/>
    <x v="0"/>
    <d v="2022-10-05T00:00:00"/>
    <x v="274"/>
    <n v="5388"/>
    <n v="6010"/>
    <n v="-622"/>
    <x v="2"/>
    <n v="19"/>
    <x v="1"/>
    <d v="2024-05-11T00:00:00"/>
    <n v="1"/>
    <n v="336"/>
    <n v="-0.12"/>
    <s v="Normal"/>
    <n v="2024"/>
    <s v="May"/>
  </r>
  <r>
    <n v="588"/>
    <n v="205"/>
    <x v="2"/>
    <x v="1"/>
    <x v="2"/>
    <d v="2022-11-06T00:00:00"/>
    <x v="275"/>
    <n v="4909"/>
    <n v="215"/>
    <n v="4694"/>
    <x v="2"/>
    <n v="1"/>
    <x v="0"/>
    <d v="2022-12-15T00:00:00"/>
    <n v="0"/>
    <n v="337"/>
    <n v="0.96"/>
    <s v="Normal"/>
    <n v="2022"/>
    <s v="December"/>
  </r>
  <r>
    <n v="593"/>
    <n v="252"/>
    <x v="2"/>
    <x v="1"/>
    <x v="2"/>
    <d v="2022-03-22T00:00:00"/>
    <x v="99"/>
    <n v="8691"/>
    <n v="6132"/>
    <n v="577.01"/>
    <x v="1"/>
    <n v="11"/>
    <x v="1"/>
    <d v="2023-02-23T00:00:00"/>
    <n v="0"/>
    <n v="338"/>
    <n v="7.0000000000000007E-2"/>
    <s v="Normal"/>
    <n v="2023"/>
    <s v="February"/>
  </r>
  <r>
    <n v="594"/>
    <n v="243"/>
    <x v="2"/>
    <x v="1"/>
    <x v="1"/>
    <d v="2022-01-28T00:00:00"/>
    <x v="276"/>
    <n v="1252"/>
    <n v="5887"/>
    <n v="-4635"/>
    <x v="2"/>
    <n v="14"/>
    <x v="1"/>
    <d v="2023-04-23T00:00:00"/>
    <n v="0"/>
    <n v="339"/>
    <n v="-3.7"/>
    <s v="Outlier"/>
    <n v="2023"/>
    <s v="April"/>
  </r>
  <r>
    <n v="595"/>
    <n v="179"/>
    <x v="1"/>
    <x v="3"/>
    <x v="1"/>
    <d v="2022-11-19T00:00:00"/>
    <x v="12"/>
    <n v="4431"/>
    <n v="6075"/>
    <n v="-1644"/>
    <x v="2"/>
    <n v="6"/>
    <x v="2"/>
    <d v="2023-05-31T00:00:00"/>
    <n v="1"/>
    <n v="340"/>
    <n v="-0.37"/>
    <s v="Normal"/>
    <n v="2023"/>
    <s v="May"/>
  </r>
  <r>
    <n v="596"/>
    <n v="135"/>
    <x v="0"/>
    <x v="0"/>
    <x v="2"/>
    <d v="2022-02-19T00:00:00"/>
    <x v="277"/>
    <n v="3995"/>
    <n v="2283"/>
    <n v="1712"/>
    <x v="1"/>
    <n v="19"/>
    <x v="1"/>
    <d v="2023-10-09T00:00:00"/>
    <n v="1"/>
    <n v="341"/>
    <n v="0.43"/>
    <s v="Normal"/>
    <n v="2023"/>
    <s v="October"/>
  </r>
  <r>
    <n v="598"/>
    <n v="436"/>
    <x v="3"/>
    <x v="2"/>
    <x v="2"/>
    <d v="2022-07-12T00:00:00"/>
    <x v="63"/>
    <n v="2890"/>
    <n v="4603"/>
    <n v="-1713"/>
    <x v="1"/>
    <n v="5"/>
    <x v="0"/>
    <d v="2023-01-05T00:00:00"/>
    <n v="0"/>
    <n v="342"/>
    <n v="-0.59"/>
    <s v="Normal"/>
    <n v="2023"/>
    <s v="January"/>
  </r>
  <r>
    <n v="600"/>
    <n v="265"/>
    <x v="4"/>
    <x v="2"/>
    <x v="1"/>
    <d v="2022-05-05T00:00:00"/>
    <x v="247"/>
    <n v="6227"/>
    <n v="4736"/>
    <n v="1491"/>
    <x v="0"/>
    <n v="19"/>
    <x v="1"/>
    <d v="2023-12-11T00:00:00"/>
    <n v="0"/>
    <n v="343"/>
    <n v="0.24"/>
    <s v="Normal"/>
    <n v="2023"/>
    <s v="December"/>
  </r>
  <r>
    <n v="601"/>
    <n v="300"/>
    <x v="4"/>
    <x v="0"/>
    <x v="2"/>
    <d v="2022-09-03T00:00:00"/>
    <x v="278"/>
    <n v="55"/>
    <n v="4012.75"/>
    <n v="187"/>
    <x v="1"/>
    <n v="4"/>
    <x v="0"/>
    <d v="2023-01-03T00:00:00"/>
    <n v="0"/>
    <n v="344"/>
    <n v="3.4"/>
    <s v="Outlier"/>
    <n v="2023"/>
    <s v="January"/>
  </r>
  <r>
    <n v="603"/>
    <n v="358"/>
    <x v="1"/>
    <x v="3"/>
    <x v="0"/>
    <d v="2022-02-02T00:00:00"/>
    <x v="279"/>
    <n v="8453"/>
    <n v="7263"/>
    <n v="1190"/>
    <x v="1"/>
    <n v="1"/>
    <x v="0"/>
    <d v="2022-03-24T00:00:00"/>
    <n v="1"/>
    <n v="345"/>
    <n v="0.14000000000000001"/>
    <s v="Normal"/>
    <n v="2022"/>
    <s v="March"/>
  </r>
  <r>
    <n v="606"/>
    <n v="401"/>
    <x v="1"/>
    <x v="1"/>
    <x v="0"/>
    <d v="2022-07-04T00:00:00"/>
    <x v="280"/>
    <n v="2036"/>
    <n v="3302"/>
    <n v="-1266"/>
    <x v="2"/>
    <n v="14"/>
    <x v="1"/>
    <d v="2023-09-06T00:00:00"/>
    <n v="1"/>
    <n v="346"/>
    <n v="-0.62"/>
    <s v="Normal"/>
    <n v="2023"/>
    <s v="September"/>
  </r>
  <r>
    <n v="607"/>
    <n v="492"/>
    <x v="2"/>
    <x v="0"/>
    <x v="2"/>
    <d v="2022-11-16T00:00:00"/>
    <x v="281"/>
    <n v="6742"/>
    <n v="1993"/>
    <n v="4749"/>
    <x v="2"/>
    <n v="19"/>
    <x v="1"/>
    <d v="2024-06-17T00:00:00"/>
    <n v="0"/>
    <n v="347"/>
    <n v="0.7"/>
    <s v="Normal"/>
    <n v="2024"/>
    <s v="June"/>
  </r>
  <r>
    <n v="611"/>
    <n v="415"/>
    <x v="0"/>
    <x v="1"/>
    <x v="1"/>
    <d v="2022-03-08T00:00:00"/>
    <x v="282"/>
    <n v="4967.93"/>
    <n v="3175"/>
    <n v="-3454"/>
    <x v="2"/>
    <n v="7"/>
    <x v="1"/>
    <d v="2022-10-30T00:00:00"/>
    <n v="1"/>
    <n v="348"/>
    <n v="-0.7"/>
    <s v="Normal"/>
    <n v="2022"/>
    <s v="October"/>
  </r>
  <r>
    <n v="612"/>
    <n v="239"/>
    <x v="4"/>
    <x v="0"/>
    <x v="2"/>
    <d v="2022-08-21T00:00:00"/>
    <x v="249"/>
    <n v="5179"/>
    <n v="1532"/>
    <n v="3647"/>
    <x v="0"/>
    <n v="19"/>
    <x v="1"/>
    <d v="2024-04-06T00:00:00"/>
    <n v="1"/>
    <n v="349"/>
    <n v="0.7"/>
    <s v="Normal"/>
    <n v="2024"/>
    <s v="April"/>
  </r>
  <r>
    <n v="613"/>
    <n v="445"/>
    <x v="2"/>
    <x v="2"/>
    <x v="1"/>
    <d v="2022-04-20T00:00:00"/>
    <x v="283"/>
    <n v="7340"/>
    <n v="6791"/>
    <n v="549"/>
    <x v="2"/>
    <n v="11"/>
    <x v="1"/>
    <d v="2023-04-12T00:00:00"/>
    <n v="0"/>
    <n v="350"/>
    <n v="7.0000000000000007E-2"/>
    <s v="Normal"/>
    <n v="2023"/>
    <s v="April"/>
  </r>
  <r>
    <n v="614"/>
    <n v="433"/>
    <x v="4"/>
    <x v="1"/>
    <x v="1"/>
    <d v="2022-05-29T00:00:00"/>
    <x v="284"/>
    <n v="1303"/>
    <n v="2398"/>
    <n v="-1095"/>
    <x v="2"/>
    <n v="9"/>
    <x v="1"/>
    <d v="2023-03-02T00:00:00"/>
    <n v="1"/>
    <n v="351"/>
    <n v="-0.84"/>
    <s v="Normal"/>
    <n v="2023"/>
    <s v="March"/>
  </r>
  <r>
    <n v="615"/>
    <n v="336"/>
    <x v="0"/>
    <x v="3"/>
    <x v="2"/>
    <d v="2022-03-25T00:00:00"/>
    <x v="262"/>
    <n v="4967.93"/>
    <n v="4342"/>
    <n v="-4508"/>
    <x v="2"/>
    <n v="14"/>
    <x v="1"/>
    <d v="2023-05-27T00:00:00"/>
    <n v="1"/>
    <n v="352"/>
    <n v="-0.91"/>
    <s v="Normal"/>
    <n v="2023"/>
    <s v="May"/>
  </r>
  <r>
    <n v="616"/>
    <n v="232"/>
    <x v="3"/>
    <x v="3"/>
    <x v="0"/>
    <d v="2022-02-06T00:00:00"/>
    <x v="285"/>
    <n v="2908"/>
    <n v="7268"/>
    <n v="-4360"/>
    <x v="2"/>
    <n v="6"/>
    <x v="2"/>
    <d v="2022-08-20T00:00:00"/>
    <n v="0"/>
    <n v="353"/>
    <n v="-1.5"/>
    <s v="Outlier"/>
    <n v="2022"/>
    <s v="August"/>
  </r>
  <r>
    <n v="617"/>
    <n v="383"/>
    <x v="3"/>
    <x v="0"/>
    <x v="1"/>
    <d v="2022-08-31T00:00:00"/>
    <x v="10"/>
    <n v="5593"/>
    <n v="1946"/>
    <n v="3647"/>
    <x v="1"/>
    <n v="11"/>
    <x v="1"/>
    <d v="2023-08-29T00:00:00"/>
    <n v="0"/>
    <n v="354"/>
    <n v="0.65"/>
    <s v="Normal"/>
    <n v="2023"/>
    <s v="August"/>
  </r>
  <r>
    <n v="618"/>
    <n v="463"/>
    <x v="3"/>
    <x v="0"/>
    <x v="2"/>
    <d v="2022-05-16T00:00:00"/>
    <x v="189"/>
    <n v="8373"/>
    <n v="7479"/>
    <n v="894"/>
    <x v="2"/>
    <n v="10"/>
    <x v="1"/>
    <d v="2023-04-04T00:00:00"/>
    <n v="1"/>
    <n v="355"/>
    <n v="0.11"/>
    <s v="Normal"/>
    <n v="2023"/>
    <s v="April"/>
  </r>
  <r>
    <n v="619"/>
    <n v="337"/>
    <x v="4"/>
    <x v="0"/>
    <x v="2"/>
    <d v="2022-05-03T00:00:00"/>
    <x v="36"/>
    <n v="8166"/>
    <n v="1669"/>
    <n v="6497"/>
    <x v="1"/>
    <n v="14"/>
    <x v="1"/>
    <d v="2023-07-29T00:00:00"/>
    <n v="0"/>
    <n v="356"/>
    <n v="0.8"/>
    <s v="Normal"/>
    <n v="2023"/>
    <s v="July"/>
  </r>
  <r>
    <n v="620"/>
    <n v="433"/>
    <x v="0"/>
    <x v="0"/>
    <x v="0"/>
    <d v="2022-12-18T00:00:00"/>
    <x v="286"/>
    <n v="4967.93"/>
    <n v="3869"/>
    <n v="-5169"/>
    <x v="2"/>
    <n v="2"/>
    <x v="0"/>
    <d v="2023-03-15T00:00:00"/>
    <n v="1"/>
    <n v="357"/>
    <n v="-1.04"/>
    <s v="Outlier"/>
    <n v="2023"/>
    <s v="March"/>
  </r>
  <r>
    <n v="624"/>
    <n v="268"/>
    <x v="0"/>
    <x v="1"/>
    <x v="0"/>
    <d v="2022-01-27T00:00:00"/>
    <x v="90"/>
    <n v="1523"/>
    <n v="6753"/>
    <n v="-5230"/>
    <x v="1"/>
    <n v="10"/>
    <x v="1"/>
    <d v="2022-12-18T00:00:00"/>
    <n v="1"/>
    <n v="358"/>
    <n v="-3.43"/>
    <s v="Outlier"/>
    <n v="2022"/>
    <s v="December"/>
  </r>
  <r>
    <n v="626"/>
    <n v="318"/>
    <x v="0"/>
    <x v="2"/>
    <x v="0"/>
    <d v="2022-06-09T00:00:00"/>
    <x v="23"/>
    <n v="8041"/>
    <n v="1015"/>
    <n v="7026"/>
    <x v="0"/>
    <n v="2"/>
    <x v="0"/>
    <d v="2022-08-27T00:00:00"/>
    <n v="1"/>
    <n v="359"/>
    <n v="0.87"/>
    <s v="Normal"/>
    <n v="2022"/>
    <s v="August"/>
  </r>
  <r>
    <n v="628"/>
    <n v="158"/>
    <x v="2"/>
    <x v="2"/>
    <x v="2"/>
    <d v="2022-05-31T00:00:00"/>
    <x v="115"/>
    <n v="5401"/>
    <n v="6046"/>
    <n v="-645"/>
    <x v="0"/>
    <n v="7"/>
    <x v="1"/>
    <d v="2023-01-01T00:00:00"/>
    <n v="1"/>
    <n v="360"/>
    <n v="-0.12"/>
    <s v="Normal"/>
    <n v="2023"/>
    <s v="January"/>
  </r>
  <r>
    <n v="629"/>
    <n v="268"/>
    <x v="1"/>
    <x v="1"/>
    <x v="1"/>
    <d v="2022-11-19T00:00:00"/>
    <x v="287"/>
    <n v="4967.93"/>
    <n v="6756"/>
    <n v="-6776"/>
    <x v="1"/>
    <n v="16"/>
    <x v="1"/>
    <d v="2024-03-29T00:00:00"/>
    <n v="1"/>
    <n v="361"/>
    <n v="-1.36"/>
    <s v="Outlier"/>
    <n v="2024"/>
    <s v="March"/>
  </r>
  <r>
    <n v="630"/>
    <n v="471"/>
    <x v="4"/>
    <x v="0"/>
    <x v="0"/>
    <d v="2022-10-08T00:00:00"/>
    <x v="96"/>
    <n v="4967.93"/>
    <n v="699"/>
    <n v="-2647"/>
    <x v="1"/>
    <n v="15"/>
    <x v="1"/>
    <d v="2024-01-26T00:00:00"/>
    <n v="1"/>
    <n v="362"/>
    <n v="-0.53"/>
    <s v="Normal"/>
    <n v="2024"/>
    <s v="January"/>
  </r>
  <r>
    <n v="631"/>
    <n v="151"/>
    <x v="0"/>
    <x v="2"/>
    <x v="0"/>
    <d v="2022-06-25T00:00:00"/>
    <x v="72"/>
    <n v="3570"/>
    <n v="4012.75"/>
    <n v="3932"/>
    <x v="2"/>
    <n v="13"/>
    <x v="1"/>
    <d v="2023-08-12T00:00:00"/>
    <n v="0"/>
    <n v="363"/>
    <n v="1.1000000000000001"/>
    <s v="Outlier"/>
    <n v="2023"/>
    <s v="August"/>
  </r>
  <r>
    <n v="634"/>
    <n v="453"/>
    <x v="4"/>
    <x v="3"/>
    <x v="1"/>
    <d v="2022-07-03T00:00:00"/>
    <x v="232"/>
    <n v="4967.93"/>
    <n v="4012.75"/>
    <n v="-879"/>
    <x v="1"/>
    <n v="9"/>
    <x v="1"/>
    <d v="2023-04-17T00:00:00"/>
    <n v="1"/>
    <n v="364"/>
    <n v="-0.18"/>
    <s v="Normal"/>
    <n v="2023"/>
    <s v="April"/>
  </r>
  <r>
    <n v="636"/>
    <n v="126"/>
    <x v="3"/>
    <x v="3"/>
    <x v="2"/>
    <d v="2022-02-15T00:00:00"/>
    <x v="288"/>
    <n v="5"/>
    <n v="6111"/>
    <n v="-6106"/>
    <x v="0"/>
    <n v="13"/>
    <x v="1"/>
    <d v="2023-03-31T00:00:00"/>
    <n v="1"/>
    <n v="365"/>
    <n v="-1221.2"/>
    <s v="Outlier"/>
    <n v="2023"/>
    <s v="March"/>
  </r>
  <r>
    <n v="637"/>
    <n v="325"/>
    <x v="1"/>
    <x v="1"/>
    <x v="1"/>
    <d v="2022-07-16T00:00:00"/>
    <x v="192"/>
    <n v="3008"/>
    <n v="6537"/>
    <n v="-3529"/>
    <x v="1"/>
    <n v="5"/>
    <x v="0"/>
    <d v="2023-01-06T00:00:00"/>
    <n v="1"/>
    <n v="366"/>
    <n v="-1.17"/>
    <s v="Outlier"/>
    <n v="2023"/>
    <s v="January"/>
  </r>
  <r>
    <n v="639"/>
    <n v="103"/>
    <x v="3"/>
    <x v="2"/>
    <x v="1"/>
    <d v="2022-02-06T00:00:00"/>
    <x v="289"/>
    <n v="8497"/>
    <n v="6498"/>
    <n v="1999"/>
    <x v="1"/>
    <n v="3"/>
    <x v="0"/>
    <d v="2022-06-03T00:00:00"/>
    <n v="0"/>
    <n v="367"/>
    <n v="0.24"/>
    <s v="Normal"/>
    <n v="2022"/>
    <s v="June"/>
  </r>
  <r>
    <n v="640"/>
    <n v="460"/>
    <x v="4"/>
    <x v="2"/>
    <x v="2"/>
    <d v="2022-03-28T00:00:00"/>
    <x v="290"/>
    <n v="3515"/>
    <n v="6593"/>
    <n v="-3078"/>
    <x v="2"/>
    <n v="13"/>
    <x v="1"/>
    <d v="2023-05-25T00:00:00"/>
    <n v="0"/>
    <n v="368"/>
    <n v="-0.88"/>
    <s v="Normal"/>
    <n v="2023"/>
    <s v="May"/>
  </r>
  <r>
    <n v="641"/>
    <n v="158"/>
    <x v="3"/>
    <x v="3"/>
    <x v="0"/>
    <d v="2022-04-20T00:00:00"/>
    <x v="291"/>
    <n v="2675"/>
    <n v="7391"/>
    <n v="577.01"/>
    <x v="1"/>
    <n v="4"/>
    <x v="0"/>
    <d v="2022-08-23T00:00:00"/>
    <n v="1"/>
    <n v="369"/>
    <n v="0.22"/>
    <s v="Normal"/>
    <n v="2022"/>
    <s v="August"/>
  </r>
  <r>
    <n v="642"/>
    <n v="374"/>
    <x v="1"/>
    <x v="0"/>
    <x v="0"/>
    <d v="2022-02-28T00:00:00"/>
    <x v="292"/>
    <n v="3475"/>
    <n v="3742"/>
    <n v="-267"/>
    <x v="0"/>
    <n v="17"/>
    <x v="1"/>
    <d v="2023-08-16T00:00:00"/>
    <n v="0"/>
    <n v="370"/>
    <n v="-0.08"/>
    <s v="Normal"/>
    <n v="2023"/>
    <s v="August"/>
  </r>
  <r>
    <n v="645"/>
    <n v="164"/>
    <x v="4"/>
    <x v="2"/>
    <x v="2"/>
    <d v="2022-08-06T00:00:00"/>
    <x v="280"/>
    <n v="4967.93"/>
    <n v="271"/>
    <n v="-691"/>
    <x v="0"/>
    <n v="13"/>
    <x v="1"/>
    <d v="2023-09-06T00:00:00"/>
    <n v="0"/>
    <n v="371"/>
    <n v="-0.14000000000000001"/>
    <s v="Normal"/>
    <n v="2023"/>
    <s v="September"/>
  </r>
  <r>
    <n v="646"/>
    <n v="259"/>
    <x v="0"/>
    <x v="3"/>
    <x v="2"/>
    <d v="2022-05-03T00:00:00"/>
    <x v="293"/>
    <n v="8283"/>
    <n v="1204"/>
    <n v="577.01"/>
    <x v="1"/>
    <n v="2"/>
    <x v="0"/>
    <d v="2022-07-17T00:00:00"/>
    <n v="0"/>
    <n v="372"/>
    <n v="7.0000000000000007E-2"/>
    <s v="Normal"/>
    <n v="2022"/>
    <s v="July"/>
  </r>
  <r>
    <n v="647"/>
    <n v="278"/>
    <x v="1"/>
    <x v="0"/>
    <x v="2"/>
    <d v="2022-12-06T00:00:00"/>
    <x v="294"/>
    <n v="2436"/>
    <n v="7473"/>
    <n v="-5037"/>
    <x v="1"/>
    <n v="19"/>
    <x v="1"/>
    <d v="2024-07-14T00:00:00"/>
    <n v="1"/>
    <n v="373"/>
    <n v="-2.0699999999999998"/>
    <s v="Outlier"/>
    <n v="2024"/>
    <s v="July"/>
  </r>
  <r>
    <n v="648"/>
    <n v="343"/>
    <x v="3"/>
    <x v="1"/>
    <x v="2"/>
    <d v="2022-11-06T00:00:00"/>
    <x v="295"/>
    <n v="1247"/>
    <n v="4447"/>
    <n v="-3200"/>
    <x v="1"/>
    <n v="19"/>
    <x v="1"/>
    <d v="2024-06-16T00:00:00"/>
    <n v="0"/>
    <n v="374"/>
    <n v="-2.57"/>
    <s v="Outlier"/>
    <n v="2024"/>
    <s v="June"/>
  </r>
  <r>
    <n v="649"/>
    <n v="480"/>
    <x v="2"/>
    <x v="2"/>
    <x v="0"/>
    <d v="2022-04-07T00:00:00"/>
    <x v="296"/>
    <n v="3971"/>
    <n v="2779"/>
    <n v="1192"/>
    <x v="1"/>
    <n v="4"/>
    <x v="0"/>
    <d v="2022-08-22T00:00:00"/>
    <n v="0"/>
    <n v="375"/>
    <n v="0.3"/>
    <s v="Normal"/>
    <n v="2022"/>
    <s v="August"/>
  </r>
  <r>
    <n v="650"/>
    <n v="445"/>
    <x v="4"/>
    <x v="2"/>
    <x v="1"/>
    <d v="2022-06-16T00:00:00"/>
    <x v="144"/>
    <n v="7461"/>
    <n v="5453"/>
    <n v="2008"/>
    <x v="1"/>
    <n v="14"/>
    <x v="1"/>
    <d v="2023-09-13T00:00:00"/>
    <n v="0"/>
    <n v="376"/>
    <n v="0.27"/>
    <s v="Normal"/>
    <n v="2023"/>
    <s v="September"/>
  </r>
  <r>
    <n v="653"/>
    <n v="196"/>
    <x v="3"/>
    <x v="2"/>
    <x v="2"/>
    <d v="2022-12-12T00:00:00"/>
    <x v="297"/>
    <n v="8897"/>
    <n v="630"/>
    <n v="8267"/>
    <x v="0"/>
    <n v="3"/>
    <x v="0"/>
    <d v="2023-04-01T00:00:00"/>
    <n v="1"/>
    <n v="377"/>
    <n v="0.93"/>
    <s v="Normal"/>
    <n v="2023"/>
    <s v="April"/>
  </r>
  <r>
    <n v="656"/>
    <n v="113"/>
    <x v="0"/>
    <x v="1"/>
    <x v="0"/>
    <d v="2022-05-01T00:00:00"/>
    <x v="298"/>
    <n v="996"/>
    <n v="3374"/>
    <n v="-2378"/>
    <x v="1"/>
    <n v="12"/>
    <x v="1"/>
    <d v="2023-05-16T00:00:00"/>
    <n v="0"/>
    <n v="378"/>
    <n v="-2.39"/>
    <s v="Outlier"/>
    <n v="2023"/>
    <s v="May"/>
  </r>
  <r>
    <n v="657"/>
    <n v="141"/>
    <x v="2"/>
    <x v="0"/>
    <x v="1"/>
    <d v="2022-05-13T00:00:00"/>
    <x v="299"/>
    <n v="5176"/>
    <n v="4599"/>
    <n v="577"/>
    <x v="0"/>
    <n v="5"/>
    <x v="0"/>
    <d v="2022-10-18T00:00:00"/>
    <n v="0"/>
    <n v="379"/>
    <n v="0.11"/>
    <s v="Normal"/>
    <n v="2022"/>
    <s v="October"/>
  </r>
  <r>
    <n v="659"/>
    <n v="285"/>
    <x v="1"/>
    <x v="3"/>
    <x v="0"/>
    <d v="2022-02-28T00:00:00"/>
    <x v="136"/>
    <n v="8334"/>
    <n v="6977"/>
    <n v="1357"/>
    <x v="1"/>
    <n v="17"/>
    <x v="1"/>
    <d v="2023-08-11T00:00:00"/>
    <n v="0"/>
    <n v="380"/>
    <n v="0.16"/>
    <s v="Normal"/>
    <n v="2023"/>
    <s v="August"/>
  </r>
  <r>
    <n v="660"/>
    <n v="403"/>
    <x v="1"/>
    <x v="0"/>
    <x v="0"/>
    <d v="2022-07-25T00:00:00"/>
    <x v="154"/>
    <n v="4741"/>
    <n v="7386"/>
    <n v="-2645"/>
    <x v="1"/>
    <n v="10"/>
    <x v="1"/>
    <d v="2023-06-24T00:00:00"/>
    <n v="0"/>
    <n v="381"/>
    <n v="-0.56000000000000005"/>
    <s v="Normal"/>
    <n v="2023"/>
    <s v="June"/>
  </r>
  <r>
    <n v="661"/>
    <n v="126"/>
    <x v="4"/>
    <x v="2"/>
    <x v="1"/>
    <d v="2022-10-07T00:00:00"/>
    <x v="300"/>
    <n v="2974"/>
    <n v="2452"/>
    <n v="522"/>
    <x v="1"/>
    <n v="17"/>
    <x v="1"/>
    <d v="2024-03-10T00:00:00"/>
    <n v="1"/>
    <n v="382"/>
    <n v="0.18"/>
    <s v="Normal"/>
    <n v="2024"/>
    <s v="March"/>
  </r>
  <r>
    <n v="662"/>
    <n v="337"/>
    <x v="0"/>
    <x v="2"/>
    <x v="1"/>
    <d v="2022-10-04T00:00:00"/>
    <x v="301"/>
    <n v="4708"/>
    <n v="7330"/>
    <n v="-2622"/>
    <x v="1"/>
    <n v="10"/>
    <x v="1"/>
    <d v="2023-08-31T00:00:00"/>
    <n v="1"/>
    <n v="383"/>
    <n v="-0.56000000000000005"/>
    <s v="Normal"/>
    <n v="2023"/>
    <s v="August"/>
  </r>
  <r>
    <n v="665"/>
    <n v="215"/>
    <x v="2"/>
    <x v="2"/>
    <x v="2"/>
    <d v="2022-01-29T00:00:00"/>
    <x v="174"/>
    <n v="588"/>
    <n v="4101"/>
    <n v="-3513"/>
    <x v="0"/>
    <n v="9"/>
    <x v="1"/>
    <d v="2022-11-19T00:00:00"/>
    <n v="1"/>
    <n v="384"/>
    <n v="-5.97"/>
    <s v="Outlier"/>
    <n v="2022"/>
    <s v="November"/>
  </r>
  <r>
    <n v="667"/>
    <n v="424"/>
    <x v="1"/>
    <x v="1"/>
    <x v="0"/>
    <d v="2022-11-11T00:00:00"/>
    <x v="302"/>
    <n v="6259"/>
    <n v="1309"/>
    <n v="577.01"/>
    <x v="2"/>
    <n v="16"/>
    <x v="1"/>
    <d v="2024-03-12T00:00:00"/>
    <n v="1"/>
    <n v="385"/>
    <n v="0.09"/>
    <s v="Normal"/>
    <n v="2024"/>
    <s v="March"/>
  </r>
  <r>
    <n v="669"/>
    <n v="301"/>
    <x v="3"/>
    <x v="2"/>
    <x v="2"/>
    <d v="2022-04-14T00:00:00"/>
    <x v="303"/>
    <n v="7197"/>
    <n v="4653"/>
    <n v="2544"/>
    <x v="1"/>
    <n v="8"/>
    <x v="1"/>
    <d v="2022-12-20T00:00:00"/>
    <n v="0"/>
    <n v="386"/>
    <n v="0.35"/>
    <s v="Normal"/>
    <n v="2022"/>
    <s v="December"/>
  </r>
  <r>
    <n v="673"/>
    <n v="451"/>
    <x v="0"/>
    <x v="3"/>
    <x v="2"/>
    <d v="2022-03-25T00:00:00"/>
    <x v="80"/>
    <n v="1994"/>
    <n v="3736"/>
    <n v="-1742"/>
    <x v="1"/>
    <n v="9"/>
    <x v="1"/>
    <d v="2023-01-12T00:00:00"/>
    <n v="0"/>
    <n v="387"/>
    <n v="-0.87"/>
    <s v="Normal"/>
    <n v="2023"/>
    <s v="January"/>
  </r>
  <r>
    <n v="674"/>
    <n v="481"/>
    <x v="4"/>
    <x v="1"/>
    <x v="0"/>
    <d v="2022-04-04T00:00:00"/>
    <x v="257"/>
    <n v="7056"/>
    <n v="5736"/>
    <n v="1320"/>
    <x v="0"/>
    <n v="17"/>
    <x v="1"/>
    <d v="2023-09-11T00:00:00"/>
    <n v="0"/>
    <n v="388"/>
    <n v="0.19"/>
    <s v="Normal"/>
    <n v="2023"/>
    <s v="September"/>
  </r>
  <r>
    <n v="675"/>
    <n v="331"/>
    <x v="0"/>
    <x v="2"/>
    <x v="2"/>
    <d v="2022-08-28T00:00:00"/>
    <x v="304"/>
    <n v="6193"/>
    <n v="2271"/>
    <n v="577.01"/>
    <x v="1"/>
    <n v="4"/>
    <x v="0"/>
    <d v="2023-01-17T00:00:00"/>
    <n v="1"/>
    <n v="389"/>
    <n v="0.09"/>
    <s v="Normal"/>
    <n v="2023"/>
    <s v="January"/>
  </r>
  <r>
    <n v="676"/>
    <n v="264"/>
    <x v="0"/>
    <x v="3"/>
    <x v="1"/>
    <d v="2022-02-02T00:00:00"/>
    <x v="305"/>
    <n v="9743"/>
    <n v="1120"/>
    <n v="8623"/>
    <x v="2"/>
    <n v="12"/>
    <x v="1"/>
    <d v="2023-02-11T00:00:00"/>
    <n v="1"/>
    <n v="390"/>
    <n v="0.89"/>
    <s v="Normal"/>
    <n v="2023"/>
    <s v="February"/>
  </r>
  <r>
    <n v="679"/>
    <n v="207"/>
    <x v="0"/>
    <x v="0"/>
    <x v="1"/>
    <d v="2022-02-24T00:00:00"/>
    <x v="188"/>
    <n v="9037"/>
    <n v="5262"/>
    <n v="577.01"/>
    <x v="1"/>
    <n v="13"/>
    <x v="1"/>
    <d v="2023-04-09T00:00:00"/>
    <n v="0"/>
    <n v="391"/>
    <n v="0.06"/>
    <s v="Normal"/>
    <n v="2023"/>
    <s v="April"/>
  </r>
  <r>
    <n v="681"/>
    <n v="366"/>
    <x v="1"/>
    <x v="2"/>
    <x v="2"/>
    <d v="2022-09-16T00:00:00"/>
    <x v="195"/>
    <n v="6897"/>
    <n v="7228"/>
    <n v="-331"/>
    <x v="2"/>
    <n v="19"/>
    <x v="1"/>
    <d v="2024-04-30T00:00:00"/>
    <n v="0"/>
    <n v="392"/>
    <n v="-0.05"/>
    <s v="Normal"/>
    <n v="2024"/>
    <s v="April"/>
  </r>
  <r>
    <n v="682"/>
    <n v="456"/>
    <x v="0"/>
    <x v="1"/>
    <x v="1"/>
    <d v="2022-04-27T00:00:00"/>
    <x v="76"/>
    <n v="9924"/>
    <n v="4012.75"/>
    <n v="10240"/>
    <x v="2"/>
    <n v="6"/>
    <x v="2"/>
    <d v="2022-11-08T00:00:00"/>
    <n v="1"/>
    <n v="393"/>
    <n v="1.03"/>
    <s v="Outlier"/>
    <n v="2022"/>
    <s v="November"/>
  </r>
  <r>
    <n v="684"/>
    <n v="305"/>
    <x v="0"/>
    <x v="2"/>
    <x v="0"/>
    <d v="2022-02-08T00:00:00"/>
    <x v="306"/>
    <n v="3697"/>
    <n v="4367"/>
    <n v="-670"/>
    <x v="0"/>
    <n v="9"/>
    <x v="1"/>
    <d v="2022-11-25T00:00:00"/>
    <n v="0"/>
    <n v="394"/>
    <n v="-0.18"/>
    <s v="Normal"/>
    <n v="2022"/>
    <s v="November"/>
  </r>
  <r>
    <n v="686"/>
    <n v="393"/>
    <x v="3"/>
    <x v="2"/>
    <x v="1"/>
    <d v="2022-07-18T00:00:00"/>
    <x v="61"/>
    <n v="3886"/>
    <n v="4634"/>
    <n v="-748"/>
    <x v="0"/>
    <n v="17"/>
    <x v="1"/>
    <d v="2024-01-14T00:00:00"/>
    <n v="0"/>
    <n v="395"/>
    <n v="-0.19"/>
    <s v="Normal"/>
    <n v="2024"/>
    <s v="January"/>
  </r>
  <r>
    <n v="690"/>
    <n v="281"/>
    <x v="4"/>
    <x v="1"/>
    <x v="1"/>
    <d v="2022-07-11T00:00:00"/>
    <x v="244"/>
    <n v="1502"/>
    <n v="5290"/>
    <n v="-3788"/>
    <x v="2"/>
    <n v="5"/>
    <x v="0"/>
    <d v="2022-12-26T00:00:00"/>
    <n v="0"/>
    <n v="396"/>
    <n v="-2.52"/>
    <s v="Outlier"/>
    <n v="2022"/>
    <s v="December"/>
  </r>
  <r>
    <n v="691"/>
    <n v="142"/>
    <x v="1"/>
    <x v="3"/>
    <x v="1"/>
    <d v="2022-02-22T00:00:00"/>
    <x v="163"/>
    <n v="9115"/>
    <n v="4890"/>
    <n v="4225"/>
    <x v="0"/>
    <n v="16"/>
    <x v="1"/>
    <d v="2023-07-05T00:00:00"/>
    <n v="1"/>
    <n v="397"/>
    <n v="0.46"/>
    <s v="Normal"/>
    <n v="2023"/>
    <s v="July"/>
  </r>
  <r>
    <n v="692"/>
    <n v="446"/>
    <x v="2"/>
    <x v="0"/>
    <x v="0"/>
    <d v="2022-08-18T00:00:00"/>
    <x v="307"/>
    <n v="2439"/>
    <n v="4012.75"/>
    <n v="3253"/>
    <x v="1"/>
    <n v="2"/>
    <x v="0"/>
    <d v="2022-11-13T00:00:00"/>
    <n v="0"/>
    <n v="398"/>
    <n v="1.33"/>
    <s v="Outlier"/>
    <n v="2022"/>
    <s v="November"/>
  </r>
  <r>
    <n v="694"/>
    <n v="477"/>
    <x v="1"/>
    <x v="3"/>
    <x v="1"/>
    <d v="2022-03-19T00:00:00"/>
    <x v="209"/>
    <n v="3420"/>
    <n v="6323"/>
    <n v="577.01"/>
    <x v="1"/>
    <n v="14"/>
    <x v="1"/>
    <d v="2023-05-23T00:00:00"/>
    <n v="1"/>
    <n v="399"/>
    <n v="0.17"/>
    <s v="Normal"/>
    <n v="2023"/>
    <s v="May"/>
  </r>
  <r>
    <n v="697"/>
    <n v="358"/>
    <x v="3"/>
    <x v="2"/>
    <x v="0"/>
    <d v="2022-01-13T00:00:00"/>
    <x v="308"/>
    <n v="6377"/>
    <n v="132"/>
    <n v="6245"/>
    <x v="2"/>
    <n v="14"/>
    <x v="1"/>
    <d v="2023-03-20T00:00:00"/>
    <n v="1"/>
    <n v="400"/>
    <n v="0.98"/>
    <s v="Normal"/>
    <n v="2023"/>
    <s v="March"/>
  </r>
  <r>
    <n v="700"/>
    <n v="219"/>
    <x v="1"/>
    <x v="3"/>
    <x v="0"/>
    <d v="2022-01-24T00:00:00"/>
    <x v="309"/>
    <n v="4967.93"/>
    <n v="1664"/>
    <n v="-2646"/>
    <x v="2"/>
    <n v="14"/>
    <x v="1"/>
    <d v="2023-04-19T00:00:00"/>
    <n v="0"/>
    <n v="401"/>
    <n v="-0.53"/>
    <s v="Normal"/>
    <n v="2023"/>
    <s v="April"/>
  </r>
  <r>
    <n v="702"/>
    <n v="272"/>
    <x v="2"/>
    <x v="2"/>
    <x v="1"/>
    <d v="2022-09-17T00:00:00"/>
    <x v="310"/>
    <n v="1270"/>
    <n v="1972"/>
    <n v="-702"/>
    <x v="0"/>
    <n v="13"/>
    <x v="1"/>
    <d v="2023-10-28T00:00:00"/>
    <n v="0"/>
    <n v="402"/>
    <n v="-0.55000000000000004"/>
    <s v="Normal"/>
    <n v="2023"/>
    <s v="October"/>
  </r>
  <r>
    <n v="704"/>
    <n v="165"/>
    <x v="3"/>
    <x v="1"/>
    <x v="2"/>
    <d v="2022-05-14T00:00:00"/>
    <x v="166"/>
    <n v="9891"/>
    <n v="2594"/>
    <n v="577.01"/>
    <x v="2"/>
    <n v="2"/>
    <x v="0"/>
    <d v="2022-07-15T00:00:00"/>
    <n v="0"/>
    <n v="403"/>
    <n v="0.06"/>
    <s v="Normal"/>
    <n v="2022"/>
    <s v="July"/>
  </r>
  <r>
    <n v="706"/>
    <n v="204"/>
    <x v="1"/>
    <x v="2"/>
    <x v="2"/>
    <d v="2022-08-12T00:00:00"/>
    <x v="311"/>
    <n v="1205"/>
    <n v="6774"/>
    <n v="-5569"/>
    <x v="1"/>
    <n v="15"/>
    <x v="1"/>
    <d v="2023-11-14T00:00:00"/>
    <n v="1"/>
    <n v="404"/>
    <n v="-4.62"/>
    <s v="Outlier"/>
    <n v="2023"/>
    <s v="November"/>
  </r>
  <r>
    <n v="707"/>
    <n v="398"/>
    <x v="0"/>
    <x v="0"/>
    <x v="2"/>
    <d v="2022-04-10T00:00:00"/>
    <x v="304"/>
    <n v="4967.93"/>
    <n v="103"/>
    <n v="-394"/>
    <x v="0"/>
    <n v="9"/>
    <x v="1"/>
    <d v="2023-01-17T00:00:00"/>
    <n v="0"/>
    <n v="405"/>
    <n v="-0.08"/>
    <s v="Normal"/>
    <n v="2023"/>
    <s v="January"/>
  </r>
  <r>
    <n v="708"/>
    <n v="412"/>
    <x v="2"/>
    <x v="3"/>
    <x v="0"/>
    <d v="2022-01-27T00:00:00"/>
    <x v="241"/>
    <n v="4206"/>
    <n v="513"/>
    <n v="3693"/>
    <x v="1"/>
    <n v="11"/>
    <x v="1"/>
    <d v="2023-01-16T00:00:00"/>
    <n v="0"/>
    <n v="406"/>
    <n v="0.88"/>
    <s v="Normal"/>
    <n v="2023"/>
    <s v="January"/>
  </r>
  <r>
    <n v="709"/>
    <n v="215"/>
    <x v="1"/>
    <x v="2"/>
    <x v="2"/>
    <d v="2023-01-01T00:00:00"/>
    <x v="312"/>
    <n v="105"/>
    <n v="7524"/>
    <n v="577.01"/>
    <x v="0"/>
    <n v="11"/>
    <x v="1"/>
    <d v="2023-12-15T00:00:00"/>
    <n v="0"/>
    <n v="407"/>
    <n v="5.5"/>
    <s v="Outlier"/>
    <n v="2023"/>
    <s v="December"/>
  </r>
  <r>
    <n v="711"/>
    <n v="445"/>
    <x v="1"/>
    <x v="2"/>
    <x v="2"/>
    <d v="2022-09-22T00:00:00"/>
    <x v="171"/>
    <n v="6635"/>
    <n v="4451"/>
    <n v="2184"/>
    <x v="0"/>
    <n v="18"/>
    <x v="1"/>
    <d v="2024-04-03T00:00:00"/>
    <n v="0"/>
    <n v="408"/>
    <n v="0.33"/>
    <s v="Normal"/>
    <n v="2024"/>
    <s v="April"/>
  </r>
  <r>
    <n v="712"/>
    <n v="202"/>
    <x v="0"/>
    <x v="1"/>
    <x v="1"/>
    <d v="2022-08-12T00:00:00"/>
    <x v="313"/>
    <n v="4277"/>
    <n v="3280"/>
    <n v="997"/>
    <x v="1"/>
    <n v="10"/>
    <x v="1"/>
    <d v="2023-06-23T00:00:00"/>
    <n v="1"/>
    <n v="409"/>
    <n v="0.23"/>
    <s v="Normal"/>
    <n v="2023"/>
    <s v="June"/>
  </r>
  <r>
    <n v="713"/>
    <n v="136"/>
    <x v="4"/>
    <x v="3"/>
    <x v="2"/>
    <d v="2022-04-23T00:00:00"/>
    <x v="314"/>
    <n v="4967.93"/>
    <n v="4012.75"/>
    <n v="577.01"/>
    <x v="2"/>
    <n v="1"/>
    <x v="0"/>
    <d v="2022-06-09T00:00:00"/>
    <n v="0"/>
    <n v="410"/>
    <n v="0.12"/>
    <s v="Normal"/>
    <n v="2022"/>
    <s v="June"/>
  </r>
  <r>
    <n v="714"/>
    <n v="343"/>
    <x v="3"/>
    <x v="0"/>
    <x v="1"/>
    <d v="2022-05-31T00:00:00"/>
    <x v="315"/>
    <n v="1834"/>
    <n v="1821"/>
    <n v="13"/>
    <x v="2"/>
    <n v="13"/>
    <x v="1"/>
    <d v="2023-07-13T00:00:00"/>
    <n v="0"/>
    <n v="411"/>
    <n v="0.01"/>
    <s v="Normal"/>
    <n v="2023"/>
    <s v="July"/>
  </r>
  <r>
    <n v="715"/>
    <n v="281"/>
    <x v="2"/>
    <x v="1"/>
    <x v="1"/>
    <d v="2022-12-24T00:00:00"/>
    <x v="316"/>
    <n v="7691"/>
    <n v="5666"/>
    <n v="2025"/>
    <x v="1"/>
    <n v="10"/>
    <x v="1"/>
    <d v="2023-11-21T00:00:00"/>
    <n v="0"/>
    <n v="412"/>
    <n v="0.26"/>
    <s v="Normal"/>
    <n v="2023"/>
    <s v="November"/>
  </r>
  <r>
    <n v="717"/>
    <n v="189"/>
    <x v="4"/>
    <x v="1"/>
    <x v="1"/>
    <d v="2022-05-03T00:00:00"/>
    <x v="178"/>
    <n v="3532"/>
    <n v="4506"/>
    <n v="-974"/>
    <x v="1"/>
    <n v="3"/>
    <x v="0"/>
    <d v="2022-08-12T00:00:00"/>
    <n v="1"/>
    <n v="413"/>
    <n v="-0.28000000000000003"/>
    <s v="Normal"/>
    <n v="2022"/>
    <s v="August"/>
  </r>
  <r>
    <n v="718"/>
    <n v="145"/>
    <x v="4"/>
    <x v="0"/>
    <x v="1"/>
    <d v="2022-03-27T00:00:00"/>
    <x v="317"/>
    <n v="6399"/>
    <n v="5932"/>
    <n v="467"/>
    <x v="0"/>
    <n v="7"/>
    <x v="1"/>
    <d v="2022-11-14T00:00:00"/>
    <n v="0"/>
    <n v="414"/>
    <n v="7.0000000000000007E-2"/>
    <s v="Normal"/>
    <n v="2022"/>
    <s v="November"/>
  </r>
  <r>
    <n v="719"/>
    <n v="475"/>
    <x v="4"/>
    <x v="2"/>
    <x v="0"/>
    <d v="2022-07-12T00:00:00"/>
    <x v="318"/>
    <n v="5574"/>
    <n v="4012.75"/>
    <n v="6295"/>
    <x v="2"/>
    <n v="13"/>
    <x v="1"/>
    <d v="2023-08-17T00:00:00"/>
    <n v="1"/>
    <n v="415"/>
    <n v="1.1299999999999999"/>
    <s v="Outlier"/>
    <n v="2023"/>
    <s v="August"/>
  </r>
  <r>
    <n v="720"/>
    <n v="488"/>
    <x v="4"/>
    <x v="3"/>
    <x v="2"/>
    <d v="2022-12-31T00:00:00"/>
    <x v="319"/>
    <n v="6459"/>
    <n v="5869"/>
    <n v="590"/>
    <x v="1"/>
    <n v="15"/>
    <x v="1"/>
    <d v="2024-04-12T00:00:00"/>
    <n v="0"/>
    <n v="416"/>
    <n v="0.09"/>
    <s v="Normal"/>
    <n v="2024"/>
    <s v="April"/>
  </r>
  <r>
    <n v="722"/>
    <n v="296"/>
    <x v="4"/>
    <x v="1"/>
    <x v="2"/>
    <d v="2022-09-01T00:00:00"/>
    <x v="101"/>
    <n v="4613"/>
    <n v="5727"/>
    <n v="-1114"/>
    <x v="0"/>
    <n v="2"/>
    <x v="0"/>
    <d v="2022-11-17T00:00:00"/>
    <n v="0"/>
    <n v="417"/>
    <n v="-0.24"/>
    <s v="Normal"/>
    <n v="2022"/>
    <s v="November"/>
  </r>
  <r>
    <n v="723"/>
    <n v="486"/>
    <x v="0"/>
    <x v="0"/>
    <x v="0"/>
    <d v="2022-03-02T00:00:00"/>
    <x v="320"/>
    <n v="2187"/>
    <n v="4652"/>
    <n v="-2465"/>
    <x v="1"/>
    <n v="9"/>
    <x v="1"/>
    <d v="2022-12-21T00:00:00"/>
    <n v="1"/>
    <n v="418"/>
    <n v="-1.1299999999999999"/>
    <s v="Outlier"/>
    <n v="2022"/>
    <s v="December"/>
  </r>
  <r>
    <n v="724"/>
    <n v="311"/>
    <x v="4"/>
    <x v="0"/>
    <x v="2"/>
    <d v="2022-01-27T00:00:00"/>
    <x v="226"/>
    <n v="5965"/>
    <n v="1864"/>
    <n v="4101"/>
    <x v="1"/>
    <n v="7"/>
    <x v="1"/>
    <d v="2022-09-03T00:00:00"/>
    <n v="1"/>
    <n v="419"/>
    <n v="0.69"/>
    <s v="Normal"/>
    <n v="2022"/>
    <s v="September"/>
  </r>
  <r>
    <n v="725"/>
    <n v="112"/>
    <x v="3"/>
    <x v="2"/>
    <x v="1"/>
    <d v="2022-02-18T00:00:00"/>
    <x v="223"/>
    <n v="97"/>
    <n v="3139"/>
    <n v="-3042"/>
    <x v="1"/>
    <n v="18"/>
    <x v="1"/>
    <d v="2023-08-23T00:00:00"/>
    <n v="1"/>
    <n v="420"/>
    <n v="-31.36"/>
    <s v="Outlier"/>
    <n v="2023"/>
    <s v="August"/>
  </r>
  <r>
    <n v="728"/>
    <n v="233"/>
    <x v="2"/>
    <x v="0"/>
    <x v="1"/>
    <d v="2022-01-17T00:00:00"/>
    <x v="292"/>
    <n v="1106"/>
    <n v="2312"/>
    <n v="-1206"/>
    <x v="1"/>
    <n v="18"/>
    <x v="1"/>
    <d v="2023-08-16T00:00:00"/>
    <n v="0"/>
    <n v="421"/>
    <n v="-1.0900000000000001"/>
    <s v="Outlier"/>
    <n v="2023"/>
    <s v="August"/>
  </r>
  <r>
    <n v="729"/>
    <n v="245"/>
    <x v="0"/>
    <x v="3"/>
    <x v="1"/>
    <d v="2022-10-01T00:00:00"/>
    <x v="321"/>
    <n v="6742"/>
    <n v="4012.75"/>
    <n v="6825"/>
    <x v="0"/>
    <n v="2"/>
    <x v="0"/>
    <d v="2022-12-19T00:00:00"/>
    <n v="0"/>
    <n v="422"/>
    <n v="1.01"/>
    <s v="Outlier"/>
    <n v="2022"/>
    <s v="December"/>
  </r>
  <r>
    <n v="733"/>
    <n v="440"/>
    <x v="4"/>
    <x v="1"/>
    <x v="0"/>
    <d v="2022-10-08T00:00:00"/>
    <x v="322"/>
    <n v="3379"/>
    <n v="3276"/>
    <n v="103"/>
    <x v="0"/>
    <n v="15"/>
    <x v="1"/>
    <d v="2024-02-02T00:00:00"/>
    <n v="1"/>
    <n v="423"/>
    <n v="0.03"/>
    <s v="Normal"/>
    <n v="2024"/>
    <s v="February"/>
  </r>
  <r>
    <n v="734"/>
    <n v="125"/>
    <x v="1"/>
    <x v="2"/>
    <x v="1"/>
    <d v="2022-07-09T00:00:00"/>
    <x v="323"/>
    <n v="2082"/>
    <n v="4890"/>
    <n v="-2808"/>
    <x v="1"/>
    <n v="13"/>
    <x v="1"/>
    <d v="2023-09-03T00:00:00"/>
    <n v="1"/>
    <n v="424"/>
    <n v="-1.35"/>
    <s v="Outlier"/>
    <n v="2023"/>
    <s v="September"/>
  </r>
  <r>
    <n v="735"/>
    <n v="444"/>
    <x v="3"/>
    <x v="1"/>
    <x v="2"/>
    <d v="2022-11-19T00:00:00"/>
    <x v="52"/>
    <n v="2459"/>
    <n v="1636"/>
    <n v="823"/>
    <x v="2"/>
    <n v="10"/>
    <x v="1"/>
    <d v="2023-10-04T00:00:00"/>
    <n v="1"/>
    <n v="425"/>
    <n v="0.33"/>
    <s v="Normal"/>
    <n v="2023"/>
    <s v="October"/>
  </r>
  <r>
    <n v="738"/>
    <n v="233"/>
    <x v="0"/>
    <x v="1"/>
    <x v="1"/>
    <d v="2022-03-08T00:00:00"/>
    <x v="324"/>
    <n v="1832"/>
    <n v="1503"/>
    <n v="329"/>
    <x v="1"/>
    <n v="2"/>
    <x v="0"/>
    <d v="2022-05-11T00:00:00"/>
    <n v="1"/>
    <n v="426"/>
    <n v="0.18"/>
    <s v="Normal"/>
    <n v="2022"/>
    <s v="May"/>
  </r>
  <r>
    <n v="739"/>
    <n v="109"/>
    <x v="2"/>
    <x v="0"/>
    <x v="2"/>
    <d v="2022-11-29T00:00:00"/>
    <x v="234"/>
    <n v="3178"/>
    <n v="7099"/>
    <n v="-3921"/>
    <x v="2"/>
    <n v="18"/>
    <x v="1"/>
    <d v="2024-06-12T00:00:00"/>
    <n v="1"/>
    <n v="427"/>
    <n v="-1.23"/>
    <s v="Outlier"/>
    <n v="2024"/>
    <s v="June"/>
  </r>
  <r>
    <n v="741"/>
    <n v="420"/>
    <x v="1"/>
    <x v="3"/>
    <x v="0"/>
    <d v="2022-01-23T00:00:00"/>
    <x v="172"/>
    <n v="3589"/>
    <n v="3613"/>
    <n v="-24"/>
    <x v="1"/>
    <n v="13"/>
    <x v="1"/>
    <d v="2023-02-26T00:00:00"/>
    <n v="1"/>
    <n v="428"/>
    <n v="-0.01"/>
    <s v="Normal"/>
    <n v="2023"/>
    <s v="February"/>
  </r>
  <r>
    <n v="742"/>
    <n v="251"/>
    <x v="4"/>
    <x v="1"/>
    <x v="0"/>
    <d v="2022-06-21T00:00:00"/>
    <x v="5"/>
    <n v="4967.93"/>
    <n v="1736"/>
    <n v="-3572"/>
    <x v="1"/>
    <n v="3"/>
    <x v="0"/>
    <d v="2022-10-13T00:00:00"/>
    <n v="0"/>
    <n v="429"/>
    <n v="-0.72"/>
    <s v="Normal"/>
    <n v="2022"/>
    <s v="October"/>
  </r>
  <r>
    <n v="744"/>
    <n v="361"/>
    <x v="2"/>
    <x v="1"/>
    <x v="2"/>
    <d v="2022-07-24T00:00:00"/>
    <x v="4"/>
    <n v="1242"/>
    <n v="464"/>
    <n v="778"/>
    <x v="1"/>
    <n v="8"/>
    <x v="1"/>
    <d v="2023-04-05T00:00:00"/>
    <n v="1"/>
    <n v="430"/>
    <n v="0.63"/>
    <s v="Normal"/>
    <n v="2023"/>
    <s v="April"/>
  </r>
  <r>
    <n v="747"/>
    <n v="468"/>
    <x v="4"/>
    <x v="2"/>
    <x v="0"/>
    <d v="2022-05-28T00:00:00"/>
    <x v="325"/>
    <n v="4967.93"/>
    <n v="7509"/>
    <n v="-8200"/>
    <x v="0"/>
    <n v="2"/>
    <x v="0"/>
    <d v="2022-08-08T00:00:00"/>
    <n v="1"/>
    <n v="431"/>
    <n v="-1.65"/>
    <s v="Outlier"/>
    <n v="2022"/>
    <s v="August"/>
  </r>
  <r>
    <n v="748"/>
    <n v="263"/>
    <x v="2"/>
    <x v="2"/>
    <x v="0"/>
    <d v="2022-04-09T00:00:00"/>
    <x v="113"/>
    <n v="1749"/>
    <n v="2158"/>
    <n v="-409"/>
    <x v="1"/>
    <n v="16"/>
    <x v="1"/>
    <d v="2023-08-15T00:00:00"/>
    <n v="1"/>
    <n v="432"/>
    <n v="-0.23"/>
    <s v="Normal"/>
    <n v="2023"/>
    <s v="August"/>
  </r>
  <r>
    <n v="749"/>
    <n v="478"/>
    <x v="1"/>
    <x v="1"/>
    <x v="1"/>
    <d v="2022-10-21T00:00:00"/>
    <x v="326"/>
    <n v="8161"/>
    <n v="6531"/>
    <n v="1630"/>
    <x v="1"/>
    <n v="19"/>
    <x v="1"/>
    <d v="2024-06-05T00:00:00"/>
    <n v="0"/>
    <n v="433"/>
    <n v="0.2"/>
    <s v="Normal"/>
    <n v="2024"/>
    <s v="June"/>
  </r>
  <r>
    <n v="751"/>
    <n v="174"/>
    <x v="0"/>
    <x v="3"/>
    <x v="0"/>
    <d v="2022-04-05T00:00:00"/>
    <x v="327"/>
    <n v="6650"/>
    <n v="5308"/>
    <n v="577.01"/>
    <x v="2"/>
    <n v="12"/>
    <x v="1"/>
    <d v="2023-04-25T00:00:00"/>
    <n v="0"/>
    <n v="434"/>
    <n v="0.09"/>
    <s v="Normal"/>
    <n v="2023"/>
    <s v="April"/>
  </r>
  <r>
    <n v="752"/>
    <n v="358"/>
    <x v="0"/>
    <x v="3"/>
    <x v="1"/>
    <d v="2022-02-21T00:00:00"/>
    <x v="140"/>
    <n v="8380"/>
    <n v="2271"/>
    <n v="6109"/>
    <x v="1"/>
    <n v="15"/>
    <x v="1"/>
    <d v="2023-06-20T00:00:00"/>
    <n v="0"/>
    <n v="435"/>
    <n v="0.73"/>
    <s v="Normal"/>
    <n v="2023"/>
    <s v="June"/>
  </r>
  <r>
    <n v="753"/>
    <n v="424"/>
    <x v="0"/>
    <x v="1"/>
    <x v="1"/>
    <d v="2022-05-29T00:00:00"/>
    <x v="328"/>
    <n v="8802"/>
    <n v="6096"/>
    <n v="2706"/>
    <x v="2"/>
    <n v="13"/>
    <x v="1"/>
    <d v="2023-07-07T00:00:00"/>
    <n v="0"/>
    <n v="436"/>
    <n v="0.31"/>
    <s v="Normal"/>
    <n v="2023"/>
    <s v="July"/>
  </r>
  <r>
    <n v="754"/>
    <n v="376"/>
    <x v="0"/>
    <x v="2"/>
    <x v="1"/>
    <d v="2022-07-17T00:00:00"/>
    <x v="329"/>
    <n v="4628"/>
    <n v="6121"/>
    <n v="-1493"/>
    <x v="0"/>
    <n v="10"/>
    <x v="1"/>
    <d v="2023-06-05T00:00:00"/>
    <n v="1"/>
    <n v="437"/>
    <n v="-0.32"/>
    <s v="Normal"/>
    <n v="2023"/>
    <s v="June"/>
  </r>
  <r>
    <n v="756"/>
    <n v="441"/>
    <x v="3"/>
    <x v="3"/>
    <x v="2"/>
    <d v="2022-02-15T00:00:00"/>
    <x v="23"/>
    <n v="9639"/>
    <n v="1665"/>
    <n v="577.01"/>
    <x v="2"/>
    <n v="6"/>
    <x v="2"/>
    <d v="2022-08-27T00:00:00"/>
    <n v="1"/>
    <n v="438"/>
    <n v="0.06"/>
    <s v="Normal"/>
    <n v="2022"/>
    <s v="August"/>
  </r>
  <r>
    <n v="757"/>
    <n v="189"/>
    <x v="4"/>
    <x v="3"/>
    <x v="2"/>
    <d v="2022-07-08T00:00:00"/>
    <x v="192"/>
    <n v="4967.93"/>
    <n v="1772"/>
    <n v="-2069"/>
    <x v="1"/>
    <n v="5"/>
    <x v="0"/>
    <d v="2023-01-06T00:00:00"/>
    <n v="0"/>
    <n v="439"/>
    <n v="-0.42"/>
    <s v="Normal"/>
    <n v="2023"/>
    <s v="January"/>
  </r>
  <r>
    <n v="758"/>
    <n v="321"/>
    <x v="0"/>
    <x v="3"/>
    <x v="0"/>
    <d v="2022-09-29T00:00:00"/>
    <x v="330"/>
    <n v="6872"/>
    <n v="5893"/>
    <n v="979"/>
    <x v="0"/>
    <n v="1"/>
    <x v="0"/>
    <d v="2022-10-29T00:00:00"/>
    <n v="0"/>
    <n v="440"/>
    <n v="0.14000000000000001"/>
    <s v="Normal"/>
    <n v="2022"/>
    <s v="October"/>
  </r>
  <r>
    <n v="760"/>
    <n v="260"/>
    <x v="1"/>
    <x v="2"/>
    <x v="0"/>
    <d v="2022-11-21T00:00:00"/>
    <x v="331"/>
    <n v="2068"/>
    <n v="7136"/>
    <n v="-5068"/>
    <x v="1"/>
    <n v="14"/>
    <x v="1"/>
    <d v="2024-01-31T00:00:00"/>
    <n v="0"/>
    <n v="441"/>
    <n v="-2.4500000000000002"/>
    <s v="Outlier"/>
    <n v="2024"/>
    <s v="January"/>
  </r>
  <r>
    <n v="762"/>
    <n v="203"/>
    <x v="1"/>
    <x v="3"/>
    <x v="1"/>
    <d v="2022-09-07T00:00:00"/>
    <x v="332"/>
    <n v="4157"/>
    <n v="1605"/>
    <n v="577.01"/>
    <x v="2"/>
    <n v="3"/>
    <x v="0"/>
    <d v="2022-12-25T00:00:00"/>
    <n v="1"/>
    <n v="442"/>
    <n v="0.14000000000000001"/>
    <s v="Normal"/>
    <n v="2022"/>
    <s v="December"/>
  </r>
  <r>
    <n v="763"/>
    <n v="475"/>
    <x v="4"/>
    <x v="2"/>
    <x v="2"/>
    <d v="2022-08-15T00:00:00"/>
    <x v="320"/>
    <n v="6975"/>
    <n v="1946"/>
    <n v="577.01"/>
    <x v="2"/>
    <n v="4"/>
    <x v="0"/>
    <d v="2022-12-21T00:00:00"/>
    <n v="0"/>
    <n v="443"/>
    <n v="0.08"/>
    <s v="Normal"/>
    <n v="2022"/>
    <s v="December"/>
  </r>
  <r>
    <n v="765"/>
    <n v="272"/>
    <x v="0"/>
    <x v="3"/>
    <x v="0"/>
    <d v="2022-10-03T00:00:00"/>
    <x v="333"/>
    <n v="4679"/>
    <n v="5759"/>
    <n v="-1080"/>
    <x v="1"/>
    <n v="16"/>
    <x v="1"/>
    <d v="2024-02-27T00:00:00"/>
    <n v="0"/>
    <n v="444"/>
    <n v="-0.23"/>
    <s v="Normal"/>
    <n v="2024"/>
    <s v="February"/>
  </r>
  <r>
    <n v="767"/>
    <n v="306"/>
    <x v="3"/>
    <x v="0"/>
    <x v="1"/>
    <d v="2022-02-19T00:00:00"/>
    <x v="334"/>
    <n v="6210"/>
    <n v="2369"/>
    <n v="3841"/>
    <x v="0"/>
    <n v="3"/>
    <x v="0"/>
    <d v="2022-05-25T00:00:00"/>
    <n v="0"/>
    <n v="445"/>
    <n v="0.62"/>
    <s v="Normal"/>
    <n v="2022"/>
    <s v="May"/>
  </r>
  <r>
    <n v="770"/>
    <n v="190"/>
    <x v="3"/>
    <x v="0"/>
    <x v="0"/>
    <d v="2022-06-11T00:00:00"/>
    <x v="335"/>
    <n v="755"/>
    <n v="963"/>
    <n v="-208"/>
    <x v="1"/>
    <n v="14"/>
    <x v="1"/>
    <d v="2023-08-18T00:00:00"/>
    <n v="1"/>
    <n v="446"/>
    <n v="-0.28000000000000003"/>
    <s v="Normal"/>
    <n v="2023"/>
    <s v="August"/>
  </r>
  <r>
    <n v="773"/>
    <n v="275"/>
    <x v="0"/>
    <x v="0"/>
    <x v="1"/>
    <d v="2022-05-13T00:00:00"/>
    <x v="336"/>
    <n v="4967.93"/>
    <n v="5617"/>
    <n v="-6709"/>
    <x v="1"/>
    <n v="4"/>
    <x v="0"/>
    <d v="2022-09-29T00:00:00"/>
    <n v="0"/>
    <n v="447"/>
    <n v="-1.35"/>
    <s v="Outlier"/>
    <n v="2022"/>
    <s v="September"/>
  </r>
  <r>
    <n v="776"/>
    <n v="358"/>
    <x v="3"/>
    <x v="1"/>
    <x v="0"/>
    <d v="2022-03-07T00:00:00"/>
    <x v="188"/>
    <n v="5086"/>
    <n v="7567"/>
    <n v="-2481"/>
    <x v="2"/>
    <n v="13"/>
    <x v="1"/>
    <d v="2023-04-09T00:00:00"/>
    <n v="1"/>
    <n v="448"/>
    <n v="-0.49"/>
    <s v="Normal"/>
    <n v="2023"/>
    <s v="April"/>
  </r>
  <r>
    <n v="777"/>
    <n v="410"/>
    <x v="0"/>
    <x v="1"/>
    <x v="1"/>
    <d v="2022-09-23T00:00:00"/>
    <x v="337"/>
    <n v="4967.93"/>
    <n v="5550"/>
    <n v="-6225"/>
    <x v="1"/>
    <n v="13"/>
    <x v="1"/>
    <d v="2023-11-03T00:00:00"/>
    <n v="1"/>
    <n v="449"/>
    <n v="-1.25"/>
    <s v="Outlier"/>
    <n v="2023"/>
    <s v="November"/>
  </r>
  <r>
    <n v="778"/>
    <n v="293"/>
    <x v="0"/>
    <x v="1"/>
    <x v="1"/>
    <d v="2022-06-18T00:00:00"/>
    <x v="338"/>
    <n v="3087"/>
    <n v="1974"/>
    <n v="1113"/>
    <x v="2"/>
    <n v="16"/>
    <x v="1"/>
    <d v="2023-10-24T00:00:00"/>
    <n v="1"/>
    <n v="450"/>
    <n v="0.36"/>
    <s v="Normal"/>
    <n v="2023"/>
    <s v="October"/>
  </r>
  <r>
    <n v="780"/>
    <n v="167"/>
    <x v="4"/>
    <x v="2"/>
    <x v="2"/>
    <d v="2022-06-27T00:00:00"/>
    <x v="339"/>
    <n v="4967.93"/>
    <n v="1160"/>
    <n v="-2139"/>
    <x v="2"/>
    <n v="4"/>
    <x v="0"/>
    <d v="2022-11-12T00:00:00"/>
    <n v="0"/>
    <n v="451"/>
    <n v="-0.43"/>
    <s v="Normal"/>
    <n v="2022"/>
    <s v="November"/>
  </r>
  <r>
    <n v="781"/>
    <n v="129"/>
    <x v="2"/>
    <x v="0"/>
    <x v="2"/>
    <d v="2022-07-09T00:00:00"/>
    <x v="80"/>
    <n v="412"/>
    <n v="1704"/>
    <n v="-1292"/>
    <x v="2"/>
    <n v="6"/>
    <x v="2"/>
    <d v="2023-01-12T00:00:00"/>
    <n v="1"/>
    <n v="452"/>
    <n v="-3.14"/>
    <s v="Outlier"/>
    <n v="2023"/>
    <s v="January"/>
  </r>
  <r>
    <n v="782"/>
    <n v="463"/>
    <x v="0"/>
    <x v="3"/>
    <x v="2"/>
    <d v="2022-06-16T00:00:00"/>
    <x v="340"/>
    <n v="2928"/>
    <n v="3525"/>
    <n v="-597"/>
    <x v="1"/>
    <n v="8"/>
    <x v="1"/>
    <d v="2023-03-03T00:00:00"/>
    <n v="0"/>
    <n v="453"/>
    <n v="-0.2"/>
    <s v="Normal"/>
    <n v="2023"/>
    <s v="March"/>
  </r>
  <r>
    <n v="783"/>
    <n v="152"/>
    <x v="1"/>
    <x v="0"/>
    <x v="1"/>
    <d v="2023-01-01T00:00:00"/>
    <x v="341"/>
    <n v="798"/>
    <n v="3270"/>
    <n v="-2472"/>
    <x v="0"/>
    <n v="15"/>
    <x v="1"/>
    <d v="2024-04-27T00:00:00"/>
    <n v="0"/>
    <n v="454"/>
    <n v="-3.1"/>
    <s v="Outlier"/>
    <n v="2024"/>
    <s v="April"/>
  </r>
  <r>
    <n v="784"/>
    <n v="224"/>
    <x v="2"/>
    <x v="3"/>
    <x v="1"/>
    <d v="2022-06-02T00:00:00"/>
    <x v="342"/>
    <n v="6145"/>
    <n v="842"/>
    <n v="5303"/>
    <x v="1"/>
    <n v="16"/>
    <x v="1"/>
    <d v="2023-10-18T00:00:00"/>
    <n v="0"/>
    <n v="455"/>
    <n v="0.86"/>
    <s v="Normal"/>
    <n v="2023"/>
    <s v="October"/>
  </r>
  <r>
    <n v="786"/>
    <n v="248"/>
    <x v="3"/>
    <x v="2"/>
    <x v="2"/>
    <d v="2022-10-19T00:00:00"/>
    <x v="343"/>
    <n v="4967.93"/>
    <n v="3621"/>
    <n v="-5479"/>
    <x v="1"/>
    <n v="15"/>
    <x v="1"/>
    <d v="2024-01-25T00:00:00"/>
    <n v="1"/>
    <n v="456"/>
    <n v="-1.1000000000000001"/>
    <s v="Outlier"/>
    <n v="2024"/>
    <s v="January"/>
  </r>
  <r>
    <n v="787"/>
    <n v="161"/>
    <x v="0"/>
    <x v="1"/>
    <x v="1"/>
    <d v="2022-11-01T00:00:00"/>
    <x v="200"/>
    <n v="6073"/>
    <n v="3261"/>
    <n v="577.01"/>
    <x v="2"/>
    <n v="13"/>
    <x v="1"/>
    <d v="2023-12-09T00:00:00"/>
    <n v="0"/>
    <n v="457"/>
    <n v="0.1"/>
    <s v="Normal"/>
    <n v="2023"/>
    <s v="December"/>
  </r>
  <r>
    <n v="791"/>
    <n v="285"/>
    <x v="1"/>
    <x v="1"/>
    <x v="1"/>
    <d v="2022-09-19T00:00:00"/>
    <x v="344"/>
    <n v="878"/>
    <n v="1806"/>
    <n v="-928"/>
    <x v="2"/>
    <n v="8"/>
    <x v="1"/>
    <d v="2023-05-22T00:00:00"/>
    <n v="0"/>
    <n v="458"/>
    <n v="-1.06"/>
    <s v="Outlier"/>
    <n v="2023"/>
    <s v="May"/>
  </r>
  <r>
    <n v="794"/>
    <n v="236"/>
    <x v="2"/>
    <x v="1"/>
    <x v="1"/>
    <d v="2022-08-02T00:00:00"/>
    <x v="210"/>
    <n v="6666"/>
    <n v="4222"/>
    <n v="2444"/>
    <x v="2"/>
    <n v="13"/>
    <x v="1"/>
    <d v="2023-09-12T00:00:00"/>
    <n v="0"/>
    <n v="459"/>
    <n v="0.37"/>
    <s v="Normal"/>
    <n v="2023"/>
    <s v="September"/>
  </r>
  <r>
    <n v="796"/>
    <n v="280"/>
    <x v="2"/>
    <x v="2"/>
    <x v="0"/>
    <d v="2022-01-29T00:00:00"/>
    <x v="345"/>
    <n v="962"/>
    <n v="6861"/>
    <n v="-5899"/>
    <x v="2"/>
    <n v="3"/>
    <x v="0"/>
    <d v="2022-05-22T00:00:00"/>
    <n v="0"/>
    <n v="460"/>
    <n v="-6.13"/>
    <s v="Outlier"/>
    <n v="2022"/>
    <s v="May"/>
  </r>
  <r>
    <n v="800"/>
    <n v="251"/>
    <x v="1"/>
    <x v="2"/>
    <x v="1"/>
    <d v="2022-01-08T00:00:00"/>
    <x v="346"/>
    <n v="8477"/>
    <n v="2540"/>
    <n v="5937"/>
    <x v="1"/>
    <n v="3"/>
    <x v="0"/>
    <d v="2022-04-09T00:00:00"/>
    <n v="1"/>
    <n v="461"/>
    <n v="0.7"/>
    <s v="Normal"/>
    <n v="2022"/>
    <s v="April"/>
  </r>
  <r>
    <n v="802"/>
    <n v="442"/>
    <x v="3"/>
    <x v="2"/>
    <x v="2"/>
    <d v="2022-09-06T00:00:00"/>
    <x v="7"/>
    <n v="4967.93"/>
    <n v="6092"/>
    <n v="-6854"/>
    <x v="1"/>
    <n v="5"/>
    <x v="0"/>
    <d v="2023-03-04T00:00:00"/>
    <n v="0"/>
    <n v="462"/>
    <n v="-1.38"/>
    <s v="Outlier"/>
    <n v="2023"/>
    <s v="March"/>
  </r>
  <r>
    <n v="803"/>
    <n v="419"/>
    <x v="1"/>
    <x v="2"/>
    <x v="2"/>
    <d v="2022-12-30T00:00:00"/>
    <x v="290"/>
    <n v="7341"/>
    <n v="6422"/>
    <n v="919"/>
    <x v="0"/>
    <n v="4"/>
    <x v="0"/>
    <d v="2023-05-25T00:00:00"/>
    <n v="0"/>
    <n v="463"/>
    <n v="0.13"/>
    <s v="Normal"/>
    <n v="2023"/>
    <s v="May"/>
  </r>
  <r>
    <n v="805"/>
    <n v="184"/>
    <x v="2"/>
    <x v="0"/>
    <x v="2"/>
    <d v="2022-03-07T00:00:00"/>
    <x v="347"/>
    <n v="5432"/>
    <n v="878"/>
    <n v="4554"/>
    <x v="0"/>
    <n v="2"/>
    <x v="0"/>
    <d v="2022-06-01T00:00:00"/>
    <n v="1"/>
    <n v="464"/>
    <n v="0.84"/>
    <s v="Normal"/>
    <n v="2022"/>
    <s v="June"/>
  </r>
  <r>
    <n v="806"/>
    <n v="468"/>
    <x v="4"/>
    <x v="2"/>
    <x v="0"/>
    <d v="2022-11-11T00:00:00"/>
    <x v="12"/>
    <n v="699"/>
    <n v="3973"/>
    <n v="577.01"/>
    <x v="1"/>
    <n v="6"/>
    <x v="2"/>
    <d v="2023-05-31T00:00:00"/>
    <n v="0"/>
    <n v="465"/>
    <n v="0.83"/>
    <s v="Normal"/>
    <n v="2023"/>
    <s v="May"/>
  </r>
  <r>
    <n v="807"/>
    <n v="469"/>
    <x v="2"/>
    <x v="2"/>
    <x v="0"/>
    <d v="2022-10-24T00:00:00"/>
    <x v="305"/>
    <n v="6998"/>
    <n v="7472"/>
    <n v="-474"/>
    <x v="0"/>
    <n v="3"/>
    <x v="0"/>
    <d v="2023-02-11T00:00:00"/>
    <n v="0"/>
    <n v="466"/>
    <n v="-7.0000000000000007E-2"/>
    <s v="Normal"/>
    <n v="2023"/>
    <s v="February"/>
  </r>
  <r>
    <n v="809"/>
    <n v="158"/>
    <x v="0"/>
    <x v="1"/>
    <x v="0"/>
    <d v="2022-06-08T00:00:00"/>
    <x v="186"/>
    <n v="1245"/>
    <n v="4696"/>
    <n v="-3451"/>
    <x v="1"/>
    <n v="9"/>
    <x v="1"/>
    <d v="2023-04-03T00:00:00"/>
    <n v="0"/>
    <n v="467"/>
    <n v="-2.77"/>
    <s v="Outlier"/>
    <n v="2023"/>
    <s v="April"/>
  </r>
  <r>
    <n v="810"/>
    <n v="234"/>
    <x v="1"/>
    <x v="1"/>
    <x v="1"/>
    <d v="2022-05-26T00:00:00"/>
    <x v="34"/>
    <n v="4967.93"/>
    <n v="151"/>
    <n v="-498"/>
    <x v="1"/>
    <n v="4"/>
    <x v="0"/>
    <d v="2022-10-14T00:00:00"/>
    <n v="0"/>
    <n v="468"/>
    <n v="-0.1"/>
    <s v="Normal"/>
    <n v="2022"/>
    <s v="October"/>
  </r>
  <r>
    <n v="813"/>
    <n v="464"/>
    <x v="1"/>
    <x v="3"/>
    <x v="2"/>
    <d v="2022-11-02T00:00:00"/>
    <x v="95"/>
    <n v="1734"/>
    <n v="4162"/>
    <n v="-2428"/>
    <x v="2"/>
    <n v="11"/>
    <x v="1"/>
    <d v="2023-10-12T00:00:00"/>
    <n v="1"/>
    <n v="469"/>
    <n v="-1.4"/>
    <s v="Outlier"/>
    <n v="2023"/>
    <s v="October"/>
  </r>
  <r>
    <n v="816"/>
    <n v="379"/>
    <x v="1"/>
    <x v="1"/>
    <x v="0"/>
    <d v="2022-09-14T00:00:00"/>
    <x v="348"/>
    <n v="1540"/>
    <n v="7215"/>
    <n v="-5675"/>
    <x v="1"/>
    <n v="8"/>
    <x v="1"/>
    <d v="2023-06-08T00:00:00"/>
    <n v="0"/>
    <n v="470"/>
    <n v="-3.69"/>
    <s v="Outlier"/>
    <n v="2023"/>
    <s v="June"/>
  </r>
  <r>
    <n v="822"/>
    <n v="118"/>
    <x v="4"/>
    <x v="2"/>
    <x v="2"/>
    <d v="2022-11-02T00:00:00"/>
    <x v="349"/>
    <n v="9806"/>
    <n v="5873"/>
    <n v="3933"/>
    <x v="1"/>
    <n v="7"/>
    <x v="1"/>
    <d v="2023-06-03T00:00:00"/>
    <n v="1"/>
    <n v="471"/>
    <n v="0.4"/>
    <s v="Normal"/>
    <n v="2023"/>
    <s v="June"/>
  </r>
  <r>
    <n v="825"/>
    <n v="416"/>
    <x v="0"/>
    <x v="3"/>
    <x v="0"/>
    <d v="2022-05-02T00:00:00"/>
    <x v="148"/>
    <n v="7286"/>
    <n v="3336"/>
    <n v="3950"/>
    <x v="1"/>
    <n v="19"/>
    <x v="1"/>
    <d v="2023-12-02T00:00:00"/>
    <n v="1"/>
    <n v="472"/>
    <n v="0.54"/>
    <s v="Normal"/>
    <n v="2023"/>
    <s v="December"/>
  </r>
  <r>
    <n v="828"/>
    <n v="172"/>
    <x v="1"/>
    <x v="2"/>
    <x v="2"/>
    <d v="2022-05-26T00:00:00"/>
    <x v="114"/>
    <n v="7113"/>
    <n v="6172"/>
    <n v="941"/>
    <x v="2"/>
    <n v="4"/>
    <x v="0"/>
    <d v="2022-10-21T00:00:00"/>
    <n v="0"/>
    <n v="473"/>
    <n v="0.13"/>
    <s v="Normal"/>
    <n v="2022"/>
    <s v="October"/>
  </r>
  <r>
    <n v="829"/>
    <n v="409"/>
    <x v="1"/>
    <x v="3"/>
    <x v="0"/>
    <d v="2022-03-04T00:00:00"/>
    <x v="100"/>
    <n v="8090"/>
    <n v="4012.75"/>
    <n v="8094"/>
    <x v="1"/>
    <n v="6"/>
    <x v="2"/>
    <d v="2022-09-23T00:00:00"/>
    <n v="1"/>
    <n v="474"/>
    <n v="1"/>
    <s v="Outlier"/>
    <n v="2022"/>
    <s v="September"/>
  </r>
  <r>
    <n v="831"/>
    <n v="453"/>
    <x v="2"/>
    <x v="1"/>
    <x v="2"/>
    <d v="2022-03-04T00:00:00"/>
    <x v="93"/>
    <n v="938"/>
    <n v="3760"/>
    <n v="-2822"/>
    <x v="1"/>
    <n v="7"/>
    <x v="1"/>
    <d v="2022-10-06T00:00:00"/>
    <n v="0"/>
    <n v="475"/>
    <n v="-3.01"/>
    <s v="Outlier"/>
    <n v="2022"/>
    <s v="October"/>
  </r>
  <r>
    <n v="832"/>
    <n v="309"/>
    <x v="0"/>
    <x v="1"/>
    <x v="0"/>
    <d v="2022-02-02T00:00:00"/>
    <x v="258"/>
    <n v="335"/>
    <n v="5130"/>
    <n v="-4795"/>
    <x v="1"/>
    <n v="4"/>
    <x v="0"/>
    <d v="2022-06-19T00:00:00"/>
    <n v="1"/>
    <n v="476"/>
    <n v="-14.31"/>
    <s v="Outlier"/>
    <n v="2022"/>
    <s v="June"/>
  </r>
  <r>
    <n v="834"/>
    <n v="421"/>
    <x v="3"/>
    <x v="0"/>
    <x v="1"/>
    <d v="2022-11-05T00:00:00"/>
    <x v="343"/>
    <n v="70"/>
    <n v="7154"/>
    <n v="-7084"/>
    <x v="0"/>
    <n v="14"/>
    <x v="1"/>
    <d v="2024-01-25T00:00:00"/>
    <n v="1"/>
    <n v="477"/>
    <n v="-101.2"/>
    <s v="Outlier"/>
    <n v="2024"/>
    <s v="January"/>
  </r>
  <r>
    <n v="835"/>
    <n v="128"/>
    <x v="0"/>
    <x v="1"/>
    <x v="1"/>
    <d v="2022-01-22T00:00:00"/>
    <x v="192"/>
    <n v="7109"/>
    <n v="2806"/>
    <n v="577.01"/>
    <x v="1"/>
    <n v="11"/>
    <x v="1"/>
    <d v="2023-01-06T00:00:00"/>
    <n v="1"/>
    <n v="478"/>
    <n v="0.08"/>
    <s v="Normal"/>
    <n v="2023"/>
    <s v="January"/>
  </r>
  <r>
    <n v="836"/>
    <n v="252"/>
    <x v="1"/>
    <x v="3"/>
    <x v="2"/>
    <d v="2022-08-07T00:00:00"/>
    <x v="223"/>
    <n v="9673"/>
    <n v="6311"/>
    <n v="3362"/>
    <x v="0"/>
    <n v="12"/>
    <x v="1"/>
    <d v="2023-08-23T00:00:00"/>
    <n v="1"/>
    <n v="479"/>
    <n v="0.35"/>
    <s v="Normal"/>
    <n v="2023"/>
    <s v="August"/>
  </r>
  <r>
    <n v="837"/>
    <n v="283"/>
    <x v="3"/>
    <x v="0"/>
    <x v="1"/>
    <d v="2022-01-28T00:00:00"/>
    <x v="260"/>
    <n v="4967.93"/>
    <n v="7185"/>
    <n v="-8708"/>
    <x v="1"/>
    <n v="17"/>
    <x v="1"/>
    <d v="2023-07-11T00:00:00"/>
    <n v="1"/>
    <n v="480"/>
    <n v="-1.75"/>
    <s v="Outlier"/>
    <n v="2023"/>
    <s v="July"/>
  </r>
  <r>
    <n v="838"/>
    <n v="267"/>
    <x v="4"/>
    <x v="1"/>
    <x v="0"/>
    <d v="2022-08-29T00:00:00"/>
    <x v="184"/>
    <n v="5103"/>
    <n v="4554"/>
    <n v="549"/>
    <x v="1"/>
    <n v="7"/>
    <x v="1"/>
    <d v="2023-03-30T00:00:00"/>
    <n v="1"/>
    <n v="481"/>
    <n v="0.11"/>
    <s v="Normal"/>
    <n v="2023"/>
    <s v="March"/>
  </r>
  <r>
    <n v="839"/>
    <n v="359"/>
    <x v="1"/>
    <x v="3"/>
    <x v="1"/>
    <d v="2022-05-31T00:00:00"/>
    <x v="241"/>
    <n v="4967.93"/>
    <n v="1918"/>
    <n v="-2469"/>
    <x v="2"/>
    <n v="7"/>
    <x v="1"/>
    <d v="2023-01-16T00:00:00"/>
    <n v="1"/>
    <n v="482"/>
    <n v="-0.5"/>
    <s v="Normal"/>
    <n v="2023"/>
    <s v="January"/>
  </r>
  <r>
    <n v="840"/>
    <n v="110"/>
    <x v="1"/>
    <x v="1"/>
    <x v="1"/>
    <d v="2022-02-23T00:00:00"/>
    <x v="108"/>
    <n v="2989"/>
    <n v="4880"/>
    <n v="-1891"/>
    <x v="1"/>
    <n v="14"/>
    <x v="1"/>
    <d v="2023-04-30T00:00:00"/>
    <n v="1"/>
    <n v="483"/>
    <n v="-0.63"/>
    <s v="Normal"/>
    <n v="2023"/>
    <s v="April"/>
  </r>
  <r>
    <n v="841"/>
    <n v="309"/>
    <x v="0"/>
    <x v="3"/>
    <x v="1"/>
    <d v="2022-04-24T00:00:00"/>
    <x v="129"/>
    <n v="8313"/>
    <n v="5168"/>
    <n v="3145"/>
    <x v="2"/>
    <n v="13"/>
    <x v="1"/>
    <d v="2023-06-02T00:00:00"/>
    <n v="1"/>
    <n v="484"/>
    <n v="0.38"/>
    <s v="Normal"/>
    <n v="2023"/>
    <s v="June"/>
  </r>
  <r>
    <n v="842"/>
    <n v="303"/>
    <x v="3"/>
    <x v="3"/>
    <x v="2"/>
    <d v="2022-05-28T00:00:00"/>
    <x v="350"/>
    <n v="3321"/>
    <n v="7950"/>
    <n v="-4629"/>
    <x v="0"/>
    <n v="13"/>
    <x v="1"/>
    <d v="2023-07-09T00:00:00"/>
    <n v="0"/>
    <n v="485"/>
    <n v="-1.39"/>
    <s v="Outlier"/>
    <n v="2023"/>
    <s v="July"/>
  </r>
  <r>
    <n v="844"/>
    <n v="141"/>
    <x v="2"/>
    <x v="2"/>
    <x v="1"/>
    <d v="2022-06-13T00:00:00"/>
    <x v="351"/>
    <n v="4724"/>
    <n v="4622"/>
    <n v="102"/>
    <x v="0"/>
    <n v="9"/>
    <x v="1"/>
    <d v="2023-03-16T00:00:00"/>
    <n v="1"/>
    <n v="486"/>
    <n v="0.02"/>
    <s v="Normal"/>
    <n v="2023"/>
    <s v="March"/>
  </r>
  <r>
    <n v="845"/>
    <n v="307"/>
    <x v="3"/>
    <x v="2"/>
    <x v="2"/>
    <d v="2022-05-17T00:00:00"/>
    <x v="352"/>
    <n v="6816"/>
    <n v="6854"/>
    <n v="577.01"/>
    <x v="0"/>
    <n v="1"/>
    <x v="0"/>
    <d v="2022-07-07T00:00:00"/>
    <n v="0"/>
    <n v="487"/>
    <n v="0.08"/>
    <s v="Normal"/>
    <n v="2022"/>
    <s v="July"/>
  </r>
  <r>
    <n v="846"/>
    <n v="480"/>
    <x v="3"/>
    <x v="2"/>
    <x v="2"/>
    <d v="2022-09-07T00:00:00"/>
    <x v="353"/>
    <n v="9193"/>
    <n v="5896"/>
    <n v="3297"/>
    <x v="0"/>
    <n v="1"/>
    <x v="0"/>
    <d v="2022-10-12T00:00:00"/>
    <n v="0"/>
    <n v="488"/>
    <n v="0.36"/>
    <s v="Normal"/>
    <n v="2022"/>
    <s v="October"/>
  </r>
  <r>
    <n v="847"/>
    <n v="425"/>
    <x v="3"/>
    <x v="3"/>
    <x v="2"/>
    <d v="2022-12-16T00:00:00"/>
    <x v="206"/>
    <n v="5524"/>
    <n v="6696"/>
    <n v="-1172"/>
    <x v="0"/>
    <n v="7"/>
    <x v="1"/>
    <d v="2023-07-22T00:00:00"/>
    <n v="0"/>
    <n v="489"/>
    <n v="-0.21"/>
    <s v="Normal"/>
    <n v="2023"/>
    <s v="July"/>
  </r>
  <r>
    <n v="848"/>
    <n v="400"/>
    <x v="4"/>
    <x v="2"/>
    <x v="2"/>
    <d v="2022-07-19T00:00:00"/>
    <x v="203"/>
    <n v="3633"/>
    <n v="4012.75"/>
    <n v="3690"/>
    <x v="1"/>
    <n v="9"/>
    <x v="1"/>
    <d v="2023-05-06T00:00:00"/>
    <n v="0"/>
    <n v="490"/>
    <n v="1.02"/>
    <s v="Outlier"/>
    <n v="2023"/>
    <s v="May"/>
  </r>
  <r>
    <n v="849"/>
    <n v="322"/>
    <x v="0"/>
    <x v="1"/>
    <x v="1"/>
    <d v="2022-12-06T00:00:00"/>
    <x v="233"/>
    <n v="1578"/>
    <n v="4012.75"/>
    <n v="1839"/>
    <x v="0"/>
    <n v="12"/>
    <x v="1"/>
    <d v="2023-12-23T00:00:00"/>
    <n v="0"/>
    <n v="491"/>
    <n v="1.17"/>
    <s v="Outlier"/>
    <n v="2023"/>
    <s v="December"/>
  </r>
  <r>
    <n v="850"/>
    <n v="273"/>
    <x v="4"/>
    <x v="0"/>
    <x v="2"/>
    <d v="2022-08-26T00:00:00"/>
    <x v="354"/>
    <n v="3829"/>
    <n v="4550"/>
    <n v="-721"/>
    <x v="1"/>
    <n v="3"/>
    <x v="0"/>
    <d v="2022-11-28T00:00:00"/>
    <n v="1"/>
    <n v="492"/>
    <n v="-0.19"/>
    <s v="Normal"/>
    <n v="2022"/>
    <s v="November"/>
  </r>
  <r>
    <n v="852"/>
    <n v="435"/>
    <x v="3"/>
    <x v="1"/>
    <x v="0"/>
    <d v="2022-07-22T00:00:00"/>
    <x v="100"/>
    <n v="4967.93"/>
    <n v="7118"/>
    <n v="577.01"/>
    <x v="2"/>
    <n v="2"/>
    <x v="0"/>
    <d v="2022-09-23T00:00:00"/>
    <n v="1"/>
    <n v="493"/>
    <n v="0.12"/>
    <s v="Normal"/>
    <n v="2022"/>
    <s v="September"/>
  </r>
  <r>
    <n v="853"/>
    <n v="250"/>
    <x v="1"/>
    <x v="2"/>
    <x v="1"/>
    <d v="2022-03-16T00:00:00"/>
    <x v="355"/>
    <n v="7736"/>
    <n v="474"/>
    <n v="7262"/>
    <x v="1"/>
    <n v="2"/>
    <x v="0"/>
    <d v="2022-06-04T00:00:00"/>
    <n v="0"/>
    <n v="494"/>
    <n v="0.94"/>
    <s v="Normal"/>
    <n v="2022"/>
    <s v="June"/>
  </r>
  <r>
    <n v="857"/>
    <n v="393"/>
    <x v="0"/>
    <x v="0"/>
    <x v="0"/>
    <d v="2022-10-17T00:00:00"/>
    <x v="356"/>
    <n v="5433"/>
    <n v="451"/>
    <n v="577.01"/>
    <x v="2"/>
    <n v="2"/>
    <x v="0"/>
    <d v="2022-12-23T00:00:00"/>
    <n v="0"/>
    <n v="495"/>
    <n v="0.11"/>
    <s v="Normal"/>
    <n v="2022"/>
    <s v="December"/>
  </r>
  <r>
    <n v="858"/>
    <n v="138"/>
    <x v="3"/>
    <x v="0"/>
    <x v="2"/>
    <d v="2022-02-14T00:00:00"/>
    <x v="357"/>
    <n v="9867"/>
    <n v="6832"/>
    <n v="3035"/>
    <x v="2"/>
    <n v="12"/>
    <x v="1"/>
    <d v="2023-02-25T00:00:00"/>
    <n v="1"/>
    <n v="496"/>
    <n v="0.31"/>
    <s v="Normal"/>
    <n v="2023"/>
    <s v="February"/>
  </r>
  <r>
    <n v="859"/>
    <n v="286"/>
    <x v="3"/>
    <x v="3"/>
    <x v="1"/>
    <d v="2022-02-10T00:00:00"/>
    <x v="358"/>
    <n v="4903"/>
    <n v="186"/>
    <n v="4717"/>
    <x v="0"/>
    <n v="9"/>
    <x v="1"/>
    <d v="2022-11-30T00:00:00"/>
    <n v="0"/>
    <n v="497"/>
    <n v="0.96"/>
    <s v="Normal"/>
    <n v="2022"/>
    <s v="November"/>
  </r>
  <r>
    <n v="860"/>
    <n v="320"/>
    <x v="3"/>
    <x v="0"/>
    <x v="0"/>
    <d v="2022-01-27T00:00:00"/>
    <x v="166"/>
    <n v="8958"/>
    <n v="36"/>
    <n v="577.01"/>
    <x v="1"/>
    <n v="5"/>
    <x v="0"/>
    <d v="2022-07-15T00:00:00"/>
    <n v="1"/>
    <n v="498"/>
    <n v="0.06"/>
    <s v="Normal"/>
    <n v="2022"/>
    <s v="July"/>
  </r>
  <r>
    <n v="861"/>
    <n v="256"/>
    <x v="2"/>
    <x v="3"/>
    <x v="2"/>
    <d v="2022-12-01T00:00:00"/>
    <x v="359"/>
    <n v="1113"/>
    <n v="5687"/>
    <n v="-4574"/>
    <x v="2"/>
    <n v="16"/>
    <x v="1"/>
    <d v="2024-04-17T00:00:00"/>
    <n v="1"/>
    <n v="499"/>
    <n v="-4.1100000000000003"/>
    <s v="Outlier"/>
    <n v="2024"/>
    <s v="April"/>
  </r>
  <r>
    <n v="862"/>
    <n v="136"/>
    <x v="2"/>
    <x v="0"/>
    <x v="0"/>
    <d v="2022-01-28T00:00:00"/>
    <x v="257"/>
    <n v="3738"/>
    <n v="6182"/>
    <n v="-2444"/>
    <x v="2"/>
    <n v="19"/>
    <x v="1"/>
    <d v="2023-09-11T00:00:00"/>
    <n v="0"/>
    <n v="500"/>
    <n v="-0.65"/>
    <s v="Normal"/>
    <n v="2023"/>
    <s v="September"/>
  </r>
  <r>
    <n v="866"/>
    <n v="213"/>
    <x v="0"/>
    <x v="2"/>
    <x v="0"/>
    <d v="2022-01-09T00:00:00"/>
    <x v="360"/>
    <n v="3553"/>
    <n v="4012.75"/>
    <n v="3979"/>
    <x v="1"/>
    <n v="2"/>
    <x v="0"/>
    <d v="2022-03-15T00:00:00"/>
    <n v="0"/>
    <n v="501"/>
    <n v="1.1200000000000001"/>
    <s v="Outlier"/>
    <n v="2022"/>
    <s v="March"/>
  </r>
  <r>
    <n v="867"/>
    <n v="450"/>
    <x v="0"/>
    <x v="2"/>
    <x v="1"/>
    <d v="2022-01-19T00:00:00"/>
    <x v="63"/>
    <n v="1125"/>
    <n v="737"/>
    <n v="388"/>
    <x v="1"/>
    <n v="11"/>
    <x v="1"/>
    <d v="2023-01-05T00:00:00"/>
    <n v="1"/>
    <n v="502"/>
    <n v="0.34"/>
    <s v="Normal"/>
    <n v="2023"/>
    <s v="January"/>
  </r>
  <r>
    <n v="868"/>
    <n v="351"/>
    <x v="4"/>
    <x v="1"/>
    <x v="2"/>
    <d v="2022-08-30T00:00:00"/>
    <x v="94"/>
    <n v="4967.93"/>
    <n v="4012.75"/>
    <n v="357"/>
    <x v="1"/>
    <n v="9"/>
    <x v="1"/>
    <d v="2023-06-13T00:00:00"/>
    <n v="1"/>
    <n v="503"/>
    <n v="7.0000000000000007E-2"/>
    <s v="Normal"/>
    <n v="2023"/>
    <s v="June"/>
  </r>
  <r>
    <n v="870"/>
    <n v="317"/>
    <x v="0"/>
    <x v="2"/>
    <x v="0"/>
    <d v="2022-02-23T00:00:00"/>
    <x v="39"/>
    <n v="4967.93"/>
    <n v="6028"/>
    <n v="-7734"/>
    <x v="0"/>
    <n v="19"/>
    <x v="1"/>
    <d v="2023-09-27T00:00:00"/>
    <n v="0"/>
    <n v="504"/>
    <n v="-1.56"/>
    <s v="Outlier"/>
    <n v="2023"/>
    <s v="September"/>
  </r>
  <r>
    <n v="872"/>
    <n v="298"/>
    <x v="4"/>
    <x v="2"/>
    <x v="1"/>
    <d v="2022-05-23T00:00:00"/>
    <x v="176"/>
    <n v="5571"/>
    <n v="6320"/>
    <n v="-749"/>
    <x v="2"/>
    <n v="2"/>
    <x v="0"/>
    <d v="2022-08-14T00:00:00"/>
    <n v="0"/>
    <n v="505"/>
    <n v="-0.13"/>
    <s v="Normal"/>
    <n v="2022"/>
    <s v="August"/>
  </r>
  <r>
    <n v="873"/>
    <n v="408"/>
    <x v="2"/>
    <x v="3"/>
    <x v="0"/>
    <d v="2022-12-03T00:00:00"/>
    <x v="361"/>
    <n v="4967.93"/>
    <n v="3504"/>
    <n v="-4215"/>
    <x v="1"/>
    <n v="10"/>
    <x v="1"/>
    <d v="2023-10-20T00:00:00"/>
    <n v="0"/>
    <n v="506"/>
    <n v="-0.85"/>
    <s v="Normal"/>
    <n v="2023"/>
    <s v="October"/>
  </r>
  <r>
    <n v="874"/>
    <n v="359"/>
    <x v="3"/>
    <x v="1"/>
    <x v="1"/>
    <d v="2022-07-12T00:00:00"/>
    <x v="136"/>
    <n v="6628"/>
    <n v="7840"/>
    <n v="-1212"/>
    <x v="2"/>
    <n v="12"/>
    <x v="1"/>
    <d v="2023-08-11T00:00:00"/>
    <n v="0"/>
    <n v="507"/>
    <n v="-0.18"/>
    <s v="Normal"/>
    <n v="2023"/>
    <s v="August"/>
  </r>
  <r>
    <n v="875"/>
    <n v="136"/>
    <x v="4"/>
    <x v="3"/>
    <x v="1"/>
    <d v="2022-03-23T00:00:00"/>
    <x v="362"/>
    <n v="6432"/>
    <n v="5255"/>
    <n v="1177"/>
    <x v="2"/>
    <n v="16"/>
    <x v="1"/>
    <d v="2023-08-19T00:00:00"/>
    <n v="0"/>
    <n v="508"/>
    <n v="0.18"/>
    <s v="Normal"/>
    <n v="2023"/>
    <s v="August"/>
  </r>
  <r>
    <n v="878"/>
    <n v="376"/>
    <x v="2"/>
    <x v="0"/>
    <x v="0"/>
    <d v="2022-10-25T00:00:00"/>
    <x v="349"/>
    <n v="4477"/>
    <n v="2798"/>
    <n v="1679"/>
    <x v="1"/>
    <n v="7"/>
    <x v="1"/>
    <d v="2023-06-03T00:00:00"/>
    <n v="1"/>
    <n v="509"/>
    <n v="0.38"/>
    <s v="Normal"/>
    <n v="2023"/>
    <s v="June"/>
  </r>
  <r>
    <n v="879"/>
    <n v="290"/>
    <x v="0"/>
    <x v="2"/>
    <x v="0"/>
    <d v="2022-10-21T00:00:00"/>
    <x v="363"/>
    <n v="5669"/>
    <n v="2566"/>
    <n v="3103"/>
    <x v="1"/>
    <n v="17"/>
    <x v="1"/>
    <d v="2024-04-20T00:00:00"/>
    <n v="1"/>
    <n v="510"/>
    <n v="0.55000000000000004"/>
    <s v="Normal"/>
    <n v="2024"/>
    <s v="April"/>
  </r>
  <r>
    <n v="880"/>
    <n v="313"/>
    <x v="1"/>
    <x v="0"/>
    <x v="0"/>
    <d v="2022-02-21T00:00:00"/>
    <x v="230"/>
    <n v="4042"/>
    <n v="5151"/>
    <n v="-1109"/>
    <x v="1"/>
    <n v="10"/>
    <x v="1"/>
    <d v="2023-01-07T00:00:00"/>
    <n v="1"/>
    <n v="511"/>
    <n v="-0.27"/>
    <s v="Normal"/>
    <n v="2023"/>
    <s v="January"/>
  </r>
  <r>
    <n v="881"/>
    <n v="486"/>
    <x v="2"/>
    <x v="3"/>
    <x v="1"/>
    <d v="2022-01-07T00:00:00"/>
    <x v="147"/>
    <n v="2642"/>
    <n v="3880"/>
    <n v="-1238"/>
    <x v="1"/>
    <n v="5"/>
    <x v="0"/>
    <d v="2022-06-29T00:00:00"/>
    <n v="1"/>
    <n v="512"/>
    <n v="-0.47"/>
    <s v="Normal"/>
    <n v="2022"/>
    <s v="June"/>
  </r>
  <r>
    <n v="882"/>
    <n v="267"/>
    <x v="2"/>
    <x v="1"/>
    <x v="2"/>
    <d v="2022-02-06T00:00:00"/>
    <x v="364"/>
    <n v="5911"/>
    <n v="7782"/>
    <n v="-1871"/>
    <x v="2"/>
    <n v="12"/>
    <x v="1"/>
    <d v="2023-02-21T00:00:00"/>
    <n v="0"/>
    <n v="513"/>
    <n v="-0.32"/>
    <s v="Normal"/>
    <n v="2023"/>
    <s v="February"/>
  </r>
  <r>
    <n v="885"/>
    <n v="227"/>
    <x v="3"/>
    <x v="1"/>
    <x v="2"/>
    <d v="2022-03-06T00:00:00"/>
    <x v="85"/>
    <n v="5334"/>
    <n v="5642"/>
    <n v="-308"/>
    <x v="1"/>
    <n v="12"/>
    <x v="1"/>
    <d v="2023-03-24T00:00:00"/>
    <n v="0"/>
    <n v="514"/>
    <n v="-0.06"/>
    <s v="Normal"/>
    <n v="2023"/>
    <s v="March"/>
  </r>
  <r>
    <n v="887"/>
    <n v="485"/>
    <x v="4"/>
    <x v="2"/>
    <x v="1"/>
    <d v="2022-10-19T00:00:00"/>
    <x v="365"/>
    <n v="6639"/>
    <n v="6529"/>
    <n v="110"/>
    <x v="1"/>
    <n v="7"/>
    <x v="1"/>
    <d v="2023-06-15T00:00:00"/>
    <n v="0"/>
    <n v="515"/>
    <n v="0.02"/>
    <s v="Normal"/>
    <n v="2023"/>
    <s v="June"/>
  </r>
  <r>
    <n v="890"/>
    <n v="105"/>
    <x v="0"/>
    <x v="0"/>
    <x v="2"/>
    <d v="2022-10-01T00:00:00"/>
    <x v="272"/>
    <n v="2199"/>
    <n v="581"/>
    <n v="1618"/>
    <x v="1"/>
    <n v="9"/>
    <x v="1"/>
    <d v="2023-07-01T00:00:00"/>
    <n v="1"/>
    <n v="516"/>
    <n v="0.74"/>
    <s v="Normal"/>
    <n v="2023"/>
    <s v="July"/>
  </r>
  <r>
    <n v="891"/>
    <n v="310"/>
    <x v="3"/>
    <x v="2"/>
    <x v="0"/>
    <d v="2022-05-01T00:00:00"/>
    <x v="366"/>
    <n v="2057"/>
    <n v="5507"/>
    <n v="-3450"/>
    <x v="1"/>
    <n v="16"/>
    <x v="1"/>
    <d v="2023-09-23T00:00:00"/>
    <n v="1"/>
    <n v="517"/>
    <n v="-1.68"/>
    <s v="Outlier"/>
    <n v="2023"/>
    <s v="September"/>
  </r>
  <r>
    <n v="892"/>
    <n v="487"/>
    <x v="4"/>
    <x v="1"/>
    <x v="2"/>
    <d v="2022-11-09T00:00:00"/>
    <x v="367"/>
    <n v="5796"/>
    <n v="3024"/>
    <n v="2772"/>
    <x v="0"/>
    <n v="3"/>
    <x v="0"/>
    <d v="2023-02-14T00:00:00"/>
    <n v="1"/>
    <n v="518"/>
    <n v="0.48"/>
    <s v="Normal"/>
    <n v="2023"/>
    <s v="February"/>
  </r>
  <r>
    <n v="893"/>
    <n v="246"/>
    <x v="3"/>
    <x v="3"/>
    <x v="2"/>
    <d v="2022-10-20T00:00:00"/>
    <x v="368"/>
    <n v="4967.93"/>
    <n v="7668"/>
    <n v="-9393"/>
    <x v="2"/>
    <n v="19"/>
    <x v="1"/>
    <d v="2024-05-25T00:00:00"/>
    <n v="0"/>
    <n v="519"/>
    <n v="-1.89"/>
    <s v="Outlier"/>
    <n v="2024"/>
    <s v="May"/>
  </r>
  <r>
    <n v="895"/>
    <n v="110"/>
    <x v="1"/>
    <x v="1"/>
    <x v="2"/>
    <d v="2022-09-08T00:00:00"/>
    <x v="369"/>
    <n v="4967.93"/>
    <n v="6411"/>
    <n v="-8135"/>
    <x v="1"/>
    <n v="9"/>
    <x v="1"/>
    <d v="2023-06-26T00:00:00"/>
    <n v="1"/>
    <n v="520"/>
    <n v="-1.64"/>
    <s v="Outlier"/>
    <n v="2023"/>
    <s v="June"/>
  </r>
  <r>
    <n v="896"/>
    <n v="422"/>
    <x v="2"/>
    <x v="3"/>
    <x v="2"/>
    <d v="2022-07-27T00:00:00"/>
    <x v="370"/>
    <n v="5769"/>
    <n v="6381"/>
    <n v="-612"/>
    <x v="2"/>
    <n v="3"/>
    <x v="0"/>
    <d v="2022-11-23T00:00:00"/>
    <n v="0"/>
    <n v="521"/>
    <n v="-0.11"/>
    <s v="Normal"/>
    <n v="2022"/>
    <s v="November"/>
  </r>
  <r>
    <n v="897"/>
    <n v="176"/>
    <x v="3"/>
    <x v="0"/>
    <x v="0"/>
    <d v="2022-11-06T00:00:00"/>
    <x v="272"/>
    <n v="4967.93"/>
    <n v="5449"/>
    <n v="-5567"/>
    <x v="1"/>
    <n v="7"/>
    <x v="1"/>
    <d v="2023-07-01T00:00:00"/>
    <n v="0"/>
    <n v="522"/>
    <n v="-1.1200000000000001"/>
    <s v="Outlier"/>
    <n v="2023"/>
    <s v="July"/>
  </r>
  <r>
    <n v="899"/>
    <n v="107"/>
    <x v="2"/>
    <x v="0"/>
    <x v="0"/>
    <d v="2022-07-08T00:00:00"/>
    <x v="99"/>
    <n v="1308"/>
    <n v="2336"/>
    <n v="-1028"/>
    <x v="2"/>
    <n v="7"/>
    <x v="1"/>
    <d v="2023-02-23T00:00:00"/>
    <n v="1"/>
    <n v="523"/>
    <n v="-0.79"/>
    <s v="Normal"/>
    <n v="2023"/>
    <s v="February"/>
  </r>
  <r>
    <n v="900"/>
    <n v="472"/>
    <x v="4"/>
    <x v="3"/>
    <x v="1"/>
    <d v="2022-08-20T00:00:00"/>
    <x v="235"/>
    <n v="5828"/>
    <n v="4283"/>
    <n v="1545"/>
    <x v="1"/>
    <n v="5"/>
    <x v="0"/>
    <d v="2023-02-15T00:00:00"/>
    <n v="1"/>
    <n v="524"/>
    <n v="0.27"/>
    <s v="Normal"/>
    <n v="2023"/>
    <s v="February"/>
  </r>
  <r>
    <n v="903"/>
    <n v="494"/>
    <x v="2"/>
    <x v="0"/>
    <x v="0"/>
    <d v="2022-12-04T00:00:00"/>
    <x v="342"/>
    <n v="1433"/>
    <n v="2321"/>
    <n v="-888"/>
    <x v="2"/>
    <n v="10"/>
    <x v="1"/>
    <d v="2023-10-18T00:00:00"/>
    <n v="0"/>
    <n v="525"/>
    <n v="-0.62"/>
    <s v="Normal"/>
    <n v="2023"/>
    <s v="October"/>
  </r>
  <r>
    <n v="904"/>
    <n v="204"/>
    <x v="2"/>
    <x v="2"/>
    <x v="2"/>
    <d v="2022-10-12T00:00:00"/>
    <x v="371"/>
    <n v="4866"/>
    <n v="3377"/>
    <n v="1489"/>
    <x v="1"/>
    <n v="15"/>
    <x v="1"/>
    <d v="2024-01-27T00:00:00"/>
    <n v="0"/>
    <n v="526"/>
    <n v="0.31"/>
    <s v="Normal"/>
    <n v="2024"/>
    <s v="January"/>
  </r>
  <r>
    <n v="906"/>
    <n v="248"/>
    <x v="3"/>
    <x v="3"/>
    <x v="1"/>
    <d v="2022-05-10T00:00:00"/>
    <x v="352"/>
    <n v="7827"/>
    <n v="5567"/>
    <n v="2260"/>
    <x v="1"/>
    <n v="1"/>
    <x v="0"/>
    <d v="2022-07-07T00:00:00"/>
    <n v="0"/>
    <n v="527"/>
    <n v="0.28999999999999998"/>
    <s v="Normal"/>
    <n v="2022"/>
    <s v="July"/>
  </r>
  <r>
    <n v="912"/>
    <n v="139"/>
    <x v="4"/>
    <x v="1"/>
    <x v="1"/>
    <d v="2022-08-06T00:00:00"/>
    <x v="372"/>
    <n v="7374"/>
    <n v="5518"/>
    <n v="1856"/>
    <x v="2"/>
    <n v="18"/>
    <x v="1"/>
    <d v="2024-02-14T00:00:00"/>
    <n v="0"/>
    <n v="528"/>
    <n v="0.25"/>
    <s v="Normal"/>
    <n v="2024"/>
    <s v="February"/>
  </r>
  <r>
    <n v="913"/>
    <n v="435"/>
    <x v="4"/>
    <x v="3"/>
    <x v="0"/>
    <d v="2022-11-08T00:00:00"/>
    <x v="188"/>
    <n v="1033"/>
    <n v="6397"/>
    <n v="-5364"/>
    <x v="1"/>
    <n v="5"/>
    <x v="0"/>
    <d v="2023-04-09T00:00:00"/>
    <n v="0"/>
    <n v="529"/>
    <n v="-5.19"/>
    <s v="Outlier"/>
    <n v="2023"/>
    <s v="April"/>
  </r>
  <r>
    <n v="915"/>
    <n v="198"/>
    <x v="2"/>
    <x v="3"/>
    <x v="0"/>
    <d v="2022-09-21T00:00:00"/>
    <x v="153"/>
    <n v="4967.93"/>
    <n v="7064"/>
    <n v="-7193"/>
    <x v="1"/>
    <n v="7"/>
    <x v="1"/>
    <d v="2023-04-22T00:00:00"/>
    <n v="0"/>
    <n v="530"/>
    <n v="-1.45"/>
    <s v="Outlier"/>
    <n v="2023"/>
    <s v="April"/>
  </r>
  <r>
    <n v="917"/>
    <n v="189"/>
    <x v="1"/>
    <x v="3"/>
    <x v="0"/>
    <d v="2022-03-16T00:00:00"/>
    <x v="373"/>
    <n v="4701"/>
    <n v="3224"/>
    <n v="1477"/>
    <x v="0"/>
    <n v="1"/>
    <x v="0"/>
    <d v="2022-04-27T00:00:00"/>
    <n v="1"/>
    <n v="531"/>
    <n v="0.31"/>
    <s v="Normal"/>
    <n v="2022"/>
    <s v="April"/>
  </r>
  <r>
    <n v="919"/>
    <n v="103"/>
    <x v="1"/>
    <x v="3"/>
    <x v="0"/>
    <d v="2022-12-20T00:00:00"/>
    <x v="374"/>
    <n v="2449"/>
    <n v="2461"/>
    <n v="-12"/>
    <x v="1"/>
    <n v="19"/>
    <x v="1"/>
    <d v="2024-08-03T00:00:00"/>
    <n v="1"/>
    <n v="532"/>
    <n v="0"/>
    <s v="Normal"/>
    <n v="2024"/>
    <s v="August"/>
  </r>
  <r>
    <n v="920"/>
    <n v="412"/>
    <x v="1"/>
    <x v="1"/>
    <x v="1"/>
    <d v="2022-05-02T00:00:00"/>
    <x v="375"/>
    <n v="5198"/>
    <n v="484"/>
    <n v="4714"/>
    <x v="0"/>
    <n v="4"/>
    <x v="0"/>
    <d v="2022-09-09T00:00:00"/>
    <n v="1"/>
    <n v="533"/>
    <n v="0.91"/>
    <s v="Normal"/>
    <n v="2022"/>
    <s v="September"/>
  </r>
  <r>
    <n v="921"/>
    <n v="495"/>
    <x v="4"/>
    <x v="2"/>
    <x v="1"/>
    <d v="2022-03-12T00:00:00"/>
    <x v="376"/>
    <n v="3523"/>
    <n v="3382"/>
    <n v="141"/>
    <x v="2"/>
    <n v="7"/>
    <x v="1"/>
    <d v="2022-11-04T00:00:00"/>
    <n v="1"/>
    <n v="534"/>
    <n v="0.04"/>
    <s v="Normal"/>
    <n v="2022"/>
    <s v="November"/>
  </r>
  <r>
    <n v="923"/>
    <n v="209"/>
    <x v="1"/>
    <x v="3"/>
    <x v="0"/>
    <d v="2022-12-11T00:00:00"/>
    <x v="117"/>
    <n v="178"/>
    <n v="1297"/>
    <n v="-1119"/>
    <x v="0"/>
    <n v="18"/>
    <x v="1"/>
    <d v="2024-06-21T00:00:00"/>
    <n v="0"/>
    <n v="535"/>
    <n v="-6.29"/>
    <s v="Outlier"/>
    <n v="2024"/>
    <s v="June"/>
  </r>
  <r>
    <n v="924"/>
    <n v="449"/>
    <x v="0"/>
    <x v="3"/>
    <x v="2"/>
    <d v="2022-04-21T00:00:00"/>
    <x v="377"/>
    <n v="5511"/>
    <n v="2149"/>
    <n v="3362"/>
    <x v="2"/>
    <n v="11"/>
    <x v="1"/>
    <d v="2023-04-14T00:00:00"/>
    <n v="1"/>
    <n v="536"/>
    <n v="0.61"/>
    <s v="Normal"/>
    <n v="2023"/>
    <s v="April"/>
  </r>
  <r>
    <n v="925"/>
    <n v="319"/>
    <x v="0"/>
    <x v="0"/>
    <x v="1"/>
    <d v="2022-05-17T00:00:00"/>
    <x v="378"/>
    <n v="4967.93"/>
    <n v="3623"/>
    <n v="-4785"/>
    <x v="1"/>
    <n v="12"/>
    <x v="1"/>
    <d v="2023-06-12T00:00:00"/>
    <n v="0"/>
    <n v="537"/>
    <n v="-0.96"/>
    <s v="Normal"/>
    <n v="2023"/>
    <s v="June"/>
  </r>
  <r>
    <n v="926"/>
    <n v="247"/>
    <x v="3"/>
    <x v="1"/>
    <x v="2"/>
    <d v="2022-05-27T00:00:00"/>
    <x v="379"/>
    <n v="1989"/>
    <n v="2494"/>
    <n v="-505"/>
    <x v="1"/>
    <n v="12"/>
    <x v="1"/>
    <d v="2023-06-21T00:00:00"/>
    <n v="0"/>
    <n v="538"/>
    <n v="-0.25"/>
    <s v="Normal"/>
    <n v="2023"/>
    <s v="June"/>
  </r>
  <r>
    <n v="927"/>
    <n v="228"/>
    <x v="2"/>
    <x v="1"/>
    <x v="0"/>
    <d v="2022-10-12T00:00:00"/>
    <x v="259"/>
    <n v="7037"/>
    <n v="5008"/>
    <n v="2029"/>
    <x v="1"/>
    <n v="16"/>
    <x v="1"/>
    <d v="2024-02-20T00:00:00"/>
    <n v="0"/>
    <n v="539"/>
    <n v="0.28999999999999998"/>
    <s v="Normal"/>
    <n v="2024"/>
    <s v="February"/>
  </r>
  <r>
    <n v="928"/>
    <n v="250"/>
    <x v="3"/>
    <x v="3"/>
    <x v="1"/>
    <d v="2022-07-17T00:00:00"/>
    <x v="380"/>
    <n v="4967.93"/>
    <n v="6961"/>
    <n v="-8619"/>
    <x v="0"/>
    <n v="4"/>
    <x v="0"/>
    <d v="2022-12-14T00:00:00"/>
    <n v="1"/>
    <n v="540"/>
    <n v="-1.73"/>
    <s v="Outlier"/>
    <n v="2022"/>
    <s v="December"/>
  </r>
  <r>
    <n v="929"/>
    <n v="401"/>
    <x v="2"/>
    <x v="1"/>
    <x v="0"/>
    <d v="2022-12-02T00:00:00"/>
    <x v="381"/>
    <n v="4650"/>
    <n v="3372"/>
    <n v="1278"/>
    <x v="2"/>
    <n v="19"/>
    <x v="1"/>
    <d v="2024-07-19T00:00:00"/>
    <n v="0"/>
    <n v="541"/>
    <n v="0.27"/>
    <s v="Normal"/>
    <n v="2024"/>
    <s v="July"/>
  </r>
  <r>
    <n v="930"/>
    <n v="124"/>
    <x v="3"/>
    <x v="0"/>
    <x v="2"/>
    <d v="2022-12-22T00:00:00"/>
    <x v="382"/>
    <n v="4931"/>
    <n v="4012.75"/>
    <n v="5350"/>
    <x v="1"/>
    <n v="12"/>
    <x v="1"/>
    <d v="2024-01-19T00:00:00"/>
    <n v="1"/>
    <n v="542"/>
    <n v="1.08"/>
    <s v="Outlier"/>
    <n v="2024"/>
    <s v="January"/>
  </r>
  <r>
    <n v="932"/>
    <n v="411"/>
    <x v="3"/>
    <x v="1"/>
    <x v="0"/>
    <d v="2022-08-06T00:00:00"/>
    <x v="383"/>
    <n v="4967.93"/>
    <n v="6661"/>
    <n v="-8429"/>
    <x v="1"/>
    <n v="1"/>
    <x v="0"/>
    <d v="2022-09-06T00:00:00"/>
    <n v="1"/>
    <n v="543"/>
    <n v="-1.7"/>
    <s v="Outlier"/>
    <n v="2022"/>
    <s v="September"/>
  </r>
  <r>
    <n v="933"/>
    <n v="343"/>
    <x v="0"/>
    <x v="2"/>
    <x v="2"/>
    <d v="2022-12-22T00:00:00"/>
    <x v="328"/>
    <n v="3739"/>
    <n v="4012.75"/>
    <n v="4690"/>
    <x v="1"/>
    <n v="6"/>
    <x v="2"/>
    <d v="2023-07-07T00:00:00"/>
    <n v="0"/>
    <n v="544"/>
    <n v="1.25"/>
    <s v="Outlier"/>
    <n v="2023"/>
    <s v="July"/>
  </r>
  <r>
    <n v="934"/>
    <n v="442"/>
    <x v="2"/>
    <x v="3"/>
    <x v="0"/>
    <d v="2022-05-06T00:00:00"/>
    <x v="384"/>
    <n v="7861"/>
    <n v="4012.75"/>
    <n v="8765"/>
    <x v="2"/>
    <n v="18"/>
    <x v="1"/>
    <d v="2023-11-28T00:00:00"/>
    <n v="1"/>
    <n v="545"/>
    <n v="1.1100000000000001"/>
    <s v="Outlier"/>
    <n v="2023"/>
    <s v="November"/>
  </r>
  <r>
    <n v="935"/>
    <n v="444"/>
    <x v="3"/>
    <x v="0"/>
    <x v="2"/>
    <d v="2022-01-27T00:00:00"/>
    <x v="285"/>
    <n v="8704"/>
    <n v="1046"/>
    <n v="7658"/>
    <x v="2"/>
    <n v="6"/>
    <x v="2"/>
    <d v="2022-08-20T00:00:00"/>
    <n v="0"/>
    <n v="546"/>
    <n v="0.88"/>
    <s v="Normal"/>
    <n v="2022"/>
    <s v="August"/>
  </r>
  <r>
    <n v="937"/>
    <n v="197"/>
    <x v="4"/>
    <x v="1"/>
    <x v="0"/>
    <d v="2022-06-12T00:00:00"/>
    <x v="115"/>
    <n v="4967.93"/>
    <n v="1981"/>
    <n v="-2241"/>
    <x v="1"/>
    <n v="6"/>
    <x v="2"/>
    <d v="2023-01-01T00:00:00"/>
    <n v="1"/>
    <n v="547"/>
    <n v="-0.45"/>
    <s v="Normal"/>
    <n v="2023"/>
    <s v="January"/>
  </r>
  <r>
    <n v="939"/>
    <n v="100"/>
    <x v="2"/>
    <x v="3"/>
    <x v="1"/>
    <d v="2022-11-27T00:00:00"/>
    <x v="45"/>
    <n v="3705"/>
    <n v="3798"/>
    <n v="-93"/>
    <x v="2"/>
    <n v="1"/>
    <x v="0"/>
    <d v="2023-01-02T00:00:00"/>
    <n v="0"/>
    <n v="548"/>
    <n v="-0.03"/>
    <s v="Normal"/>
    <n v="2023"/>
    <s v="January"/>
  </r>
  <r>
    <n v="940"/>
    <n v="325"/>
    <x v="2"/>
    <x v="3"/>
    <x v="0"/>
    <d v="2022-03-03T00:00:00"/>
    <x v="272"/>
    <n v="5166"/>
    <n v="5828"/>
    <n v="-662"/>
    <x v="0"/>
    <n v="15"/>
    <x v="1"/>
    <d v="2023-07-01T00:00:00"/>
    <n v="1"/>
    <n v="549"/>
    <n v="-0.13"/>
    <s v="Normal"/>
    <n v="2023"/>
    <s v="July"/>
  </r>
  <r>
    <n v="943"/>
    <n v="299"/>
    <x v="1"/>
    <x v="3"/>
    <x v="1"/>
    <d v="2022-07-10T00:00:00"/>
    <x v="79"/>
    <n v="5855"/>
    <n v="5125"/>
    <n v="730"/>
    <x v="1"/>
    <n v="12"/>
    <x v="1"/>
    <d v="2023-08-07T00:00:00"/>
    <n v="1"/>
    <n v="550"/>
    <n v="0.12"/>
    <s v="Normal"/>
    <n v="2023"/>
    <s v="August"/>
  </r>
  <r>
    <n v="944"/>
    <n v="474"/>
    <x v="0"/>
    <x v="3"/>
    <x v="2"/>
    <d v="2022-06-10T00:00:00"/>
    <x v="51"/>
    <n v="1153"/>
    <n v="2052"/>
    <n v="-899"/>
    <x v="0"/>
    <n v="18"/>
    <x v="1"/>
    <d v="2023-12-17T00:00:00"/>
    <n v="0"/>
    <n v="551"/>
    <n v="-0.78"/>
    <s v="Normal"/>
    <n v="2023"/>
    <s v="December"/>
  </r>
  <r>
    <n v="945"/>
    <n v="360"/>
    <x v="1"/>
    <x v="1"/>
    <x v="0"/>
    <d v="2022-09-19T00:00:00"/>
    <x v="168"/>
    <n v="8492"/>
    <n v="1180"/>
    <n v="7312"/>
    <x v="2"/>
    <n v="18"/>
    <x v="1"/>
    <d v="2024-04-01T00:00:00"/>
    <n v="1"/>
    <n v="552"/>
    <n v="0.86"/>
    <s v="Normal"/>
    <n v="2024"/>
    <s v="April"/>
  </r>
  <r>
    <n v="947"/>
    <n v="500"/>
    <x v="0"/>
    <x v="3"/>
    <x v="2"/>
    <d v="2022-03-06T00:00:00"/>
    <x v="344"/>
    <n v="8875"/>
    <n v="6942"/>
    <n v="1933"/>
    <x v="1"/>
    <n v="14"/>
    <x v="1"/>
    <d v="2023-05-22T00:00:00"/>
    <n v="1"/>
    <n v="553"/>
    <n v="0.22"/>
    <s v="Normal"/>
    <n v="2023"/>
    <s v="May"/>
  </r>
  <r>
    <n v="948"/>
    <n v="170"/>
    <x v="1"/>
    <x v="2"/>
    <x v="1"/>
    <d v="2022-05-20T00:00:00"/>
    <x v="178"/>
    <n v="6609"/>
    <n v="6911"/>
    <n v="-302"/>
    <x v="2"/>
    <n v="2"/>
    <x v="0"/>
    <d v="2022-08-12T00:00:00"/>
    <n v="1"/>
    <n v="554"/>
    <n v="-0.05"/>
    <s v="Normal"/>
    <n v="2022"/>
    <s v="August"/>
  </r>
  <r>
    <n v="949"/>
    <n v="330"/>
    <x v="2"/>
    <x v="0"/>
    <x v="2"/>
    <d v="2022-07-22T00:00:00"/>
    <x v="71"/>
    <n v="8051"/>
    <n v="7050"/>
    <n v="1001"/>
    <x v="1"/>
    <n v="12"/>
    <x v="1"/>
    <d v="2023-07-31T00:00:00"/>
    <n v="0"/>
    <n v="555"/>
    <n v="0.12"/>
    <s v="Normal"/>
    <n v="2023"/>
    <s v="July"/>
  </r>
  <r>
    <n v="950"/>
    <n v="326"/>
    <x v="2"/>
    <x v="3"/>
    <x v="1"/>
    <d v="2022-08-23T00:00:00"/>
    <x v="385"/>
    <n v="5686"/>
    <n v="858"/>
    <n v="4828"/>
    <x v="2"/>
    <n v="8"/>
    <x v="1"/>
    <d v="2023-05-10T00:00:00"/>
    <n v="1"/>
    <n v="556"/>
    <n v="0.85"/>
    <s v="Normal"/>
    <n v="2023"/>
    <s v="May"/>
  </r>
  <r>
    <n v="952"/>
    <n v="114"/>
    <x v="3"/>
    <x v="3"/>
    <x v="2"/>
    <d v="2022-02-09T00:00:00"/>
    <x v="386"/>
    <n v="6099"/>
    <n v="4956"/>
    <n v="1143"/>
    <x v="2"/>
    <n v="15"/>
    <x v="1"/>
    <d v="2023-05-18T00:00:00"/>
    <n v="0"/>
    <n v="557"/>
    <n v="0.19"/>
    <s v="Normal"/>
    <n v="2023"/>
    <s v="May"/>
  </r>
  <r>
    <n v="953"/>
    <n v="405"/>
    <x v="3"/>
    <x v="1"/>
    <x v="1"/>
    <d v="2022-05-14T00:00:00"/>
    <x v="387"/>
    <n v="4711"/>
    <n v="2559"/>
    <n v="2152"/>
    <x v="2"/>
    <n v="1"/>
    <x v="0"/>
    <d v="2022-06-17T00:00:00"/>
    <n v="1"/>
    <n v="558"/>
    <n v="0.46"/>
    <s v="Normal"/>
    <n v="2022"/>
    <s v="June"/>
  </r>
  <r>
    <n v="955"/>
    <n v="482"/>
    <x v="0"/>
    <x v="2"/>
    <x v="1"/>
    <d v="2022-07-07T00:00:00"/>
    <x v="65"/>
    <n v="5848"/>
    <n v="4012.75"/>
    <n v="577.01"/>
    <x v="1"/>
    <n v="6"/>
    <x v="2"/>
    <d v="2023-01-14T00:00:00"/>
    <n v="0"/>
    <n v="559"/>
    <n v="0.1"/>
    <s v="Normal"/>
    <n v="2023"/>
    <s v="January"/>
  </r>
  <r>
    <n v="957"/>
    <n v="443"/>
    <x v="0"/>
    <x v="2"/>
    <x v="2"/>
    <d v="2022-10-02T00:00:00"/>
    <x v="388"/>
    <n v="4967.93"/>
    <n v="1241"/>
    <n v="-2801"/>
    <x v="1"/>
    <n v="4"/>
    <x v="0"/>
    <d v="2023-02-17T00:00:00"/>
    <n v="0"/>
    <n v="560"/>
    <n v="-0.56000000000000005"/>
    <s v="Normal"/>
    <n v="2023"/>
    <s v="February"/>
  </r>
  <r>
    <n v="960"/>
    <n v="115"/>
    <x v="4"/>
    <x v="2"/>
    <x v="2"/>
    <d v="2022-06-30T00:00:00"/>
    <x v="26"/>
    <n v="8660"/>
    <n v="6122"/>
    <n v="2538"/>
    <x v="2"/>
    <n v="9"/>
    <x v="1"/>
    <d v="2023-04-08T00:00:00"/>
    <n v="1"/>
    <n v="561"/>
    <n v="0.28999999999999998"/>
    <s v="Normal"/>
    <n v="2023"/>
    <s v="April"/>
  </r>
  <r>
    <n v="961"/>
    <n v="269"/>
    <x v="0"/>
    <x v="0"/>
    <x v="1"/>
    <d v="2022-09-17T00:00:00"/>
    <x v="232"/>
    <n v="3512"/>
    <n v="2070"/>
    <n v="577.01"/>
    <x v="2"/>
    <n v="7"/>
    <x v="1"/>
    <d v="2023-04-17T00:00:00"/>
    <n v="0"/>
    <n v="562"/>
    <n v="0.16"/>
    <s v="Normal"/>
    <n v="2023"/>
    <s v="April"/>
  </r>
  <r>
    <n v="963"/>
    <n v="383"/>
    <x v="0"/>
    <x v="1"/>
    <x v="1"/>
    <d v="2022-08-02T00:00:00"/>
    <x v="184"/>
    <n v="3996"/>
    <n v="212"/>
    <n v="3784"/>
    <x v="1"/>
    <n v="7"/>
    <x v="1"/>
    <d v="2023-03-30T00:00:00"/>
    <n v="0"/>
    <n v="563"/>
    <n v="0.95"/>
    <s v="Normal"/>
    <n v="2023"/>
    <s v="March"/>
  </r>
  <r>
    <n v="964"/>
    <n v="389"/>
    <x v="0"/>
    <x v="2"/>
    <x v="1"/>
    <d v="2022-11-14T00:00:00"/>
    <x v="232"/>
    <n v="8716"/>
    <n v="2247"/>
    <n v="577.01"/>
    <x v="0"/>
    <n v="5"/>
    <x v="0"/>
    <d v="2023-04-17T00:00:00"/>
    <n v="0"/>
    <n v="564"/>
    <n v="7.0000000000000007E-2"/>
    <s v="Normal"/>
    <n v="2023"/>
    <s v="April"/>
  </r>
  <r>
    <n v="965"/>
    <n v="401"/>
    <x v="0"/>
    <x v="3"/>
    <x v="0"/>
    <d v="2022-02-13T00:00:00"/>
    <x v="389"/>
    <n v="1134"/>
    <n v="4058"/>
    <n v="-2924"/>
    <x v="2"/>
    <n v="11"/>
    <x v="1"/>
    <d v="2023-01-28T00:00:00"/>
    <n v="0"/>
    <n v="565"/>
    <n v="-2.58"/>
    <s v="Outlier"/>
    <n v="2023"/>
    <s v="January"/>
  </r>
  <r>
    <n v="966"/>
    <n v="289"/>
    <x v="1"/>
    <x v="0"/>
    <x v="0"/>
    <d v="2022-02-05T00:00:00"/>
    <x v="390"/>
    <n v="6895"/>
    <n v="1387"/>
    <n v="5508"/>
    <x v="1"/>
    <n v="4"/>
    <x v="0"/>
    <d v="2022-06-30T00:00:00"/>
    <n v="1"/>
    <n v="566"/>
    <n v="0.8"/>
    <s v="Normal"/>
    <n v="2022"/>
    <s v="June"/>
  </r>
  <r>
    <n v="969"/>
    <n v="457"/>
    <x v="4"/>
    <x v="1"/>
    <x v="0"/>
    <d v="2022-03-17T00:00:00"/>
    <x v="15"/>
    <n v="4967.93"/>
    <n v="4872"/>
    <n v="-5077"/>
    <x v="2"/>
    <n v="12"/>
    <x v="1"/>
    <d v="2023-04-11T00:00:00"/>
    <n v="0"/>
    <n v="567"/>
    <n v="-1.02"/>
    <s v="Outlier"/>
    <n v="2023"/>
    <s v="April"/>
  </r>
  <r>
    <n v="970"/>
    <n v="108"/>
    <x v="4"/>
    <x v="2"/>
    <x v="1"/>
    <d v="2022-05-06T00:00:00"/>
    <x v="391"/>
    <n v="6518"/>
    <n v="5105"/>
    <n v="1413"/>
    <x v="2"/>
    <n v="8"/>
    <x v="1"/>
    <d v="2023-02-03T00:00:00"/>
    <n v="1"/>
    <n v="568"/>
    <n v="0.22"/>
    <s v="Normal"/>
    <n v="2023"/>
    <s v="February"/>
  </r>
  <r>
    <n v="971"/>
    <n v="393"/>
    <x v="4"/>
    <x v="1"/>
    <x v="2"/>
    <d v="2022-04-14T00:00:00"/>
    <x v="392"/>
    <n v="4148"/>
    <n v="950"/>
    <n v="3198"/>
    <x v="1"/>
    <n v="18"/>
    <x v="1"/>
    <d v="2023-10-22T00:00:00"/>
    <n v="0"/>
    <n v="569"/>
    <n v="0.77"/>
    <s v="Normal"/>
    <n v="2023"/>
    <s v="October"/>
  </r>
  <r>
    <n v="972"/>
    <n v="187"/>
    <x v="3"/>
    <x v="3"/>
    <x v="0"/>
    <d v="2022-05-19T00:00:00"/>
    <x v="366"/>
    <n v="5283"/>
    <n v="5547"/>
    <n v="-264"/>
    <x v="1"/>
    <n v="16"/>
    <x v="1"/>
    <d v="2023-09-23T00:00:00"/>
    <n v="0"/>
    <n v="570"/>
    <n v="-0.05"/>
    <s v="Normal"/>
    <n v="2023"/>
    <s v="September"/>
  </r>
  <r>
    <n v="973"/>
    <n v="312"/>
    <x v="2"/>
    <x v="1"/>
    <x v="2"/>
    <d v="2022-10-28T00:00:00"/>
    <x v="393"/>
    <n v="6227"/>
    <n v="7613"/>
    <n v="-1386"/>
    <x v="1"/>
    <n v="15"/>
    <x v="1"/>
    <d v="2024-02-18T00:00:00"/>
    <n v="0"/>
    <n v="571"/>
    <n v="-0.22"/>
    <s v="Normal"/>
    <n v="2024"/>
    <s v="February"/>
  </r>
  <r>
    <n v="975"/>
    <n v="413"/>
    <x v="3"/>
    <x v="3"/>
    <x v="1"/>
    <d v="2022-10-25T00:00:00"/>
    <x v="70"/>
    <n v="2167"/>
    <n v="4012.75"/>
    <n v="2890"/>
    <x v="1"/>
    <n v="7"/>
    <x v="1"/>
    <d v="2023-06-22T00:00:00"/>
    <n v="0"/>
    <n v="572"/>
    <n v="1.33"/>
    <s v="Outlier"/>
    <n v="2023"/>
    <s v="June"/>
  </r>
  <r>
    <n v="976"/>
    <n v="116"/>
    <x v="0"/>
    <x v="3"/>
    <x v="1"/>
    <d v="2022-09-15T00:00:00"/>
    <x v="394"/>
    <n v="7577"/>
    <n v="4825"/>
    <n v="2752"/>
    <x v="1"/>
    <n v="2"/>
    <x v="0"/>
    <d v="2022-11-22T00:00:00"/>
    <n v="0"/>
    <n v="573"/>
    <n v="0.36"/>
    <s v="Normal"/>
    <n v="2022"/>
    <s v="November"/>
  </r>
  <r>
    <n v="977"/>
    <n v="271"/>
    <x v="2"/>
    <x v="2"/>
    <x v="1"/>
    <d v="2022-07-29T00:00:00"/>
    <x v="205"/>
    <n v="3071"/>
    <n v="3694"/>
    <n v="-623"/>
    <x v="2"/>
    <n v="11"/>
    <x v="1"/>
    <d v="2023-07-14T00:00:00"/>
    <n v="1"/>
    <n v="574"/>
    <n v="-0.2"/>
    <s v="Normal"/>
    <n v="2023"/>
    <s v="July"/>
  </r>
  <r>
    <n v="978"/>
    <n v="298"/>
    <x v="1"/>
    <x v="0"/>
    <x v="0"/>
    <d v="2022-07-24T00:00:00"/>
    <x v="202"/>
    <n v="4059"/>
    <n v="826"/>
    <n v="3233"/>
    <x v="1"/>
    <n v="15"/>
    <x v="1"/>
    <d v="2023-11-19T00:00:00"/>
    <n v="1"/>
    <n v="575"/>
    <n v="0.8"/>
    <s v="Normal"/>
    <n v="2023"/>
    <s v="November"/>
  </r>
  <r>
    <n v="979"/>
    <n v="119"/>
    <x v="0"/>
    <x v="3"/>
    <x v="0"/>
    <d v="2022-12-22T00:00:00"/>
    <x v="203"/>
    <n v="7206"/>
    <n v="5068"/>
    <n v="2138"/>
    <x v="2"/>
    <n v="4"/>
    <x v="0"/>
    <d v="2023-05-06T00:00:00"/>
    <n v="0"/>
    <n v="576"/>
    <n v="0.3"/>
    <s v="Normal"/>
    <n v="2023"/>
    <s v="May"/>
  </r>
  <r>
    <n v="982"/>
    <n v="265"/>
    <x v="3"/>
    <x v="1"/>
    <x v="1"/>
    <d v="2022-05-01T00:00:00"/>
    <x v="395"/>
    <n v="6094"/>
    <n v="7212"/>
    <n v="-1118"/>
    <x v="1"/>
    <n v="0"/>
    <x v="0"/>
    <d v="2022-05-31T00:00:00"/>
    <n v="0"/>
    <n v="577"/>
    <n v="-0.18"/>
    <s v="Normal"/>
    <n v="2022"/>
    <s v="May"/>
  </r>
  <r>
    <n v="983"/>
    <n v="494"/>
    <x v="4"/>
    <x v="2"/>
    <x v="0"/>
    <d v="2022-08-13T00:00:00"/>
    <x v="396"/>
    <n v="2943"/>
    <n v="7431"/>
    <n v="-4488"/>
    <x v="1"/>
    <n v="3"/>
    <x v="0"/>
    <d v="2022-12-04T00:00:00"/>
    <n v="0"/>
    <n v="578"/>
    <n v="-1.52"/>
    <s v="Outlier"/>
    <n v="2022"/>
    <s v="December"/>
  </r>
  <r>
    <n v="984"/>
    <n v="251"/>
    <x v="3"/>
    <x v="2"/>
    <x v="2"/>
    <d v="2022-10-07T00:00:00"/>
    <x v="397"/>
    <n v="4967.93"/>
    <n v="7598"/>
    <n v="-8458"/>
    <x v="1"/>
    <n v="13"/>
    <x v="1"/>
    <d v="2023-11-20T00:00:00"/>
    <n v="1"/>
    <n v="579"/>
    <n v="-1.7"/>
    <s v="Outlier"/>
    <n v="2023"/>
    <s v="November"/>
  </r>
  <r>
    <n v="987"/>
    <n v="421"/>
    <x v="1"/>
    <x v="0"/>
    <x v="2"/>
    <d v="2022-09-27T00:00:00"/>
    <x v="398"/>
    <n v="5588"/>
    <n v="4012.75"/>
    <n v="5723"/>
    <x v="0"/>
    <n v="16"/>
    <x v="1"/>
    <d v="2024-01-28T00:00:00"/>
    <n v="1"/>
    <n v="580"/>
    <n v="1.02"/>
    <s v="Outlier"/>
    <n v="2024"/>
    <s v="January"/>
  </r>
  <r>
    <n v="988"/>
    <n v="248"/>
    <x v="1"/>
    <x v="3"/>
    <x v="0"/>
    <d v="2022-07-05T00:00:00"/>
    <x v="261"/>
    <n v="7861"/>
    <n v="1066"/>
    <n v="6795"/>
    <x v="2"/>
    <n v="9"/>
    <x v="1"/>
    <d v="2023-05-02T00:00:00"/>
    <n v="1"/>
    <n v="581"/>
    <n v="0.86"/>
    <s v="Normal"/>
    <n v="2023"/>
    <s v="May"/>
  </r>
  <r>
    <n v="990"/>
    <n v="382"/>
    <x v="3"/>
    <x v="3"/>
    <x v="0"/>
    <d v="2022-05-19T00:00:00"/>
    <x v="94"/>
    <n v="3143"/>
    <n v="4968"/>
    <n v="577.01"/>
    <x v="1"/>
    <n v="12"/>
    <x v="1"/>
    <d v="2023-06-13T00:00:00"/>
    <n v="0"/>
    <n v="582"/>
    <n v="0.18"/>
    <s v="Normal"/>
    <n v="2023"/>
    <s v="June"/>
  </r>
  <r>
    <n v="992"/>
    <n v="116"/>
    <x v="1"/>
    <x v="0"/>
    <x v="2"/>
    <d v="2022-01-25T00:00:00"/>
    <x v="91"/>
    <n v="9025"/>
    <n v="2488"/>
    <n v="6537"/>
    <x v="0"/>
    <n v="2"/>
    <x v="0"/>
    <d v="2022-03-29T00:00:00"/>
    <n v="1"/>
    <n v="583"/>
    <n v="0.72"/>
    <s v="Normal"/>
    <n v="2022"/>
    <s v="March"/>
  </r>
  <r>
    <n v="994"/>
    <n v="279"/>
    <x v="3"/>
    <x v="0"/>
    <x v="0"/>
    <d v="2022-10-20T00:00:00"/>
    <x v="399"/>
    <n v="3718"/>
    <n v="7895"/>
    <n v="-4177"/>
    <x v="2"/>
    <n v="19"/>
    <x v="1"/>
    <d v="2024-06-02T00:00:00"/>
    <n v="0"/>
    <n v="584"/>
    <n v="-1.1200000000000001"/>
    <s v="Outlier"/>
    <n v="2024"/>
    <s v="June"/>
  </r>
  <r>
    <n v="996"/>
    <n v="167"/>
    <x v="0"/>
    <x v="1"/>
    <x v="1"/>
    <d v="2022-08-09T00:00:00"/>
    <x v="400"/>
    <n v="9559"/>
    <n v="2749"/>
    <n v="6810"/>
    <x v="2"/>
    <n v="1"/>
    <x v="0"/>
    <d v="2022-09-14T00:00:00"/>
    <n v="1"/>
    <n v="585"/>
    <n v="0.71"/>
    <s v="Normal"/>
    <n v="2022"/>
    <s v="September"/>
  </r>
  <r>
    <n v="1000"/>
    <n v="205"/>
    <x v="4"/>
    <x v="3"/>
    <x v="2"/>
    <d v="2022-08-15T00:00:00"/>
    <x v="18"/>
    <n v="9804"/>
    <n v="6121"/>
    <n v="3683"/>
    <x v="1"/>
    <n v="10"/>
    <x v="1"/>
    <d v="2023-06-17T00:00:00"/>
    <n v="0"/>
    <n v="586"/>
    <n v="0.38"/>
    <s v="Normal"/>
    <n v="2023"/>
    <s v="June"/>
  </r>
  <r>
    <n v="1001"/>
    <n v="395"/>
    <x v="2"/>
    <x v="0"/>
    <x v="1"/>
    <d v="2022-09-17T00:00:00"/>
    <x v="154"/>
    <n v="4967.93"/>
    <n v="7614"/>
    <n v="-8362"/>
    <x v="1"/>
    <n v="9"/>
    <x v="1"/>
    <d v="2023-06-24T00:00:00"/>
    <n v="1"/>
    <n v="587"/>
    <n v="-1.68"/>
    <s v="Outlier"/>
    <n v="2023"/>
    <s v="June"/>
  </r>
  <r>
    <n v="1002"/>
    <n v="484"/>
    <x v="2"/>
    <x v="2"/>
    <x v="1"/>
    <d v="2022-03-28T00:00:00"/>
    <x v="401"/>
    <n v="3855"/>
    <n v="564"/>
    <n v="3291"/>
    <x v="1"/>
    <n v="19"/>
    <x v="1"/>
    <d v="2023-11-11T00:00:00"/>
    <n v="0"/>
    <n v="588"/>
    <n v="0.85"/>
    <s v="Normal"/>
    <n v="2023"/>
    <s v="November"/>
  </r>
  <r>
    <n v="1004"/>
    <n v="486"/>
    <x v="3"/>
    <x v="1"/>
    <x v="2"/>
    <d v="2022-02-10T00:00:00"/>
    <x v="118"/>
    <n v="7388"/>
    <n v="5507"/>
    <n v="577.01"/>
    <x v="1"/>
    <n v="7"/>
    <x v="1"/>
    <d v="2022-09-13T00:00:00"/>
    <n v="1"/>
    <n v="589"/>
    <n v="0.08"/>
    <s v="Normal"/>
    <n v="2022"/>
    <s v="September"/>
  </r>
  <r>
    <n v="1005"/>
    <n v="423"/>
    <x v="3"/>
    <x v="0"/>
    <x v="0"/>
    <d v="2022-11-19T00:00:00"/>
    <x v="402"/>
    <n v="9391"/>
    <n v="7545"/>
    <n v="1846"/>
    <x v="1"/>
    <n v="4"/>
    <x v="0"/>
    <d v="2023-04-07T00:00:00"/>
    <n v="1"/>
    <n v="590"/>
    <n v="0.2"/>
    <s v="Normal"/>
    <n v="2023"/>
    <s v="April"/>
  </r>
  <r>
    <n v="1006"/>
    <n v="150"/>
    <x v="3"/>
    <x v="2"/>
    <x v="2"/>
    <d v="2022-08-24T00:00:00"/>
    <x v="403"/>
    <n v="4967.93"/>
    <n v="2019"/>
    <n v="-3830"/>
    <x v="0"/>
    <n v="2"/>
    <x v="0"/>
    <d v="2022-10-26T00:00:00"/>
    <n v="0"/>
    <n v="591"/>
    <n v="-0.77"/>
    <s v="Normal"/>
    <n v="2022"/>
    <s v="October"/>
  </r>
  <r>
    <n v="1007"/>
    <n v="131"/>
    <x v="2"/>
    <x v="3"/>
    <x v="0"/>
    <d v="2022-12-06T00:00:00"/>
    <x v="404"/>
    <n v="3575"/>
    <n v="5082"/>
    <n v="-1507"/>
    <x v="1"/>
    <n v="6"/>
    <x v="2"/>
    <d v="2023-06-28T00:00:00"/>
    <n v="1"/>
    <n v="592"/>
    <n v="-0.42"/>
    <s v="Normal"/>
    <n v="2023"/>
    <s v="June"/>
  </r>
  <r>
    <n v="1008"/>
    <n v="340"/>
    <x v="4"/>
    <x v="3"/>
    <x v="2"/>
    <d v="2022-07-13T00:00:00"/>
    <x v="0"/>
    <n v="4271"/>
    <n v="1509"/>
    <n v="2762"/>
    <x v="2"/>
    <n v="6"/>
    <x v="2"/>
    <d v="2023-01-20T00:00:00"/>
    <n v="0"/>
    <n v="593"/>
    <n v="0.65"/>
    <s v="Normal"/>
    <n v="2023"/>
    <s v="January"/>
  </r>
  <r>
    <n v="1009"/>
    <n v="105"/>
    <x v="3"/>
    <x v="3"/>
    <x v="2"/>
    <d v="2022-01-11T00:00:00"/>
    <x v="405"/>
    <n v="1280"/>
    <n v="5978"/>
    <n v="-4698"/>
    <x v="2"/>
    <n v="1"/>
    <x v="0"/>
    <d v="2022-02-13T00:00:00"/>
    <n v="0"/>
    <n v="594"/>
    <n v="-3.67"/>
    <s v="Outlier"/>
    <n v="2022"/>
    <s v="February"/>
  </r>
  <r>
    <n v="1010"/>
    <n v="195"/>
    <x v="0"/>
    <x v="3"/>
    <x v="0"/>
    <d v="2022-10-28T00:00:00"/>
    <x v="116"/>
    <n v="8329"/>
    <n v="3401"/>
    <n v="4928"/>
    <x v="1"/>
    <n v="7"/>
    <x v="1"/>
    <d v="2023-06-27T00:00:00"/>
    <n v="1"/>
    <n v="595"/>
    <n v="0.59"/>
    <s v="Normal"/>
    <n v="2023"/>
    <s v="June"/>
  </r>
  <r>
    <n v="1012"/>
    <n v="224"/>
    <x v="2"/>
    <x v="0"/>
    <x v="0"/>
    <d v="2022-04-11T00:00:00"/>
    <x v="107"/>
    <n v="4710"/>
    <n v="3388"/>
    <n v="1322"/>
    <x v="1"/>
    <n v="5"/>
    <x v="0"/>
    <d v="2022-10-03T00:00:00"/>
    <n v="1"/>
    <n v="596"/>
    <n v="0.28000000000000003"/>
    <s v="Normal"/>
    <n v="2022"/>
    <s v="October"/>
  </r>
  <r>
    <n v="1013"/>
    <n v="290"/>
    <x v="3"/>
    <x v="0"/>
    <x v="2"/>
    <d v="2022-11-10T00:00:00"/>
    <x v="406"/>
    <n v="4602"/>
    <n v="6669"/>
    <n v="-2067"/>
    <x v="1"/>
    <n v="5"/>
    <x v="0"/>
    <d v="2023-05-05T00:00:00"/>
    <n v="0"/>
    <n v="597"/>
    <n v="-0.45"/>
    <s v="Normal"/>
    <n v="2023"/>
    <s v="May"/>
  </r>
  <r>
    <n v="1014"/>
    <n v="293"/>
    <x v="4"/>
    <x v="0"/>
    <x v="0"/>
    <d v="2022-09-02T00:00:00"/>
    <x v="194"/>
    <n v="4967.93"/>
    <n v="2846"/>
    <n v="-4159"/>
    <x v="0"/>
    <n v="18"/>
    <x v="1"/>
    <d v="2024-03-21T00:00:00"/>
    <n v="1"/>
    <n v="598"/>
    <n v="-0.84"/>
    <s v="Normal"/>
    <n v="2024"/>
    <s v="March"/>
  </r>
  <r>
    <n v="1016"/>
    <n v="284"/>
    <x v="4"/>
    <x v="1"/>
    <x v="2"/>
    <d v="2022-10-10T00:00:00"/>
    <x v="3"/>
    <n v="4967.93"/>
    <n v="7236"/>
    <n v="-8676"/>
    <x v="1"/>
    <n v="13"/>
    <x v="1"/>
    <d v="2023-12-05T00:00:00"/>
    <n v="1"/>
    <n v="599"/>
    <n v="-1.75"/>
    <s v="Outlier"/>
    <n v="2023"/>
    <s v="December"/>
  </r>
  <r>
    <n v="1017"/>
    <n v="337"/>
    <x v="2"/>
    <x v="0"/>
    <x v="0"/>
    <d v="2022-01-05T00:00:00"/>
    <x v="407"/>
    <n v="6190"/>
    <n v="633"/>
    <n v="5557"/>
    <x v="2"/>
    <n v="1"/>
    <x v="0"/>
    <d v="2022-02-08T00:00:00"/>
    <n v="0"/>
    <n v="600"/>
    <n v="0.9"/>
    <s v="Normal"/>
    <n v="2022"/>
    <s v="February"/>
  </r>
  <r>
    <n v="1019"/>
    <n v="378"/>
    <x v="2"/>
    <x v="1"/>
    <x v="1"/>
    <d v="2022-05-12T00:00:00"/>
    <x v="203"/>
    <n v="5792"/>
    <n v="2019"/>
    <n v="3773"/>
    <x v="2"/>
    <n v="11"/>
    <x v="1"/>
    <d v="2023-05-06T00:00:00"/>
    <n v="0"/>
    <n v="601"/>
    <n v="0.65"/>
    <s v="Normal"/>
    <n v="2023"/>
    <s v="May"/>
  </r>
  <r>
    <n v="1020"/>
    <n v="275"/>
    <x v="1"/>
    <x v="2"/>
    <x v="2"/>
    <d v="2022-08-18T00:00:00"/>
    <x v="322"/>
    <n v="6797"/>
    <n v="4012.75"/>
    <n v="6922"/>
    <x v="0"/>
    <n v="17"/>
    <x v="1"/>
    <d v="2024-02-02T00:00:00"/>
    <n v="0"/>
    <n v="602"/>
    <n v="1.02"/>
    <s v="Outlier"/>
    <n v="2024"/>
    <s v="February"/>
  </r>
  <r>
    <n v="1021"/>
    <n v="132"/>
    <x v="4"/>
    <x v="0"/>
    <x v="1"/>
    <d v="2022-01-19T00:00:00"/>
    <x v="408"/>
    <n v="9822"/>
    <n v="3256"/>
    <n v="6566"/>
    <x v="0"/>
    <n v="3"/>
    <x v="0"/>
    <d v="2022-05-12T00:00:00"/>
    <n v="1"/>
    <n v="603"/>
    <n v="0.67"/>
    <s v="Normal"/>
    <n v="2022"/>
    <s v="May"/>
  </r>
  <r>
    <n v="1022"/>
    <n v="402"/>
    <x v="0"/>
    <x v="3"/>
    <x v="0"/>
    <d v="2022-02-08T00:00:00"/>
    <x v="108"/>
    <n v="5488"/>
    <n v="7617"/>
    <n v="-2129"/>
    <x v="0"/>
    <n v="14"/>
    <x v="1"/>
    <d v="2023-04-30T00:00:00"/>
    <n v="1"/>
    <n v="604"/>
    <n v="-0.39"/>
    <s v="Normal"/>
    <n v="2023"/>
    <s v="April"/>
  </r>
  <r>
    <n v="1025"/>
    <n v="457"/>
    <x v="3"/>
    <x v="1"/>
    <x v="1"/>
    <d v="2022-09-07T00:00:00"/>
    <x v="372"/>
    <n v="5586"/>
    <n v="1804"/>
    <n v="3782"/>
    <x v="2"/>
    <n v="17"/>
    <x v="1"/>
    <d v="2024-02-14T00:00:00"/>
    <n v="0"/>
    <n v="605"/>
    <n v="0.68"/>
    <s v="Normal"/>
    <n v="2024"/>
    <s v="February"/>
  </r>
  <r>
    <n v="1026"/>
    <n v="238"/>
    <x v="4"/>
    <x v="2"/>
    <x v="0"/>
    <d v="2022-02-12T00:00:00"/>
    <x v="330"/>
    <n v="4967.93"/>
    <n v="7792"/>
    <n v="-8707"/>
    <x v="1"/>
    <n v="8"/>
    <x v="1"/>
    <d v="2022-10-29T00:00:00"/>
    <n v="1"/>
    <n v="606"/>
    <n v="-1.75"/>
    <s v="Outlier"/>
    <n v="2022"/>
    <s v="October"/>
  </r>
  <r>
    <n v="1028"/>
    <n v="420"/>
    <x v="0"/>
    <x v="2"/>
    <x v="1"/>
    <d v="2022-03-16T00:00:00"/>
    <x v="380"/>
    <n v="1006"/>
    <n v="1841"/>
    <n v="-835"/>
    <x v="2"/>
    <n v="8"/>
    <x v="1"/>
    <d v="2022-12-14T00:00:00"/>
    <n v="0"/>
    <n v="607"/>
    <n v="-0.83"/>
    <s v="Normal"/>
    <n v="2022"/>
    <s v="December"/>
  </r>
  <r>
    <n v="1029"/>
    <n v="346"/>
    <x v="4"/>
    <x v="2"/>
    <x v="2"/>
    <d v="2022-09-20T00:00:00"/>
    <x v="288"/>
    <n v="5851"/>
    <n v="2575"/>
    <n v="3276"/>
    <x v="0"/>
    <n v="6"/>
    <x v="2"/>
    <d v="2023-03-31T00:00:00"/>
    <n v="1"/>
    <n v="608"/>
    <n v="0.56000000000000005"/>
    <s v="Normal"/>
    <n v="2023"/>
    <s v="March"/>
  </r>
  <r>
    <n v="1030"/>
    <n v="460"/>
    <x v="1"/>
    <x v="0"/>
    <x v="0"/>
    <d v="2022-09-26T00:00:00"/>
    <x v="409"/>
    <n v="1454"/>
    <n v="4012.75"/>
    <n v="1933"/>
    <x v="2"/>
    <n v="15"/>
    <x v="1"/>
    <d v="2024-01-02T00:00:00"/>
    <n v="1"/>
    <n v="609"/>
    <n v="1.33"/>
    <s v="Outlier"/>
    <n v="2024"/>
    <s v="January"/>
  </r>
  <r>
    <n v="1031"/>
    <n v="164"/>
    <x v="0"/>
    <x v="1"/>
    <x v="0"/>
    <d v="2022-12-25T00:00:00"/>
    <x v="410"/>
    <n v="2836"/>
    <n v="2617"/>
    <n v="219"/>
    <x v="1"/>
    <n v="2"/>
    <x v="0"/>
    <d v="2023-03-13T00:00:00"/>
    <n v="1"/>
    <n v="610"/>
    <n v="0.08"/>
    <s v="Normal"/>
    <n v="2023"/>
    <s v="March"/>
  </r>
  <r>
    <n v="1032"/>
    <n v="376"/>
    <x v="3"/>
    <x v="3"/>
    <x v="1"/>
    <d v="2022-05-02T00:00:00"/>
    <x v="315"/>
    <n v="4626"/>
    <n v="2255"/>
    <n v="2371"/>
    <x v="1"/>
    <n v="14"/>
    <x v="1"/>
    <d v="2023-07-13T00:00:00"/>
    <n v="1"/>
    <n v="611"/>
    <n v="0.51"/>
    <s v="Normal"/>
    <n v="2023"/>
    <s v="July"/>
  </r>
  <r>
    <n v="1033"/>
    <n v="173"/>
    <x v="1"/>
    <x v="3"/>
    <x v="2"/>
    <d v="2022-09-20T00:00:00"/>
    <x v="411"/>
    <n v="4808"/>
    <n v="5199"/>
    <n v="-391"/>
    <x v="1"/>
    <n v="16"/>
    <x v="1"/>
    <d v="2024-02-05T00:00:00"/>
    <n v="0"/>
    <n v="612"/>
    <n v="-0.08"/>
    <s v="Normal"/>
    <n v="2024"/>
    <s v="February"/>
  </r>
  <r>
    <n v="1036"/>
    <n v="274"/>
    <x v="4"/>
    <x v="2"/>
    <x v="2"/>
    <d v="2022-09-09T00:00:00"/>
    <x v="412"/>
    <n v="408"/>
    <n v="6372"/>
    <n v="577.01"/>
    <x v="2"/>
    <n v="17"/>
    <x v="1"/>
    <d v="2024-03-04T00:00:00"/>
    <n v="0"/>
    <n v="613"/>
    <n v="1.41"/>
    <s v="Outlier"/>
    <n v="2024"/>
    <s v="March"/>
  </r>
  <r>
    <n v="1037"/>
    <n v="180"/>
    <x v="4"/>
    <x v="1"/>
    <x v="2"/>
    <d v="2022-10-06T00:00:00"/>
    <x v="6"/>
    <n v="4967.93"/>
    <n v="3047"/>
    <n v="-4714"/>
    <x v="2"/>
    <n v="10"/>
    <x v="1"/>
    <d v="2023-08-06T00:00:00"/>
    <n v="1"/>
    <n v="614"/>
    <n v="-0.95"/>
    <s v="Normal"/>
    <n v="2023"/>
    <s v="August"/>
  </r>
  <r>
    <n v="1040"/>
    <n v="148"/>
    <x v="2"/>
    <x v="3"/>
    <x v="0"/>
    <d v="2022-03-24T00:00:00"/>
    <x v="14"/>
    <n v="1620"/>
    <n v="4012.75"/>
    <n v="2106"/>
    <x v="0"/>
    <n v="16"/>
    <x v="1"/>
    <d v="2023-08-21T00:00:00"/>
    <n v="1"/>
    <n v="615"/>
    <n v="1.3"/>
    <s v="Outlier"/>
    <n v="2023"/>
    <s v="August"/>
  </r>
  <r>
    <n v="1041"/>
    <n v="344"/>
    <x v="2"/>
    <x v="2"/>
    <x v="0"/>
    <d v="2022-09-24T00:00:00"/>
    <x v="229"/>
    <n v="232"/>
    <n v="1566"/>
    <n v="-1334"/>
    <x v="0"/>
    <n v="12"/>
    <x v="1"/>
    <d v="2023-09-26T00:00:00"/>
    <n v="1"/>
    <n v="616"/>
    <n v="-5.75"/>
    <s v="Outlier"/>
    <n v="2023"/>
    <s v="September"/>
  </r>
  <r>
    <n v="1043"/>
    <n v="217"/>
    <x v="0"/>
    <x v="0"/>
    <x v="2"/>
    <d v="2022-08-01T00:00:00"/>
    <x v="413"/>
    <n v="8581"/>
    <n v="3219"/>
    <n v="5362"/>
    <x v="2"/>
    <n v="11"/>
    <x v="1"/>
    <d v="2023-07-16T00:00:00"/>
    <n v="0"/>
    <n v="617"/>
    <n v="0.62"/>
    <s v="Normal"/>
    <n v="2023"/>
    <s v="July"/>
  </r>
  <r>
    <n v="1044"/>
    <n v="466"/>
    <x v="0"/>
    <x v="1"/>
    <x v="0"/>
    <d v="2022-09-26T00:00:00"/>
    <x v="308"/>
    <n v="2248"/>
    <n v="4012.75"/>
    <n v="2360"/>
    <x v="1"/>
    <n v="5"/>
    <x v="0"/>
    <d v="2023-03-20T00:00:00"/>
    <n v="0"/>
    <n v="618"/>
    <n v="1.05"/>
    <s v="Outlier"/>
    <n v="2023"/>
    <s v="March"/>
  </r>
  <r>
    <n v="1047"/>
    <n v="301"/>
    <x v="4"/>
    <x v="1"/>
    <x v="0"/>
    <d v="2022-01-11T00:00:00"/>
    <x v="414"/>
    <n v="4967.93"/>
    <n v="4140"/>
    <n v="-4636"/>
    <x v="0"/>
    <n v="2"/>
    <x v="0"/>
    <d v="2022-03-12T00:00:00"/>
    <n v="1"/>
    <n v="619"/>
    <n v="-0.93"/>
    <s v="Normal"/>
    <n v="2022"/>
    <s v="March"/>
  </r>
  <r>
    <n v="1049"/>
    <n v="394"/>
    <x v="2"/>
    <x v="3"/>
    <x v="1"/>
    <d v="2022-01-17T00:00:00"/>
    <x v="162"/>
    <n v="1032"/>
    <n v="4012.75"/>
    <n v="1837"/>
    <x v="2"/>
    <n v="18"/>
    <x v="1"/>
    <d v="2023-08-01T00:00:00"/>
    <n v="1"/>
    <n v="620"/>
    <n v="1.78"/>
    <s v="Outlier"/>
    <n v="2023"/>
    <s v="August"/>
  </r>
  <r>
    <n v="1050"/>
    <n v="136"/>
    <x v="1"/>
    <x v="0"/>
    <x v="0"/>
    <d v="2022-08-16T00:00:00"/>
    <x v="415"/>
    <n v="4800"/>
    <n v="669"/>
    <n v="4131"/>
    <x v="0"/>
    <n v="13"/>
    <x v="1"/>
    <d v="2023-10-07T00:00:00"/>
    <n v="1"/>
    <n v="621"/>
    <n v="0.86"/>
    <s v="Normal"/>
    <n v="2023"/>
    <s v="October"/>
  </r>
  <r>
    <n v="1051"/>
    <n v="108"/>
    <x v="3"/>
    <x v="3"/>
    <x v="1"/>
    <d v="2022-10-02T00:00:00"/>
    <x v="82"/>
    <n v="4967.93"/>
    <n v="5271"/>
    <n v="-6858"/>
    <x v="0"/>
    <n v="7"/>
    <x v="1"/>
    <d v="2023-05-28T00:00:00"/>
    <n v="1"/>
    <n v="622"/>
    <n v="-1.38"/>
    <s v="Outlier"/>
    <n v="2023"/>
    <s v="May"/>
  </r>
  <r>
    <n v="1054"/>
    <n v="424"/>
    <x v="3"/>
    <x v="0"/>
    <x v="0"/>
    <d v="2022-07-02T00:00:00"/>
    <x v="200"/>
    <n v="96"/>
    <n v="2598"/>
    <n v="-2502"/>
    <x v="1"/>
    <n v="17"/>
    <x v="1"/>
    <d v="2023-12-09T00:00:00"/>
    <n v="1"/>
    <n v="623"/>
    <n v="-26.06"/>
    <s v="Outlier"/>
    <n v="2023"/>
    <s v="December"/>
  </r>
  <r>
    <n v="1056"/>
    <n v="404"/>
    <x v="0"/>
    <x v="1"/>
    <x v="1"/>
    <d v="2022-04-28T00:00:00"/>
    <x v="154"/>
    <n v="7180"/>
    <n v="4671"/>
    <n v="2509"/>
    <x v="1"/>
    <n v="13"/>
    <x v="1"/>
    <d v="2023-06-24T00:00:00"/>
    <n v="1"/>
    <n v="624"/>
    <n v="0.35"/>
    <s v="Normal"/>
    <n v="2023"/>
    <s v="June"/>
  </r>
  <r>
    <n v="1057"/>
    <n v="487"/>
    <x v="1"/>
    <x v="1"/>
    <x v="2"/>
    <d v="2022-01-27T00:00:00"/>
    <x v="416"/>
    <n v="592"/>
    <n v="807"/>
    <n v="-215"/>
    <x v="0"/>
    <n v="19"/>
    <x v="1"/>
    <d v="2023-09-04T00:00:00"/>
    <n v="1"/>
    <n v="625"/>
    <n v="-0.36"/>
    <s v="Normal"/>
    <n v="2023"/>
    <s v="September"/>
  </r>
  <r>
    <n v="1059"/>
    <n v="452"/>
    <x v="4"/>
    <x v="3"/>
    <x v="1"/>
    <d v="2022-06-25T00:00:00"/>
    <x v="39"/>
    <n v="3642"/>
    <n v="4012.75"/>
    <n v="4484"/>
    <x v="1"/>
    <n v="15"/>
    <x v="1"/>
    <d v="2023-09-27T00:00:00"/>
    <n v="1"/>
    <n v="626"/>
    <n v="1.23"/>
    <s v="Outlier"/>
    <n v="2023"/>
    <s v="September"/>
  </r>
  <r>
    <n v="1061"/>
    <n v="317"/>
    <x v="1"/>
    <x v="1"/>
    <x v="0"/>
    <d v="2022-05-23T00:00:00"/>
    <x v="329"/>
    <n v="7431"/>
    <n v="3289"/>
    <n v="4142"/>
    <x v="2"/>
    <n v="12"/>
    <x v="1"/>
    <d v="2023-06-05T00:00:00"/>
    <n v="1"/>
    <n v="627"/>
    <n v="0.56000000000000005"/>
    <s v="Normal"/>
    <n v="2023"/>
    <s v="June"/>
  </r>
  <r>
    <n v="1062"/>
    <n v="317"/>
    <x v="2"/>
    <x v="1"/>
    <x v="2"/>
    <d v="2022-08-18T00:00:00"/>
    <x v="417"/>
    <n v="5115"/>
    <n v="4012.75"/>
    <n v="5218"/>
    <x v="1"/>
    <n v="1"/>
    <x v="0"/>
    <d v="2022-10-08T00:00:00"/>
    <n v="0"/>
    <n v="628"/>
    <n v="1.02"/>
    <s v="Outlier"/>
    <n v="2022"/>
    <s v="October"/>
  </r>
  <r>
    <n v="1063"/>
    <n v="372"/>
    <x v="1"/>
    <x v="3"/>
    <x v="2"/>
    <d v="2022-05-23T00:00:00"/>
    <x v="418"/>
    <n v="419"/>
    <n v="2778"/>
    <n v="-2359"/>
    <x v="0"/>
    <n v="2"/>
    <x v="0"/>
    <d v="2022-07-24T00:00:00"/>
    <n v="0"/>
    <n v="629"/>
    <n v="-5.63"/>
    <s v="Outlier"/>
    <n v="2022"/>
    <s v="July"/>
  </r>
  <r>
    <n v="1064"/>
    <n v="229"/>
    <x v="0"/>
    <x v="1"/>
    <x v="2"/>
    <d v="2022-11-22T00:00:00"/>
    <x v="233"/>
    <n v="4071"/>
    <n v="3871"/>
    <n v="200"/>
    <x v="2"/>
    <n v="13"/>
    <x v="1"/>
    <d v="2023-12-23T00:00:00"/>
    <n v="0"/>
    <n v="630"/>
    <n v="0.05"/>
    <s v="Normal"/>
    <n v="2023"/>
    <s v="December"/>
  </r>
  <r>
    <n v="1065"/>
    <n v="265"/>
    <x v="2"/>
    <x v="0"/>
    <x v="0"/>
    <d v="2022-09-18T00:00:00"/>
    <x v="165"/>
    <n v="528"/>
    <n v="6655"/>
    <n v="-6127"/>
    <x v="2"/>
    <n v="10"/>
    <x v="1"/>
    <d v="2023-08-10T00:00:00"/>
    <n v="1"/>
    <n v="631"/>
    <n v="-11.6"/>
    <s v="Outlier"/>
    <n v="2023"/>
    <s v="August"/>
  </r>
  <r>
    <n v="1068"/>
    <n v="339"/>
    <x v="2"/>
    <x v="0"/>
    <x v="2"/>
    <d v="2022-01-11T00:00:00"/>
    <x v="272"/>
    <n v="4967.93"/>
    <n v="4012.75"/>
    <n v="577.01"/>
    <x v="2"/>
    <n v="17"/>
    <x v="1"/>
    <d v="2023-07-01T00:00:00"/>
    <n v="0"/>
    <n v="632"/>
    <n v="0.12"/>
    <s v="Normal"/>
    <n v="2023"/>
    <s v="July"/>
  </r>
  <r>
    <n v="1069"/>
    <n v="371"/>
    <x v="1"/>
    <x v="0"/>
    <x v="0"/>
    <d v="2022-10-06T00:00:00"/>
    <x v="419"/>
    <n v="4967.93"/>
    <n v="3198"/>
    <n v="-4438"/>
    <x v="0"/>
    <n v="10"/>
    <x v="1"/>
    <d v="2023-08-08T00:00:00"/>
    <n v="1"/>
    <n v="633"/>
    <n v="-0.89"/>
    <s v="Normal"/>
    <n v="2023"/>
    <s v="August"/>
  </r>
  <r>
    <n v="1070"/>
    <n v="160"/>
    <x v="3"/>
    <x v="3"/>
    <x v="1"/>
    <d v="2022-02-08T00:00:00"/>
    <x v="153"/>
    <n v="2917"/>
    <n v="6119"/>
    <n v="-3202"/>
    <x v="1"/>
    <n v="14"/>
    <x v="1"/>
    <d v="2023-04-22T00:00:00"/>
    <n v="0"/>
    <n v="634"/>
    <n v="-1.1000000000000001"/>
    <s v="Outlier"/>
    <n v="2023"/>
    <s v="April"/>
  </r>
  <r>
    <n v="1071"/>
    <n v="301"/>
    <x v="2"/>
    <x v="3"/>
    <x v="0"/>
    <d v="2022-05-10T00:00:00"/>
    <x v="418"/>
    <n v="4845"/>
    <n v="6262"/>
    <n v="577.01"/>
    <x v="1"/>
    <n v="2"/>
    <x v="0"/>
    <d v="2022-07-24T00:00:00"/>
    <n v="1"/>
    <n v="635"/>
    <n v="0.12"/>
    <s v="Normal"/>
    <n v="2022"/>
    <s v="July"/>
  </r>
  <r>
    <n v="1073"/>
    <n v="416"/>
    <x v="4"/>
    <x v="1"/>
    <x v="2"/>
    <d v="2022-04-07T00:00:00"/>
    <x v="420"/>
    <n v="270"/>
    <n v="4265"/>
    <n v="-3995"/>
    <x v="1"/>
    <n v="15"/>
    <x v="1"/>
    <d v="2023-07-25T00:00:00"/>
    <n v="0"/>
    <n v="636"/>
    <n v="-14.8"/>
    <s v="Outlier"/>
    <n v="2023"/>
    <s v="July"/>
  </r>
  <r>
    <n v="1075"/>
    <n v="493"/>
    <x v="0"/>
    <x v="1"/>
    <x v="0"/>
    <d v="2022-08-15T00:00:00"/>
    <x v="421"/>
    <n v="1349"/>
    <n v="2270"/>
    <n v="-921"/>
    <x v="1"/>
    <n v="10"/>
    <x v="1"/>
    <d v="2023-06-25T00:00:00"/>
    <n v="1"/>
    <n v="637"/>
    <n v="-0.68"/>
    <s v="Normal"/>
    <n v="2023"/>
    <s v="June"/>
  </r>
  <r>
    <n v="1076"/>
    <n v="201"/>
    <x v="3"/>
    <x v="0"/>
    <x v="1"/>
    <d v="2022-06-08T00:00:00"/>
    <x v="422"/>
    <n v="2250"/>
    <n v="6489"/>
    <n v="-4239"/>
    <x v="0"/>
    <n v="19"/>
    <x v="1"/>
    <d v="2024-01-10T00:00:00"/>
    <n v="1"/>
    <n v="638"/>
    <n v="-1.88"/>
    <s v="Outlier"/>
    <n v="2024"/>
    <s v="January"/>
  </r>
  <r>
    <n v="1077"/>
    <n v="143"/>
    <x v="4"/>
    <x v="0"/>
    <x v="1"/>
    <d v="2022-12-02T00:00:00"/>
    <x v="295"/>
    <n v="4158"/>
    <n v="1823"/>
    <n v="2335"/>
    <x v="1"/>
    <n v="18"/>
    <x v="1"/>
    <d v="2024-06-16T00:00:00"/>
    <n v="0"/>
    <n v="639"/>
    <n v="0.56000000000000005"/>
    <s v="Normal"/>
    <n v="2024"/>
    <s v="June"/>
  </r>
  <r>
    <n v="1079"/>
    <n v="255"/>
    <x v="3"/>
    <x v="1"/>
    <x v="1"/>
    <d v="2022-01-16T00:00:00"/>
    <x v="423"/>
    <n v="3217"/>
    <n v="4627"/>
    <n v="-1410"/>
    <x v="1"/>
    <n v="2"/>
    <x v="0"/>
    <d v="2022-03-21T00:00:00"/>
    <n v="1"/>
    <n v="640"/>
    <n v="-0.44"/>
    <s v="Normal"/>
    <n v="2022"/>
    <s v="March"/>
  </r>
  <r>
    <n v="1080"/>
    <n v="300"/>
    <x v="2"/>
    <x v="1"/>
    <x v="0"/>
    <d v="2022-08-26T00:00:00"/>
    <x v="303"/>
    <n v="7656"/>
    <n v="3310"/>
    <n v="4346"/>
    <x v="1"/>
    <n v="3"/>
    <x v="0"/>
    <d v="2022-12-20T00:00:00"/>
    <n v="0"/>
    <n v="641"/>
    <n v="0.56999999999999995"/>
    <s v="Normal"/>
    <n v="2022"/>
    <s v="December"/>
  </r>
  <r>
    <n v="1081"/>
    <n v="106"/>
    <x v="2"/>
    <x v="2"/>
    <x v="1"/>
    <d v="2022-05-05T00:00:00"/>
    <x v="424"/>
    <n v="5294"/>
    <n v="6871"/>
    <n v="-1577"/>
    <x v="1"/>
    <n v="14"/>
    <x v="1"/>
    <d v="2023-07-12T00:00:00"/>
    <n v="1"/>
    <n v="642"/>
    <n v="-0.3"/>
    <s v="Normal"/>
    <n v="2023"/>
    <s v="July"/>
  </r>
  <r>
    <n v="1082"/>
    <n v="122"/>
    <x v="2"/>
    <x v="3"/>
    <x v="1"/>
    <d v="2022-09-24T00:00:00"/>
    <x v="283"/>
    <n v="7502"/>
    <n v="2115"/>
    <n v="5387"/>
    <x v="0"/>
    <n v="6"/>
    <x v="2"/>
    <d v="2023-04-12T00:00:00"/>
    <n v="0"/>
    <n v="643"/>
    <n v="0.72"/>
    <s v="Normal"/>
    <n v="2023"/>
    <s v="April"/>
  </r>
  <r>
    <n v="1083"/>
    <n v="304"/>
    <x v="1"/>
    <x v="1"/>
    <x v="1"/>
    <d v="2022-10-04T00:00:00"/>
    <x v="425"/>
    <n v="1406"/>
    <n v="1592"/>
    <n v="-186"/>
    <x v="2"/>
    <n v="6"/>
    <x v="2"/>
    <d v="2023-04-29T00:00:00"/>
    <n v="0"/>
    <n v="644"/>
    <n v="-0.13"/>
    <s v="Normal"/>
    <n v="2023"/>
    <s v="April"/>
  </r>
  <r>
    <n v="1084"/>
    <n v="174"/>
    <x v="2"/>
    <x v="2"/>
    <x v="1"/>
    <d v="2022-12-11T00:00:00"/>
    <x v="426"/>
    <n v="4967.93"/>
    <n v="7513"/>
    <n v="-8218"/>
    <x v="1"/>
    <n v="1"/>
    <x v="0"/>
    <d v="2023-01-15T00:00:00"/>
    <n v="0"/>
    <n v="645"/>
    <n v="-1.65"/>
    <s v="Outlier"/>
    <n v="2023"/>
    <s v="January"/>
  </r>
  <r>
    <n v="1085"/>
    <n v="193"/>
    <x v="3"/>
    <x v="1"/>
    <x v="2"/>
    <d v="2022-03-26T00:00:00"/>
    <x v="427"/>
    <n v="8478"/>
    <n v="4456"/>
    <n v="4022"/>
    <x v="1"/>
    <n v="11"/>
    <x v="1"/>
    <d v="2023-03-08T00:00:00"/>
    <n v="1"/>
    <n v="646"/>
    <n v="0.47"/>
    <s v="Normal"/>
    <n v="2023"/>
    <s v="March"/>
  </r>
  <r>
    <n v="1086"/>
    <n v="130"/>
    <x v="1"/>
    <x v="3"/>
    <x v="1"/>
    <d v="2022-08-12T00:00:00"/>
    <x v="428"/>
    <n v="7206"/>
    <n v="524"/>
    <n v="6682"/>
    <x v="2"/>
    <n v="8"/>
    <x v="1"/>
    <d v="2023-04-15T00:00:00"/>
    <n v="1"/>
    <n v="647"/>
    <n v="0.93"/>
    <s v="Normal"/>
    <n v="2023"/>
    <s v="April"/>
  </r>
  <r>
    <n v="1088"/>
    <n v="350"/>
    <x v="1"/>
    <x v="3"/>
    <x v="1"/>
    <d v="2022-02-05T00:00:00"/>
    <x v="390"/>
    <n v="7737"/>
    <n v="7985"/>
    <n v="-248"/>
    <x v="0"/>
    <n v="4"/>
    <x v="0"/>
    <d v="2022-06-30T00:00:00"/>
    <n v="1"/>
    <n v="648"/>
    <n v="-0.03"/>
    <s v="Normal"/>
    <n v="2022"/>
    <s v="June"/>
  </r>
  <r>
    <n v="1089"/>
    <n v="242"/>
    <x v="3"/>
    <x v="2"/>
    <x v="1"/>
    <d v="2022-03-21T00:00:00"/>
    <x v="101"/>
    <n v="4967.93"/>
    <n v="4743"/>
    <n v="-5994"/>
    <x v="1"/>
    <n v="7"/>
    <x v="1"/>
    <d v="2022-11-17T00:00:00"/>
    <n v="1"/>
    <n v="649"/>
    <n v="-1.21"/>
    <s v="Outlier"/>
    <n v="2022"/>
    <s v="November"/>
  </r>
  <r>
    <n v="1094"/>
    <n v="248"/>
    <x v="2"/>
    <x v="0"/>
    <x v="1"/>
    <d v="2022-09-11T00:00:00"/>
    <x v="429"/>
    <n v="2098"/>
    <n v="5011"/>
    <n v="-2913"/>
    <x v="1"/>
    <n v="17"/>
    <x v="1"/>
    <d v="2024-02-28T00:00:00"/>
    <n v="0"/>
    <n v="650"/>
    <n v="-1.39"/>
    <s v="Outlier"/>
    <n v="2024"/>
    <s v="February"/>
  </r>
  <r>
    <n v="1095"/>
    <n v="355"/>
    <x v="1"/>
    <x v="2"/>
    <x v="2"/>
    <d v="2022-05-15T00:00:00"/>
    <x v="430"/>
    <n v="9779"/>
    <n v="7692"/>
    <n v="2087"/>
    <x v="1"/>
    <n v="2"/>
    <x v="0"/>
    <d v="2022-07-18T00:00:00"/>
    <n v="0"/>
    <n v="651"/>
    <n v="0.21"/>
    <s v="Normal"/>
    <n v="2022"/>
    <s v="July"/>
  </r>
  <r>
    <n v="1097"/>
    <n v="156"/>
    <x v="2"/>
    <x v="3"/>
    <x v="1"/>
    <d v="2022-04-18T00:00:00"/>
    <x v="431"/>
    <n v="4967.93"/>
    <n v="1602"/>
    <n v="-2465"/>
    <x v="1"/>
    <n v="13"/>
    <x v="1"/>
    <d v="2023-06-11T00:00:00"/>
    <n v="0"/>
    <n v="652"/>
    <n v="-0.5"/>
    <s v="Normal"/>
    <n v="2023"/>
    <s v="June"/>
  </r>
  <r>
    <n v="1099"/>
    <n v="183"/>
    <x v="1"/>
    <x v="1"/>
    <x v="0"/>
    <d v="2022-11-15T00:00:00"/>
    <x v="432"/>
    <n v="2311"/>
    <n v="7492"/>
    <n v="-5181"/>
    <x v="0"/>
    <n v="15"/>
    <x v="1"/>
    <d v="2024-02-25T00:00:00"/>
    <n v="0"/>
    <n v="653"/>
    <n v="-2.2400000000000002"/>
    <s v="Outlier"/>
    <n v="2024"/>
    <s v="February"/>
  </r>
  <r>
    <n v="1100"/>
    <n v="261"/>
    <x v="2"/>
    <x v="1"/>
    <x v="2"/>
    <d v="2022-09-12T00:00:00"/>
    <x v="45"/>
    <n v="3391"/>
    <n v="5031"/>
    <n v="-1640"/>
    <x v="2"/>
    <n v="3"/>
    <x v="0"/>
    <d v="2023-01-02T00:00:00"/>
    <n v="1"/>
    <n v="654"/>
    <n v="-0.48"/>
    <s v="Normal"/>
    <n v="2023"/>
    <s v="January"/>
  </r>
  <r>
    <n v="1101"/>
    <n v="247"/>
    <x v="0"/>
    <x v="0"/>
    <x v="2"/>
    <d v="2022-10-26T00:00:00"/>
    <x v="433"/>
    <n v="6677"/>
    <n v="3866"/>
    <n v="2811"/>
    <x v="1"/>
    <n v="4"/>
    <x v="0"/>
    <d v="2023-03-11T00:00:00"/>
    <n v="1"/>
    <n v="655"/>
    <n v="0.42"/>
    <s v="Normal"/>
    <n v="2023"/>
    <s v="March"/>
  </r>
  <r>
    <n v="1103"/>
    <n v="106"/>
    <x v="0"/>
    <x v="3"/>
    <x v="1"/>
    <d v="2022-02-23T00:00:00"/>
    <x v="434"/>
    <n v="4593"/>
    <n v="4672"/>
    <n v="-79"/>
    <x v="1"/>
    <n v="5"/>
    <x v="0"/>
    <d v="2022-07-30T00:00:00"/>
    <n v="0"/>
    <n v="656"/>
    <n v="-0.02"/>
    <s v="Normal"/>
    <n v="2022"/>
    <s v="July"/>
  </r>
  <r>
    <n v="1104"/>
    <n v="159"/>
    <x v="1"/>
    <x v="1"/>
    <x v="0"/>
    <d v="2022-02-16T00:00:00"/>
    <x v="201"/>
    <n v="8330"/>
    <n v="5136"/>
    <n v="3194"/>
    <x v="0"/>
    <n v="9"/>
    <x v="1"/>
    <d v="2022-12-09T00:00:00"/>
    <n v="0"/>
    <n v="657"/>
    <n v="0.38"/>
    <s v="Normal"/>
    <n v="2022"/>
    <s v="December"/>
  </r>
  <r>
    <n v="1105"/>
    <n v="238"/>
    <x v="0"/>
    <x v="0"/>
    <x v="1"/>
    <d v="2022-08-28T00:00:00"/>
    <x v="435"/>
    <n v="764"/>
    <n v="3093"/>
    <n v="-2329"/>
    <x v="2"/>
    <n v="17"/>
    <x v="1"/>
    <d v="2024-01-30T00:00:00"/>
    <n v="0"/>
    <n v="658"/>
    <n v="-3.05"/>
    <s v="Outlier"/>
    <n v="2024"/>
    <s v="January"/>
  </r>
  <r>
    <n v="1106"/>
    <n v="225"/>
    <x v="2"/>
    <x v="2"/>
    <x v="2"/>
    <d v="2022-12-06T00:00:00"/>
    <x v="232"/>
    <n v="4967.93"/>
    <n v="7518"/>
    <n v="-9018"/>
    <x v="1"/>
    <n v="4"/>
    <x v="0"/>
    <d v="2023-04-17T00:00:00"/>
    <n v="1"/>
    <n v="659"/>
    <n v="-1.82"/>
    <s v="Outlier"/>
    <n v="2023"/>
    <s v="April"/>
  </r>
  <r>
    <n v="1107"/>
    <n v="455"/>
    <x v="3"/>
    <x v="3"/>
    <x v="2"/>
    <d v="2022-01-08T00:00:00"/>
    <x v="216"/>
    <n v="7134"/>
    <n v="932"/>
    <n v="6202"/>
    <x v="1"/>
    <n v="18"/>
    <x v="1"/>
    <d v="2023-07-10T00:00:00"/>
    <n v="1"/>
    <n v="660"/>
    <n v="0.87"/>
    <s v="Normal"/>
    <n v="2023"/>
    <s v="July"/>
  </r>
  <r>
    <n v="1108"/>
    <n v="381"/>
    <x v="2"/>
    <x v="2"/>
    <x v="2"/>
    <d v="2022-06-14T00:00:00"/>
    <x v="6"/>
    <n v="505"/>
    <n v="4650"/>
    <n v="-4145"/>
    <x v="1"/>
    <n v="13"/>
    <x v="1"/>
    <d v="2023-08-06T00:00:00"/>
    <n v="0"/>
    <n v="661"/>
    <n v="-8.2100000000000009"/>
    <s v="Outlier"/>
    <n v="2023"/>
    <s v="August"/>
  </r>
  <r>
    <n v="1109"/>
    <n v="492"/>
    <x v="1"/>
    <x v="1"/>
    <x v="2"/>
    <d v="2022-02-09T00:00:00"/>
    <x v="7"/>
    <n v="4725"/>
    <n v="1433"/>
    <n v="3292"/>
    <x v="0"/>
    <n v="12"/>
    <x v="1"/>
    <d v="2023-03-04T00:00:00"/>
    <n v="1"/>
    <n v="662"/>
    <n v="0.7"/>
    <s v="Normal"/>
    <n v="2023"/>
    <s v="March"/>
  </r>
  <r>
    <n v="1110"/>
    <n v="452"/>
    <x v="2"/>
    <x v="0"/>
    <x v="0"/>
    <d v="2022-11-01T00:00:00"/>
    <x v="80"/>
    <n v="6065"/>
    <n v="7667"/>
    <n v="-1602"/>
    <x v="0"/>
    <n v="2"/>
    <x v="0"/>
    <d v="2023-01-12T00:00:00"/>
    <n v="1"/>
    <n v="663"/>
    <n v="-0.26"/>
    <s v="Normal"/>
    <n v="2023"/>
    <s v="January"/>
  </r>
  <r>
    <n v="1111"/>
    <n v="193"/>
    <x v="0"/>
    <x v="0"/>
    <x v="1"/>
    <d v="2022-06-10T00:00:00"/>
    <x v="24"/>
    <n v="9046"/>
    <n v="4959"/>
    <n v="4087"/>
    <x v="1"/>
    <n v="12"/>
    <x v="1"/>
    <d v="2023-06-14T00:00:00"/>
    <n v="0"/>
    <n v="664"/>
    <n v="0.45"/>
    <s v="Normal"/>
    <n v="2023"/>
    <s v="June"/>
  </r>
  <r>
    <n v="1114"/>
    <n v="444"/>
    <x v="4"/>
    <x v="2"/>
    <x v="1"/>
    <d v="2022-01-28T00:00:00"/>
    <x v="436"/>
    <n v="8384"/>
    <n v="860"/>
    <n v="7524"/>
    <x v="1"/>
    <n v="15"/>
    <x v="1"/>
    <d v="2023-05-12T00:00:00"/>
    <n v="0"/>
    <n v="665"/>
    <n v="0.9"/>
    <s v="Normal"/>
    <n v="2023"/>
    <s v="May"/>
  </r>
  <r>
    <n v="1116"/>
    <n v="377"/>
    <x v="2"/>
    <x v="3"/>
    <x v="1"/>
    <d v="2022-06-16T00:00:00"/>
    <x v="157"/>
    <n v="4967.93"/>
    <n v="403"/>
    <n v="-1414"/>
    <x v="0"/>
    <n v="1"/>
    <x v="0"/>
    <d v="2022-07-27T00:00:00"/>
    <n v="1"/>
    <n v="666"/>
    <n v="-0.28000000000000003"/>
    <s v="Normal"/>
    <n v="2022"/>
    <s v="July"/>
  </r>
  <r>
    <n v="1118"/>
    <n v="403"/>
    <x v="3"/>
    <x v="0"/>
    <x v="0"/>
    <d v="2022-12-22T00:00:00"/>
    <x v="108"/>
    <n v="4687"/>
    <n v="5813"/>
    <n v="-1126"/>
    <x v="1"/>
    <n v="4"/>
    <x v="0"/>
    <d v="2023-04-30T00:00:00"/>
    <n v="1"/>
    <n v="667"/>
    <n v="-0.24"/>
    <s v="Normal"/>
    <n v="2023"/>
    <s v="April"/>
  </r>
  <r>
    <n v="1120"/>
    <n v="331"/>
    <x v="1"/>
    <x v="1"/>
    <x v="1"/>
    <d v="2022-04-02T00:00:00"/>
    <x v="357"/>
    <n v="3646"/>
    <n v="7885"/>
    <n v="577.01"/>
    <x v="0"/>
    <n v="10"/>
    <x v="1"/>
    <d v="2023-02-25T00:00:00"/>
    <n v="0"/>
    <n v="668"/>
    <n v="0.16"/>
    <s v="Normal"/>
    <n v="2023"/>
    <s v="February"/>
  </r>
  <r>
    <n v="1121"/>
    <n v="159"/>
    <x v="0"/>
    <x v="3"/>
    <x v="0"/>
    <d v="2022-10-31T00:00:00"/>
    <x v="437"/>
    <n v="5139"/>
    <n v="4012.75"/>
    <n v="5936"/>
    <x v="1"/>
    <n v="15"/>
    <x v="1"/>
    <d v="2024-02-06T00:00:00"/>
    <n v="1"/>
    <n v="669"/>
    <n v="1.1599999999999999"/>
    <s v="Outlier"/>
    <n v="2024"/>
    <s v="February"/>
  </r>
  <r>
    <n v="1123"/>
    <n v="198"/>
    <x v="2"/>
    <x v="2"/>
    <x v="2"/>
    <d v="2022-07-10T00:00:00"/>
    <x v="438"/>
    <n v="6726"/>
    <n v="7086"/>
    <n v="577.01"/>
    <x v="1"/>
    <n v="19"/>
    <x v="1"/>
    <d v="2024-02-11T00:00:00"/>
    <n v="0"/>
    <n v="670"/>
    <n v="0.09"/>
    <s v="Normal"/>
    <n v="2024"/>
    <s v="February"/>
  </r>
  <r>
    <n v="1126"/>
    <n v="396"/>
    <x v="3"/>
    <x v="3"/>
    <x v="1"/>
    <d v="2022-10-18T00:00:00"/>
    <x v="73"/>
    <n v="1134"/>
    <n v="19"/>
    <n v="577.01"/>
    <x v="2"/>
    <n v="19"/>
    <x v="1"/>
    <d v="2024-05-29T00:00:00"/>
    <n v="0"/>
    <n v="671"/>
    <n v="0.51"/>
    <s v="Normal"/>
    <n v="2024"/>
    <s v="May"/>
  </r>
  <r>
    <n v="1129"/>
    <n v="361"/>
    <x v="4"/>
    <x v="0"/>
    <x v="2"/>
    <d v="2022-08-23T00:00:00"/>
    <x v="213"/>
    <n v="6547"/>
    <n v="7711"/>
    <n v="577.01"/>
    <x v="1"/>
    <n v="10"/>
    <x v="1"/>
    <d v="2023-07-19T00:00:00"/>
    <n v="0"/>
    <n v="672"/>
    <n v="0.09"/>
    <s v="Normal"/>
    <n v="2023"/>
    <s v="July"/>
  </r>
  <r>
    <n v="1132"/>
    <n v="416"/>
    <x v="4"/>
    <x v="2"/>
    <x v="1"/>
    <d v="2022-06-01T00:00:00"/>
    <x v="439"/>
    <n v="5654"/>
    <n v="6547"/>
    <n v="-893"/>
    <x v="1"/>
    <n v="1"/>
    <x v="0"/>
    <d v="2022-07-10T00:00:00"/>
    <n v="0"/>
    <n v="673"/>
    <n v="-0.16"/>
    <s v="Normal"/>
    <n v="2022"/>
    <s v="July"/>
  </r>
  <r>
    <n v="1134"/>
    <n v="148"/>
    <x v="3"/>
    <x v="0"/>
    <x v="2"/>
    <d v="2022-03-14T00:00:00"/>
    <x v="440"/>
    <n v="4967.93"/>
    <n v="4089"/>
    <n v="-4253"/>
    <x v="1"/>
    <n v="11"/>
    <x v="1"/>
    <d v="2023-02-22T00:00:00"/>
    <n v="1"/>
    <n v="674"/>
    <n v="-0.86"/>
    <s v="Normal"/>
    <n v="2023"/>
    <s v="February"/>
  </r>
  <r>
    <n v="1135"/>
    <n v="132"/>
    <x v="3"/>
    <x v="0"/>
    <x v="0"/>
    <d v="2022-09-08T00:00:00"/>
    <x v="67"/>
    <n v="5464"/>
    <n v="5065"/>
    <n v="577.01"/>
    <x v="1"/>
    <n v="5"/>
    <x v="0"/>
    <d v="2023-02-20T00:00:00"/>
    <n v="1"/>
    <n v="675"/>
    <n v="0.11"/>
    <s v="Normal"/>
    <n v="2023"/>
    <s v="February"/>
  </r>
  <r>
    <n v="1136"/>
    <n v="413"/>
    <x v="4"/>
    <x v="0"/>
    <x v="2"/>
    <d v="2022-01-27T00:00:00"/>
    <x v="47"/>
    <n v="365"/>
    <n v="5934"/>
    <n v="-5569"/>
    <x v="1"/>
    <n v="3"/>
    <x v="0"/>
    <d v="2022-05-03T00:00:00"/>
    <n v="1"/>
    <n v="676"/>
    <n v="-15.26"/>
    <s v="Outlier"/>
    <n v="2022"/>
    <s v="May"/>
  </r>
  <r>
    <n v="1138"/>
    <n v="461"/>
    <x v="2"/>
    <x v="2"/>
    <x v="0"/>
    <d v="2022-01-24T00:00:00"/>
    <x v="228"/>
    <n v="4453"/>
    <n v="1956"/>
    <n v="2497"/>
    <x v="1"/>
    <n v="7"/>
    <x v="1"/>
    <d v="2022-09-08T00:00:00"/>
    <n v="1"/>
    <n v="677"/>
    <n v="0.56000000000000005"/>
    <s v="Normal"/>
    <n v="2022"/>
    <s v="September"/>
  </r>
  <r>
    <n v="1140"/>
    <n v="153"/>
    <x v="2"/>
    <x v="1"/>
    <x v="1"/>
    <d v="2022-09-26T00:00:00"/>
    <x v="435"/>
    <n v="8214"/>
    <n v="722"/>
    <n v="7492"/>
    <x v="1"/>
    <n v="16"/>
    <x v="1"/>
    <d v="2024-01-30T00:00:00"/>
    <n v="0"/>
    <n v="678"/>
    <n v="0.91"/>
    <s v="Normal"/>
    <n v="2024"/>
    <s v="January"/>
  </r>
  <r>
    <n v="1141"/>
    <n v="363"/>
    <x v="3"/>
    <x v="0"/>
    <x v="2"/>
    <d v="2022-11-25T00:00:00"/>
    <x v="191"/>
    <n v="4967.93"/>
    <n v="4012.75"/>
    <n v="-1685"/>
    <x v="1"/>
    <n v="12"/>
    <x v="1"/>
    <d v="2023-12-07T00:00:00"/>
    <n v="0"/>
    <n v="679"/>
    <n v="-0.34"/>
    <s v="Normal"/>
    <n v="2023"/>
    <s v="December"/>
  </r>
  <r>
    <n v="1145"/>
    <n v="392"/>
    <x v="0"/>
    <x v="1"/>
    <x v="2"/>
    <d v="2022-12-22T00:00:00"/>
    <x v="12"/>
    <n v="4083"/>
    <n v="6389"/>
    <n v="-2306"/>
    <x v="1"/>
    <n v="5"/>
    <x v="0"/>
    <d v="2023-05-31T00:00:00"/>
    <n v="1"/>
    <n v="680"/>
    <n v="-0.56000000000000005"/>
    <s v="Normal"/>
    <n v="2023"/>
    <s v="May"/>
  </r>
  <r>
    <n v="1147"/>
    <n v="353"/>
    <x v="2"/>
    <x v="2"/>
    <x v="1"/>
    <d v="2022-01-03T00:00:00"/>
    <x v="313"/>
    <n v="2322"/>
    <n v="6690"/>
    <n v="-4368"/>
    <x v="2"/>
    <n v="17"/>
    <x v="1"/>
    <d v="2023-06-23T00:00:00"/>
    <n v="1"/>
    <n v="681"/>
    <n v="-1.88"/>
    <s v="Outlier"/>
    <n v="2023"/>
    <s v="June"/>
  </r>
  <r>
    <n v="1151"/>
    <n v="279"/>
    <x v="1"/>
    <x v="3"/>
    <x v="2"/>
    <d v="2022-10-09T00:00:00"/>
    <x v="441"/>
    <n v="4967.93"/>
    <n v="2656"/>
    <n v="-3873"/>
    <x v="2"/>
    <n v="10"/>
    <x v="1"/>
    <d v="2023-09-02T00:00:00"/>
    <n v="1"/>
    <n v="682"/>
    <n v="-0.78"/>
    <s v="Normal"/>
    <n v="2023"/>
    <s v="September"/>
  </r>
  <r>
    <n v="1152"/>
    <n v="459"/>
    <x v="2"/>
    <x v="1"/>
    <x v="0"/>
    <d v="2022-07-06T00:00:00"/>
    <x v="442"/>
    <n v="6304"/>
    <n v="4012.75"/>
    <n v="7039"/>
    <x v="1"/>
    <n v="1"/>
    <x v="0"/>
    <d v="2022-08-28T00:00:00"/>
    <n v="1"/>
    <n v="683"/>
    <n v="1.1200000000000001"/>
    <s v="Outlier"/>
    <n v="2022"/>
    <s v="August"/>
  </r>
  <r>
    <n v="1153"/>
    <n v="472"/>
    <x v="3"/>
    <x v="0"/>
    <x v="2"/>
    <d v="2022-12-16T00:00:00"/>
    <x v="386"/>
    <n v="4967.93"/>
    <n v="3508"/>
    <n v="-4658"/>
    <x v="1"/>
    <n v="5"/>
    <x v="0"/>
    <d v="2023-05-18T00:00:00"/>
    <n v="1"/>
    <n v="684"/>
    <n v="-0.94"/>
    <s v="Normal"/>
    <n v="2023"/>
    <s v="May"/>
  </r>
  <r>
    <n v="1154"/>
    <n v="229"/>
    <x v="2"/>
    <x v="3"/>
    <x v="1"/>
    <d v="2022-05-07T00:00:00"/>
    <x v="202"/>
    <n v="5407"/>
    <n v="1635"/>
    <n v="3772"/>
    <x v="2"/>
    <n v="18"/>
    <x v="1"/>
    <d v="2023-11-19T00:00:00"/>
    <n v="0"/>
    <n v="685"/>
    <n v="0.7"/>
    <s v="Normal"/>
    <n v="2023"/>
    <s v="November"/>
  </r>
  <r>
    <n v="1158"/>
    <n v="283"/>
    <x v="0"/>
    <x v="2"/>
    <x v="1"/>
    <d v="2022-02-16T00:00:00"/>
    <x v="6"/>
    <n v="4967.93"/>
    <n v="4080"/>
    <n v="-5437"/>
    <x v="1"/>
    <n v="17"/>
    <x v="1"/>
    <d v="2023-08-06T00:00:00"/>
    <n v="1"/>
    <n v="686"/>
    <n v="-1.0900000000000001"/>
    <s v="Outlier"/>
    <n v="2023"/>
    <s v="August"/>
  </r>
  <r>
    <n v="1160"/>
    <n v="414"/>
    <x v="2"/>
    <x v="2"/>
    <x v="0"/>
    <d v="2023-01-01T00:00:00"/>
    <x v="57"/>
    <n v="3343"/>
    <n v="3110"/>
    <n v="233"/>
    <x v="2"/>
    <n v="12"/>
    <x v="1"/>
    <d v="2024-01-22T00:00:00"/>
    <n v="1"/>
    <n v="687"/>
    <n v="7.0000000000000007E-2"/>
    <s v="Normal"/>
    <n v="2024"/>
    <s v="January"/>
  </r>
  <r>
    <n v="1161"/>
    <n v="361"/>
    <x v="4"/>
    <x v="2"/>
    <x v="2"/>
    <d v="2022-08-20T00:00:00"/>
    <x v="309"/>
    <n v="6368"/>
    <n v="6444"/>
    <n v="-76"/>
    <x v="1"/>
    <n v="7"/>
    <x v="1"/>
    <d v="2023-04-19T00:00:00"/>
    <n v="1"/>
    <n v="688"/>
    <n v="-0.01"/>
    <s v="Normal"/>
    <n v="2023"/>
    <s v="April"/>
  </r>
  <r>
    <n v="1166"/>
    <n v="438"/>
    <x v="0"/>
    <x v="2"/>
    <x v="0"/>
    <d v="2022-03-16T00:00:00"/>
    <x v="218"/>
    <n v="929"/>
    <n v="3741"/>
    <n v="-2812"/>
    <x v="1"/>
    <n v="9"/>
    <x v="1"/>
    <d v="2022-12-27T00:00:00"/>
    <n v="1"/>
    <n v="689"/>
    <n v="-3.03"/>
    <s v="Outlier"/>
    <n v="2022"/>
    <s v="December"/>
  </r>
  <r>
    <n v="1168"/>
    <n v="154"/>
    <x v="0"/>
    <x v="1"/>
    <x v="0"/>
    <d v="2022-10-14T00:00:00"/>
    <x v="237"/>
    <n v="1890"/>
    <n v="951"/>
    <n v="939"/>
    <x v="2"/>
    <n v="12"/>
    <x v="1"/>
    <d v="2023-11-08T00:00:00"/>
    <n v="1"/>
    <n v="690"/>
    <n v="0.5"/>
    <s v="Normal"/>
    <n v="2023"/>
    <s v="November"/>
  </r>
  <r>
    <n v="1169"/>
    <n v="309"/>
    <x v="0"/>
    <x v="3"/>
    <x v="2"/>
    <d v="2022-08-07T00:00:00"/>
    <x v="108"/>
    <n v="5356"/>
    <n v="3967"/>
    <n v="1389"/>
    <x v="0"/>
    <n v="8"/>
    <x v="1"/>
    <d v="2023-04-30T00:00:00"/>
    <n v="1"/>
    <n v="691"/>
    <n v="0.26"/>
    <s v="Normal"/>
    <n v="2023"/>
    <s v="April"/>
  </r>
  <r>
    <n v="1170"/>
    <n v="341"/>
    <x v="2"/>
    <x v="3"/>
    <x v="2"/>
    <d v="2023-01-01T00:00:00"/>
    <x v="268"/>
    <n v="8634"/>
    <n v="4012.75"/>
    <n v="9061"/>
    <x v="1"/>
    <n v="11"/>
    <x v="1"/>
    <d v="2023-12-06T00:00:00"/>
    <n v="1"/>
    <n v="692"/>
    <n v="1.05"/>
    <s v="Outlier"/>
    <n v="2023"/>
    <s v="December"/>
  </r>
  <r>
    <n v="1173"/>
    <n v="332"/>
    <x v="1"/>
    <x v="3"/>
    <x v="1"/>
    <d v="2022-02-11T00:00:00"/>
    <x v="443"/>
    <n v="9734"/>
    <n v="4012.75"/>
    <n v="10692"/>
    <x v="0"/>
    <n v="6"/>
    <x v="2"/>
    <d v="2022-09-07T00:00:00"/>
    <n v="0"/>
    <n v="693"/>
    <n v="1.1000000000000001"/>
    <s v="Outlier"/>
    <n v="2022"/>
    <s v="September"/>
  </r>
  <r>
    <n v="1176"/>
    <n v="484"/>
    <x v="3"/>
    <x v="0"/>
    <x v="2"/>
    <d v="2022-07-29T00:00:00"/>
    <x v="149"/>
    <n v="4967.93"/>
    <n v="2671"/>
    <n v="-3397"/>
    <x v="1"/>
    <n v="6"/>
    <x v="2"/>
    <d v="2023-01-31T00:00:00"/>
    <n v="0"/>
    <n v="694"/>
    <n v="-0.68"/>
    <s v="Normal"/>
    <n v="2023"/>
    <s v="January"/>
  </r>
  <r>
    <n v="1178"/>
    <n v="170"/>
    <x v="3"/>
    <x v="1"/>
    <x v="0"/>
    <d v="2022-09-10T00:00:00"/>
    <x v="6"/>
    <n v="5129"/>
    <n v="4012.75"/>
    <n v="5717"/>
    <x v="1"/>
    <n v="10"/>
    <x v="1"/>
    <d v="2023-08-06T00:00:00"/>
    <n v="1"/>
    <n v="695"/>
    <n v="1.1100000000000001"/>
    <s v="Outlier"/>
    <n v="2023"/>
    <s v="August"/>
  </r>
  <r>
    <n v="1179"/>
    <n v="111"/>
    <x v="4"/>
    <x v="1"/>
    <x v="2"/>
    <d v="2022-05-31T00:00:00"/>
    <x v="444"/>
    <n v="9740"/>
    <n v="2163"/>
    <n v="7577"/>
    <x v="2"/>
    <n v="2"/>
    <x v="0"/>
    <d v="2022-08-30T00:00:00"/>
    <n v="1"/>
    <n v="696"/>
    <n v="0.78"/>
    <s v="Normal"/>
    <n v="2022"/>
    <s v="August"/>
  </r>
  <r>
    <n v="1180"/>
    <n v="301"/>
    <x v="4"/>
    <x v="1"/>
    <x v="1"/>
    <d v="2022-03-29T00:00:00"/>
    <x v="445"/>
    <n v="5538"/>
    <n v="757"/>
    <n v="4781"/>
    <x v="1"/>
    <n v="19"/>
    <x v="1"/>
    <d v="2023-11-12T00:00:00"/>
    <n v="1"/>
    <n v="697"/>
    <n v="0.86"/>
    <s v="Normal"/>
    <n v="2023"/>
    <s v="November"/>
  </r>
  <r>
    <n v="1181"/>
    <n v="280"/>
    <x v="2"/>
    <x v="3"/>
    <x v="1"/>
    <d v="2022-11-16T00:00:00"/>
    <x v="338"/>
    <n v="308"/>
    <n v="4012.75"/>
    <n v="388"/>
    <x v="1"/>
    <n v="11"/>
    <x v="1"/>
    <d v="2023-10-24T00:00:00"/>
    <n v="1"/>
    <n v="698"/>
    <n v="1.26"/>
    <s v="Outlier"/>
    <n v="2023"/>
    <s v="October"/>
  </r>
  <r>
    <n v="1182"/>
    <n v="477"/>
    <x v="1"/>
    <x v="2"/>
    <x v="0"/>
    <d v="2022-01-25T00:00:00"/>
    <x v="298"/>
    <n v="2957"/>
    <n v="7257"/>
    <n v="-4300"/>
    <x v="1"/>
    <n v="15"/>
    <x v="1"/>
    <d v="2023-05-16T00:00:00"/>
    <n v="1"/>
    <n v="699"/>
    <n v="-1.45"/>
    <s v="Outlier"/>
    <n v="2023"/>
    <s v="May"/>
  </r>
  <r>
    <n v="1183"/>
    <n v="167"/>
    <x v="4"/>
    <x v="0"/>
    <x v="0"/>
    <d v="2022-05-23T00:00:00"/>
    <x v="446"/>
    <n v="2415"/>
    <n v="3616"/>
    <n v="-1201"/>
    <x v="1"/>
    <n v="8"/>
    <x v="1"/>
    <d v="2023-02-13T00:00:00"/>
    <n v="1"/>
    <n v="700"/>
    <n v="-0.5"/>
    <s v="Normal"/>
    <n v="2023"/>
    <s v="February"/>
  </r>
  <r>
    <n v="1185"/>
    <n v="165"/>
    <x v="2"/>
    <x v="2"/>
    <x v="0"/>
    <d v="2022-03-23T00:00:00"/>
    <x v="44"/>
    <n v="5910"/>
    <n v="4738"/>
    <n v="577.01"/>
    <x v="1"/>
    <n v="10"/>
    <x v="1"/>
    <d v="2023-02-08T00:00:00"/>
    <n v="1"/>
    <n v="701"/>
    <n v="0.1"/>
    <s v="Normal"/>
    <n v="2023"/>
    <s v="February"/>
  </r>
  <r>
    <n v="1186"/>
    <n v="371"/>
    <x v="2"/>
    <x v="3"/>
    <x v="0"/>
    <d v="2022-11-28T00:00:00"/>
    <x v="248"/>
    <n v="8105"/>
    <n v="733"/>
    <n v="7372"/>
    <x v="1"/>
    <n v="11"/>
    <x v="1"/>
    <d v="2023-11-23T00:00:00"/>
    <n v="1"/>
    <n v="702"/>
    <n v="0.91"/>
    <s v="Normal"/>
    <n v="2023"/>
    <s v="November"/>
  </r>
  <r>
    <n v="1188"/>
    <n v="460"/>
    <x v="4"/>
    <x v="2"/>
    <x v="0"/>
    <d v="2022-12-07T00:00:00"/>
    <x v="7"/>
    <n v="9426"/>
    <n v="3185"/>
    <n v="6241"/>
    <x v="2"/>
    <n v="2"/>
    <x v="0"/>
    <d v="2023-03-04T00:00:00"/>
    <n v="0"/>
    <n v="703"/>
    <n v="0.66"/>
    <s v="Normal"/>
    <n v="2023"/>
    <s v="March"/>
  </r>
  <r>
    <n v="1189"/>
    <n v="486"/>
    <x v="2"/>
    <x v="3"/>
    <x v="0"/>
    <d v="2022-01-13T00:00:00"/>
    <x v="418"/>
    <n v="2938"/>
    <n v="4012.75"/>
    <n v="3920"/>
    <x v="0"/>
    <n v="6"/>
    <x v="2"/>
    <d v="2022-07-24T00:00:00"/>
    <n v="1"/>
    <n v="704"/>
    <n v="1.33"/>
    <s v="Outlier"/>
    <n v="2022"/>
    <s v="July"/>
  </r>
  <r>
    <n v="1190"/>
    <n v="306"/>
    <x v="3"/>
    <x v="2"/>
    <x v="2"/>
    <d v="2022-11-06T00:00:00"/>
    <x v="447"/>
    <n v="9366"/>
    <n v="4012.75"/>
    <n v="9541"/>
    <x v="1"/>
    <n v="18"/>
    <x v="1"/>
    <d v="2024-05-26T00:00:00"/>
    <n v="0"/>
    <n v="705"/>
    <n v="1.02"/>
    <s v="Outlier"/>
    <n v="2024"/>
    <s v="May"/>
  </r>
  <r>
    <n v="1194"/>
    <n v="273"/>
    <x v="0"/>
    <x v="0"/>
    <x v="0"/>
    <d v="2022-02-02T00:00:00"/>
    <x v="346"/>
    <n v="7097"/>
    <n v="7988"/>
    <n v="-891"/>
    <x v="1"/>
    <n v="2"/>
    <x v="0"/>
    <d v="2022-04-09T00:00:00"/>
    <n v="1"/>
    <n v="706"/>
    <n v="-0.13"/>
    <s v="Normal"/>
    <n v="2022"/>
    <s v="April"/>
  </r>
  <r>
    <n v="1196"/>
    <n v="151"/>
    <x v="1"/>
    <x v="3"/>
    <x v="2"/>
    <d v="2022-09-29T00:00:00"/>
    <x v="19"/>
    <n v="6781"/>
    <n v="3098"/>
    <n v="3683"/>
    <x v="1"/>
    <n v="4"/>
    <x v="0"/>
    <d v="2023-02-19T00:00:00"/>
    <n v="1"/>
    <n v="707"/>
    <n v="0.54"/>
    <s v="Normal"/>
    <n v="2023"/>
    <s v="February"/>
  </r>
  <r>
    <n v="1197"/>
    <n v="213"/>
    <x v="1"/>
    <x v="3"/>
    <x v="1"/>
    <d v="2022-02-17T00:00:00"/>
    <x v="236"/>
    <n v="8882"/>
    <n v="6645"/>
    <n v="2237"/>
    <x v="0"/>
    <n v="2"/>
    <x v="0"/>
    <d v="2022-05-13T00:00:00"/>
    <n v="1"/>
    <n v="708"/>
    <n v="0.25"/>
    <s v="Normal"/>
    <n v="2022"/>
    <s v="May"/>
  </r>
  <r>
    <n v="1198"/>
    <n v="397"/>
    <x v="3"/>
    <x v="1"/>
    <x v="1"/>
    <d v="2022-06-14T00:00:00"/>
    <x v="232"/>
    <n v="1011"/>
    <n v="4076"/>
    <n v="-3065"/>
    <x v="0"/>
    <n v="10"/>
    <x v="1"/>
    <d v="2023-04-17T00:00:00"/>
    <n v="0"/>
    <n v="709"/>
    <n v="-3.03"/>
    <s v="Outlier"/>
    <n v="2023"/>
    <s v="April"/>
  </r>
  <r>
    <n v="1201"/>
    <n v="168"/>
    <x v="0"/>
    <x v="3"/>
    <x v="1"/>
    <d v="2022-07-02T00:00:00"/>
    <x v="261"/>
    <n v="174"/>
    <n v="29"/>
    <n v="577.01"/>
    <x v="2"/>
    <n v="10"/>
    <x v="1"/>
    <d v="2023-05-02T00:00:00"/>
    <n v="0"/>
    <n v="710"/>
    <n v="3.32"/>
    <s v="Outlier"/>
    <n v="2023"/>
    <s v="May"/>
  </r>
  <r>
    <n v="1204"/>
    <n v="414"/>
    <x v="1"/>
    <x v="1"/>
    <x v="1"/>
    <d v="2022-06-13T00:00:00"/>
    <x v="448"/>
    <n v="2709"/>
    <n v="4012.75"/>
    <n v="3391"/>
    <x v="1"/>
    <n v="13"/>
    <x v="1"/>
    <d v="2023-07-21T00:00:00"/>
    <n v="0"/>
    <n v="711"/>
    <n v="1.25"/>
    <s v="Outlier"/>
    <n v="2023"/>
    <s v="July"/>
  </r>
  <r>
    <n v="1208"/>
    <n v="192"/>
    <x v="2"/>
    <x v="0"/>
    <x v="2"/>
    <d v="2022-07-31T00:00:00"/>
    <x v="449"/>
    <n v="7403"/>
    <n v="2311"/>
    <n v="5092"/>
    <x v="2"/>
    <n v="1"/>
    <x v="0"/>
    <d v="2022-09-18T00:00:00"/>
    <n v="1"/>
    <n v="712"/>
    <n v="0.69"/>
    <s v="Normal"/>
    <n v="2022"/>
    <s v="September"/>
  </r>
  <r>
    <n v="1211"/>
    <n v="331"/>
    <x v="2"/>
    <x v="2"/>
    <x v="0"/>
    <d v="2022-01-28T00:00:00"/>
    <x v="353"/>
    <n v="9666"/>
    <n v="5822"/>
    <n v="3844"/>
    <x v="1"/>
    <n v="8"/>
    <x v="1"/>
    <d v="2022-10-12T00:00:00"/>
    <n v="0"/>
    <n v="713"/>
    <n v="0.4"/>
    <s v="Normal"/>
    <n v="2022"/>
    <s v="October"/>
  </r>
  <r>
    <n v="1212"/>
    <n v="148"/>
    <x v="3"/>
    <x v="0"/>
    <x v="0"/>
    <d v="2022-03-11T00:00:00"/>
    <x v="297"/>
    <n v="4967.93"/>
    <n v="3490"/>
    <n v="-5359"/>
    <x v="1"/>
    <n v="12"/>
    <x v="1"/>
    <d v="2023-04-01T00:00:00"/>
    <n v="1"/>
    <n v="714"/>
    <n v="-1.08"/>
    <s v="Outlier"/>
    <n v="2023"/>
    <s v="April"/>
  </r>
  <r>
    <n v="1214"/>
    <n v="313"/>
    <x v="4"/>
    <x v="3"/>
    <x v="0"/>
    <d v="2022-09-30T00:00:00"/>
    <x v="191"/>
    <n v="2632"/>
    <n v="7416"/>
    <n v="-4784"/>
    <x v="2"/>
    <n v="14"/>
    <x v="1"/>
    <d v="2023-12-07T00:00:00"/>
    <n v="0"/>
    <n v="715"/>
    <n v="-1.82"/>
    <s v="Outlier"/>
    <n v="2023"/>
    <s v="December"/>
  </r>
  <r>
    <n v="1215"/>
    <n v="102"/>
    <x v="4"/>
    <x v="0"/>
    <x v="1"/>
    <d v="2022-02-22T00:00:00"/>
    <x v="450"/>
    <n v="4638"/>
    <n v="4012.75"/>
    <n v="4819"/>
    <x v="1"/>
    <n v="13"/>
    <x v="1"/>
    <d v="2023-03-26T00:00:00"/>
    <n v="1"/>
    <n v="716"/>
    <n v="1.04"/>
    <s v="Outlier"/>
    <n v="2023"/>
    <s v="March"/>
  </r>
  <r>
    <n v="1217"/>
    <n v="104"/>
    <x v="1"/>
    <x v="0"/>
    <x v="2"/>
    <d v="2022-09-15T00:00:00"/>
    <x v="451"/>
    <n v="7747"/>
    <n v="6710"/>
    <n v="1037"/>
    <x v="1"/>
    <n v="10"/>
    <x v="1"/>
    <d v="2023-08-13T00:00:00"/>
    <n v="1"/>
    <n v="717"/>
    <n v="0.13"/>
    <s v="Normal"/>
    <n v="2023"/>
    <s v="August"/>
  </r>
  <r>
    <n v="1218"/>
    <n v="161"/>
    <x v="3"/>
    <x v="0"/>
    <x v="2"/>
    <d v="2022-06-20T00:00:00"/>
    <x v="125"/>
    <n v="9785"/>
    <n v="1933"/>
    <n v="7852"/>
    <x v="1"/>
    <n v="15"/>
    <x v="1"/>
    <d v="2023-10-10T00:00:00"/>
    <n v="0"/>
    <n v="718"/>
    <n v="0.8"/>
    <s v="Normal"/>
    <n v="2023"/>
    <s v="October"/>
  </r>
  <r>
    <n v="1219"/>
    <n v="415"/>
    <x v="3"/>
    <x v="2"/>
    <x v="2"/>
    <d v="2022-10-03T00:00:00"/>
    <x v="452"/>
    <n v="4967.93"/>
    <n v="127"/>
    <n v="-1967"/>
    <x v="0"/>
    <n v="16"/>
    <x v="1"/>
    <d v="2024-02-03T00:00:00"/>
    <n v="1"/>
    <n v="719"/>
    <n v="-0.4"/>
    <s v="Normal"/>
    <n v="2024"/>
    <s v="February"/>
  </r>
  <r>
    <n v="1220"/>
    <n v="202"/>
    <x v="4"/>
    <x v="3"/>
    <x v="2"/>
    <d v="2022-02-07T00:00:00"/>
    <x v="357"/>
    <n v="4736"/>
    <n v="2224"/>
    <n v="2512"/>
    <x v="0"/>
    <n v="12"/>
    <x v="1"/>
    <d v="2023-02-25T00:00:00"/>
    <n v="1"/>
    <n v="720"/>
    <n v="0.53"/>
    <s v="Normal"/>
    <n v="2023"/>
    <s v="February"/>
  </r>
  <r>
    <n v="1221"/>
    <n v="123"/>
    <x v="0"/>
    <x v="0"/>
    <x v="0"/>
    <d v="2022-12-17T00:00:00"/>
    <x v="453"/>
    <n v="5511"/>
    <n v="3453"/>
    <n v="2058"/>
    <x v="1"/>
    <n v="17"/>
    <x v="1"/>
    <d v="2024-06-09T00:00:00"/>
    <n v="1"/>
    <n v="721"/>
    <n v="0.37"/>
    <s v="Normal"/>
    <n v="2024"/>
    <s v="June"/>
  </r>
  <r>
    <n v="1224"/>
    <n v="404"/>
    <x v="3"/>
    <x v="1"/>
    <x v="0"/>
    <d v="2022-03-31T00:00:00"/>
    <x v="261"/>
    <n v="515"/>
    <n v="4012.75"/>
    <n v="729"/>
    <x v="2"/>
    <n v="13"/>
    <x v="1"/>
    <d v="2023-05-02T00:00:00"/>
    <n v="1"/>
    <n v="722"/>
    <n v="1.42"/>
    <s v="Outlier"/>
    <n v="2023"/>
    <s v="May"/>
  </r>
  <r>
    <n v="1225"/>
    <n v="299"/>
    <x v="4"/>
    <x v="0"/>
    <x v="0"/>
    <d v="2022-11-15T00:00:00"/>
    <x v="177"/>
    <n v="4940"/>
    <n v="6495"/>
    <n v="577.01"/>
    <x v="1"/>
    <n v="8"/>
    <x v="1"/>
    <d v="2023-07-20T00:00:00"/>
    <n v="0"/>
    <n v="723"/>
    <n v="0.12"/>
    <s v="Normal"/>
    <n v="2023"/>
    <s v="July"/>
  </r>
  <r>
    <n v="1227"/>
    <n v="203"/>
    <x v="2"/>
    <x v="2"/>
    <x v="0"/>
    <d v="2022-06-01T00:00:00"/>
    <x v="146"/>
    <n v="4385"/>
    <n v="4770"/>
    <n v="-385"/>
    <x v="0"/>
    <n v="16"/>
    <x v="1"/>
    <d v="2023-10-08T00:00:00"/>
    <n v="0"/>
    <n v="724"/>
    <n v="-0.09"/>
    <s v="Normal"/>
    <n v="2023"/>
    <s v="October"/>
  </r>
  <r>
    <n v="1228"/>
    <n v="263"/>
    <x v="1"/>
    <x v="3"/>
    <x v="1"/>
    <d v="2022-06-20T00:00:00"/>
    <x v="454"/>
    <n v="8454"/>
    <n v="5332"/>
    <n v="3122"/>
    <x v="1"/>
    <n v="14"/>
    <x v="1"/>
    <d v="2023-09-05T00:00:00"/>
    <n v="1"/>
    <n v="725"/>
    <n v="0.37"/>
    <s v="Normal"/>
    <n v="2023"/>
    <s v="September"/>
  </r>
  <r>
    <n v="1229"/>
    <n v="326"/>
    <x v="1"/>
    <x v="1"/>
    <x v="0"/>
    <d v="2022-01-29T00:00:00"/>
    <x v="455"/>
    <n v="4967.93"/>
    <n v="2588"/>
    <n v="-2850"/>
    <x v="2"/>
    <n v="11"/>
    <x v="1"/>
    <d v="2023-01-21T00:00:00"/>
    <n v="0"/>
    <n v="726"/>
    <n v="-0.56999999999999995"/>
    <s v="Normal"/>
    <n v="2023"/>
    <s v="January"/>
  </r>
  <r>
    <n v="1230"/>
    <n v="279"/>
    <x v="1"/>
    <x v="3"/>
    <x v="1"/>
    <d v="2022-08-25T00:00:00"/>
    <x v="288"/>
    <n v="6042"/>
    <n v="561"/>
    <n v="5481"/>
    <x v="1"/>
    <n v="7"/>
    <x v="1"/>
    <d v="2023-03-31T00:00:00"/>
    <n v="1"/>
    <n v="727"/>
    <n v="0.91"/>
    <s v="Normal"/>
    <n v="2023"/>
    <s v="March"/>
  </r>
  <r>
    <n v="1231"/>
    <n v="354"/>
    <x v="4"/>
    <x v="2"/>
    <x v="1"/>
    <d v="2022-12-02T00:00:00"/>
    <x v="456"/>
    <n v="9547"/>
    <n v="7278"/>
    <n v="2269"/>
    <x v="1"/>
    <n v="6"/>
    <x v="2"/>
    <d v="2023-06-16T00:00:00"/>
    <n v="1"/>
    <n v="728"/>
    <n v="0.24"/>
    <s v="Normal"/>
    <n v="2023"/>
    <s v="June"/>
  </r>
  <r>
    <n v="1234"/>
    <n v="198"/>
    <x v="0"/>
    <x v="0"/>
    <x v="0"/>
    <d v="2022-04-22T00:00:00"/>
    <x v="37"/>
    <n v="4967.93"/>
    <n v="6616"/>
    <n v="-7326"/>
    <x v="1"/>
    <n v="4"/>
    <x v="0"/>
    <d v="2022-09-05T00:00:00"/>
    <n v="1"/>
    <n v="729"/>
    <n v="-1.47"/>
    <s v="Outlier"/>
    <n v="2022"/>
    <s v="September"/>
  </r>
  <r>
    <n v="1236"/>
    <n v="232"/>
    <x v="2"/>
    <x v="1"/>
    <x v="2"/>
    <d v="2022-12-08T00:00:00"/>
    <x v="146"/>
    <n v="239"/>
    <n v="514"/>
    <n v="-275"/>
    <x v="0"/>
    <n v="10"/>
    <x v="1"/>
    <d v="2023-10-08T00:00:00"/>
    <n v="0"/>
    <n v="730"/>
    <n v="-1.1499999999999999"/>
    <s v="Outlier"/>
    <n v="2023"/>
    <s v="October"/>
  </r>
  <r>
    <n v="1238"/>
    <n v="180"/>
    <x v="2"/>
    <x v="3"/>
    <x v="1"/>
    <d v="2022-01-13T00:00:00"/>
    <x v="449"/>
    <n v="5392"/>
    <n v="650"/>
    <n v="4742"/>
    <x v="0"/>
    <n v="8"/>
    <x v="1"/>
    <d v="2022-09-18T00:00:00"/>
    <n v="0"/>
    <n v="731"/>
    <n v="0.88"/>
    <s v="Normal"/>
    <n v="2022"/>
    <s v="September"/>
  </r>
  <r>
    <n v="1240"/>
    <n v="183"/>
    <x v="1"/>
    <x v="1"/>
    <x v="2"/>
    <d v="2022-10-15T00:00:00"/>
    <x v="399"/>
    <n v="9291"/>
    <n v="3144"/>
    <n v="6147"/>
    <x v="1"/>
    <n v="19"/>
    <x v="1"/>
    <d v="2024-06-02T00:00:00"/>
    <n v="0"/>
    <n v="732"/>
    <n v="0.66"/>
    <s v="Normal"/>
    <n v="2024"/>
    <s v="June"/>
  </r>
  <r>
    <n v="1241"/>
    <n v="403"/>
    <x v="0"/>
    <x v="3"/>
    <x v="2"/>
    <d v="2022-10-22T00:00:00"/>
    <x v="457"/>
    <n v="55"/>
    <n v="4725"/>
    <n v="-4670"/>
    <x v="1"/>
    <n v="14"/>
    <x v="1"/>
    <d v="2023-12-31T00:00:00"/>
    <n v="0"/>
    <n v="733"/>
    <n v="-84.91"/>
    <s v="Outlier"/>
    <n v="2023"/>
    <s v="December"/>
  </r>
  <r>
    <n v="1242"/>
    <n v="464"/>
    <x v="1"/>
    <x v="2"/>
    <x v="1"/>
    <d v="2022-10-06T00:00:00"/>
    <x v="67"/>
    <n v="4332"/>
    <n v="3615"/>
    <n v="717"/>
    <x v="1"/>
    <n v="4"/>
    <x v="0"/>
    <d v="2023-02-20T00:00:00"/>
    <n v="0"/>
    <n v="734"/>
    <n v="0.17"/>
    <s v="Normal"/>
    <n v="2023"/>
    <s v="February"/>
  </r>
  <r>
    <n v="1243"/>
    <n v="316"/>
    <x v="0"/>
    <x v="0"/>
    <x v="0"/>
    <d v="2022-05-22T00:00:00"/>
    <x v="235"/>
    <n v="4967.93"/>
    <n v="135"/>
    <n v="-155"/>
    <x v="1"/>
    <n v="8"/>
    <x v="1"/>
    <d v="2023-02-15T00:00:00"/>
    <n v="1"/>
    <n v="735"/>
    <n v="-0.03"/>
    <s v="Normal"/>
    <n v="2023"/>
    <s v="February"/>
  </r>
  <r>
    <n v="1244"/>
    <n v="465"/>
    <x v="1"/>
    <x v="0"/>
    <x v="2"/>
    <d v="2022-06-19T00:00:00"/>
    <x v="365"/>
    <n v="1355"/>
    <n v="1207"/>
    <n v="577.01"/>
    <x v="0"/>
    <n v="11"/>
    <x v="1"/>
    <d v="2023-06-15T00:00:00"/>
    <n v="1"/>
    <n v="736"/>
    <n v="0.43"/>
    <s v="Normal"/>
    <n v="2023"/>
    <s v="June"/>
  </r>
  <r>
    <n v="1246"/>
    <n v="226"/>
    <x v="0"/>
    <x v="3"/>
    <x v="1"/>
    <d v="2022-08-23T00:00:00"/>
    <x v="98"/>
    <n v="965"/>
    <n v="7732"/>
    <n v="-6767"/>
    <x v="0"/>
    <n v="7"/>
    <x v="1"/>
    <d v="2023-04-16T00:00:00"/>
    <n v="1"/>
    <n v="737"/>
    <n v="-7.01"/>
    <s v="Outlier"/>
    <n v="2023"/>
    <s v="April"/>
  </r>
  <r>
    <n v="1247"/>
    <n v="448"/>
    <x v="4"/>
    <x v="2"/>
    <x v="2"/>
    <d v="2022-02-25T00:00:00"/>
    <x v="315"/>
    <n v="3638"/>
    <n v="5333"/>
    <n v="-1695"/>
    <x v="2"/>
    <n v="16"/>
    <x v="1"/>
    <d v="2023-07-13T00:00:00"/>
    <n v="1"/>
    <n v="738"/>
    <n v="-0.47"/>
    <s v="Normal"/>
    <n v="2023"/>
    <s v="July"/>
  </r>
  <r>
    <n v="1248"/>
    <n v="287"/>
    <x v="0"/>
    <x v="0"/>
    <x v="1"/>
    <d v="2022-12-08T00:00:00"/>
    <x v="458"/>
    <n v="4967.93"/>
    <n v="3082"/>
    <n v="-3726"/>
    <x v="0"/>
    <n v="17"/>
    <x v="1"/>
    <d v="2024-06-01T00:00:00"/>
    <n v="1"/>
    <n v="739"/>
    <n v="-0.75"/>
    <s v="Normal"/>
    <n v="2024"/>
    <s v="June"/>
  </r>
  <r>
    <n v="1252"/>
    <n v="214"/>
    <x v="1"/>
    <x v="1"/>
    <x v="0"/>
    <d v="2022-03-28T00:00:00"/>
    <x v="459"/>
    <n v="212"/>
    <n v="893"/>
    <n v="-681"/>
    <x v="1"/>
    <n v="11"/>
    <x v="1"/>
    <d v="2023-03-27T00:00:00"/>
    <n v="0"/>
    <n v="740"/>
    <n v="-3.21"/>
    <s v="Outlier"/>
    <n v="2023"/>
    <s v="March"/>
  </r>
  <r>
    <n v="1253"/>
    <n v="130"/>
    <x v="2"/>
    <x v="3"/>
    <x v="0"/>
    <d v="2022-10-23T00:00:00"/>
    <x v="455"/>
    <n v="7976"/>
    <n v="7305"/>
    <n v="671"/>
    <x v="1"/>
    <n v="2"/>
    <x v="0"/>
    <d v="2023-01-21T00:00:00"/>
    <n v="0"/>
    <n v="741"/>
    <n v="0.08"/>
    <s v="Normal"/>
    <n v="2023"/>
    <s v="January"/>
  </r>
  <r>
    <n v="1255"/>
    <n v="108"/>
    <x v="2"/>
    <x v="3"/>
    <x v="1"/>
    <d v="2022-12-01T00:00:00"/>
    <x v="460"/>
    <n v="9748"/>
    <n v="7068"/>
    <n v="2680"/>
    <x v="1"/>
    <n v="19"/>
    <x v="1"/>
    <d v="2024-07-10T00:00:00"/>
    <n v="1"/>
    <n v="742"/>
    <n v="0.27"/>
    <s v="Normal"/>
    <n v="2024"/>
    <s v="July"/>
  </r>
  <r>
    <n v="1258"/>
    <n v="298"/>
    <x v="1"/>
    <x v="2"/>
    <x v="1"/>
    <d v="2022-04-15T00:00:00"/>
    <x v="296"/>
    <n v="7169"/>
    <n v="6714"/>
    <n v="455"/>
    <x v="2"/>
    <n v="4"/>
    <x v="0"/>
    <d v="2022-08-22T00:00:00"/>
    <n v="1"/>
    <n v="743"/>
    <n v="0.06"/>
    <s v="Normal"/>
    <n v="2022"/>
    <s v="August"/>
  </r>
  <r>
    <n v="1259"/>
    <n v="387"/>
    <x v="3"/>
    <x v="3"/>
    <x v="2"/>
    <d v="2022-06-08T00:00:00"/>
    <x v="305"/>
    <n v="3837"/>
    <n v="554"/>
    <n v="3283"/>
    <x v="1"/>
    <n v="8"/>
    <x v="1"/>
    <d v="2023-02-11T00:00:00"/>
    <n v="0"/>
    <n v="744"/>
    <n v="0.86"/>
    <s v="Normal"/>
    <n v="2023"/>
    <s v="February"/>
  </r>
  <r>
    <n v="1260"/>
    <n v="211"/>
    <x v="4"/>
    <x v="3"/>
    <x v="2"/>
    <d v="2022-03-31T00:00:00"/>
    <x v="461"/>
    <n v="6858"/>
    <n v="6540"/>
    <n v="318"/>
    <x v="2"/>
    <n v="16"/>
    <x v="1"/>
    <d v="2023-08-14T00:00:00"/>
    <n v="1"/>
    <n v="745"/>
    <n v="0.05"/>
    <s v="Normal"/>
    <n v="2023"/>
    <s v="August"/>
  </r>
  <r>
    <n v="1263"/>
    <n v="493"/>
    <x v="3"/>
    <x v="0"/>
    <x v="2"/>
    <d v="2022-12-22T00:00:00"/>
    <x v="194"/>
    <n v="4565"/>
    <n v="4903"/>
    <n v="-338"/>
    <x v="1"/>
    <n v="14"/>
    <x v="1"/>
    <d v="2024-03-21T00:00:00"/>
    <n v="1"/>
    <n v="746"/>
    <n v="-7.0000000000000007E-2"/>
    <s v="Normal"/>
    <n v="2024"/>
    <s v="March"/>
  </r>
  <r>
    <n v="1265"/>
    <n v="374"/>
    <x v="4"/>
    <x v="0"/>
    <x v="0"/>
    <d v="2022-07-22T00:00:00"/>
    <x v="193"/>
    <n v="7565"/>
    <n v="4848"/>
    <n v="2717"/>
    <x v="2"/>
    <n v="15"/>
    <x v="1"/>
    <d v="2023-10-23T00:00:00"/>
    <n v="0"/>
    <n v="747"/>
    <n v="0.36"/>
    <s v="Normal"/>
    <n v="2023"/>
    <s v="October"/>
  </r>
  <r>
    <n v="1268"/>
    <n v="262"/>
    <x v="1"/>
    <x v="0"/>
    <x v="0"/>
    <d v="2022-01-10T00:00:00"/>
    <x v="462"/>
    <n v="1295"/>
    <n v="4573"/>
    <n v="-3278"/>
    <x v="1"/>
    <n v="4"/>
    <x v="0"/>
    <d v="2022-05-21T00:00:00"/>
    <n v="0"/>
    <n v="748"/>
    <n v="-2.5299999999999998"/>
    <s v="Outlier"/>
    <n v="2022"/>
    <s v="May"/>
  </r>
  <r>
    <n v="1269"/>
    <n v="257"/>
    <x v="1"/>
    <x v="1"/>
    <x v="0"/>
    <d v="2022-09-27T00:00:00"/>
    <x v="463"/>
    <n v="4967.93"/>
    <n v="5371"/>
    <n v="-6333"/>
    <x v="1"/>
    <n v="14"/>
    <x v="1"/>
    <d v="2023-11-29T00:00:00"/>
    <n v="0"/>
    <n v="749"/>
    <n v="-1.27"/>
    <s v="Outlier"/>
    <n v="2023"/>
    <s v="November"/>
  </r>
  <r>
    <n v="1270"/>
    <n v="205"/>
    <x v="4"/>
    <x v="3"/>
    <x v="2"/>
    <d v="2022-09-21T00:00:00"/>
    <x v="304"/>
    <n v="7502"/>
    <n v="6992"/>
    <n v="510"/>
    <x v="1"/>
    <n v="3"/>
    <x v="0"/>
    <d v="2023-01-17T00:00:00"/>
    <n v="0"/>
    <n v="750"/>
    <n v="7.0000000000000007E-2"/>
    <s v="Normal"/>
    <n v="2023"/>
    <s v="January"/>
  </r>
  <r>
    <n v="1271"/>
    <n v="145"/>
    <x v="2"/>
    <x v="1"/>
    <x v="0"/>
    <d v="2022-01-21T00:00:00"/>
    <x v="464"/>
    <n v="6355"/>
    <n v="6721"/>
    <n v="-366"/>
    <x v="0"/>
    <n v="13"/>
    <x v="1"/>
    <d v="2023-03-09T00:00:00"/>
    <n v="0"/>
    <n v="751"/>
    <n v="-0.06"/>
    <s v="Normal"/>
    <n v="2023"/>
    <s v="March"/>
  </r>
  <r>
    <n v="1273"/>
    <n v="227"/>
    <x v="0"/>
    <x v="2"/>
    <x v="0"/>
    <d v="2022-07-23T00:00:00"/>
    <x v="465"/>
    <n v="757"/>
    <n v="3160"/>
    <n v="-2403"/>
    <x v="1"/>
    <n v="5"/>
    <x v="0"/>
    <d v="2023-01-19T00:00:00"/>
    <n v="1"/>
    <n v="752"/>
    <n v="-3.17"/>
    <s v="Outlier"/>
    <n v="2023"/>
    <s v="January"/>
  </r>
  <r>
    <n v="1274"/>
    <n v="438"/>
    <x v="0"/>
    <x v="0"/>
    <x v="2"/>
    <d v="2022-11-07T00:00:00"/>
    <x v="45"/>
    <n v="2502"/>
    <n v="772"/>
    <n v="577.01"/>
    <x v="1"/>
    <n v="1"/>
    <x v="0"/>
    <d v="2023-01-02T00:00:00"/>
    <n v="0"/>
    <n v="753"/>
    <n v="0.23"/>
    <s v="Normal"/>
    <n v="2023"/>
    <s v="January"/>
  </r>
  <r>
    <n v="1279"/>
    <n v="203"/>
    <x v="2"/>
    <x v="2"/>
    <x v="1"/>
    <d v="2022-11-05T00:00:00"/>
    <x v="466"/>
    <n v="1348"/>
    <n v="5118"/>
    <n v="-3770"/>
    <x v="0"/>
    <n v="18"/>
    <x v="1"/>
    <d v="2024-05-06T00:00:00"/>
    <n v="1"/>
    <n v="754"/>
    <n v="-2.8"/>
    <s v="Outlier"/>
    <n v="2024"/>
    <s v="May"/>
  </r>
  <r>
    <n v="1280"/>
    <n v="468"/>
    <x v="0"/>
    <x v="1"/>
    <x v="1"/>
    <d v="2022-07-09T00:00:00"/>
    <x v="421"/>
    <n v="2861"/>
    <n v="4343"/>
    <n v="-1482"/>
    <x v="2"/>
    <n v="11"/>
    <x v="1"/>
    <d v="2023-06-25T00:00:00"/>
    <n v="1"/>
    <n v="755"/>
    <n v="-0.52"/>
    <s v="Normal"/>
    <n v="2023"/>
    <s v="June"/>
  </r>
  <r>
    <n v="1283"/>
    <n v="454"/>
    <x v="0"/>
    <x v="2"/>
    <x v="2"/>
    <d v="2022-08-28T00:00:00"/>
    <x v="467"/>
    <n v="4967.93"/>
    <n v="7467"/>
    <n v="-7574"/>
    <x v="1"/>
    <n v="4"/>
    <x v="0"/>
    <d v="2022-12-28T00:00:00"/>
    <n v="0"/>
    <n v="756"/>
    <n v="-1.52"/>
    <s v="Outlier"/>
    <n v="2022"/>
    <s v="December"/>
  </r>
  <r>
    <n v="1284"/>
    <n v="344"/>
    <x v="3"/>
    <x v="0"/>
    <x v="2"/>
    <d v="2022-11-19T00:00:00"/>
    <x v="384"/>
    <n v="3146"/>
    <n v="4436"/>
    <n v="-1290"/>
    <x v="0"/>
    <n v="12"/>
    <x v="1"/>
    <d v="2023-11-28T00:00:00"/>
    <n v="1"/>
    <n v="757"/>
    <n v="-0.41"/>
    <s v="Normal"/>
    <n v="2023"/>
    <s v="November"/>
  </r>
  <r>
    <n v="1289"/>
    <n v="403"/>
    <x v="4"/>
    <x v="0"/>
    <x v="2"/>
    <d v="2022-07-07T00:00:00"/>
    <x v="229"/>
    <n v="4104"/>
    <n v="6061"/>
    <n v="-1957"/>
    <x v="1"/>
    <n v="14"/>
    <x v="1"/>
    <d v="2023-09-26T00:00:00"/>
    <n v="1"/>
    <n v="758"/>
    <n v="-0.48"/>
    <s v="Normal"/>
    <n v="2023"/>
    <s v="September"/>
  </r>
  <r>
    <n v="1291"/>
    <n v="459"/>
    <x v="2"/>
    <x v="3"/>
    <x v="0"/>
    <d v="2022-11-08T00:00:00"/>
    <x v="193"/>
    <n v="4967.93"/>
    <n v="3724"/>
    <n v="-3744"/>
    <x v="0"/>
    <n v="11"/>
    <x v="1"/>
    <d v="2023-10-23T00:00:00"/>
    <n v="0"/>
    <n v="759"/>
    <n v="-0.75"/>
    <s v="Normal"/>
    <n v="2023"/>
    <s v="October"/>
  </r>
  <r>
    <n v="1293"/>
    <n v="302"/>
    <x v="2"/>
    <x v="2"/>
    <x v="0"/>
    <d v="2022-10-03T00:00:00"/>
    <x v="180"/>
    <n v="2112"/>
    <n v="4012.75"/>
    <n v="2693"/>
    <x v="0"/>
    <n v="15"/>
    <x v="1"/>
    <d v="2024-01-17T00:00:00"/>
    <n v="1"/>
    <n v="760"/>
    <n v="1.28"/>
    <s v="Outlier"/>
    <n v="2024"/>
    <s v="January"/>
  </r>
  <r>
    <n v="1296"/>
    <n v="229"/>
    <x v="4"/>
    <x v="2"/>
    <x v="2"/>
    <d v="2022-05-07T00:00:00"/>
    <x v="364"/>
    <n v="6755"/>
    <n v="7017"/>
    <n v="-262"/>
    <x v="0"/>
    <n v="9"/>
    <x v="1"/>
    <d v="2023-02-21T00:00:00"/>
    <n v="1"/>
    <n v="761"/>
    <n v="-0.04"/>
    <s v="Normal"/>
    <n v="2023"/>
    <s v="February"/>
  </r>
  <r>
    <n v="1300"/>
    <n v="185"/>
    <x v="2"/>
    <x v="3"/>
    <x v="1"/>
    <d v="2022-01-28T00:00:00"/>
    <x v="113"/>
    <n v="6090"/>
    <n v="311"/>
    <n v="5779"/>
    <x v="1"/>
    <n v="18"/>
    <x v="1"/>
    <d v="2023-08-15T00:00:00"/>
    <n v="0"/>
    <n v="762"/>
    <n v="0.95"/>
    <s v="Normal"/>
    <n v="2023"/>
    <s v="August"/>
  </r>
  <r>
    <n v="1303"/>
    <n v="417"/>
    <x v="0"/>
    <x v="2"/>
    <x v="1"/>
    <d v="2022-09-08T00:00:00"/>
    <x v="393"/>
    <n v="8136"/>
    <n v="1948"/>
    <n v="6188"/>
    <x v="2"/>
    <n v="17"/>
    <x v="1"/>
    <d v="2024-02-18T00:00:00"/>
    <n v="1"/>
    <n v="763"/>
    <n v="0.76"/>
    <s v="Normal"/>
    <n v="2024"/>
    <s v="February"/>
  </r>
  <r>
    <n v="1304"/>
    <n v="370"/>
    <x v="3"/>
    <x v="3"/>
    <x v="1"/>
    <d v="2022-09-29T00:00:00"/>
    <x v="69"/>
    <n v="5431"/>
    <n v="7338"/>
    <n v="-1907"/>
    <x v="1"/>
    <n v="9"/>
    <x v="1"/>
    <d v="2023-07-18T00:00:00"/>
    <n v="1"/>
    <n v="764"/>
    <n v="-0.35"/>
    <s v="Normal"/>
    <n v="2023"/>
    <s v="July"/>
  </r>
  <r>
    <n v="1305"/>
    <n v="327"/>
    <x v="2"/>
    <x v="2"/>
    <x v="2"/>
    <d v="2022-12-18T00:00:00"/>
    <x v="196"/>
    <n v="8908"/>
    <n v="7914"/>
    <n v="994"/>
    <x v="2"/>
    <n v="9"/>
    <x v="1"/>
    <d v="2023-09-20T00:00:00"/>
    <n v="0"/>
    <n v="765"/>
    <n v="0.11"/>
    <s v="Normal"/>
    <n v="2023"/>
    <s v="September"/>
  </r>
  <r>
    <n v="1306"/>
    <n v="328"/>
    <x v="0"/>
    <x v="2"/>
    <x v="0"/>
    <d v="2022-09-13T00:00:00"/>
    <x v="468"/>
    <n v="5037"/>
    <n v="2173"/>
    <n v="2864"/>
    <x v="2"/>
    <n v="18"/>
    <x v="1"/>
    <d v="2024-03-24T00:00:00"/>
    <n v="0"/>
    <n v="766"/>
    <n v="0.56999999999999995"/>
    <s v="Normal"/>
    <n v="2024"/>
    <s v="March"/>
  </r>
  <r>
    <n v="1307"/>
    <n v="247"/>
    <x v="1"/>
    <x v="0"/>
    <x v="1"/>
    <d v="2022-07-02T00:00:00"/>
    <x v="265"/>
    <n v="4670"/>
    <n v="1777"/>
    <n v="2893"/>
    <x v="1"/>
    <n v="18"/>
    <x v="1"/>
    <d v="2024-01-16T00:00:00"/>
    <n v="0"/>
    <n v="767"/>
    <n v="0.62"/>
    <s v="Normal"/>
    <n v="2024"/>
    <s v="January"/>
  </r>
  <r>
    <n v="1308"/>
    <n v="309"/>
    <x v="2"/>
    <x v="0"/>
    <x v="0"/>
    <d v="2022-12-05T00:00:00"/>
    <x v="359"/>
    <n v="9129"/>
    <n v="2035"/>
    <n v="7094"/>
    <x v="2"/>
    <n v="16"/>
    <x v="1"/>
    <d v="2024-04-17T00:00:00"/>
    <n v="1"/>
    <n v="768"/>
    <n v="0.78"/>
    <s v="Normal"/>
    <n v="2024"/>
    <s v="April"/>
  </r>
  <r>
    <n v="1309"/>
    <n v="459"/>
    <x v="2"/>
    <x v="3"/>
    <x v="1"/>
    <d v="2022-02-10T00:00:00"/>
    <x v="207"/>
    <n v="4444"/>
    <n v="7368"/>
    <n v="-2924"/>
    <x v="2"/>
    <n v="8"/>
    <x v="1"/>
    <d v="2022-10-17T00:00:00"/>
    <n v="0"/>
    <n v="769"/>
    <n v="-0.66"/>
    <s v="Normal"/>
    <n v="2022"/>
    <s v="October"/>
  </r>
  <r>
    <n v="1310"/>
    <n v="277"/>
    <x v="1"/>
    <x v="2"/>
    <x v="0"/>
    <d v="2022-03-10T00:00:00"/>
    <x v="469"/>
    <n v="2209"/>
    <n v="2301"/>
    <n v="-92"/>
    <x v="1"/>
    <n v="2"/>
    <x v="0"/>
    <d v="2022-05-10T00:00:00"/>
    <n v="0"/>
    <n v="770"/>
    <n v="-0.04"/>
    <s v="Normal"/>
    <n v="2022"/>
    <s v="May"/>
  </r>
  <r>
    <n v="1311"/>
    <n v="116"/>
    <x v="1"/>
    <x v="3"/>
    <x v="1"/>
    <d v="2022-01-26T00:00:00"/>
    <x v="220"/>
    <n v="4967.93"/>
    <n v="5742"/>
    <n v="-6556"/>
    <x v="1"/>
    <n v="14"/>
    <x v="1"/>
    <d v="2023-03-29T00:00:00"/>
    <n v="0"/>
    <n v="771"/>
    <n v="-1.32"/>
    <s v="Outlier"/>
    <n v="2023"/>
    <s v="March"/>
  </r>
  <r>
    <n v="1312"/>
    <n v="343"/>
    <x v="0"/>
    <x v="1"/>
    <x v="0"/>
    <d v="2022-02-28T00:00:00"/>
    <x v="470"/>
    <n v="11"/>
    <n v="2259"/>
    <n v="-2248"/>
    <x v="0"/>
    <n v="2"/>
    <x v="0"/>
    <d v="2022-05-26T00:00:00"/>
    <n v="1"/>
    <n v="772"/>
    <n v="-204.36"/>
    <s v="Outlier"/>
    <n v="2022"/>
    <s v="May"/>
  </r>
  <r>
    <n v="1313"/>
    <n v="176"/>
    <x v="1"/>
    <x v="2"/>
    <x v="1"/>
    <d v="2022-11-02T00:00:00"/>
    <x v="120"/>
    <n v="5547"/>
    <n v="3555"/>
    <n v="1992"/>
    <x v="1"/>
    <n v="3"/>
    <x v="0"/>
    <d v="2023-03-01T00:00:00"/>
    <n v="1"/>
    <n v="773"/>
    <n v="0.36"/>
    <s v="Normal"/>
    <n v="2023"/>
    <s v="March"/>
  </r>
  <r>
    <n v="1316"/>
    <n v="385"/>
    <x v="3"/>
    <x v="2"/>
    <x v="1"/>
    <d v="2022-09-27T00:00:00"/>
    <x v="441"/>
    <n v="6872"/>
    <n v="4012.75"/>
    <n v="6992"/>
    <x v="2"/>
    <n v="11"/>
    <x v="1"/>
    <d v="2023-09-02T00:00:00"/>
    <n v="1"/>
    <n v="774"/>
    <n v="1.02"/>
    <s v="Outlier"/>
    <n v="2023"/>
    <s v="September"/>
  </r>
  <r>
    <n v="1318"/>
    <n v="317"/>
    <x v="0"/>
    <x v="0"/>
    <x v="0"/>
    <d v="2022-06-24T00:00:00"/>
    <x v="384"/>
    <n v="3613"/>
    <n v="2061"/>
    <n v="1552"/>
    <x v="1"/>
    <n v="17"/>
    <x v="1"/>
    <d v="2023-11-28T00:00:00"/>
    <n v="0"/>
    <n v="775"/>
    <n v="0.43"/>
    <s v="Normal"/>
    <n v="2023"/>
    <s v="November"/>
  </r>
  <r>
    <n v="1319"/>
    <n v="207"/>
    <x v="3"/>
    <x v="3"/>
    <x v="2"/>
    <d v="2022-08-21T00:00:00"/>
    <x v="10"/>
    <n v="7010"/>
    <n v="939"/>
    <n v="6071"/>
    <x v="2"/>
    <n v="12"/>
    <x v="1"/>
    <d v="2023-08-29T00:00:00"/>
    <n v="0"/>
    <n v="776"/>
    <n v="0.87"/>
    <s v="Normal"/>
    <n v="2023"/>
    <s v="August"/>
  </r>
  <r>
    <n v="1321"/>
    <n v="355"/>
    <x v="1"/>
    <x v="1"/>
    <x v="1"/>
    <d v="2022-11-14T00:00:00"/>
    <x v="98"/>
    <n v="7736"/>
    <n v="3547"/>
    <n v="4189"/>
    <x v="1"/>
    <n v="5"/>
    <x v="0"/>
    <d v="2023-04-16T00:00:00"/>
    <n v="1"/>
    <n v="777"/>
    <n v="0.54"/>
    <s v="Normal"/>
    <n v="2023"/>
    <s v="April"/>
  </r>
  <r>
    <n v="1323"/>
    <n v="217"/>
    <x v="4"/>
    <x v="2"/>
    <x v="1"/>
    <d v="2022-11-28T00:00:00"/>
    <x v="471"/>
    <n v="4967.93"/>
    <n v="7813"/>
    <n v="-8634"/>
    <x v="1"/>
    <n v="17"/>
    <x v="1"/>
    <d v="2024-05-01T00:00:00"/>
    <n v="0"/>
    <n v="778"/>
    <n v="-1.74"/>
    <s v="Outlier"/>
    <n v="2024"/>
    <s v="May"/>
  </r>
  <r>
    <n v="1327"/>
    <n v="128"/>
    <x v="2"/>
    <x v="2"/>
    <x v="0"/>
    <d v="2022-04-29T00:00:00"/>
    <x v="472"/>
    <n v="3313"/>
    <n v="4012.75"/>
    <n v="3841"/>
    <x v="1"/>
    <n v="17"/>
    <x v="1"/>
    <d v="2023-10-27T00:00:00"/>
    <n v="0"/>
    <n v="779"/>
    <n v="1.1599999999999999"/>
    <s v="Outlier"/>
    <n v="2023"/>
    <s v="October"/>
  </r>
  <r>
    <n v="1329"/>
    <n v="317"/>
    <x v="2"/>
    <x v="2"/>
    <x v="1"/>
    <d v="2022-09-26T00:00:00"/>
    <x v="473"/>
    <n v="4311"/>
    <n v="7714"/>
    <n v="-3403"/>
    <x v="1"/>
    <n v="17"/>
    <x v="1"/>
    <d v="2024-03-06T00:00:00"/>
    <n v="0"/>
    <n v="780"/>
    <n v="-0.79"/>
    <s v="Normal"/>
    <n v="2024"/>
    <s v="March"/>
  </r>
  <r>
    <n v="1330"/>
    <n v="443"/>
    <x v="2"/>
    <x v="0"/>
    <x v="0"/>
    <d v="2022-08-08T00:00:00"/>
    <x v="213"/>
    <n v="7273"/>
    <n v="7651"/>
    <n v="-378"/>
    <x v="1"/>
    <n v="11"/>
    <x v="1"/>
    <d v="2023-07-19T00:00:00"/>
    <n v="1"/>
    <n v="781"/>
    <n v="-0.05"/>
    <s v="Normal"/>
    <n v="2023"/>
    <s v="July"/>
  </r>
  <r>
    <n v="1331"/>
    <n v="360"/>
    <x v="4"/>
    <x v="3"/>
    <x v="0"/>
    <d v="2022-06-13T00:00:00"/>
    <x v="474"/>
    <n v="5916"/>
    <n v="4012.75"/>
    <n v="6078"/>
    <x v="2"/>
    <n v="9"/>
    <x v="1"/>
    <d v="2023-03-14T00:00:00"/>
    <n v="0"/>
    <n v="782"/>
    <n v="1.03"/>
    <s v="Outlier"/>
    <n v="2023"/>
    <s v="March"/>
  </r>
  <r>
    <n v="1332"/>
    <n v="244"/>
    <x v="3"/>
    <x v="3"/>
    <x v="1"/>
    <d v="2022-05-18T00:00:00"/>
    <x v="165"/>
    <n v="2647"/>
    <n v="495"/>
    <n v="2152"/>
    <x v="2"/>
    <n v="14"/>
    <x v="1"/>
    <d v="2023-08-10T00:00:00"/>
    <n v="0"/>
    <n v="783"/>
    <n v="0.81"/>
    <s v="Normal"/>
    <n v="2023"/>
    <s v="August"/>
  </r>
  <r>
    <n v="1333"/>
    <n v="465"/>
    <x v="2"/>
    <x v="1"/>
    <x v="0"/>
    <d v="2022-02-20T00:00:00"/>
    <x v="475"/>
    <n v="5842"/>
    <n v="4403"/>
    <n v="1439"/>
    <x v="1"/>
    <n v="18"/>
    <x v="1"/>
    <d v="2023-08-26T00:00:00"/>
    <n v="0"/>
    <n v="784"/>
    <n v="0.25"/>
    <s v="Normal"/>
    <n v="2023"/>
    <s v="August"/>
  </r>
  <r>
    <n v="1334"/>
    <n v="202"/>
    <x v="3"/>
    <x v="2"/>
    <x v="1"/>
    <d v="2022-12-04T00:00:00"/>
    <x v="42"/>
    <n v="4809"/>
    <n v="4012.75"/>
    <n v="4860"/>
    <x v="1"/>
    <n v="3"/>
    <x v="0"/>
    <d v="2023-03-05T00:00:00"/>
    <n v="1"/>
    <n v="785"/>
    <n v="1.01"/>
    <s v="Outlier"/>
    <n v="2023"/>
    <s v="March"/>
  </r>
  <r>
    <n v="1335"/>
    <n v="242"/>
    <x v="4"/>
    <x v="2"/>
    <x v="0"/>
    <d v="2022-05-21T00:00:00"/>
    <x v="476"/>
    <n v="4967.93"/>
    <n v="6265"/>
    <n v="-6307"/>
    <x v="0"/>
    <n v="4"/>
    <x v="0"/>
    <d v="2022-09-24T00:00:00"/>
    <n v="1"/>
    <n v="786"/>
    <n v="-1.27"/>
    <s v="Outlier"/>
    <n v="2022"/>
    <s v="September"/>
  </r>
  <r>
    <n v="1338"/>
    <n v="357"/>
    <x v="0"/>
    <x v="0"/>
    <x v="0"/>
    <d v="2022-02-26T00:00:00"/>
    <x v="113"/>
    <n v="4967.93"/>
    <n v="3263"/>
    <n v="577.01"/>
    <x v="0"/>
    <n v="17"/>
    <x v="1"/>
    <d v="2023-08-15T00:00:00"/>
    <n v="0"/>
    <n v="787"/>
    <n v="0.12"/>
    <s v="Normal"/>
    <n v="2023"/>
    <s v="August"/>
  </r>
  <r>
    <n v="1339"/>
    <n v="290"/>
    <x v="2"/>
    <x v="0"/>
    <x v="0"/>
    <d v="2022-10-29T00:00:00"/>
    <x v="74"/>
    <n v="4967.93"/>
    <n v="4012.75"/>
    <n v="-804"/>
    <x v="1"/>
    <n v="14"/>
    <x v="1"/>
    <d v="2024-01-04T00:00:00"/>
    <n v="1"/>
    <n v="788"/>
    <n v="-0.16"/>
    <s v="Normal"/>
    <n v="2024"/>
    <s v="January"/>
  </r>
  <r>
    <n v="1341"/>
    <n v="188"/>
    <x v="2"/>
    <x v="3"/>
    <x v="0"/>
    <d v="2022-08-21T00:00:00"/>
    <x v="477"/>
    <n v="7696"/>
    <n v="6088"/>
    <n v="577.01"/>
    <x v="1"/>
    <n v="16"/>
    <x v="1"/>
    <d v="2024-01-05T00:00:00"/>
    <n v="0"/>
    <n v="789"/>
    <n v="7.0000000000000007E-2"/>
    <s v="Normal"/>
    <n v="2024"/>
    <s v="January"/>
  </r>
  <r>
    <n v="1342"/>
    <n v="167"/>
    <x v="3"/>
    <x v="0"/>
    <x v="1"/>
    <d v="2022-04-27T00:00:00"/>
    <x v="78"/>
    <n v="1680"/>
    <n v="4012.75"/>
    <n v="1830"/>
    <x v="2"/>
    <n v="2"/>
    <x v="0"/>
    <d v="2022-07-13T00:00:00"/>
    <n v="1"/>
    <n v="790"/>
    <n v="1.0900000000000001"/>
    <s v="Outlier"/>
    <n v="2022"/>
    <s v="July"/>
  </r>
  <r>
    <n v="1344"/>
    <n v="410"/>
    <x v="2"/>
    <x v="3"/>
    <x v="1"/>
    <d v="2022-04-10T00:00:00"/>
    <x v="478"/>
    <n v="5919"/>
    <n v="1657"/>
    <n v="4262"/>
    <x v="2"/>
    <n v="5"/>
    <x v="0"/>
    <d v="2022-10-07T00:00:00"/>
    <n v="0"/>
    <n v="791"/>
    <n v="0.72"/>
    <s v="Normal"/>
    <n v="2022"/>
    <s v="October"/>
  </r>
  <r>
    <n v="1345"/>
    <n v="449"/>
    <x v="1"/>
    <x v="2"/>
    <x v="1"/>
    <d v="2022-11-24T00:00:00"/>
    <x v="184"/>
    <n v="6101"/>
    <n v="3541"/>
    <n v="2560"/>
    <x v="1"/>
    <n v="4"/>
    <x v="0"/>
    <d v="2023-03-30T00:00:00"/>
    <n v="1"/>
    <n v="792"/>
    <n v="0.42"/>
    <s v="Normal"/>
    <n v="2023"/>
    <s v="March"/>
  </r>
  <r>
    <n v="1346"/>
    <n v="139"/>
    <x v="2"/>
    <x v="3"/>
    <x v="1"/>
    <d v="2022-09-19T00:00:00"/>
    <x v="396"/>
    <n v="8405"/>
    <n v="2916"/>
    <n v="577.01"/>
    <x v="0"/>
    <n v="2"/>
    <x v="0"/>
    <d v="2022-12-04T00:00:00"/>
    <n v="1"/>
    <n v="793"/>
    <n v="7.0000000000000007E-2"/>
    <s v="Normal"/>
    <n v="2022"/>
    <s v="December"/>
  </r>
  <r>
    <n v="1347"/>
    <n v="325"/>
    <x v="0"/>
    <x v="2"/>
    <x v="1"/>
    <d v="2022-07-31T00:00:00"/>
    <x v="228"/>
    <n v="9880"/>
    <n v="2699"/>
    <n v="7181"/>
    <x v="1"/>
    <n v="1"/>
    <x v="0"/>
    <d v="2022-09-08T00:00:00"/>
    <n v="1"/>
    <n v="794"/>
    <n v="0.73"/>
    <s v="Normal"/>
    <n v="2022"/>
    <s v="September"/>
  </r>
  <r>
    <n v="1348"/>
    <n v="213"/>
    <x v="3"/>
    <x v="0"/>
    <x v="2"/>
    <d v="2022-01-22T00:00:00"/>
    <x v="479"/>
    <n v="4967.93"/>
    <n v="5845"/>
    <n v="-6821"/>
    <x v="1"/>
    <n v="12"/>
    <x v="1"/>
    <d v="2023-02-04T00:00:00"/>
    <n v="0"/>
    <n v="795"/>
    <n v="-1.37"/>
    <s v="Outlier"/>
    <n v="2023"/>
    <s v="February"/>
  </r>
  <r>
    <n v="1349"/>
    <n v="425"/>
    <x v="1"/>
    <x v="0"/>
    <x v="1"/>
    <d v="2022-05-26T00:00:00"/>
    <x v="209"/>
    <n v="5007"/>
    <n v="496"/>
    <n v="4511"/>
    <x v="1"/>
    <n v="11"/>
    <x v="1"/>
    <d v="2023-05-23T00:00:00"/>
    <n v="0"/>
    <n v="796"/>
    <n v="0.9"/>
    <s v="Normal"/>
    <n v="2023"/>
    <s v="May"/>
  </r>
  <r>
    <n v="1350"/>
    <n v="473"/>
    <x v="2"/>
    <x v="3"/>
    <x v="2"/>
    <d v="2022-05-31T00:00:00"/>
    <x v="269"/>
    <n v="4967.93"/>
    <n v="7094"/>
    <n v="-8611"/>
    <x v="2"/>
    <n v="14"/>
    <x v="1"/>
    <d v="2023-08-02T00:00:00"/>
    <n v="0"/>
    <n v="797"/>
    <n v="-1.73"/>
    <s v="Outlier"/>
    <n v="2023"/>
    <s v="August"/>
  </r>
  <r>
    <n v="1352"/>
    <n v="407"/>
    <x v="0"/>
    <x v="2"/>
    <x v="2"/>
    <d v="2022-07-31T00:00:00"/>
    <x v="42"/>
    <n v="531"/>
    <n v="6076"/>
    <n v="577.01"/>
    <x v="1"/>
    <n v="7"/>
    <x v="1"/>
    <d v="2023-03-05T00:00:00"/>
    <n v="1"/>
    <n v="798"/>
    <n v="1.0900000000000001"/>
    <s v="Outlier"/>
    <n v="2023"/>
    <s v="March"/>
  </r>
  <r>
    <n v="1353"/>
    <n v="378"/>
    <x v="4"/>
    <x v="0"/>
    <x v="2"/>
    <d v="2022-01-12T00:00:00"/>
    <x v="178"/>
    <n v="4116"/>
    <n v="3401"/>
    <n v="715"/>
    <x v="1"/>
    <n v="7"/>
    <x v="1"/>
    <d v="2022-08-12T00:00:00"/>
    <n v="1"/>
    <n v="799"/>
    <n v="0.17"/>
    <s v="Normal"/>
    <n v="2022"/>
    <s v="August"/>
  </r>
  <r>
    <n v="1354"/>
    <n v="170"/>
    <x v="4"/>
    <x v="0"/>
    <x v="0"/>
    <d v="2022-04-12T00:00:00"/>
    <x v="217"/>
    <n v="5624"/>
    <n v="6725"/>
    <n v="-1101"/>
    <x v="0"/>
    <n v="13"/>
    <x v="1"/>
    <d v="2023-05-17T00:00:00"/>
    <n v="0"/>
    <n v="800"/>
    <n v="-0.2"/>
    <s v="Normal"/>
    <n v="2023"/>
    <s v="May"/>
  </r>
  <r>
    <n v="1355"/>
    <n v="249"/>
    <x v="2"/>
    <x v="0"/>
    <x v="2"/>
    <d v="2022-10-09T00:00:00"/>
    <x v="480"/>
    <n v="8273"/>
    <n v="5441"/>
    <n v="2832"/>
    <x v="1"/>
    <n v="15"/>
    <x v="1"/>
    <d v="2024-01-13T00:00:00"/>
    <n v="0"/>
    <n v="801"/>
    <n v="0.34"/>
    <s v="Normal"/>
    <n v="2024"/>
    <s v="January"/>
  </r>
  <r>
    <n v="1356"/>
    <n v="262"/>
    <x v="4"/>
    <x v="2"/>
    <x v="2"/>
    <d v="2022-12-19T00:00:00"/>
    <x v="481"/>
    <n v="1079"/>
    <n v="1487"/>
    <n v="-408"/>
    <x v="2"/>
    <n v="15"/>
    <x v="1"/>
    <d v="2024-04-15T00:00:00"/>
    <n v="1"/>
    <n v="802"/>
    <n v="-0.38"/>
    <s v="Normal"/>
    <n v="2024"/>
    <s v="April"/>
  </r>
  <r>
    <n v="1358"/>
    <n v="391"/>
    <x v="1"/>
    <x v="1"/>
    <x v="0"/>
    <d v="2022-11-09T00:00:00"/>
    <x v="482"/>
    <n v="7485"/>
    <n v="6895"/>
    <n v="590"/>
    <x v="1"/>
    <n v="5"/>
    <x v="0"/>
    <d v="2023-05-01T00:00:00"/>
    <n v="0"/>
    <n v="803"/>
    <n v="0.08"/>
    <s v="Normal"/>
    <n v="2023"/>
    <s v="May"/>
  </r>
  <r>
    <n v="1359"/>
    <n v="209"/>
    <x v="4"/>
    <x v="0"/>
    <x v="2"/>
    <d v="2022-02-06T00:00:00"/>
    <x v="301"/>
    <n v="6408"/>
    <n v="1970"/>
    <n v="4438"/>
    <x v="1"/>
    <n v="18"/>
    <x v="1"/>
    <d v="2023-08-31T00:00:00"/>
    <n v="1"/>
    <n v="804"/>
    <n v="0.69"/>
    <s v="Normal"/>
    <n v="2023"/>
    <s v="August"/>
  </r>
  <r>
    <n v="1360"/>
    <n v="447"/>
    <x v="0"/>
    <x v="0"/>
    <x v="1"/>
    <d v="2022-03-25T00:00:00"/>
    <x v="22"/>
    <n v="7832"/>
    <n v="348"/>
    <n v="7484"/>
    <x v="0"/>
    <n v="11"/>
    <x v="1"/>
    <d v="2023-03-19T00:00:00"/>
    <n v="1"/>
    <n v="805"/>
    <n v="0.96"/>
    <s v="Normal"/>
    <n v="2023"/>
    <s v="March"/>
  </r>
  <r>
    <n v="1361"/>
    <n v="219"/>
    <x v="1"/>
    <x v="2"/>
    <x v="0"/>
    <d v="2022-10-06T00:00:00"/>
    <x v="89"/>
    <n v="4967.93"/>
    <n v="4321"/>
    <n v="-4365"/>
    <x v="1"/>
    <n v="5"/>
    <x v="0"/>
    <d v="2023-03-12T00:00:00"/>
    <n v="1"/>
    <n v="806"/>
    <n v="-0.88"/>
    <s v="Normal"/>
    <n v="2023"/>
    <s v="March"/>
  </r>
  <r>
    <n v="1362"/>
    <n v="416"/>
    <x v="0"/>
    <x v="3"/>
    <x v="2"/>
    <d v="2022-09-26T00:00:00"/>
    <x v="483"/>
    <n v="952"/>
    <n v="3344"/>
    <n v="-2392"/>
    <x v="2"/>
    <n v="16"/>
    <x v="1"/>
    <d v="2024-02-19T00:00:00"/>
    <n v="0"/>
    <n v="807"/>
    <n v="-2.5099999999999998"/>
    <s v="Outlier"/>
    <n v="2024"/>
    <s v="February"/>
  </r>
  <r>
    <n v="1363"/>
    <n v="407"/>
    <x v="1"/>
    <x v="0"/>
    <x v="2"/>
    <d v="2022-10-09T00:00:00"/>
    <x v="172"/>
    <n v="6632"/>
    <n v="4012.75"/>
    <n v="6877"/>
    <x v="1"/>
    <n v="4"/>
    <x v="0"/>
    <d v="2023-02-26T00:00:00"/>
    <n v="1"/>
    <n v="808"/>
    <n v="1.04"/>
    <s v="Outlier"/>
    <n v="2023"/>
    <s v="February"/>
  </r>
  <r>
    <n v="1364"/>
    <n v="110"/>
    <x v="2"/>
    <x v="1"/>
    <x v="0"/>
    <d v="2022-01-01T00:00:00"/>
    <x v="484"/>
    <n v="7954"/>
    <n v="2280"/>
    <n v="5674"/>
    <x v="0"/>
    <n v="1"/>
    <x v="0"/>
    <d v="2022-02-21T00:00:00"/>
    <n v="0"/>
    <n v="809"/>
    <n v="0.71"/>
    <s v="Normal"/>
    <n v="2022"/>
    <s v="February"/>
  </r>
  <r>
    <n v="1365"/>
    <n v="442"/>
    <x v="1"/>
    <x v="1"/>
    <x v="0"/>
    <d v="2022-07-13T00:00:00"/>
    <x v="485"/>
    <n v="3815"/>
    <n v="654"/>
    <n v="3161"/>
    <x v="0"/>
    <n v="4"/>
    <x v="0"/>
    <d v="2022-12-08T00:00:00"/>
    <n v="1"/>
    <n v="810"/>
    <n v="0.83"/>
    <s v="Normal"/>
    <n v="2022"/>
    <s v="December"/>
  </r>
  <r>
    <n v="1366"/>
    <n v="258"/>
    <x v="3"/>
    <x v="2"/>
    <x v="2"/>
    <d v="2022-04-03T00:00:00"/>
    <x v="486"/>
    <n v="4967.93"/>
    <n v="6524"/>
    <n v="-7925"/>
    <x v="2"/>
    <n v="2"/>
    <x v="0"/>
    <d v="2022-06-07T00:00:00"/>
    <n v="0"/>
    <n v="811"/>
    <n v="-1.6"/>
    <s v="Outlier"/>
    <n v="2022"/>
    <s v="June"/>
  </r>
  <r>
    <n v="1370"/>
    <n v="176"/>
    <x v="3"/>
    <x v="0"/>
    <x v="1"/>
    <d v="2022-02-19T00:00:00"/>
    <x v="269"/>
    <n v="3299"/>
    <n v="5433"/>
    <n v="-2134"/>
    <x v="0"/>
    <n v="17"/>
    <x v="1"/>
    <d v="2023-08-02T00:00:00"/>
    <n v="1"/>
    <n v="812"/>
    <n v="-0.65"/>
    <s v="Normal"/>
    <n v="2023"/>
    <s v="August"/>
  </r>
  <r>
    <n v="1372"/>
    <n v="115"/>
    <x v="2"/>
    <x v="1"/>
    <x v="0"/>
    <d v="2022-07-10T00:00:00"/>
    <x v="230"/>
    <n v="4967.93"/>
    <n v="3751"/>
    <n v="-4323"/>
    <x v="1"/>
    <n v="5"/>
    <x v="0"/>
    <d v="2023-01-07T00:00:00"/>
    <n v="0"/>
    <n v="813"/>
    <n v="-0.87"/>
    <s v="Normal"/>
    <n v="2023"/>
    <s v="January"/>
  </r>
  <r>
    <n v="1373"/>
    <n v="101"/>
    <x v="0"/>
    <x v="0"/>
    <x v="1"/>
    <d v="2022-08-02T00:00:00"/>
    <x v="487"/>
    <n v="2913"/>
    <n v="7314"/>
    <n v="-4401"/>
    <x v="2"/>
    <n v="16"/>
    <x v="1"/>
    <d v="2023-12-14T00:00:00"/>
    <n v="0"/>
    <n v="814"/>
    <n v="-1.51"/>
    <s v="Outlier"/>
    <n v="2023"/>
    <s v="December"/>
  </r>
  <r>
    <n v="1374"/>
    <n v="249"/>
    <x v="2"/>
    <x v="0"/>
    <x v="2"/>
    <d v="2022-04-17T00:00:00"/>
    <x v="488"/>
    <n v="8259"/>
    <n v="119"/>
    <n v="8140"/>
    <x v="2"/>
    <n v="3"/>
    <x v="0"/>
    <d v="2022-08-02T00:00:00"/>
    <n v="0"/>
    <n v="815"/>
    <n v="0.99"/>
    <s v="Normal"/>
    <n v="2022"/>
    <s v="August"/>
  </r>
  <r>
    <n v="1375"/>
    <n v="485"/>
    <x v="3"/>
    <x v="3"/>
    <x v="2"/>
    <d v="2022-03-08T00:00:00"/>
    <x v="328"/>
    <n v="6288"/>
    <n v="2020"/>
    <n v="4268"/>
    <x v="1"/>
    <n v="15"/>
    <x v="1"/>
    <d v="2023-07-07T00:00:00"/>
    <n v="1"/>
    <n v="816"/>
    <n v="0.68"/>
    <s v="Normal"/>
    <n v="2023"/>
    <s v="July"/>
  </r>
  <r>
    <n v="1377"/>
    <n v="426"/>
    <x v="2"/>
    <x v="1"/>
    <x v="2"/>
    <d v="2022-04-06T00:00:00"/>
    <x v="146"/>
    <n v="8836"/>
    <n v="2297"/>
    <n v="6539"/>
    <x v="2"/>
    <n v="18"/>
    <x v="1"/>
    <d v="2023-10-08T00:00:00"/>
    <n v="1"/>
    <n v="817"/>
    <n v="0.74"/>
    <s v="Normal"/>
    <n v="2023"/>
    <s v="October"/>
  </r>
  <r>
    <n v="1378"/>
    <n v="347"/>
    <x v="4"/>
    <x v="2"/>
    <x v="2"/>
    <d v="2022-08-30T00:00:00"/>
    <x v="489"/>
    <n v="7775"/>
    <n v="3040"/>
    <n v="4735"/>
    <x v="2"/>
    <n v="18"/>
    <x v="1"/>
    <d v="2024-03-23T00:00:00"/>
    <n v="1"/>
    <n v="818"/>
    <n v="0.61"/>
    <s v="Normal"/>
    <n v="2024"/>
    <s v="March"/>
  </r>
  <r>
    <n v="1379"/>
    <n v="255"/>
    <x v="2"/>
    <x v="1"/>
    <x v="0"/>
    <d v="2022-12-17T00:00:00"/>
    <x v="490"/>
    <n v="5141"/>
    <n v="3051"/>
    <n v="2090"/>
    <x v="0"/>
    <n v="19"/>
    <x v="1"/>
    <d v="2024-08-08T00:00:00"/>
    <n v="0"/>
    <n v="819"/>
    <n v="0.41"/>
    <s v="Normal"/>
    <n v="2024"/>
    <s v="August"/>
  </r>
  <r>
    <n v="1380"/>
    <n v="469"/>
    <x v="1"/>
    <x v="0"/>
    <x v="1"/>
    <d v="2022-07-27T00:00:00"/>
    <x v="283"/>
    <n v="5862"/>
    <n v="2331"/>
    <n v="3531"/>
    <x v="2"/>
    <n v="8"/>
    <x v="1"/>
    <d v="2023-04-12T00:00:00"/>
    <n v="1"/>
    <n v="820"/>
    <n v="0.6"/>
    <s v="Normal"/>
    <n v="2023"/>
    <s v="April"/>
  </r>
  <r>
    <n v="1381"/>
    <n v="381"/>
    <x v="3"/>
    <x v="0"/>
    <x v="0"/>
    <d v="2022-07-28T00:00:00"/>
    <x v="491"/>
    <n v="2369"/>
    <n v="5604"/>
    <n v="-3235"/>
    <x v="1"/>
    <n v="16"/>
    <x v="1"/>
    <d v="2023-12-08T00:00:00"/>
    <n v="1"/>
    <n v="821"/>
    <n v="-1.37"/>
    <s v="Outlier"/>
    <n v="2023"/>
    <s v="December"/>
  </r>
  <r>
    <n v="1382"/>
    <n v="124"/>
    <x v="1"/>
    <x v="3"/>
    <x v="2"/>
    <d v="2022-06-08T00:00:00"/>
    <x v="480"/>
    <n v="3"/>
    <n v="2117"/>
    <n v="-2114"/>
    <x v="0"/>
    <n v="19"/>
    <x v="1"/>
    <d v="2024-01-13T00:00:00"/>
    <n v="1"/>
    <n v="822"/>
    <n v="-704.67"/>
    <s v="Outlier"/>
    <n v="2024"/>
    <s v="January"/>
  </r>
  <r>
    <n v="1383"/>
    <n v="376"/>
    <x v="4"/>
    <x v="3"/>
    <x v="2"/>
    <d v="2022-10-02T00:00:00"/>
    <x v="401"/>
    <n v="8945"/>
    <n v="1424"/>
    <n v="7521"/>
    <x v="1"/>
    <n v="13"/>
    <x v="1"/>
    <d v="2023-11-11T00:00:00"/>
    <n v="0"/>
    <n v="823"/>
    <n v="0.84"/>
    <s v="Normal"/>
    <n v="2023"/>
    <s v="November"/>
  </r>
  <r>
    <n v="1387"/>
    <n v="444"/>
    <x v="3"/>
    <x v="0"/>
    <x v="0"/>
    <d v="2022-10-20T00:00:00"/>
    <x v="492"/>
    <n v="4967.93"/>
    <n v="7947"/>
    <n v="577.01"/>
    <x v="1"/>
    <n v="7"/>
    <x v="1"/>
    <d v="2023-06-04T00:00:00"/>
    <n v="1"/>
    <n v="824"/>
    <n v="0.12"/>
    <s v="Normal"/>
    <n v="2023"/>
    <s v="June"/>
  </r>
  <r>
    <n v="1389"/>
    <n v="386"/>
    <x v="4"/>
    <x v="3"/>
    <x v="0"/>
    <d v="2022-08-19T00:00:00"/>
    <x v="493"/>
    <n v="1043"/>
    <n v="6363"/>
    <n v="-5320"/>
    <x v="1"/>
    <n v="5"/>
    <x v="0"/>
    <d v="2023-02-16T00:00:00"/>
    <n v="1"/>
    <n v="825"/>
    <n v="-5.0999999999999996"/>
    <s v="Outlier"/>
    <n v="2023"/>
    <s v="February"/>
  </r>
  <r>
    <n v="1390"/>
    <n v="442"/>
    <x v="0"/>
    <x v="2"/>
    <x v="0"/>
    <d v="2022-02-02T00:00:00"/>
    <x v="190"/>
    <n v="4967.93"/>
    <n v="730"/>
    <n v="-1369"/>
    <x v="0"/>
    <n v="6"/>
    <x v="2"/>
    <d v="2022-08-11T00:00:00"/>
    <n v="0"/>
    <n v="826"/>
    <n v="-0.28000000000000003"/>
    <s v="Normal"/>
    <n v="2022"/>
    <s v="August"/>
  </r>
  <r>
    <n v="1391"/>
    <n v="136"/>
    <x v="2"/>
    <x v="0"/>
    <x v="2"/>
    <d v="2022-11-04T00:00:00"/>
    <x v="494"/>
    <n v="4967.93"/>
    <n v="6595"/>
    <n v="-7505"/>
    <x v="1"/>
    <n v="7"/>
    <x v="1"/>
    <d v="2023-06-09T00:00:00"/>
    <n v="0"/>
    <n v="827"/>
    <n v="-1.51"/>
    <s v="Outlier"/>
    <n v="2023"/>
    <s v="June"/>
  </r>
  <r>
    <n v="1392"/>
    <n v="134"/>
    <x v="4"/>
    <x v="3"/>
    <x v="1"/>
    <d v="2022-04-10T00:00:00"/>
    <x v="219"/>
    <n v="1821"/>
    <n v="1520"/>
    <n v="301"/>
    <x v="2"/>
    <n v="9"/>
    <x v="1"/>
    <d v="2023-02-05T00:00:00"/>
    <n v="1"/>
    <n v="828"/>
    <n v="0.17"/>
    <s v="Normal"/>
    <n v="2023"/>
    <s v="February"/>
  </r>
  <r>
    <n v="1393"/>
    <n v="309"/>
    <x v="2"/>
    <x v="3"/>
    <x v="2"/>
    <d v="2022-08-28T00:00:00"/>
    <x v="333"/>
    <n v="3396"/>
    <n v="4423"/>
    <n v="-1027"/>
    <x v="1"/>
    <n v="17"/>
    <x v="1"/>
    <d v="2024-02-27T00:00:00"/>
    <n v="0"/>
    <n v="829"/>
    <n v="-0.3"/>
    <s v="Normal"/>
    <n v="2024"/>
    <s v="February"/>
  </r>
  <r>
    <n v="1395"/>
    <n v="354"/>
    <x v="4"/>
    <x v="0"/>
    <x v="1"/>
    <d v="2022-11-04T00:00:00"/>
    <x v="495"/>
    <n v="259"/>
    <n v="4012.75"/>
    <n v="967"/>
    <x v="1"/>
    <n v="13"/>
    <x v="1"/>
    <d v="2023-12-04T00:00:00"/>
    <n v="1"/>
    <n v="830"/>
    <n v="3.73"/>
    <s v="Outlier"/>
    <n v="2023"/>
    <s v="December"/>
  </r>
  <r>
    <n v="1396"/>
    <n v="237"/>
    <x v="3"/>
    <x v="0"/>
    <x v="2"/>
    <d v="2022-10-24T00:00:00"/>
    <x v="351"/>
    <n v="3045"/>
    <n v="218"/>
    <n v="2827"/>
    <x v="0"/>
    <n v="4"/>
    <x v="0"/>
    <d v="2023-03-16T00:00:00"/>
    <n v="0"/>
    <n v="831"/>
    <n v="0.93"/>
    <s v="Normal"/>
    <n v="2023"/>
    <s v="March"/>
  </r>
  <r>
    <n v="1399"/>
    <n v="113"/>
    <x v="4"/>
    <x v="2"/>
    <x v="1"/>
    <d v="2022-07-04T00:00:00"/>
    <x v="246"/>
    <n v="5081"/>
    <n v="1726"/>
    <n v="3355"/>
    <x v="1"/>
    <n v="3"/>
    <x v="0"/>
    <d v="2022-10-05T00:00:00"/>
    <n v="0"/>
    <n v="832"/>
    <n v="0.66"/>
    <s v="Normal"/>
    <n v="2022"/>
    <s v="October"/>
  </r>
  <r>
    <n v="1401"/>
    <n v="167"/>
    <x v="0"/>
    <x v="0"/>
    <x v="0"/>
    <d v="2022-04-18T00:00:00"/>
    <x v="496"/>
    <n v="3563"/>
    <n v="2649"/>
    <n v="914"/>
    <x v="1"/>
    <n v="3"/>
    <x v="0"/>
    <d v="2022-08-06T00:00:00"/>
    <n v="1"/>
    <n v="833"/>
    <n v="0.26"/>
    <s v="Normal"/>
    <n v="2022"/>
    <s v="August"/>
  </r>
  <r>
    <n v="1402"/>
    <n v="449"/>
    <x v="2"/>
    <x v="1"/>
    <x v="1"/>
    <d v="2022-01-31T00:00:00"/>
    <x v="497"/>
    <n v="4967.93"/>
    <n v="1787"/>
    <n v="-2414"/>
    <x v="0"/>
    <n v="5"/>
    <x v="0"/>
    <d v="2022-07-01T00:00:00"/>
    <n v="1"/>
    <n v="834"/>
    <n v="-0.49"/>
    <s v="Normal"/>
    <n v="2022"/>
    <s v="July"/>
  </r>
  <r>
    <n v="1409"/>
    <n v="486"/>
    <x v="0"/>
    <x v="3"/>
    <x v="0"/>
    <d v="2022-04-25T00:00:00"/>
    <x v="16"/>
    <n v="2982"/>
    <n v="4012.75"/>
    <n v="577.01"/>
    <x v="1"/>
    <n v="6"/>
    <x v="2"/>
    <d v="2022-11-03T00:00:00"/>
    <n v="0"/>
    <n v="835"/>
    <n v="0.19"/>
    <s v="Normal"/>
    <n v="2022"/>
    <s v="November"/>
  </r>
  <r>
    <n v="1412"/>
    <n v="118"/>
    <x v="4"/>
    <x v="2"/>
    <x v="2"/>
    <d v="2022-11-08T00:00:00"/>
    <x v="196"/>
    <n v="4967.93"/>
    <n v="7804"/>
    <n v="-8150"/>
    <x v="1"/>
    <n v="10"/>
    <x v="1"/>
    <d v="2023-09-20T00:00:00"/>
    <n v="0"/>
    <n v="836"/>
    <n v="-1.64"/>
    <s v="Outlier"/>
    <n v="2023"/>
    <s v="September"/>
  </r>
  <r>
    <n v="1414"/>
    <n v="293"/>
    <x v="3"/>
    <x v="2"/>
    <x v="0"/>
    <d v="2022-09-20T00:00:00"/>
    <x v="277"/>
    <n v="426"/>
    <n v="1831"/>
    <n v="577.01"/>
    <x v="0"/>
    <n v="12"/>
    <x v="1"/>
    <d v="2023-10-09T00:00:00"/>
    <n v="0"/>
    <n v="837"/>
    <n v="1.35"/>
    <s v="Outlier"/>
    <n v="2023"/>
    <s v="October"/>
  </r>
  <r>
    <n v="1416"/>
    <n v="321"/>
    <x v="1"/>
    <x v="2"/>
    <x v="2"/>
    <d v="2022-11-28T00:00:00"/>
    <x v="498"/>
    <n v="2843"/>
    <n v="2549"/>
    <n v="577.01"/>
    <x v="0"/>
    <n v="19"/>
    <x v="1"/>
    <d v="2024-07-05T00:00:00"/>
    <n v="0"/>
    <n v="838"/>
    <n v="0.2"/>
    <s v="Normal"/>
    <n v="2024"/>
    <s v="July"/>
  </r>
  <r>
    <n v="1417"/>
    <n v="420"/>
    <x v="0"/>
    <x v="2"/>
    <x v="2"/>
    <d v="2022-10-15T00:00:00"/>
    <x v="150"/>
    <n v="1151"/>
    <n v="7158"/>
    <n v="-6007"/>
    <x v="2"/>
    <n v="13"/>
    <x v="1"/>
    <d v="2023-11-24T00:00:00"/>
    <n v="1"/>
    <n v="839"/>
    <n v="-5.22"/>
    <s v="Outlier"/>
    <n v="2023"/>
    <s v="November"/>
  </r>
  <r>
    <n v="1418"/>
    <n v="486"/>
    <x v="1"/>
    <x v="3"/>
    <x v="2"/>
    <d v="2022-12-20T00:00:00"/>
    <x v="25"/>
    <n v="8071"/>
    <n v="4864"/>
    <n v="3207"/>
    <x v="1"/>
    <n v="16"/>
    <x v="1"/>
    <d v="2024-04-28T00:00:00"/>
    <n v="1"/>
    <n v="840"/>
    <n v="0.4"/>
    <s v="Normal"/>
    <n v="2024"/>
    <s v="April"/>
  </r>
  <r>
    <n v="1420"/>
    <n v="296"/>
    <x v="2"/>
    <x v="1"/>
    <x v="0"/>
    <d v="2022-10-17T00:00:00"/>
    <x v="219"/>
    <n v="8193"/>
    <n v="4012.75"/>
    <n v="577.01"/>
    <x v="2"/>
    <n v="3"/>
    <x v="0"/>
    <d v="2023-02-05T00:00:00"/>
    <n v="1"/>
    <n v="841"/>
    <n v="7.0000000000000007E-2"/>
    <s v="Normal"/>
    <n v="2023"/>
    <s v="February"/>
  </r>
  <r>
    <n v="1421"/>
    <n v="137"/>
    <x v="3"/>
    <x v="3"/>
    <x v="0"/>
    <d v="2022-02-26T00:00:00"/>
    <x v="499"/>
    <n v="8211"/>
    <n v="1762"/>
    <n v="6449"/>
    <x v="0"/>
    <n v="7"/>
    <x v="1"/>
    <d v="2022-10-20T00:00:00"/>
    <n v="0"/>
    <n v="842"/>
    <n v="0.79"/>
    <s v="Normal"/>
    <n v="2022"/>
    <s v="October"/>
  </r>
  <r>
    <n v="1424"/>
    <n v="345"/>
    <x v="1"/>
    <x v="0"/>
    <x v="0"/>
    <d v="2022-05-20T00:00:00"/>
    <x v="293"/>
    <n v="2752"/>
    <n v="5576"/>
    <n v="-2824"/>
    <x v="0"/>
    <n v="1"/>
    <x v="0"/>
    <d v="2022-07-17T00:00:00"/>
    <n v="1"/>
    <n v="843"/>
    <n v="-1.03"/>
    <s v="Outlier"/>
    <n v="2022"/>
    <s v="July"/>
  </r>
  <r>
    <n v="1425"/>
    <n v="113"/>
    <x v="1"/>
    <x v="0"/>
    <x v="2"/>
    <d v="2022-09-25T00:00:00"/>
    <x v="433"/>
    <n v="1693"/>
    <n v="5186"/>
    <n v="-3493"/>
    <x v="2"/>
    <n v="5"/>
    <x v="0"/>
    <d v="2023-03-11T00:00:00"/>
    <n v="0"/>
    <n v="844"/>
    <n v="-2.06"/>
    <s v="Outlier"/>
    <n v="2023"/>
    <s v="March"/>
  </r>
  <r>
    <n v="1427"/>
    <n v="452"/>
    <x v="3"/>
    <x v="2"/>
    <x v="0"/>
    <d v="2022-12-26T00:00:00"/>
    <x v="450"/>
    <n v="3404"/>
    <n v="3034"/>
    <n v="370"/>
    <x v="2"/>
    <n v="3"/>
    <x v="0"/>
    <d v="2023-03-26T00:00:00"/>
    <n v="0"/>
    <n v="845"/>
    <n v="0.11"/>
    <s v="Normal"/>
    <n v="2023"/>
    <s v="March"/>
  </r>
  <r>
    <n v="1428"/>
    <n v="272"/>
    <x v="0"/>
    <x v="0"/>
    <x v="0"/>
    <d v="2022-03-15T00:00:00"/>
    <x v="470"/>
    <n v="6100"/>
    <n v="6484"/>
    <n v="-384"/>
    <x v="0"/>
    <n v="2"/>
    <x v="0"/>
    <d v="2022-05-26T00:00:00"/>
    <n v="1"/>
    <n v="846"/>
    <n v="-0.06"/>
    <s v="Normal"/>
    <n v="2022"/>
    <s v="May"/>
  </r>
  <r>
    <n v="1429"/>
    <n v="299"/>
    <x v="4"/>
    <x v="0"/>
    <x v="0"/>
    <d v="2022-05-22T00:00:00"/>
    <x v="325"/>
    <n v="7521"/>
    <n v="1849"/>
    <n v="5672"/>
    <x v="2"/>
    <n v="2"/>
    <x v="0"/>
    <d v="2022-08-08T00:00:00"/>
    <n v="1"/>
    <n v="847"/>
    <n v="0.75"/>
    <s v="Normal"/>
    <n v="2022"/>
    <s v="August"/>
  </r>
  <r>
    <n v="1431"/>
    <n v="429"/>
    <x v="4"/>
    <x v="1"/>
    <x v="1"/>
    <d v="2022-03-06T00:00:00"/>
    <x v="263"/>
    <n v="6331"/>
    <n v="1315"/>
    <n v="5016"/>
    <x v="1"/>
    <n v="3"/>
    <x v="0"/>
    <d v="2022-06-12T00:00:00"/>
    <n v="0"/>
    <n v="848"/>
    <n v="0.79"/>
    <s v="Normal"/>
    <n v="2022"/>
    <s v="June"/>
  </r>
  <r>
    <n v="1432"/>
    <n v="465"/>
    <x v="2"/>
    <x v="2"/>
    <x v="2"/>
    <d v="2022-09-03T00:00:00"/>
    <x v="313"/>
    <n v="7428"/>
    <n v="971"/>
    <n v="6457"/>
    <x v="0"/>
    <n v="9"/>
    <x v="1"/>
    <d v="2023-06-23T00:00:00"/>
    <n v="1"/>
    <n v="849"/>
    <n v="0.87"/>
    <s v="Normal"/>
    <n v="2023"/>
    <s v="June"/>
  </r>
  <r>
    <n v="1434"/>
    <n v="244"/>
    <x v="0"/>
    <x v="3"/>
    <x v="0"/>
    <d v="2022-12-26T00:00:00"/>
    <x v="305"/>
    <n v="3709"/>
    <n v="6091"/>
    <n v="-2382"/>
    <x v="2"/>
    <n v="1"/>
    <x v="0"/>
    <d v="2023-02-11T00:00:00"/>
    <n v="1"/>
    <n v="850"/>
    <n v="-0.64"/>
    <s v="Normal"/>
    <n v="2023"/>
    <s v="February"/>
  </r>
  <r>
    <n v="1436"/>
    <n v="326"/>
    <x v="3"/>
    <x v="3"/>
    <x v="1"/>
    <d v="2022-02-20T00:00:00"/>
    <x v="4"/>
    <n v="8679"/>
    <n v="7882"/>
    <n v="797"/>
    <x v="2"/>
    <n v="13"/>
    <x v="1"/>
    <d v="2023-04-05T00:00:00"/>
    <n v="0"/>
    <n v="851"/>
    <n v="0.09"/>
    <s v="Normal"/>
    <n v="2023"/>
    <s v="April"/>
  </r>
  <r>
    <n v="1437"/>
    <n v="331"/>
    <x v="1"/>
    <x v="0"/>
    <x v="2"/>
    <d v="2022-05-28T00:00:00"/>
    <x v="225"/>
    <n v="194"/>
    <n v="260"/>
    <n v="-66"/>
    <x v="0"/>
    <n v="16"/>
    <x v="1"/>
    <d v="2023-10-26T00:00:00"/>
    <n v="0"/>
    <n v="852"/>
    <n v="-0.34"/>
    <s v="Normal"/>
    <n v="2023"/>
    <s v="October"/>
  </r>
  <r>
    <n v="1438"/>
    <n v="401"/>
    <x v="2"/>
    <x v="3"/>
    <x v="1"/>
    <d v="2022-02-01T00:00:00"/>
    <x v="428"/>
    <n v="6308"/>
    <n v="221"/>
    <n v="6087"/>
    <x v="1"/>
    <n v="14"/>
    <x v="1"/>
    <d v="2023-04-15T00:00:00"/>
    <n v="1"/>
    <n v="853"/>
    <n v="0.96"/>
    <s v="Normal"/>
    <n v="2023"/>
    <s v="April"/>
  </r>
  <r>
    <n v="1439"/>
    <n v="362"/>
    <x v="1"/>
    <x v="1"/>
    <x v="0"/>
    <d v="2022-06-04T00:00:00"/>
    <x v="500"/>
    <n v="4784"/>
    <n v="4012.75"/>
    <n v="5418"/>
    <x v="1"/>
    <n v="10"/>
    <x v="1"/>
    <d v="2023-04-18T00:00:00"/>
    <n v="0"/>
    <n v="854"/>
    <n v="1.1299999999999999"/>
    <s v="Outlier"/>
    <n v="2023"/>
    <s v="April"/>
  </r>
  <r>
    <n v="1440"/>
    <n v="429"/>
    <x v="0"/>
    <x v="0"/>
    <x v="1"/>
    <d v="2022-11-27T00:00:00"/>
    <x v="379"/>
    <n v="5766"/>
    <n v="7618"/>
    <n v="-1852"/>
    <x v="0"/>
    <n v="6"/>
    <x v="2"/>
    <d v="2023-06-21T00:00:00"/>
    <n v="0"/>
    <n v="855"/>
    <n v="-0.32"/>
    <s v="Normal"/>
    <n v="2023"/>
    <s v="June"/>
  </r>
  <r>
    <n v="1441"/>
    <n v="177"/>
    <x v="2"/>
    <x v="2"/>
    <x v="1"/>
    <d v="2022-06-14T00:00:00"/>
    <x v="56"/>
    <n v="4967.93"/>
    <n v="6672"/>
    <n v="-7518"/>
    <x v="1"/>
    <n v="15"/>
    <x v="1"/>
    <d v="2023-10-02T00:00:00"/>
    <n v="0"/>
    <n v="856"/>
    <n v="-1.51"/>
    <s v="Outlier"/>
    <n v="2023"/>
    <s v="October"/>
  </r>
  <r>
    <n v="1442"/>
    <n v="248"/>
    <x v="1"/>
    <x v="0"/>
    <x v="0"/>
    <d v="2022-09-18T00:00:00"/>
    <x v="248"/>
    <n v="6609"/>
    <n v="1480"/>
    <n v="5129"/>
    <x v="0"/>
    <n v="14"/>
    <x v="1"/>
    <d v="2023-11-23T00:00:00"/>
    <n v="0"/>
    <n v="857"/>
    <n v="0.78"/>
    <s v="Normal"/>
    <n v="2023"/>
    <s v="November"/>
  </r>
  <r>
    <n v="1444"/>
    <n v="268"/>
    <x v="2"/>
    <x v="3"/>
    <x v="0"/>
    <d v="2022-02-09T00:00:00"/>
    <x v="501"/>
    <n v="9570"/>
    <n v="594"/>
    <n v="8976"/>
    <x v="2"/>
    <n v="4"/>
    <x v="0"/>
    <d v="2022-06-21T00:00:00"/>
    <n v="0"/>
    <n v="858"/>
    <n v="0.94"/>
    <s v="Normal"/>
    <n v="2022"/>
    <s v="June"/>
  </r>
  <r>
    <n v="1445"/>
    <n v="105"/>
    <x v="3"/>
    <x v="2"/>
    <x v="1"/>
    <d v="2022-08-11T00:00:00"/>
    <x v="68"/>
    <n v="8478"/>
    <n v="6457"/>
    <n v="2021"/>
    <x v="2"/>
    <n v="12"/>
    <x v="1"/>
    <d v="2023-09-10T00:00:00"/>
    <n v="1"/>
    <n v="859"/>
    <n v="0.24"/>
    <s v="Normal"/>
    <n v="2023"/>
    <s v="September"/>
  </r>
  <r>
    <n v="1448"/>
    <n v="455"/>
    <x v="1"/>
    <x v="3"/>
    <x v="1"/>
    <d v="2022-04-17T00:00:00"/>
    <x v="209"/>
    <n v="7566"/>
    <n v="4012.75"/>
    <n v="8240"/>
    <x v="2"/>
    <n v="13"/>
    <x v="1"/>
    <d v="2023-05-23T00:00:00"/>
    <n v="0"/>
    <n v="860"/>
    <n v="1.0900000000000001"/>
    <s v="Outlier"/>
    <n v="2023"/>
    <s v="May"/>
  </r>
  <r>
    <n v="1450"/>
    <n v="471"/>
    <x v="2"/>
    <x v="1"/>
    <x v="2"/>
    <d v="2022-01-04T00:00:00"/>
    <x v="502"/>
    <n v="6263"/>
    <n v="2453"/>
    <n v="3810"/>
    <x v="1"/>
    <n v="4"/>
    <x v="0"/>
    <d v="2022-05-20T00:00:00"/>
    <n v="1"/>
    <n v="861"/>
    <n v="0.61"/>
    <s v="Normal"/>
    <n v="2022"/>
    <s v="May"/>
  </r>
  <r>
    <n v="1451"/>
    <n v="314"/>
    <x v="3"/>
    <x v="0"/>
    <x v="1"/>
    <d v="2022-07-26T00:00:00"/>
    <x v="215"/>
    <n v="9832"/>
    <n v="7114"/>
    <n v="577.01"/>
    <x v="0"/>
    <n v="12"/>
    <x v="1"/>
    <d v="2023-08-22T00:00:00"/>
    <n v="0"/>
    <n v="862"/>
    <n v="0.06"/>
    <s v="Normal"/>
    <n v="2023"/>
    <s v="August"/>
  </r>
  <r>
    <n v="1452"/>
    <n v="338"/>
    <x v="0"/>
    <x v="0"/>
    <x v="0"/>
    <d v="2022-09-18T00:00:00"/>
    <x v="503"/>
    <n v="9291"/>
    <n v="3857"/>
    <n v="5434"/>
    <x v="2"/>
    <n v="7"/>
    <x v="1"/>
    <d v="2023-05-07T00:00:00"/>
    <n v="0"/>
    <n v="863"/>
    <n v="0.57999999999999996"/>
    <s v="Normal"/>
    <n v="2023"/>
    <s v="May"/>
  </r>
  <r>
    <n v="1453"/>
    <n v="448"/>
    <x v="4"/>
    <x v="3"/>
    <x v="1"/>
    <d v="2022-06-02T00:00:00"/>
    <x v="348"/>
    <n v="3996"/>
    <n v="377"/>
    <n v="3619"/>
    <x v="1"/>
    <n v="12"/>
    <x v="1"/>
    <d v="2023-06-08T00:00:00"/>
    <n v="0"/>
    <n v="864"/>
    <n v="0.91"/>
    <s v="Normal"/>
    <n v="2023"/>
    <s v="June"/>
  </r>
  <r>
    <n v="1456"/>
    <n v="469"/>
    <x v="2"/>
    <x v="0"/>
    <x v="0"/>
    <d v="2022-12-25T00:00:00"/>
    <x v="504"/>
    <n v="9249"/>
    <n v="3781"/>
    <n v="5468"/>
    <x v="1"/>
    <n v="1"/>
    <x v="0"/>
    <d v="2023-02-18T00:00:00"/>
    <n v="0"/>
    <n v="865"/>
    <n v="0.59"/>
    <s v="Normal"/>
    <n v="2023"/>
    <s v="February"/>
  </r>
  <r>
    <n v="1459"/>
    <n v="403"/>
    <x v="2"/>
    <x v="0"/>
    <x v="2"/>
    <d v="2022-05-28T00:00:00"/>
    <x v="505"/>
    <n v="4967.93"/>
    <n v="6851"/>
    <n v="-8238"/>
    <x v="1"/>
    <n v="16"/>
    <x v="1"/>
    <d v="2023-10-01T00:00:00"/>
    <n v="1"/>
    <n v="866"/>
    <n v="-1.66"/>
    <s v="Outlier"/>
    <n v="2023"/>
    <s v="October"/>
  </r>
  <r>
    <n v="1461"/>
    <n v="373"/>
    <x v="3"/>
    <x v="1"/>
    <x v="1"/>
    <d v="2022-12-13T00:00:00"/>
    <x v="213"/>
    <n v="4967.93"/>
    <n v="1681"/>
    <n v="-3465"/>
    <x v="1"/>
    <n v="7"/>
    <x v="1"/>
    <d v="2023-07-19T00:00:00"/>
    <n v="1"/>
    <n v="867"/>
    <n v="-0.7"/>
    <s v="Normal"/>
    <n v="2023"/>
    <s v="July"/>
  </r>
  <r>
    <n v="1462"/>
    <n v="109"/>
    <x v="4"/>
    <x v="0"/>
    <x v="1"/>
    <d v="2022-03-15T00:00:00"/>
    <x v="506"/>
    <n v="1573"/>
    <n v="2316"/>
    <n v="-743"/>
    <x v="1"/>
    <n v="18"/>
    <x v="1"/>
    <d v="2023-10-13T00:00:00"/>
    <n v="1"/>
    <n v="868"/>
    <n v="-0.47"/>
    <s v="Normal"/>
    <n v="2023"/>
    <s v="October"/>
  </r>
  <r>
    <n v="1463"/>
    <n v="146"/>
    <x v="2"/>
    <x v="2"/>
    <x v="1"/>
    <d v="2022-02-14T00:00:00"/>
    <x v="507"/>
    <n v="8671"/>
    <n v="5187"/>
    <n v="3484"/>
    <x v="1"/>
    <n v="8"/>
    <x v="1"/>
    <d v="2022-10-19T00:00:00"/>
    <n v="1"/>
    <n v="869"/>
    <n v="0.4"/>
    <s v="Normal"/>
    <n v="2022"/>
    <s v="October"/>
  </r>
  <r>
    <n v="1464"/>
    <n v="146"/>
    <x v="3"/>
    <x v="3"/>
    <x v="2"/>
    <d v="2022-02-07T00:00:00"/>
    <x v="395"/>
    <n v="4967.93"/>
    <n v="7077"/>
    <n v="-7747"/>
    <x v="1"/>
    <n v="3"/>
    <x v="0"/>
    <d v="2022-05-31T00:00:00"/>
    <n v="0"/>
    <n v="870"/>
    <n v="-1.56"/>
    <s v="Outlier"/>
    <n v="2022"/>
    <s v="May"/>
  </r>
  <r>
    <n v="1465"/>
    <n v="111"/>
    <x v="0"/>
    <x v="0"/>
    <x v="2"/>
    <d v="2022-02-25T00:00:00"/>
    <x v="474"/>
    <n v="5273"/>
    <n v="1155"/>
    <n v="4118"/>
    <x v="1"/>
    <n v="12"/>
    <x v="1"/>
    <d v="2023-03-14T00:00:00"/>
    <n v="1"/>
    <n v="871"/>
    <n v="0.78"/>
    <s v="Normal"/>
    <n v="2023"/>
    <s v="March"/>
  </r>
  <r>
    <n v="1467"/>
    <n v="149"/>
    <x v="3"/>
    <x v="0"/>
    <x v="0"/>
    <d v="2022-12-25T00:00:00"/>
    <x v="44"/>
    <n v="6902"/>
    <n v="4012.75"/>
    <n v="7002"/>
    <x v="2"/>
    <n v="1"/>
    <x v="0"/>
    <d v="2023-02-08T00:00:00"/>
    <n v="1"/>
    <n v="872"/>
    <n v="1.01"/>
    <s v="Outlier"/>
    <n v="2023"/>
    <s v="February"/>
  </r>
  <r>
    <n v="1468"/>
    <n v="336"/>
    <x v="1"/>
    <x v="3"/>
    <x v="2"/>
    <d v="2022-05-27T00:00:00"/>
    <x v="400"/>
    <n v="1323"/>
    <n v="89"/>
    <n v="1234"/>
    <x v="0"/>
    <n v="3"/>
    <x v="0"/>
    <d v="2022-09-14T00:00:00"/>
    <n v="1"/>
    <n v="873"/>
    <n v="0.93"/>
    <s v="Normal"/>
    <n v="2022"/>
    <s v="September"/>
  </r>
  <r>
    <n v="1469"/>
    <n v="249"/>
    <x v="4"/>
    <x v="1"/>
    <x v="1"/>
    <d v="2022-11-28T00:00:00"/>
    <x v="482"/>
    <n v="5533"/>
    <n v="6453"/>
    <n v="-920"/>
    <x v="1"/>
    <n v="5"/>
    <x v="0"/>
    <d v="2023-05-01T00:00:00"/>
    <n v="0"/>
    <n v="874"/>
    <n v="-0.17"/>
    <s v="Normal"/>
    <n v="2023"/>
    <s v="May"/>
  </r>
  <r>
    <n v="1470"/>
    <n v="195"/>
    <x v="4"/>
    <x v="0"/>
    <x v="1"/>
    <d v="2022-10-15T00:00:00"/>
    <x v="437"/>
    <n v="1498"/>
    <n v="3491"/>
    <n v="577.01"/>
    <x v="1"/>
    <n v="15"/>
    <x v="1"/>
    <d v="2024-02-06T00:00:00"/>
    <n v="0"/>
    <n v="875"/>
    <n v="0.39"/>
    <s v="Normal"/>
    <n v="2024"/>
    <s v="February"/>
  </r>
  <r>
    <n v="1471"/>
    <n v="262"/>
    <x v="2"/>
    <x v="1"/>
    <x v="2"/>
    <d v="2022-01-28T00:00:00"/>
    <x v="508"/>
    <n v="8364"/>
    <n v="1877"/>
    <n v="6487"/>
    <x v="0"/>
    <n v="19"/>
    <x v="1"/>
    <d v="2023-08-30T00:00:00"/>
    <n v="1"/>
    <n v="876"/>
    <n v="0.78"/>
    <s v="Normal"/>
    <n v="2023"/>
    <s v="August"/>
  </r>
  <r>
    <n v="1472"/>
    <n v="406"/>
    <x v="4"/>
    <x v="1"/>
    <x v="1"/>
    <d v="2022-03-14T00:00:00"/>
    <x v="509"/>
    <n v="4967.93"/>
    <n v="5662"/>
    <n v="-5712"/>
    <x v="1"/>
    <n v="7"/>
    <x v="1"/>
    <d v="2022-10-23T00:00:00"/>
    <n v="0"/>
    <n v="877"/>
    <n v="-1.1499999999999999"/>
    <s v="Outlier"/>
    <n v="2022"/>
    <s v="October"/>
  </r>
  <r>
    <n v="1473"/>
    <n v="336"/>
    <x v="1"/>
    <x v="2"/>
    <x v="0"/>
    <d v="2022-07-06T00:00:00"/>
    <x v="406"/>
    <n v="7664"/>
    <n v="857"/>
    <n v="6807"/>
    <x v="1"/>
    <n v="9"/>
    <x v="1"/>
    <d v="2023-05-05T00:00:00"/>
    <n v="0"/>
    <n v="878"/>
    <n v="0.89"/>
    <s v="Normal"/>
    <n v="2023"/>
    <s v="May"/>
  </r>
  <r>
    <n v="1475"/>
    <n v="234"/>
    <x v="4"/>
    <x v="0"/>
    <x v="0"/>
    <d v="2022-12-23T00:00:00"/>
    <x v="475"/>
    <n v="2810"/>
    <n v="3085"/>
    <n v="-275"/>
    <x v="1"/>
    <n v="8"/>
    <x v="1"/>
    <d v="2023-08-26T00:00:00"/>
    <n v="1"/>
    <n v="879"/>
    <n v="-0.1"/>
    <s v="Normal"/>
    <n v="2023"/>
    <s v="August"/>
  </r>
  <r>
    <n v="1476"/>
    <n v="145"/>
    <x v="1"/>
    <x v="3"/>
    <x v="2"/>
    <d v="2022-10-16T00:00:00"/>
    <x v="220"/>
    <n v="8740"/>
    <n v="4420"/>
    <n v="4320"/>
    <x v="0"/>
    <n v="5"/>
    <x v="0"/>
    <d v="2023-03-29T00:00:00"/>
    <n v="1"/>
    <n v="880"/>
    <n v="0.49"/>
    <s v="Normal"/>
    <n v="2023"/>
    <s v="March"/>
  </r>
  <r>
    <n v="1478"/>
    <n v="113"/>
    <x v="4"/>
    <x v="1"/>
    <x v="2"/>
    <d v="2022-10-02T00:00:00"/>
    <x v="510"/>
    <n v="94"/>
    <n v="1940"/>
    <n v="-1846"/>
    <x v="2"/>
    <n v="12"/>
    <x v="1"/>
    <d v="2023-10-11T00:00:00"/>
    <n v="0"/>
    <n v="881"/>
    <n v="-19.64"/>
    <s v="Outlier"/>
    <n v="2023"/>
    <s v="October"/>
  </r>
  <r>
    <n v="1479"/>
    <n v="130"/>
    <x v="2"/>
    <x v="2"/>
    <x v="1"/>
    <d v="2022-04-11T00:00:00"/>
    <x v="190"/>
    <n v="153"/>
    <n v="4614"/>
    <n v="-4461"/>
    <x v="1"/>
    <n v="4"/>
    <x v="0"/>
    <d v="2022-08-11T00:00:00"/>
    <n v="0"/>
    <n v="882"/>
    <n v="-29.16"/>
    <s v="Outlier"/>
    <n v="2022"/>
    <s v="August"/>
  </r>
  <r>
    <n v="1480"/>
    <n v="164"/>
    <x v="4"/>
    <x v="2"/>
    <x v="1"/>
    <d v="2022-06-14T00:00:00"/>
    <x v="511"/>
    <n v="8870"/>
    <n v="3191"/>
    <n v="5679"/>
    <x v="0"/>
    <n v="2"/>
    <x v="0"/>
    <d v="2022-09-01T00:00:00"/>
    <n v="1"/>
    <n v="883"/>
    <n v="0.64"/>
    <s v="Normal"/>
    <n v="2022"/>
    <s v="September"/>
  </r>
  <r>
    <n v="1482"/>
    <n v="341"/>
    <x v="0"/>
    <x v="0"/>
    <x v="1"/>
    <d v="2022-06-01T00:00:00"/>
    <x v="304"/>
    <n v="2155"/>
    <n v="2637"/>
    <n v="-482"/>
    <x v="1"/>
    <n v="7"/>
    <x v="1"/>
    <d v="2023-01-17T00:00:00"/>
    <n v="0"/>
    <n v="884"/>
    <n v="-0.22"/>
    <s v="Normal"/>
    <n v="2023"/>
    <s v="January"/>
  </r>
  <r>
    <n v="1484"/>
    <n v="110"/>
    <x v="3"/>
    <x v="2"/>
    <x v="1"/>
    <d v="2022-12-18T00:00:00"/>
    <x v="164"/>
    <n v="8140"/>
    <n v="5964"/>
    <n v="2176"/>
    <x v="1"/>
    <n v="17"/>
    <x v="1"/>
    <d v="2024-05-27T00:00:00"/>
    <n v="0"/>
    <n v="885"/>
    <n v="0.27"/>
    <s v="Normal"/>
    <n v="2024"/>
    <s v="May"/>
  </r>
  <r>
    <n v="1487"/>
    <n v="444"/>
    <x v="3"/>
    <x v="0"/>
    <x v="2"/>
    <d v="2022-07-24T00:00:00"/>
    <x v="288"/>
    <n v="3729"/>
    <n v="2529"/>
    <n v="1200"/>
    <x v="0"/>
    <n v="8"/>
    <x v="1"/>
    <d v="2023-03-31T00:00:00"/>
    <n v="0"/>
    <n v="886"/>
    <n v="0.32"/>
    <s v="Normal"/>
    <n v="2023"/>
    <s v="March"/>
  </r>
  <r>
    <n v="1488"/>
    <n v="479"/>
    <x v="1"/>
    <x v="0"/>
    <x v="2"/>
    <d v="2022-03-06T00:00:00"/>
    <x v="375"/>
    <n v="4967.93"/>
    <n v="3009"/>
    <n v="577.01"/>
    <x v="1"/>
    <n v="6"/>
    <x v="2"/>
    <d v="2022-09-09T00:00:00"/>
    <n v="0"/>
    <n v="887"/>
    <n v="0.12"/>
    <s v="Normal"/>
    <n v="2022"/>
    <s v="September"/>
  </r>
  <r>
    <n v="1492"/>
    <n v="389"/>
    <x v="0"/>
    <x v="1"/>
    <x v="1"/>
    <d v="2022-12-11T00:00:00"/>
    <x v="512"/>
    <n v="4967.93"/>
    <n v="2003"/>
    <n v="-2384"/>
    <x v="1"/>
    <n v="19"/>
    <x v="1"/>
    <d v="2024-07-28T00:00:00"/>
    <n v="1"/>
    <n v="888"/>
    <n v="-0.48"/>
    <s v="Normal"/>
    <n v="2024"/>
    <s v="July"/>
  </r>
  <r>
    <n v="1493"/>
    <n v="491"/>
    <x v="0"/>
    <x v="2"/>
    <x v="2"/>
    <d v="2022-06-11T00:00:00"/>
    <x v="276"/>
    <n v="8505"/>
    <n v="4012.75"/>
    <n v="9136"/>
    <x v="2"/>
    <n v="10"/>
    <x v="1"/>
    <d v="2023-04-23T00:00:00"/>
    <n v="0"/>
    <n v="889"/>
    <n v="1.07"/>
    <s v="Outlier"/>
    <n v="2023"/>
    <s v="April"/>
  </r>
  <r>
    <n v="1494"/>
    <n v="476"/>
    <x v="3"/>
    <x v="0"/>
    <x v="1"/>
    <d v="2022-01-30T00:00:00"/>
    <x v="513"/>
    <n v="9332"/>
    <n v="2847"/>
    <n v="6485"/>
    <x v="2"/>
    <n v="1"/>
    <x v="0"/>
    <d v="2022-03-26T00:00:00"/>
    <n v="1"/>
    <n v="890"/>
    <n v="0.69"/>
    <s v="Normal"/>
    <n v="2022"/>
    <s v="March"/>
  </r>
  <r>
    <n v="1498"/>
    <n v="281"/>
    <x v="0"/>
    <x v="0"/>
    <x v="1"/>
    <d v="2022-10-06T00:00:00"/>
    <x v="514"/>
    <n v="3187"/>
    <n v="4239"/>
    <n v="577.01"/>
    <x v="1"/>
    <n v="2"/>
    <x v="0"/>
    <d v="2022-12-29T00:00:00"/>
    <n v="1"/>
    <n v="891"/>
    <n v="0.18"/>
    <s v="Normal"/>
    <n v="2022"/>
    <s v="December"/>
  </r>
  <r>
    <n v="1499"/>
    <n v="137"/>
    <x v="0"/>
    <x v="0"/>
    <x v="2"/>
    <d v="2022-03-10T00:00:00"/>
    <x v="291"/>
    <n v="4967.93"/>
    <n v="5977"/>
    <n v="-7503"/>
    <x v="1"/>
    <n v="5"/>
    <x v="0"/>
    <d v="2022-08-23T00:00:00"/>
    <n v="0"/>
    <n v="892"/>
    <n v="-1.51"/>
    <s v="Outlier"/>
    <n v="2022"/>
    <s v="August"/>
  </r>
  <r>
    <n v="1500"/>
    <n v="420"/>
    <x v="4"/>
    <x v="3"/>
    <x v="1"/>
    <d v="2022-07-31T00:00:00"/>
    <x v="515"/>
    <n v="4967.93"/>
    <n v="2735"/>
    <n v="-2757"/>
    <x v="0"/>
    <n v="7"/>
    <x v="1"/>
    <d v="2023-03-21T00:00:00"/>
    <n v="0"/>
    <n v="893"/>
    <n v="-0.55000000000000004"/>
    <s v="Normal"/>
    <n v="2023"/>
    <s v="March"/>
  </r>
  <r>
    <n v="1501"/>
    <n v="303"/>
    <x v="1"/>
    <x v="2"/>
    <x v="0"/>
    <d v="2022-11-20T00:00:00"/>
    <x v="371"/>
    <n v="3631"/>
    <n v="1645"/>
    <n v="1986"/>
    <x v="1"/>
    <n v="14"/>
    <x v="1"/>
    <d v="2024-01-27T00:00:00"/>
    <n v="0"/>
    <n v="894"/>
    <n v="0.55000000000000004"/>
    <s v="Normal"/>
    <n v="2024"/>
    <s v="January"/>
  </r>
  <r>
    <n v="1502"/>
    <n v="254"/>
    <x v="3"/>
    <x v="1"/>
    <x v="1"/>
    <d v="2022-06-30T00:00:00"/>
    <x v="235"/>
    <n v="696"/>
    <n v="3716"/>
    <n v="-3020"/>
    <x v="1"/>
    <n v="7"/>
    <x v="1"/>
    <d v="2023-02-15T00:00:00"/>
    <n v="0"/>
    <n v="895"/>
    <n v="-4.34"/>
    <s v="Outlier"/>
    <n v="2023"/>
    <s v="February"/>
  </r>
  <r>
    <n v="1503"/>
    <n v="420"/>
    <x v="2"/>
    <x v="0"/>
    <x v="1"/>
    <d v="2022-12-25T00:00:00"/>
    <x v="84"/>
    <n v="131"/>
    <n v="3504"/>
    <n v="-3373"/>
    <x v="2"/>
    <n v="5"/>
    <x v="0"/>
    <d v="2023-06-10T00:00:00"/>
    <n v="0"/>
    <n v="896"/>
    <n v="-25.75"/>
    <s v="Outlier"/>
    <n v="2023"/>
    <s v="June"/>
  </r>
  <r>
    <n v="1505"/>
    <n v="325"/>
    <x v="0"/>
    <x v="0"/>
    <x v="2"/>
    <d v="2022-08-15T00:00:00"/>
    <x v="218"/>
    <n v="6663"/>
    <n v="1493"/>
    <n v="5170"/>
    <x v="2"/>
    <n v="4"/>
    <x v="0"/>
    <d v="2022-12-27T00:00:00"/>
    <n v="0"/>
    <n v="897"/>
    <n v="0.78"/>
    <s v="Normal"/>
    <n v="2022"/>
    <s v="December"/>
  </r>
  <r>
    <n v="1506"/>
    <n v="204"/>
    <x v="3"/>
    <x v="0"/>
    <x v="2"/>
    <d v="2022-11-19T00:00:00"/>
    <x v="18"/>
    <n v="1913"/>
    <n v="3821"/>
    <n v="-1908"/>
    <x v="1"/>
    <n v="6"/>
    <x v="2"/>
    <d v="2023-06-17T00:00:00"/>
    <n v="0"/>
    <n v="898"/>
    <n v="-1"/>
    <s v="Normal"/>
    <n v="2023"/>
    <s v="June"/>
  </r>
  <r>
    <n v="1510"/>
    <n v="214"/>
    <x v="3"/>
    <x v="2"/>
    <x v="0"/>
    <d v="2022-07-11T00:00:00"/>
    <x v="505"/>
    <n v="9253"/>
    <n v="1735"/>
    <n v="7518"/>
    <x v="1"/>
    <n v="14"/>
    <x v="1"/>
    <d v="2023-10-01T00:00:00"/>
    <n v="1"/>
    <n v="899"/>
    <n v="0.81"/>
    <s v="Normal"/>
    <n v="2023"/>
    <s v="October"/>
  </r>
  <r>
    <n v="1511"/>
    <n v="354"/>
    <x v="4"/>
    <x v="1"/>
    <x v="1"/>
    <d v="2022-06-07T00:00:00"/>
    <x v="426"/>
    <n v="2933"/>
    <n v="5803"/>
    <n v="-2870"/>
    <x v="1"/>
    <n v="7"/>
    <x v="1"/>
    <d v="2023-01-15T00:00:00"/>
    <n v="1"/>
    <n v="900"/>
    <n v="-0.98"/>
    <s v="Normal"/>
    <n v="2023"/>
    <s v="January"/>
  </r>
  <r>
    <n v="1512"/>
    <n v="262"/>
    <x v="0"/>
    <x v="3"/>
    <x v="1"/>
    <d v="2022-04-03T00:00:00"/>
    <x v="261"/>
    <n v="8742"/>
    <n v="4307"/>
    <n v="4435"/>
    <x v="0"/>
    <n v="12"/>
    <x v="1"/>
    <d v="2023-05-02T00:00:00"/>
    <n v="0"/>
    <n v="901"/>
    <n v="0.51"/>
    <s v="Normal"/>
    <n v="2023"/>
    <s v="May"/>
  </r>
  <r>
    <n v="1513"/>
    <n v="106"/>
    <x v="0"/>
    <x v="3"/>
    <x v="1"/>
    <d v="2022-07-20T00:00:00"/>
    <x v="276"/>
    <n v="3442"/>
    <n v="4012.75"/>
    <n v="4071"/>
    <x v="0"/>
    <n v="9"/>
    <x v="1"/>
    <d v="2023-04-23T00:00:00"/>
    <n v="1"/>
    <n v="902"/>
    <n v="1.18"/>
    <s v="Outlier"/>
    <n v="2023"/>
    <s v="April"/>
  </r>
  <r>
    <n v="1515"/>
    <n v="268"/>
    <x v="0"/>
    <x v="3"/>
    <x v="1"/>
    <d v="2022-09-17T00:00:00"/>
    <x v="516"/>
    <n v="6657"/>
    <n v="1305"/>
    <n v="5352"/>
    <x v="0"/>
    <n v="15"/>
    <x v="1"/>
    <d v="2023-12-19T00:00:00"/>
    <n v="1"/>
    <n v="903"/>
    <n v="0.8"/>
    <s v="Normal"/>
    <n v="2023"/>
    <s v="December"/>
  </r>
  <r>
    <n v="1517"/>
    <n v="145"/>
    <x v="3"/>
    <x v="2"/>
    <x v="2"/>
    <d v="2022-11-21T00:00:00"/>
    <x v="252"/>
    <n v="4967.93"/>
    <n v="5678"/>
    <n v="-6192"/>
    <x v="0"/>
    <n v="12"/>
    <x v="1"/>
    <d v="2023-12-12T00:00:00"/>
    <n v="0"/>
    <n v="904"/>
    <n v="-1.25"/>
    <s v="Outlier"/>
    <n v="2023"/>
    <s v="December"/>
  </r>
  <r>
    <n v="1519"/>
    <n v="306"/>
    <x v="3"/>
    <x v="1"/>
    <x v="2"/>
    <d v="2022-04-11T00:00:00"/>
    <x v="98"/>
    <n v="1222"/>
    <n v="1438"/>
    <n v="-216"/>
    <x v="0"/>
    <n v="12"/>
    <x v="1"/>
    <d v="2023-04-16T00:00:00"/>
    <n v="0"/>
    <n v="905"/>
    <n v="-0.18"/>
    <s v="Normal"/>
    <n v="2023"/>
    <s v="April"/>
  </r>
  <r>
    <n v="1520"/>
    <n v="305"/>
    <x v="2"/>
    <x v="3"/>
    <x v="1"/>
    <d v="2022-06-08T00:00:00"/>
    <x v="517"/>
    <n v="9399"/>
    <n v="5679"/>
    <n v="3720"/>
    <x v="0"/>
    <n v="3"/>
    <x v="0"/>
    <d v="2022-09-11T00:00:00"/>
    <n v="1"/>
    <n v="906"/>
    <n v="0.4"/>
    <s v="Normal"/>
    <n v="2022"/>
    <s v="September"/>
  </r>
  <r>
    <n v="1521"/>
    <n v="357"/>
    <x v="0"/>
    <x v="1"/>
    <x v="2"/>
    <d v="2022-10-31T00:00:00"/>
    <x v="518"/>
    <n v="8164"/>
    <n v="7939"/>
    <n v="225"/>
    <x v="0"/>
    <n v="17"/>
    <x v="1"/>
    <d v="2024-04-25T00:00:00"/>
    <n v="1"/>
    <n v="907"/>
    <n v="0.03"/>
    <s v="Normal"/>
    <n v="2024"/>
    <s v="April"/>
  </r>
  <r>
    <n v="1523"/>
    <n v="159"/>
    <x v="4"/>
    <x v="0"/>
    <x v="1"/>
    <d v="2022-05-16T00:00:00"/>
    <x v="350"/>
    <n v="4967.93"/>
    <n v="2120"/>
    <n v="-3404"/>
    <x v="1"/>
    <n v="13"/>
    <x v="1"/>
    <d v="2023-07-09T00:00:00"/>
    <n v="0"/>
    <n v="908"/>
    <n v="-0.69"/>
    <s v="Normal"/>
    <n v="2023"/>
    <s v="July"/>
  </r>
  <r>
    <n v="1525"/>
    <n v="310"/>
    <x v="2"/>
    <x v="1"/>
    <x v="0"/>
    <d v="2022-01-12T00:00:00"/>
    <x v="519"/>
    <n v="4967.93"/>
    <n v="7473"/>
    <n v="-8456"/>
    <x v="0"/>
    <n v="3"/>
    <x v="0"/>
    <d v="2022-04-30T00:00:00"/>
    <n v="1"/>
    <n v="909"/>
    <n v="-1.7"/>
    <s v="Outlier"/>
    <n v="2022"/>
    <s v="April"/>
  </r>
  <r>
    <n v="1527"/>
    <n v="403"/>
    <x v="1"/>
    <x v="1"/>
    <x v="0"/>
    <d v="2022-01-21T00:00:00"/>
    <x v="520"/>
    <n v="627"/>
    <n v="1621"/>
    <n v="-994"/>
    <x v="1"/>
    <n v="8"/>
    <x v="1"/>
    <d v="2022-09-28T00:00:00"/>
    <n v="1"/>
    <n v="910"/>
    <n v="-1.59"/>
    <s v="Outlier"/>
    <n v="2022"/>
    <s v="September"/>
  </r>
  <r>
    <n v="1528"/>
    <n v="261"/>
    <x v="4"/>
    <x v="1"/>
    <x v="2"/>
    <d v="2022-01-18T00:00:00"/>
    <x v="521"/>
    <n v="9137"/>
    <n v="460"/>
    <n v="8677"/>
    <x v="2"/>
    <n v="9"/>
    <x v="1"/>
    <d v="2022-11-11T00:00:00"/>
    <n v="0"/>
    <n v="911"/>
    <n v="0.95"/>
    <s v="Normal"/>
    <n v="2022"/>
    <s v="November"/>
  </r>
  <r>
    <n v="1530"/>
    <n v="333"/>
    <x v="3"/>
    <x v="1"/>
    <x v="0"/>
    <d v="2022-04-13T00:00:00"/>
    <x v="90"/>
    <n v="4036"/>
    <n v="4012.75"/>
    <n v="577.01"/>
    <x v="1"/>
    <n v="8"/>
    <x v="1"/>
    <d v="2022-12-18T00:00:00"/>
    <n v="1"/>
    <n v="912"/>
    <n v="0.14000000000000001"/>
    <s v="Normal"/>
    <n v="2022"/>
    <s v="December"/>
  </r>
  <r>
    <n v="1531"/>
    <n v="321"/>
    <x v="1"/>
    <x v="3"/>
    <x v="1"/>
    <d v="2022-10-04T00:00:00"/>
    <x v="273"/>
    <n v="2588"/>
    <n v="768"/>
    <n v="1820"/>
    <x v="0"/>
    <n v="6"/>
    <x v="2"/>
    <d v="2023-05-03T00:00:00"/>
    <n v="1"/>
    <n v="913"/>
    <n v="0.7"/>
    <s v="Normal"/>
    <n v="2023"/>
    <s v="May"/>
  </r>
  <r>
    <n v="1533"/>
    <n v="442"/>
    <x v="1"/>
    <x v="0"/>
    <x v="2"/>
    <d v="2022-03-14T00:00:00"/>
    <x v="366"/>
    <n v="4967.93"/>
    <n v="6032"/>
    <n v="-7269"/>
    <x v="1"/>
    <n v="18"/>
    <x v="1"/>
    <d v="2023-09-23T00:00:00"/>
    <n v="1"/>
    <n v="914"/>
    <n v="-1.46"/>
    <s v="Outlier"/>
    <n v="2023"/>
    <s v="September"/>
  </r>
  <r>
    <n v="1534"/>
    <n v="477"/>
    <x v="1"/>
    <x v="0"/>
    <x v="0"/>
    <d v="2022-02-07T00:00:00"/>
    <x v="522"/>
    <n v="5546"/>
    <n v="4012.75"/>
    <n v="6261"/>
    <x v="1"/>
    <n v="5"/>
    <x v="0"/>
    <d v="2022-07-16T00:00:00"/>
    <n v="0"/>
    <n v="915"/>
    <n v="1.1299999999999999"/>
    <s v="Outlier"/>
    <n v="2022"/>
    <s v="July"/>
  </r>
  <r>
    <n v="1536"/>
    <n v="495"/>
    <x v="1"/>
    <x v="1"/>
    <x v="2"/>
    <d v="2022-12-12T00:00:00"/>
    <x v="217"/>
    <n v="8276"/>
    <n v="5568"/>
    <n v="2708"/>
    <x v="1"/>
    <n v="5"/>
    <x v="0"/>
    <d v="2023-05-17T00:00:00"/>
    <n v="1"/>
    <n v="916"/>
    <n v="0.33"/>
    <s v="Normal"/>
    <n v="2023"/>
    <s v="May"/>
  </r>
  <r>
    <n v="1537"/>
    <n v="443"/>
    <x v="1"/>
    <x v="0"/>
    <x v="0"/>
    <d v="2022-01-31T00:00:00"/>
    <x v="66"/>
    <n v="281"/>
    <n v="4012.75"/>
    <n v="411"/>
    <x v="2"/>
    <n v="17"/>
    <x v="1"/>
    <d v="2023-07-04T00:00:00"/>
    <n v="0"/>
    <n v="917"/>
    <n v="1.46"/>
    <s v="Outlier"/>
    <n v="2023"/>
    <s v="July"/>
  </r>
  <r>
    <n v="1539"/>
    <n v="283"/>
    <x v="3"/>
    <x v="3"/>
    <x v="1"/>
    <d v="2022-03-16T00:00:00"/>
    <x v="523"/>
    <n v="6845"/>
    <n v="4863"/>
    <n v="1982"/>
    <x v="0"/>
    <n v="4"/>
    <x v="0"/>
    <d v="2022-07-25T00:00:00"/>
    <n v="0"/>
    <n v="918"/>
    <n v="0.28999999999999998"/>
    <s v="Normal"/>
    <n v="2022"/>
    <s v="July"/>
  </r>
  <r>
    <n v="1540"/>
    <n v="134"/>
    <x v="4"/>
    <x v="2"/>
    <x v="1"/>
    <d v="2022-09-02T00:00:00"/>
    <x v="524"/>
    <n v="6812"/>
    <n v="5022"/>
    <n v="1790"/>
    <x v="2"/>
    <n v="3"/>
    <x v="0"/>
    <d v="2022-12-30T00:00:00"/>
    <n v="0"/>
    <n v="919"/>
    <n v="0.26"/>
    <s v="Normal"/>
    <n v="2022"/>
    <s v="December"/>
  </r>
  <r>
    <n v="1542"/>
    <n v="479"/>
    <x v="0"/>
    <x v="1"/>
    <x v="2"/>
    <d v="2022-02-10T00:00:00"/>
    <x v="124"/>
    <n v="4967.93"/>
    <n v="5233"/>
    <n v="-7037"/>
    <x v="1"/>
    <n v="14"/>
    <x v="1"/>
    <d v="2023-04-13T00:00:00"/>
    <n v="1"/>
    <n v="920"/>
    <n v="-1.42"/>
    <s v="Outlier"/>
    <n v="2023"/>
    <s v="April"/>
  </r>
  <r>
    <n v="1543"/>
    <n v="366"/>
    <x v="0"/>
    <x v="2"/>
    <x v="2"/>
    <d v="2022-12-27T00:00:00"/>
    <x v="328"/>
    <n v="6986"/>
    <n v="2619"/>
    <n v="577.01"/>
    <x v="1"/>
    <n v="6"/>
    <x v="2"/>
    <d v="2023-07-07T00:00:00"/>
    <n v="0"/>
    <n v="921"/>
    <n v="0.08"/>
    <s v="Normal"/>
    <n v="2023"/>
    <s v="July"/>
  </r>
  <r>
    <n v="1545"/>
    <n v="117"/>
    <x v="2"/>
    <x v="3"/>
    <x v="2"/>
    <d v="2022-04-18T00:00:00"/>
    <x v="97"/>
    <n v="4967.93"/>
    <n v="7742"/>
    <n v="-7814"/>
    <x v="0"/>
    <n v="2"/>
    <x v="0"/>
    <d v="2022-06-26T00:00:00"/>
    <n v="1"/>
    <n v="922"/>
    <n v="-1.57"/>
    <s v="Outlier"/>
    <n v="2022"/>
    <s v="June"/>
  </r>
  <r>
    <n v="1547"/>
    <n v="297"/>
    <x v="0"/>
    <x v="2"/>
    <x v="2"/>
    <d v="2022-08-13T00:00:00"/>
    <x v="84"/>
    <n v="7886"/>
    <n v="2117"/>
    <n v="5769"/>
    <x v="1"/>
    <n v="9"/>
    <x v="1"/>
    <d v="2023-06-10T00:00:00"/>
    <n v="0"/>
    <n v="923"/>
    <n v="0.73"/>
    <s v="Normal"/>
    <n v="2023"/>
    <s v="June"/>
  </r>
  <r>
    <n v="1549"/>
    <n v="446"/>
    <x v="4"/>
    <x v="3"/>
    <x v="1"/>
    <d v="2022-01-26T00:00:00"/>
    <x v="23"/>
    <n v="1269"/>
    <n v="4012.75"/>
    <n v="1445"/>
    <x v="0"/>
    <n v="7"/>
    <x v="1"/>
    <d v="2022-08-27T00:00:00"/>
    <n v="1"/>
    <n v="924"/>
    <n v="1.1399999999999999"/>
    <s v="Outlier"/>
    <n v="2022"/>
    <s v="August"/>
  </r>
  <r>
    <n v="1551"/>
    <n v="330"/>
    <x v="2"/>
    <x v="1"/>
    <x v="2"/>
    <d v="2022-10-01T00:00:00"/>
    <x v="448"/>
    <n v="3918"/>
    <n v="2414"/>
    <n v="1504"/>
    <x v="2"/>
    <n v="9"/>
    <x v="1"/>
    <d v="2023-07-21T00:00:00"/>
    <n v="0"/>
    <n v="925"/>
    <n v="0.38"/>
    <s v="Normal"/>
    <n v="2023"/>
    <s v="July"/>
  </r>
  <r>
    <n v="1552"/>
    <n v="356"/>
    <x v="0"/>
    <x v="0"/>
    <x v="0"/>
    <d v="2022-08-29T00:00:00"/>
    <x v="525"/>
    <n v="2765"/>
    <n v="2162"/>
    <n v="603"/>
    <x v="0"/>
    <n v="1"/>
    <x v="0"/>
    <d v="2022-10-27T00:00:00"/>
    <n v="0"/>
    <n v="926"/>
    <n v="0.22"/>
    <s v="Normal"/>
    <n v="2022"/>
    <s v="October"/>
  </r>
  <r>
    <n v="1553"/>
    <n v="244"/>
    <x v="3"/>
    <x v="2"/>
    <x v="1"/>
    <d v="2022-11-06T00:00:00"/>
    <x v="288"/>
    <n v="1950"/>
    <n v="7301"/>
    <n v="577.01"/>
    <x v="0"/>
    <n v="4"/>
    <x v="0"/>
    <d v="2023-03-31T00:00:00"/>
    <n v="1"/>
    <n v="927"/>
    <n v="0.3"/>
    <s v="Normal"/>
    <n v="2023"/>
    <s v="March"/>
  </r>
  <r>
    <n v="1555"/>
    <n v="280"/>
    <x v="3"/>
    <x v="0"/>
    <x v="2"/>
    <d v="2022-04-13T00:00:00"/>
    <x v="158"/>
    <n v="4967.93"/>
    <n v="5980"/>
    <n v="-6922"/>
    <x v="2"/>
    <n v="12"/>
    <x v="1"/>
    <d v="2023-05-09T00:00:00"/>
    <n v="1"/>
    <n v="928"/>
    <n v="-1.39"/>
    <s v="Outlier"/>
    <n v="2023"/>
    <s v="May"/>
  </r>
  <r>
    <n v="1563"/>
    <n v="448"/>
    <x v="4"/>
    <x v="2"/>
    <x v="0"/>
    <d v="2022-06-29T00:00:00"/>
    <x v="206"/>
    <n v="1587"/>
    <n v="4342"/>
    <n v="-2755"/>
    <x v="1"/>
    <n v="12"/>
    <x v="1"/>
    <d v="2023-07-22T00:00:00"/>
    <n v="1"/>
    <n v="929"/>
    <n v="-1.74"/>
    <s v="Outlier"/>
    <n v="2023"/>
    <s v="July"/>
  </r>
  <r>
    <n v="1564"/>
    <n v="273"/>
    <x v="2"/>
    <x v="0"/>
    <x v="2"/>
    <d v="2022-09-23T00:00:00"/>
    <x v="491"/>
    <n v="3606"/>
    <n v="5035"/>
    <n v="-1429"/>
    <x v="1"/>
    <n v="14"/>
    <x v="1"/>
    <d v="2023-12-08T00:00:00"/>
    <n v="0"/>
    <n v="930"/>
    <n v="-0.4"/>
    <s v="Normal"/>
    <n v="2023"/>
    <s v="December"/>
  </r>
  <r>
    <n v="1565"/>
    <n v="154"/>
    <x v="3"/>
    <x v="0"/>
    <x v="0"/>
    <d v="2022-07-08T00:00:00"/>
    <x v="526"/>
    <n v="6316"/>
    <n v="3080"/>
    <n v="3236"/>
    <x v="2"/>
    <n v="2"/>
    <x v="0"/>
    <d v="2022-09-20T00:00:00"/>
    <n v="1"/>
    <n v="931"/>
    <n v="0.51"/>
    <s v="Normal"/>
    <n v="2022"/>
    <s v="September"/>
  </r>
  <r>
    <n v="1568"/>
    <n v="187"/>
    <x v="1"/>
    <x v="0"/>
    <x v="2"/>
    <d v="2022-05-06T00:00:00"/>
    <x v="419"/>
    <n v="4967.93"/>
    <n v="5080"/>
    <n v="-6372"/>
    <x v="1"/>
    <n v="15"/>
    <x v="1"/>
    <d v="2023-08-08T00:00:00"/>
    <n v="0"/>
    <n v="932"/>
    <n v="-1.28"/>
    <s v="Outlier"/>
    <n v="2023"/>
    <s v="August"/>
  </r>
  <r>
    <n v="1569"/>
    <n v="496"/>
    <x v="1"/>
    <x v="1"/>
    <x v="1"/>
    <d v="2022-04-04T00:00:00"/>
    <x v="527"/>
    <n v="1230"/>
    <n v="1159"/>
    <n v="71"/>
    <x v="2"/>
    <n v="6"/>
    <x v="2"/>
    <d v="2022-10-25T00:00:00"/>
    <n v="0"/>
    <n v="933"/>
    <n v="0.06"/>
    <s v="Normal"/>
    <n v="2022"/>
    <s v="October"/>
  </r>
  <r>
    <n v="1570"/>
    <n v="151"/>
    <x v="0"/>
    <x v="2"/>
    <x v="1"/>
    <d v="2022-05-05T00:00:00"/>
    <x v="42"/>
    <n v="7490"/>
    <n v="7978"/>
    <n v="-488"/>
    <x v="0"/>
    <n v="10"/>
    <x v="1"/>
    <d v="2023-03-05T00:00:00"/>
    <n v="1"/>
    <n v="934"/>
    <n v="-7.0000000000000007E-2"/>
    <s v="Normal"/>
    <n v="2023"/>
    <s v="March"/>
  </r>
  <r>
    <n v="1571"/>
    <n v="157"/>
    <x v="1"/>
    <x v="2"/>
    <x v="0"/>
    <d v="2022-01-03T00:00:00"/>
    <x v="528"/>
    <n v="7103"/>
    <n v="5785"/>
    <n v="1318"/>
    <x v="2"/>
    <n v="3"/>
    <x v="0"/>
    <d v="2022-04-22T00:00:00"/>
    <n v="0"/>
    <n v="935"/>
    <n v="0.19"/>
    <s v="Normal"/>
    <n v="2022"/>
    <s v="April"/>
  </r>
  <r>
    <n v="1572"/>
    <n v="233"/>
    <x v="0"/>
    <x v="3"/>
    <x v="0"/>
    <d v="2022-03-07T00:00:00"/>
    <x v="529"/>
    <n v="4967.93"/>
    <n v="6265"/>
    <n v="-7653"/>
    <x v="1"/>
    <n v="2"/>
    <x v="0"/>
    <d v="2022-06-02T00:00:00"/>
    <n v="1"/>
    <n v="936"/>
    <n v="-1.54"/>
    <s v="Outlier"/>
    <n v="2022"/>
    <s v="June"/>
  </r>
  <r>
    <n v="1574"/>
    <n v="356"/>
    <x v="3"/>
    <x v="2"/>
    <x v="2"/>
    <d v="2022-02-04T00:00:00"/>
    <x v="79"/>
    <n v="9975"/>
    <n v="1952"/>
    <n v="8023"/>
    <x v="1"/>
    <n v="18"/>
    <x v="1"/>
    <d v="2023-08-07T00:00:00"/>
    <n v="1"/>
    <n v="937"/>
    <n v="0.8"/>
    <s v="Normal"/>
    <n v="2023"/>
    <s v="August"/>
  </r>
  <r>
    <n v="1576"/>
    <n v="498"/>
    <x v="0"/>
    <x v="3"/>
    <x v="2"/>
    <d v="2022-12-15T00:00:00"/>
    <x v="530"/>
    <n v="4585"/>
    <n v="6634"/>
    <n v="-2049"/>
    <x v="1"/>
    <n v="14"/>
    <x v="1"/>
    <d v="2024-03-11T00:00:00"/>
    <n v="1"/>
    <n v="938"/>
    <n v="-0.45"/>
    <s v="Normal"/>
    <n v="2024"/>
    <s v="March"/>
  </r>
  <r>
    <n v="1579"/>
    <n v="405"/>
    <x v="0"/>
    <x v="1"/>
    <x v="0"/>
    <d v="2022-02-18T00:00:00"/>
    <x v="531"/>
    <n v="5845"/>
    <n v="3001"/>
    <n v="2844"/>
    <x v="2"/>
    <n v="7"/>
    <x v="1"/>
    <d v="2022-10-01T00:00:00"/>
    <n v="0"/>
    <n v="939"/>
    <n v="0.49"/>
    <s v="Normal"/>
    <n v="2022"/>
    <s v="October"/>
  </r>
  <r>
    <n v="1580"/>
    <n v="227"/>
    <x v="4"/>
    <x v="0"/>
    <x v="2"/>
    <d v="2022-03-28T00:00:00"/>
    <x v="400"/>
    <n v="3474"/>
    <n v="4397"/>
    <n v="-923"/>
    <x v="1"/>
    <n v="5"/>
    <x v="0"/>
    <d v="2022-09-14T00:00:00"/>
    <n v="0"/>
    <n v="940"/>
    <n v="-0.27"/>
    <s v="Normal"/>
    <n v="2022"/>
    <s v="September"/>
  </r>
  <r>
    <n v="1582"/>
    <n v="411"/>
    <x v="0"/>
    <x v="1"/>
    <x v="0"/>
    <d v="2022-07-22T00:00:00"/>
    <x v="264"/>
    <n v="6905"/>
    <n v="6291"/>
    <n v="614"/>
    <x v="1"/>
    <n v="13"/>
    <x v="1"/>
    <d v="2023-09-17T00:00:00"/>
    <n v="0"/>
    <n v="941"/>
    <n v="0.09"/>
    <s v="Normal"/>
    <n v="2023"/>
    <s v="September"/>
  </r>
  <r>
    <n v="1584"/>
    <n v="187"/>
    <x v="3"/>
    <x v="1"/>
    <x v="2"/>
    <d v="2022-02-01T00:00:00"/>
    <x v="462"/>
    <n v="4967.93"/>
    <n v="2959"/>
    <n v="-2972"/>
    <x v="2"/>
    <n v="3"/>
    <x v="0"/>
    <d v="2022-05-21T00:00:00"/>
    <n v="0"/>
    <n v="942"/>
    <n v="-0.6"/>
    <s v="Normal"/>
    <n v="2022"/>
    <s v="May"/>
  </r>
  <r>
    <n v="1585"/>
    <n v="155"/>
    <x v="3"/>
    <x v="0"/>
    <x v="1"/>
    <d v="2022-04-04T00:00:00"/>
    <x v="532"/>
    <n v="962"/>
    <n v="1506"/>
    <n v="-544"/>
    <x v="0"/>
    <n v="5"/>
    <x v="0"/>
    <d v="2022-09-15T00:00:00"/>
    <n v="0"/>
    <n v="943"/>
    <n v="-0.56999999999999995"/>
    <s v="Normal"/>
    <n v="2022"/>
    <s v="September"/>
  </r>
  <r>
    <n v="1587"/>
    <n v="282"/>
    <x v="2"/>
    <x v="2"/>
    <x v="1"/>
    <d v="2022-09-15T00:00:00"/>
    <x v="188"/>
    <n v="9175"/>
    <n v="4505"/>
    <n v="4670"/>
    <x v="1"/>
    <n v="6"/>
    <x v="2"/>
    <d v="2023-04-09T00:00:00"/>
    <n v="0"/>
    <n v="944"/>
    <n v="0.51"/>
    <s v="Normal"/>
    <n v="2023"/>
    <s v="April"/>
  </r>
  <r>
    <n v="1589"/>
    <n v="223"/>
    <x v="1"/>
    <x v="2"/>
    <x v="2"/>
    <d v="2022-10-31T00:00:00"/>
    <x v="533"/>
    <n v="3885"/>
    <n v="6476"/>
    <n v="-2591"/>
    <x v="1"/>
    <n v="5"/>
    <x v="0"/>
    <d v="2023-04-27T00:00:00"/>
    <n v="1"/>
    <n v="945"/>
    <n v="-0.67"/>
    <s v="Normal"/>
    <n v="2023"/>
    <s v="April"/>
  </r>
  <r>
    <n v="1590"/>
    <n v="194"/>
    <x v="4"/>
    <x v="0"/>
    <x v="0"/>
    <d v="2022-05-02T00:00:00"/>
    <x v="141"/>
    <n v="7376"/>
    <n v="6724"/>
    <n v="577.01"/>
    <x v="0"/>
    <n v="3"/>
    <x v="0"/>
    <d v="2022-08-03T00:00:00"/>
    <n v="0"/>
    <n v="946"/>
    <n v="0.08"/>
    <s v="Normal"/>
    <n v="2022"/>
    <s v="August"/>
  </r>
  <r>
    <n v="1591"/>
    <n v="392"/>
    <x v="0"/>
    <x v="3"/>
    <x v="0"/>
    <d v="2022-01-08T00:00:00"/>
    <x v="534"/>
    <n v="5900"/>
    <n v="4012.75"/>
    <n v="6171"/>
    <x v="0"/>
    <n v="16"/>
    <x v="1"/>
    <d v="2023-05-13T00:00:00"/>
    <n v="0"/>
    <n v="947"/>
    <n v="1.05"/>
    <s v="Outlier"/>
    <n v="2023"/>
    <s v="May"/>
  </r>
  <r>
    <n v="1594"/>
    <n v="289"/>
    <x v="0"/>
    <x v="3"/>
    <x v="0"/>
    <d v="2022-10-22T00:00:00"/>
    <x v="535"/>
    <n v="6994"/>
    <n v="5902"/>
    <n v="1092"/>
    <x v="0"/>
    <n v="17"/>
    <x v="1"/>
    <d v="2024-04-11T00:00:00"/>
    <n v="0"/>
    <n v="948"/>
    <n v="0.16"/>
    <s v="Normal"/>
    <n v="2024"/>
    <s v="April"/>
  </r>
  <r>
    <n v="1596"/>
    <n v="168"/>
    <x v="1"/>
    <x v="3"/>
    <x v="2"/>
    <d v="2022-07-16T00:00:00"/>
    <x v="536"/>
    <n v="4590"/>
    <n v="4797"/>
    <n v="-207"/>
    <x v="1"/>
    <n v="2"/>
    <x v="0"/>
    <d v="2022-10-10T00:00:00"/>
    <n v="0"/>
    <n v="949"/>
    <n v="-0.05"/>
    <s v="Normal"/>
    <n v="2022"/>
    <s v="October"/>
  </r>
  <r>
    <n v="1597"/>
    <n v="471"/>
    <x v="3"/>
    <x v="2"/>
    <x v="0"/>
    <d v="2022-04-07T00:00:00"/>
    <x v="537"/>
    <n v="7070"/>
    <n v="1433"/>
    <n v="5637"/>
    <x v="2"/>
    <n v="15"/>
    <x v="1"/>
    <d v="2023-07-28T00:00:00"/>
    <n v="0"/>
    <n v="950"/>
    <n v="0.8"/>
    <s v="Normal"/>
    <n v="2023"/>
    <s v="July"/>
  </r>
  <r>
    <n v="1598"/>
    <n v="233"/>
    <x v="3"/>
    <x v="0"/>
    <x v="0"/>
    <d v="2022-07-01T00:00:00"/>
    <x v="538"/>
    <n v="6110"/>
    <n v="1340"/>
    <n v="4770"/>
    <x v="0"/>
    <n v="15"/>
    <x v="1"/>
    <d v="2023-10-17T00:00:00"/>
    <n v="1"/>
    <n v="951"/>
    <n v="0.78"/>
    <s v="Normal"/>
    <n v="2023"/>
    <s v="October"/>
  </r>
  <r>
    <n v="1599"/>
    <n v="390"/>
    <x v="0"/>
    <x v="2"/>
    <x v="0"/>
    <d v="2022-11-10T00:00:00"/>
    <x v="539"/>
    <n v="2946"/>
    <n v="4012.75"/>
    <n v="3165"/>
    <x v="2"/>
    <n v="16"/>
    <x v="1"/>
    <d v="2024-03-28T00:00:00"/>
    <n v="0"/>
    <n v="952"/>
    <n v="1.07"/>
    <s v="Outlier"/>
    <n v="2024"/>
    <s v="March"/>
  </r>
  <r>
    <n v="1600"/>
    <n v="316"/>
    <x v="4"/>
    <x v="0"/>
    <x v="2"/>
    <d v="2022-08-03T00:00:00"/>
    <x v="540"/>
    <n v="4165"/>
    <n v="4012.75"/>
    <n v="4424"/>
    <x v="1"/>
    <n v="12"/>
    <x v="1"/>
    <d v="2023-08-09T00:00:00"/>
    <n v="1"/>
    <n v="953"/>
    <n v="1.06"/>
    <s v="Outlier"/>
    <n v="2023"/>
    <s v="August"/>
  </r>
  <r>
    <n v="1601"/>
    <n v="476"/>
    <x v="0"/>
    <x v="1"/>
    <x v="1"/>
    <d v="2022-12-13T00:00:00"/>
    <x v="323"/>
    <n v="2269"/>
    <n v="4738"/>
    <n v="-2469"/>
    <x v="2"/>
    <n v="8"/>
    <x v="1"/>
    <d v="2023-09-03T00:00:00"/>
    <n v="0"/>
    <n v="954"/>
    <n v="-1.0900000000000001"/>
    <s v="Outlier"/>
    <n v="2023"/>
    <s v="September"/>
  </r>
  <r>
    <n v="1603"/>
    <n v="465"/>
    <x v="1"/>
    <x v="1"/>
    <x v="1"/>
    <d v="2022-01-25T00:00:00"/>
    <x v="541"/>
    <n v="40"/>
    <n v="1952"/>
    <n v="-1912"/>
    <x v="2"/>
    <n v="9"/>
    <x v="1"/>
    <d v="2022-11-06T00:00:00"/>
    <n v="1"/>
    <n v="955"/>
    <n v="-47.8"/>
    <s v="Outlier"/>
    <n v="2022"/>
    <s v="November"/>
  </r>
  <r>
    <n v="1606"/>
    <n v="497"/>
    <x v="1"/>
    <x v="3"/>
    <x v="1"/>
    <d v="2022-12-30T00:00:00"/>
    <x v="537"/>
    <n v="892"/>
    <n v="6640"/>
    <n v="-5748"/>
    <x v="2"/>
    <n v="6"/>
    <x v="2"/>
    <d v="2023-07-28T00:00:00"/>
    <n v="0"/>
    <n v="956"/>
    <n v="-6.44"/>
    <s v="Outlier"/>
    <n v="2023"/>
    <s v="July"/>
  </r>
  <r>
    <n v="1608"/>
    <n v="390"/>
    <x v="4"/>
    <x v="1"/>
    <x v="1"/>
    <d v="2022-05-30T00:00:00"/>
    <x v="284"/>
    <n v="7652"/>
    <n v="7425"/>
    <n v="227"/>
    <x v="0"/>
    <n v="9"/>
    <x v="1"/>
    <d v="2023-03-02T00:00:00"/>
    <n v="1"/>
    <n v="957"/>
    <n v="0.03"/>
    <s v="Normal"/>
    <n v="2023"/>
    <s v="March"/>
  </r>
  <r>
    <n v="1610"/>
    <n v="213"/>
    <x v="3"/>
    <x v="3"/>
    <x v="0"/>
    <d v="2022-05-14T00:00:00"/>
    <x v="436"/>
    <n v="6900"/>
    <n v="3780"/>
    <n v="3120"/>
    <x v="2"/>
    <n v="11"/>
    <x v="1"/>
    <d v="2023-05-12T00:00:00"/>
    <n v="1"/>
    <n v="958"/>
    <n v="0.45"/>
    <s v="Normal"/>
    <n v="2023"/>
    <s v="May"/>
  </r>
  <r>
    <n v="1611"/>
    <n v="283"/>
    <x v="0"/>
    <x v="3"/>
    <x v="0"/>
    <d v="2022-02-27T00:00:00"/>
    <x v="136"/>
    <n v="687"/>
    <n v="1321"/>
    <n v="-634"/>
    <x v="1"/>
    <n v="17"/>
    <x v="1"/>
    <d v="2023-08-11T00:00:00"/>
    <n v="0"/>
    <n v="959"/>
    <n v="-0.92"/>
    <s v="Normal"/>
    <n v="2023"/>
    <s v="August"/>
  </r>
  <r>
    <n v="1613"/>
    <n v="436"/>
    <x v="4"/>
    <x v="2"/>
    <x v="2"/>
    <d v="2022-05-23T00:00:00"/>
    <x v="237"/>
    <n v="3765"/>
    <n v="660"/>
    <n v="3105"/>
    <x v="1"/>
    <n v="17"/>
    <x v="1"/>
    <d v="2023-11-08T00:00:00"/>
    <n v="1"/>
    <n v="960"/>
    <n v="0.82"/>
    <s v="Normal"/>
    <n v="2023"/>
    <s v="November"/>
  </r>
  <r>
    <n v="1614"/>
    <n v="312"/>
    <x v="1"/>
    <x v="3"/>
    <x v="0"/>
    <d v="2022-02-06T00:00:00"/>
    <x v="467"/>
    <n v="2183"/>
    <n v="1405"/>
    <n v="778"/>
    <x v="1"/>
    <n v="10"/>
    <x v="1"/>
    <d v="2022-12-28T00:00:00"/>
    <n v="1"/>
    <n v="961"/>
    <n v="0.36"/>
    <s v="Normal"/>
    <n v="2022"/>
    <s v="December"/>
  </r>
  <r>
    <n v="1616"/>
    <n v="425"/>
    <x v="2"/>
    <x v="2"/>
    <x v="1"/>
    <d v="2022-10-27T00:00:00"/>
    <x v="542"/>
    <n v="8877"/>
    <n v="6182"/>
    <n v="2695"/>
    <x v="1"/>
    <n v="16"/>
    <x v="1"/>
    <d v="2024-03-13T00:00:00"/>
    <n v="1"/>
    <n v="962"/>
    <n v="0.3"/>
    <s v="Normal"/>
    <n v="2024"/>
    <s v="March"/>
  </r>
  <r>
    <n v="1620"/>
    <n v="215"/>
    <x v="0"/>
    <x v="2"/>
    <x v="1"/>
    <d v="2022-04-27T00:00:00"/>
    <x v="378"/>
    <n v="9262"/>
    <n v="4590"/>
    <n v="4672"/>
    <x v="0"/>
    <n v="13"/>
    <x v="1"/>
    <d v="2023-06-12T00:00:00"/>
    <n v="1"/>
    <n v="963"/>
    <n v="0.5"/>
    <s v="Normal"/>
    <n v="2023"/>
    <s v="June"/>
  </r>
  <r>
    <n v="1622"/>
    <n v="175"/>
    <x v="3"/>
    <x v="2"/>
    <x v="0"/>
    <d v="2022-02-01T00:00:00"/>
    <x v="543"/>
    <n v="5471"/>
    <n v="5892"/>
    <n v="-421"/>
    <x v="2"/>
    <n v="3"/>
    <x v="0"/>
    <d v="2022-05-27T00:00:00"/>
    <n v="1"/>
    <n v="964"/>
    <n v="-0.08"/>
    <s v="Normal"/>
    <n v="2022"/>
    <s v="May"/>
  </r>
  <r>
    <n v="1623"/>
    <n v="285"/>
    <x v="4"/>
    <x v="2"/>
    <x v="2"/>
    <d v="2022-03-07T00:00:00"/>
    <x v="90"/>
    <n v="2581"/>
    <n v="4898"/>
    <n v="-2317"/>
    <x v="1"/>
    <n v="9"/>
    <x v="1"/>
    <d v="2022-12-18T00:00:00"/>
    <n v="0"/>
    <n v="965"/>
    <n v="-0.9"/>
    <s v="Normal"/>
    <n v="2022"/>
    <s v="December"/>
  </r>
  <r>
    <n v="1627"/>
    <n v="398"/>
    <x v="4"/>
    <x v="1"/>
    <x v="2"/>
    <d v="2022-07-10T00:00:00"/>
    <x v="27"/>
    <n v="1746"/>
    <n v="6577"/>
    <n v="577.01"/>
    <x v="1"/>
    <n v="11"/>
    <x v="1"/>
    <d v="2023-07-03T00:00:00"/>
    <n v="1"/>
    <n v="966"/>
    <n v="0.33"/>
    <s v="Normal"/>
    <n v="2023"/>
    <s v="July"/>
  </r>
  <r>
    <n v="1628"/>
    <n v="281"/>
    <x v="4"/>
    <x v="2"/>
    <x v="0"/>
    <d v="2022-09-01T00:00:00"/>
    <x v="250"/>
    <n v="1258"/>
    <n v="3419"/>
    <n v="-2161"/>
    <x v="2"/>
    <n v="4"/>
    <x v="0"/>
    <d v="2023-01-11T00:00:00"/>
    <n v="1"/>
    <n v="967"/>
    <n v="-1.72"/>
    <s v="Outlier"/>
    <n v="2023"/>
    <s v="January"/>
  </r>
  <r>
    <n v="1629"/>
    <n v="238"/>
    <x v="2"/>
    <x v="3"/>
    <x v="2"/>
    <d v="2022-12-17T00:00:00"/>
    <x v="456"/>
    <n v="9486"/>
    <n v="4012.75"/>
    <n v="577.01"/>
    <x v="0"/>
    <n v="5"/>
    <x v="0"/>
    <d v="2023-06-16T00:00:00"/>
    <n v="1"/>
    <n v="968"/>
    <n v="0.06"/>
    <s v="Normal"/>
    <n v="2023"/>
    <s v="June"/>
  </r>
  <r>
    <n v="1630"/>
    <n v="307"/>
    <x v="1"/>
    <x v="0"/>
    <x v="2"/>
    <d v="2022-05-10T00:00:00"/>
    <x v="160"/>
    <n v="502"/>
    <n v="4295"/>
    <n v="-3793"/>
    <x v="2"/>
    <n v="5"/>
    <x v="0"/>
    <d v="2022-10-15T00:00:00"/>
    <n v="0"/>
    <n v="969"/>
    <n v="-7.56"/>
    <s v="Outlier"/>
    <n v="2022"/>
    <s v="October"/>
  </r>
  <r>
    <n v="1631"/>
    <n v="428"/>
    <x v="1"/>
    <x v="1"/>
    <x v="2"/>
    <d v="2022-07-05T00:00:00"/>
    <x v="544"/>
    <n v="6883"/>
    <n v="5478"/>
    <n v="1405"/>
    <x v="2"/>
    <n v="1"/>
    <x v="0"/>
    <d v="2022-08-13T00:00:00"/>
    <n v="0"/>
    <n v="970"/>
    <n v="0.2"/>
    <s v="Normal"/>
    <n v="2022"/>
    <s v="August"/>
  </r>
  <r>
    <n v="1632"/>
    <n v="366"/>
    <x v="1"/>
    <x v="1"/>
    <x v="2"/>
    <d v="2022-04-20T00:00:00"/>
    <x v="441"/>
    <n v="5316"/>
    <n v="826"/>
    <n v="4490"/>
    <x v="0"/>
    <n v="16"/>
    <x v="1"/>
    <d v="2023-09-02T00:00:00"/>
    <n v="1"/>
    <n v="971"/>
    <n v="0.84"/>
    <s v="Normal"/>
    <n v="2023"/>
    <s v="September"/>
  </r>
  <r>
    <n v="1633"/>
    <n v="150"/>
    <x v="0"/>
    <x v="3"/>
    <x v="2"/>
    <d v="2022-11-13T00:00:00"/>
    <x v="545"/>
    <n v="8300"/>
    <n v="7430"/>
    <n v="870"/>
    <x v="2"/>
    <n v="1"/>
    <x v="0"/>
    <d v="2022-12-17T00:00:00"/>
    <n v="0"/>
    <n v="972"/>
    <n v="0.1"/>
    <s v="Normal"/>
    <n v="2022"/>
    <s v="December"/>
  </r>
  <r>
    <n v="1634"/>
    <n v="278"/>
    <x v="2"/>
    <x v="0"/>
    <x v="1"/>
    <d v="2022-01-23T00:00:00"/>
    <x v="400"/>
    <n v="4933"/>
    <n v="2861"/>
    <n v="2072"/>
    <x v="0"/>
    <n v="7"/>
    <x v="1"/>
    <d v="2022-09-14T00:00:00"/>
    <n v="0"/>
    <n v="973"/>
    <n v="0.42"/>
    <s v="Normal"/>
    <n v="2022"/>
    <s v="September"/>
  </r>
  <r>
    <n v="1635"/>
    <n v="465"/>
    <x v="2"/>
    <x v="3"/>
    <x v="1"/>
    <d v="2022-12-22T00:00:00"/>
    <x v="546"/>
    <n v="4967.93"/>
    <n v="49"/>
    <n v="-422"/>
    <x v="2"/>
    <n v="6"/>
    <x v="2"/>
    <d v="2023-06-29T00:00:00"/>
    <n v="1"/>
    <n v="974"/>
    <n v="-0.08"/>
    <s v="Normal"/>
    <n v="2023"/>
    <s v="June"/>
  </r>
  <r>
    <n v="1636"/>
    <n v="480"/>
    <x v="2"/>
    <x v="1"/>
    <x v="2"/>
    <d v="2022-11-25T00:00:00"/>
    <x v="547"/>
    <n v="9015"/>
    <n v="4012.75"/>
    <n v="9917"/>
    <x v="2"/>
    <n v="13"/>
    <x v="1"/>
    <d v="2023-12-27T00:00:00"/>
    <n v="1"/>
    <n v="975"/>
    <n v="1.1000000000000001"/>
    <s v="Outlier"/>
    <n v="2023"/>
    <s v="December"/>
  </r>
  <r>
    <n v="1637"/>
    <n v="466"/>
    <x v="2"/>
    <x v="3"/>
    <x v="1"/>
    <d v="2022-03-03T00:00:00"/>
    <x v="548"/>
    <n v="5329"/>
    <n v="3465"/>
    <n v="1864"/>
    <x v="1"/>
    <n v="4"/>
    <x v="0"/>
    <d v="2022-07-23T00:00:00"/>
    <n v="0"/>
    <n v="976"/>
    <n v="0.35"/>
    <s v="Normal"/>
    <n v="2022"/>
    <s v="July"/>
  </r>
  <r>
    <n v="1638"/>
    <n v="419"/>
    <x v="0"/>
    <x v="3"/>
    <x v="0"/>
    <d v="2022-11-25T00:00:00"/>
    <x v="55"/>
    <n v="7539"/>
    <n v="2534"/>
    <n v="577.01"/>
    <x v="0"/>
    <n v="11"/>
    <x v="1"/>
    <d v="2023-11-06T00:00:00"/>
    <n v="0"/>
    <n v="977"/>
    <n v="0.08"/>
    <s v="Normal"/>
    <n v="2023"/>
    <s v="November"/>
  </r>
  <r>
    <n v="1639"/>
    <n v="397"/>
    <x v="4"/>
    <x v="1"/>
    <x v="2"/>
    <d v="2022-06-12T00:00:00"/>
    <x v="37"/>
    <n v="896"/>
    <n v="4012.75"/>
    <n v="1875"/>
    <x v="2"/>
    <n v="2"/>
    <x v="0"/>
    <d v="2022-09-05T00:00:00"/>
    <n v="1"/>
    <n v="978"/>
    <n v="2.09"/>
    <s v="Outlier"/>
    <n v="2022"/>
    <s v="September"/>
  </r>
  <r>
    <n v="1642"/>
    <n v="390"/>
    <x v="1"/>
    <x v="3"/>
    <x v="1"/>
    <d v="2022-10-20T00:00:00"/>
    <x v="290"/>
    <n v="7757"/>
    <n v="1131"/>
    <n v="6626"/>
    <x v="1"/>
    <n v="7"/>
    <x v="1"/>
    <d v="2023-05-25T00:00:00"/>
    <n v="0"/>
    <n v="979"/>
    <n v="0.85"/>
    <s v="Normal"/>
    <n v="2023"/>
    <s v="May"/>
  </r>
  <r>
    <n v="1643"/>
    <n v="395"/>
    <x v="0"/>
    <x v="2"/>
    <x v="0"/>
    <d v="2022-11-17T00:00:00"/>
    <x v="64"/>
    <n v="29"/>
    <n v="3384"/>
    <n v="-3355"/>
    <x v="1"/>
    <n v="3"/>
    <x v="0"/>
    <d v="2023-03-07T00:00:00"/>
    <n v="0"/>
    <n v="980"/>
    <n v="-115.69"/>
    <s v="Outlier"/>
    <n v="2023"/>
    <s v="March"/>
  </r>
  <r>
    <n v="1646"/>
    <n v="101"/>
    <x v="2"/>
    <x v="2"/>
    <x v="0"/>
    <d v="2022-03-03T00:00:00"/>
    <x v="315"/>
    <n v="7463"/>
    <n v="7499"/>
    <n v="-36"/>
    <x v="2"/>
    <n v="16"/>
    <x v="1"/>
    <d v="2023-07-13T00:00:00"/>
    <n v="0"/>
    <n v="981"/>
    <n v="0"/>
    <s v="Normal"/>
    <n v="2023"/>
    <s v="July"/>
  </r>
  <r>
    <n v="1647"/>
    <n v="110"/>
    <x v="2"/>
    <x v="1"/>
    <x v="1"/>
    <d v="2022-11-28T00:00:00"/>
    <x v="19"/>
    <n v="763"/>
    <n v="374"/>
    <n v="389"/>
    <x v="1"/>
    <n v="2"/>
    <x v="0"/>
    <d v="2023-02-19T00:00:00"/>
    <n v="1"/>
    <n v="982"/>
    <n v="0.51"/>
    <s v="Normal"/>
    <n v="2023"/>
    <s v="February"/>
  </r>
  <r>
    <n v="1648"/>
    <n v="126"/>
    <x v="2"/>
    <x v="1"/>
    <x v="1"/>
    <d v="2022-10-06T00:00:00"/>
    <x v="549"/>
    <n v="8609"/>
    <n v="507"/>
    <n v="8102"/>
    <x v="2"/>
    <n v="1"/>
    <x v="0"/>
    <d v="2022-11-09T00:00:00"/>
    <n v="1"/>
    <n v="983"/>
    <n v="0.94"/>
    <s v="Normal"/>
    <n v="2022"/>
    <s v="November"/>
  </r>
  <r>
    <n v="1649"/>
    <n v="427"/>
    <x v="3"/>
    <x v="2"/>
    <x v="1"/>
    <d v="2022-10-31T00:00:00"/>
    <x v="550"/>
    <n v="2503"/>
    <n v="1239"/>
    <n v="1264"/>
    <x v="1"/>
    <n v="17"/>
    <x v="1"/>
    <d v="2024-04-05T00:00:00"/>
    <n v="1"/>
    <n v="984"/>
    <n v="0.5"/>
    <s v="Normal"/>
    <n v="2024"/>
    <s v="April"/>
  </r>
  <r>
    <n v="1650"/>
    <n v="347"/>
    <x v="0"/>
    <x v="3"/>
    <x v="0"/>
    <d v="2022-01-02T00:00:00"/>
    <x v="404"/>
    <n v="7172"/>
    <n v="5786"/>
    <n v="1386"/>
    <x v="1"/>
    <n v="17"/>
    <x v="1"/>
    <d v="2023-06-28T00:00:00"/>
    <n v="1"/>
    <n v="985"/>
    <n v="0.19"/>
    <s v="Normal"/>
    <n v="2023"/>
    <s v="June"/>
  </r>
  <r>
    <n v="1651"/>
    <n v="107"/>
    <x v="0"/>
    <x v="3"/>
    <x v="2"/>
    <d v="2022-12-22T00:00:00"/>
    <x v="292"/>
    <n v="3850"/>
    <n v="2560"/>
    <n v="1290"/>
    <x v="0"/>
    <n v="7"/>
    <x v="1"/>
    <d v="2023-08-16T00:00:00"/>
    <n v="0"/>
    <n v="986"/>
    <n v="0.34"/>
    <s v="Normal"/>
    <n v="2023"/>
    <s v="August"/>
  </r>
  <r>
    <n v="1653"/>
    <n v="311"/>
    <x v="0"/>
    <x v="1"/>
    <x v="1"/>
    <d v="2022-09-11T00:00:00"/>
    <x v="224"/>
    <n v="8744"/>
    <n v="3787"/>
    <n v="4957"/>
    <x v="1"/>
    <n v="3"/>
    <x v="0"/>
    <d v="2022-12-24T00:00:00"/>
    <n v="1"/>
    <n v="987"/>
    <n v="0.56999999999999995"/>
    <s v="Normal"/>
    <n v="2022"/>
    <s v="December"/>
  </r>
  <r>
    <n v="1655"/>
    <n v="145"/>
    <x v="3"/>
    <x v="0"/>
    <x v="1"/>
    <d v="2022-01-02T00:00:00"/>
    <x v="47"/>
    <n v="6911"/>
    <n v="5853"/>
    <n v="1058"/>
    <x v="1"/>
    <n v="4"/>
    <x v="0"/>
    <d v="2022-05-03T00:00:00"/>
    <n v="0"/>
    <n v="988"/>
    <n v="0.15"/>
    <s v="Normal"/>
    <n v="2022"/>
    <s v="May"/>
  </r>
  <r>
    <n v="1656"/>
    <n v="309"/>
    <x v="1"/>
    <x v="2"/>
    <x v="0"/>
    <d v="2022-02-09T00:00:00"/>
    <x v="27"/>
    <n v="5616"/>
    <n v="1038"/>
    <n v="4578"/>
    <x v="1"/>
    <n v="16"/>
    <x v="1"/>
    <d v="2023-07-03T00:00:00"/>
    <n v="0"/>
    <n v="989"/>
    <n v="0.82"/>
    <s v="Normal"/>
    <n v="2023"/>
    <s v="July"/>
  </r>
  <r>
    <n v="1657"/>
    <n v="157"/>
    <x v="0"/>
    <x v="0"/>
    <x v="0"/>
    <d v="2022-01-17T00:00:00"/>
    <x v="443"/>
    <n v="1306"/>
    <n v="4180"/>
    <n v="-2874"/>
    <x v="0"/>
    <n v="7"/>
    <x v="1"/>
    <d v="2022-09-07T00:00:00"/>
    <n v="0"/>
    <n v="990"/>
    <n v="-2.2000000000000002"/>
    <s v="Outlier"/>
    <n v="2022"/>
    <s v="September"/>
  </r>
  <r>
    <n v="1658"/>
    <n v="426"/>
    <x v="0"/>
    <x v="3"/>
    <x v="1"/>
    <d v="2022-07-11T00:00:00"/>
    <x v="551"/>
    <n v="4594"/>
    <n v="5544"/>
    <n v="-950"/>
    <x v="0"/>
    <n v="18"/>
    <x v="1"/>
    <d v="2024-01-12T00:00:00"/>
    <n v="1"/>
    <n v="991"/>
    <n v="-0.21"/>
    <s v="Normal"/>
    <n v="2024"/>
    <s v="January"/>
  </r>
  <r>
    <n v="1659"/>
    <n v="156"/>
    <x v="1"/>
    <x v="3"/>
    <x v="2"/>
    <d v="2022-07-26T00:00:00"/>
    <x v="110"/>
    <n v="9325"/>
    <n v="5108"/>
    <n v="4217"/>
    <x v="2"/>
    <n v="3"/>
    <x v="0"/>
    <d v="2022-10-31T00:00:00"/>
    <n v="1"/>
    <n v="992"/>
    <n v="0.45"/>
    <s v="Normal"/>
    <n v="2022"/>
    <s v="October"/>
  </r>
  <r>
    <n v="1661"/>
    <n v="276"/>
    <x v="3"/>
    <x v="3"/>
    <x v="0"/>
    <d v="2022-04-30T00:00:00"/>
    <x v="201"/>
    <n v="8463"/>
    <n v="3930"/>
    <n v="4533"/>
    <x v="2"/>
    <n v="7"/>
    <x v="1"/>
    <d v="2022-12-09T00:00:00"/>
    <n v="0"/>
    <n v="993"/>
    <n v="0.54"/>
    <s v="Normal"/>
    <n v="2022"/>
    <s v="December"/>
  </r>
  <r>
    <n v="1667"/>
    <n v="356"/>
    <x v="1"/>
    <x v="3"/>
    <x v="0"/>
    <d v="2022-11-19T00:00:00"/>
    <x v="552"/>
    <n v="4967.93"/>
    <n v="4012.75"/>
    <n v="-605"/>
    <x v="1"/>
    <n v="5"/>
    <x v="0"/>
    <d v="2023-05-11T00:00:00"/>
    <n v="0"/>
    <n v="994"/>
    <n v="-0.12"/>
    <s v="Normal"/>
    <n v="2023"/>
    <s v="May"/>
  </r>
  <r>
    <n v="1668"/>
    <n v="120"/>
    <x v="4"/>
    <x v="3"/>
    <x v="0"/>
    <d v="2022-05-26T00:00:00"/>
    <x v="370"/>
    <n v="4967.93"/>
    <n v="5163"/>
    <n v="-7046"/>
    <x v="0"/>
    <n v="5"/>
    <x v="0"/>
    <d v="2022-11-23T00:00:00"/>
    <n v="0"/>
    <n v="995"/>
    <n v="-1.42"/>
    <s v="Outlier"/>
    <n v="2022"/>
    <s v="November"/>
  </r>
  <r>
    <n v="1670"/>
    <n v="195"/>
    <x v="3"/>
    <x v="2"/>
    <x v="0"/>
    <d v="2022-01-01T00:00:00"/>
    <x v="4"/>
    <n v="5616"/>
    <n v="7866"/>
    <n v="577.01"/>
    <x v="2"/>
    <n v="15"/>
    <x v="1"/>
    <d v="2023-04-05T00:00:00"/>
    <n v="1"/>
    <n v="996"/>
    <n v="0.1"/>
    <s v="Normal"/>
    <n v="2023"/>
    <s v="April"/>
  </r>
  <r>
    <n v="1671"/>
    <n v="121"/>
    <x v="0"/>
    <x v="0"/>
    <x v="1"/>
    <d v="2022-01-26T00:00:00"/>
    <x v="553"/>
    <n v="4846"/>
    <n v="1000"/>
    <n v="3846"/>
    <x v="0"/>
    <n v="12"/>
    <x v="1"/>
    <d v="2023-01-30T00:00:00"/>
    <n v="0"/>
    <n v="997"/>
    <n v="0.79"/>
    <s v="Normal"/>
    <n v="2023"/>
    <s v="January"/>
  </r>
  <r>
    <n v="1672"/>
    <n v="297"/>
    <x v="0"/>
    <x v="2"/>
    <x v="0"/>
    <d v="2022-08-10T00:00:00"/>
    <x v="318"/>
    <n v="657"/>
    <n v="6859"/>
    <n v="577.01"/>
    <x v="1"/>
    <n v="12"/>
    <x v="1"/>
    <d v="2023-08-17T00:00:00"/>
    <n v="1"/>
    <n v="998"/>
    <n v="0.88"/>
    <s v="Normal"/>
    <n v="2023"/>
    <s v="August"/>
  </r>
  <r>
    <n v="1674"/>
    <n v="366"/>
    <x v="4"/>
    <x v="2"/>
    <x v="2"/>
    <d v="2022-06-19T00:00:00"/>
    <x v="554"/>
    <n v="7757"/>
    <n v="7064"/>
    <n v="693"/>
    <x v="1"/>
    <n v="4"/>
    <x v="0"/>
    <d v="2022-11-18T00:00:00"/>
    <n v="0"/>
    <n v="999"/>
    <n v="0.09"/>
    <s v="Normal"/>
    <n v="2022"/>
    <s v="November"/>
  </r>
  <r>
    <n v="1676"/>
    <n v="428"/>
    <x v="3"/>
    <x v="2"/>
    <x v="0"/>
    <d v="2022-04-06T00:00:00"/>
    <x v="188"/>
    <n v="4967.93"/>
    <n v="7381"/>
    <n v="-9380"/>
    <x v="1"/>
    <n v="12"/>
    <x v="1"/>
    <d v="2023-04-09T00:00:00"/>
    <n v="0"/>
    <n v="1000"/>
    <n v="-1.89"/>
    <s v="Outlier"/>
    <n v="2023"/>
    <s v="April"/>
  </r>
  <r>
    <n v="1681"/>
    <n v="285"/>
    <x v="2"/>
    <x v="1"/>
    <x v="1"/>
    <d v="2022-03-19T00:00:00"/>
    <x v="271"/>
    <n v="7303"/>
    <n v="646"/>
    <n v="6657"/>
    <x v="0"/>
    <n v="18"/>
    <x v="1"/>
    <d v="2023-09-29T00:00:00"/>
    <n v="0"/>
    <n v="1001"/>
    <n v="0.91"/>
    <s v="Normal"/>
    <n v="2023"/>
    <s v="September"/>
  </r>
  <r>
    <n v="1684"/>
    <n v="230"/>
    <x v="0"/>
    <x v="3"/>
    <x v="0"/>
    <d v="2022-10-18T00:00:00"/>
    <x v="438"/>
    <n v="4967.93"/>
    <n v="4012.75"/>
    <n v="231"/>
    <x v="0"/>
    <n v="15"/>
    <x v="1"/>
    <d v="2024-02-11T00:00:00"/>
    <n v="1"/>
    <n v="1002"/>
    <n v="0.05"/>
    <s v="Normal"/>
    <n v="2024"/>
    <s v="February"/>
  </r>
  <r>
    <n v="1685"/>
    <n v="147"/>
    <x v="3"/>
    <x v="1"/>
    <x v="1"/>
    <d v="2022-04-13T00:00:00"/>
    <x v="395"/>
    <n v="8766"/>
    <n v="3240"/>
    <n v="5526"/>
    <x v="2"/>
    <n v="1"/>
    <x v="0"/>
    <d v="2022-05-31T00:00:00"/>
    <n v="1"/>
    <n v="1003"/>
    <n v="0.63"/>
    <s v="Normal"/>
    <n v="2022"/>
    <s v="May"/>
  </r>
  <r>
    <n v="1687"/>
    <n v="115"/>
    <x v="3"/>
    <x v="3"/>
    <x v="1"/>
    <d v="2022-03-27T00:00:00"/>
    <x v="112"/>
    <n v="2668"/>
    <n v="6153"/>
    <n v="577.01"/>
    <x v="2"/>
    <n v="1"/>
    <x v="0"/>
    <d v="2022-05-04T00:00:00"/>
    <n v="1"/>
    <n v="1004"/>
    <n v="0.22"/>
    <s v="Normal"/>
    <n v="2022"/>
    <s v="May"/>
  </r>
  <r>
    <n v="1688"/>
    <n v="264"/>
    <x v="0"/>
    <x v="1"/>
    <x v="2"/>
    <d v="2022-04-16T00:00:00"/>
    <x v="524"/>
    <n v="480"/>
    <n v="255"/>
    <n v="225"/>
    <x v="2"/>
    <n v="8"/>
    <x v="1"/>
    <d v="2022-12-30T00:00:00"/>
    <n v="1"/>
    <n v="1005"/>
    <n v="0.47"/>
    <s v="Normal"/>
    <n v="2022"/>
    <s v="December"/>
  </r>
  <r>
    <n v="1689"/>
    <n v="294"/>
    <x v="2"/>
    <x v="1"/>
    <x v="0"/>
    <d v="2022-02-06T00:00:00"/>
    <x v="555"/>
    <n v="5163"/>
    <n v="4012.75"/>
    <n v="5418"/>
    <x v="1"/>
    <n v="10"/>
    <x v="1"/>
    <d v="2022-12-16T00:00:00"/>
    <n v="0"/>
    <n v="1006"/>
    <n v="1.05"/>
    <s v="Outlier"/>
    <n v="2022"/>
    <s v="December"/>
  </r>
  <r>
    <n v="1690"/>
    <n v="418"/>
    <x v="0"/>
    <x v="0"/>
    <x v="0"/>
    <d v="2022-01-19T00:00:00"/>
    <x v="556"/>
    <n v="6997"/>
    <n v="4012.75"/>
    <n v="7662"/>
    <x v="1"/>
    <n v="6"/>
    <x v="2"/>
    <d v="2022-07-20T00:00:00"/>
    <n v="1"/>
    <n v="1007"/>
    <n v="1.1000000000000001"/>
    <s v="Outlier"/>
    <n v="2022"/>
    <s v="July"/>
  </r>
  <r>
    <n v="1691"/>
    <n v="485"/>
    <x v="4"/>
    <x v="0"/>
    <x v="2"/>
    <d v="2022-08-30T00:00:00"/>
    <x v="433"/>
    <n v="8831"/>
    <n v="2581"/>
    <n v="6250"/>
    <x v="0"/>
    <n v="6"/>
    <x v="2"/>
    <d v="2023-03-11T00:00:00"/>
    <n v="1"/>
    <n v="1008"/>
    <n v="0.71"/>
    <s v="Normal"/>
    <n v="2023"/>
    <s v="March"/>
  </r>
  <r>
    <n v="1692"/>
    <n v="172"/>
    <x v="4"/>
    <x v="3"/>
    <x v="1"/>
    <d v="2022-04-23T00:00:00"/>
    <x v="377"/>
    <n v="6047"/>
    <n v="7426"/>
    <n v="-1379"/>
    <x v="0"/>
    <n v="11"/>
    <x v="1"/>
    <d v="2023-04-14T00:00:00"/>
    <n v="1"/>
    <n v="1009"/>
    <n v="-0.23"/>
    <s v="Normal"/>
    <n v="2023"/>
    <s v="April"/>
  </r>
  <r>
    <n v="1694"/>
    <n v="184"/>
    <x v="0"/>
    <x v="1"/>
    <x v="1"/>
    <d v="2022-09-17T00:00:00"/>
    <x v="557"/>
    <n v="4967.93"/>
    <n v="4580"/>
    <n v="-5914"/>
    <x v="2"/>
    <n v="16"/>
    <x v="1"/>
    <d v="2024-02-01T00:00:00"/>
    <n v="1"/>
    <n v="1010"/>
    <n v="-1.19"/>
    <s v="Outlier"/>
    <n v="2024"/>
    <s v="February"/>
  </r>
  <r>
    <n v="1696"/>
    <n v="160"/>
    <x v="4"/>
    <x v="2"/>
    <x v="2"/>
    <d v="2022-10-26T00:00:00"/>
    <x v="558"/>
    <n v="1296"/>
    <n v="6568"/>
    <n v="577.01"/>
    <x v="1"/>
    <n v="9"/>
    <x v="1"/>
    <d v="2023-08-04T00:00:00"/>
    <n v="1"/>
    <n v="1011"/>
    <n v="0.45"/>
    <s v="Normal"/>
    <n v="2023"/>
    <s v="August"/>
  </r>
  <r>
    <n v="1700"/>
    <n v="138"/>
    <x v="4"/>
    <x v="0"/>
    <x v="1"/>
    <d v="2022-12-15T00:00:00"/>
    <x v="559"/>
    <n v="9571"/>
    <n v="1990"/>
    <n v="7581"/>
    <x v="0"/>
    <n v="12"/>
    <x v="1"/>
    <d v="2024-01-01T00:00:00"/>
    <n v="1"/>
    <n v="1012"/>
    <n v="0.79"/>
    <s v="Normal"/>
    <n v="2024"/>
    <s v="January"/>
  </r>
  <r>
    <n v="1702"/>
    <n v="283"/>
    <x v="1"/>
    <x v="0"/>
    <x v="0"/>
    <d v="2022-04-22T00:00:00"/>
    <x v="493"/>
    <n v="9660"/>
    <n v="6851"/>
    <n v="2809"/>
    <x v="1"/>
    <n v="9"/>
    <x v="1"/>
    <d v="2023-02-16T00:00:00"/>
    <n v="0"/>
    <n v="1013"/>
    <n v="0.28999999999999998"/>
    <s v="Normal"/>
    <n v="2023"/>
    <s v="February"/>
  </r>
  <r>
    <n v="1704"/>
    <n v="487"/>
    <x v="2"/>
    <x v="0"/>
    <x v="0"/>
    <d v="2022-01-08T00:00:00"/>
    <x v="89"/>
    <n v="4965"/>
    <n v="264"/>
    <n v="577.01"/>
    <x v="1"/>
    <n v="14"/>
    <x v="1"/>
    <d v="2023-03-12T00:00:00"/>
    <n v="1"/>
    <n v="1014"/>
    <n v="0.12"/>
    <s v="Normal"/>
    <n v="2023"/>
    <s v="March"/>
  </r>
  <r>
    <n v="1705"/>
    <n v="212"/>
    <x v="4"/>
    <x v="3"/>
    <x v="2"/>
    <d v="2022-06-02T00:00:00"/>
    <x v="312"/>
    <n v="8974"/>
    <n v="6288"/>
    <n v="2686"/>
    <x v="2"/>
    <n v="18"/>
    <x v="1"/>
    <d v="2023-12-15T00:00:00"/>
    <n v="0"/>
    <n v="1015"/>
    <n v="0.3"/>
    <s v="Normal"/>
    <n v="2023"/>
    <s v="December"/>
  </r>
  <r>
    <n v="1706"/>
    <n v="370"/>
    <x v="0"/>
    <x v="0"/>
    <x v="0"/>
    <d v="2022-11-11T00:00:00"/>
    <x v="560"/>
    <n v="4967.93"/>
    <n v="5970"/>
    <n v="-6477"/>
    <x v="1"/>
    <n v="8"/>
    <x v="1"/>
    <d v="2023-07-15T00:00:00"/>
    <n v="1"/>
    <n v="1016"/>
    <n v="-1.3"/>
    <s v="Outlier"/>
    <n v="2023"/>
    <s v="July"/>
  </r>
  <r>
    <n v="1707"/>
    <n v="111"/>
    <x v="0"/>
    <x v="1"/>
    <x v="0"/>
    <d v="2022-09-26T00:00:00"/>
    <x v="84"/>
    <n v="1601"/>
    <n v="5241"/>
    <n v="577.01"/>
    <x v="0"/>
    <n v="8"/>
    <x v="1"/>
    <d v="2023-06-10T00:00:00"/>
    <n v="0"/>
    <n v="1017"/>
    <n v="0.36"/>
    <s v="Normal"/>
    <n v="2023"/>
    <s v="June"/>
  </r>
  <r>
    <n v="1709"/>
    <n v="246"/>
    <x v="1"/>
    <x v="3"/>
    <x v="2"/>
    <d v="2022-09-07T00:00:00"/>
    <x v="87"/>
    <n v="5446"/>
    <n v="6847"/>
    <n v="-1401"/>
    <x v="2"/>
    <n v="13"/>
    <x v="1"/>
    <d v="2023-11-01T00:00:00"/>
    <n v="1"/>
    <n v="1018"/>
    <n v="-0.26"/>
    <s v="Normal"/>
    <n v="2023"/>
    <s v="November"/>
  </r>
  <r>
    <n v="1710"/>
    <n v="250"/>
    <x v="4"/>
    <x v="0"/>
    <x v="2"/>
    <d v="2022-12-21T00:00:00"/>
    <x v="561"/>
    <n v="7344"/>
    <n v="4844"/>
    <n v="2500"/>
    <x v="2"/>
    <n v="19"/>
    <x v="1"/>
    <d v="2024-08-01T00:00:00"/>
    <n v="0"/>
    <n v="1019"/>
    <n v="0.34"/>
    <s v="Normal"/>
    <n v="2024"/>
    <s v="August"/>
  </r>
  <r>
    <n v="1711"/>
    <n v="308"/>
    <x v="4"/>
    <x v="3"/>
    <x v="2"/>
    <d v="2022-01-06T00:00:00"/>
    <x v="373"/>
    <n v="8428"/>
    <n v="6218"/>
    <n v="2210"/>
    <x v="1"/>
    <n v="3"/>
    <x v="0"/>
    <d v="2022-04-27T00:00:00"/>
    <n v="1"/>
    <n v="1020"/>
    <n v="0.26"/>
    <s v="Normal"/>
    <n v="2022"/>
    <s v="April"/>
  </r>
  <r>
    <n v="1713"/>
    <n v="153"/>
    <x v="4"/>
    <x v="0"/>
    <x v="1"/>
    <d v="2022-02-06T00:00:00"/>
    <x v="562"/>
    <n v="2521"/>
    <n v="1745"/>
    <n v="776"/>
    <x v="2"/>
    <n v="6"/>
    <x v="2"/>
    <d v="2022-08-24T00:00:00"/>
    <n v="0"/>
    <n v="1021"/>
    <n v="0.31"/>
    <s v="Normal"/>
    <n v="2022"/>
    <s v="August"/>
  </r>
  <r>
    <n v="1714"/>
    <n v="476"/>
    <x v="1"/>
    <x v="1"/>
    <x v="2"/>
    <d v="2022-11-01T00:00:00"/>
    <x v="459"/>
    <n v="2720"/>
    <n v="3105"/>
    <n v="-385"/>
    <x v="0"/>
    <n v="4"/>
    <x v="0"/>
    <d v="2023-03-27T00:00:00"/>
    <n v="0"/>
    <n v="1022"/>
    <n v="-0.14000000000000001"/>
    <s v="Normal"/>
    <n v="2023"/>
    <s v="March"/>
  </r>
  <r>
    <n v="1715"/>
    <n v="371"/>
    <x v="2"/>
    <x v="2"/>
    <x v="0"/>
    <d v="2022-08-10T00:00:00"/>
    <x v="20"/>
    <n v="9727"/>
    <n v="1396"/>
    <n v="8331"/>
    <x v="0"/>
    <n v="9"/>
    <x v="1"/>
    <d v="2023-05-14T00:00:00"/>
    <n v="1"/>
    <n v="1023"/>
    <n v="0.86"/>
    <s v="Normal"/>
    <n v="2023"/>
    <s v="May"/>
  </r>
  <r>
    <n v="1716"/>
    <n v="181"/>
    <x v="2"/>
    <x v="3"/>
    <x v="2"/>
    <d v="2022-09-30T00:00:00"/>
    <x v="563"/>
    <n v="259"/>
    <n v="2739"/>
    <n v="-2480"/>
    <x v="1"/>
    <n v="16"/>
    <x v="1"/>
    <d v="2024-02-29T00:00:00"/>
    <n v="1"/>
    <n v="1024"/>
    <n v="-9.58"/>
    <s v="Outlier"/>
    <n v="2024"/>
    <s v="February"/>
  </r>
  <r>
    <n v="1717"/>
    <n v="117"/>
    <x v="4"/>
    <x v="3"/>
    <x v="2"/>
    <d v="2022-08-18T00:00:00"/>
    <x v="184"/>
    <n v="4620"/>
    <n v="1070"/>
    <n v="577.01"/>
    <x v="1"/>
    <n v="7"/>
    <x v="1"/>
    <d v="2023-03-30T00:00:00"/>
    <n v="1"/>
    <n v="1025"/>
    <n v="0.12"/>
    <s v="Normal"/>
    <n v="2023"/>
    <s v="March"/>
  </r>
  <r>
    <n v="1718"/>
    <n v="123"/>
    <x v="0"/>
    <x v="2"/>
    <x v="0"/>
    <d v="2022-05-05T00:00:00"/>
    <x v="564"/>
    <n v="7898"/>
    <n v="5650"/>
    <n v="2248"/>
    <x v="2"/>
    <n v="6"/>
    <x v="2"/>
    <d v="2022-12-01T00:00:00"/>
    <n v="1"/>
    <n v="1026"/>
    <n v="0.28000000000000003"/>
    <s v="Normal"/>
    <n v="2022"/>
    <s v="December"/>
  </r>
  <r>
    <n v="1721"/>
    <n v="157"/>
    <x v="1"/>
    <x v="2"/>
    <x v="0"/>
    <d v="2022-10-18T00:00:00"/>
    <x v="565"/>
    <n v="354"/>
    <n v="5178"/>
    <n v="-4824"/>
    <x v="1"/>
    <n v="16"/>
    <x v="1"/>
    <d v="2024-03-15T00:00:00"/>
    <n v="0"/>
    <n v="1027"/>
    <n v="-13.63"/>
    <s v="Outlier"/>
    <n v="2024"/>
    <s v="March"/>
  </r>
  <r>
    <n v="1722"/>
    <n v="293"/>
    <x v="0"/>
    <x v="1"/>
    <x v="2"/>
    <d v="2022-05-07T00:00:00"/>
    <x v="566"/>
    <n v="4967.93"/>
    <n v="4012.75"/>
    <n v="-45"/>
    <x v="1"/>
    <n v="2"/>
    <x v="0"/>
    <d v="2022-07-08T00:00:00"/>
    <n v="1"/>
    <n v="1028"/>
    <n v="-0.01"/>
    <s v="Normal"/>
    <n v="2022"/>
    <s v="July"/>
  </r>
  <r>
    <n v="1724"/>
    <n v="337"/>
    <x v="2"/>
    <x v="1"/>
    <x v="0"/>
    <d v="2022-04-14T00:00:00"/>
    <x v="328"/>
    <n v="2470"/>
    <n v="2291"/>
    <n v="179"/>
    <x v="0"/>
    <n v="14"/>
    <x v="1"/>
    <d v="2023-07-07T00:00:00"/>
    <n v="0"/>
    <n v="1029"/>
    <n v="7.0000000000000007E-2"/>
    <s v="Normal"/>
    <n v="2023"/>
    <s v="July"/>
  </r>
  <r>
    <n v="1726"/>
    <n v="267"/>
    <x v="3"/>
    <x v="3"/>
    <x v="0"/>
    <d v="2022-07-26T00:00:00"/>
    <x v="567"/>
    <n v="7183"/>
    <n v="4012.75"/>
    <n v="8012"/>
    <x v="1"/>
    <n v="5"/>
    <x v="0"/>
    <d v="2023-01-08T00:00:00"/>
    <n v="0"/>
    <n v="1030"/>
    <n v="1.1200000000000001"/>
    <s v="Outlier"/>
    <n v="2023"/>
    <s v="January"/>
  </r>
  <r>
    <n v="1729"/>
    <n v="485"/>
    <x v="2"/>
    <x v="1"/>
    <x v="0"/>
    <d v="2022-12-17T00:00:00"/>
    <x v="404"/>
    <n v="198"/>
    <n v="1892"/>
    <n v="577.01"/>
    <x v="1"/>
    <n v="6"/>
    <x v="2"/>
    <d v="2023-06-28T00:00:00"/>
    <n v="0"/>
    <n v="1031"/>
    <n v="2.91"/>
    <s v="Outlier"/>
    <n v="2023"/>
    <s v="June"/>
  </r>
  <r>
    <n v="1731"/>
    <n v="472"/>
    <x v="3"/>
    <x v="0"/>
    <x v="2"/>
    <d v="2022-02-02T00:00:00"/>
    <x v="520"/>
    <n v="9802"/>
    <n v="4012.75"/>
    <n v="10305"/>
    <x v="0"/>
    <n v="7"/>
    <x v="1"/>
    <d v="2022-09-28T00:00:00"/>
    <n v="0"/>
    <n v="1032"/>
    <n v="1.05"/>
    <s v="Outlier"/>
    <n v="2022"/>
    <s v="September"/>
  </r>
  <r>
    <n v="1732"/>
    <n v="358"/>
    <x v="4"/>
    <x v="3"/>
    <x v="1"/>
    <d v="2022-08-15T00:00:00"/>
    <x v="315"/>
    <n v="291"/>
    <n v="5351"/>
    <n v="-5060"/>
    <x v="1"/>
    <n v="10"/>
    <x v="1"/>
    <d v="2023-07-13T00:00:00"/>
    <n v="0"/>
    <n v="1033"/>
    <n v="-17.39"/>
    <s v="Outlier"/>
    <n v="2023"/>
    <s v="July"/>
  </r>
  <r>
    <n v="1733"/>
    <n v="220"/>
    <x v="1"/>
    <x v="0"/>
    <x v="2"/>
    <d v="2022-07-28T00:00:00"/>
    <x v="568"/>
    <n v="7219"/>
    <n v="5048"/>
    <n v="2171"/>
    <x v="1"/>
    <n v="19"/>
    <x v="1"/>
    <d v="2024-03-18T00:00:00"/>
    <n v="0"/>
    <n v="1034"/>
    <n v="0.3"/>
    <s v="Normal"/>
    <n v="2024"/>
    <s v="March"/>
  </r>
  <r>
    <n v="1734"/>
    <n v="456"/>
    <x v="0"/>
    <x v="0"/>
    <x v="1"/>
    <d v="2022-01-18T00:00:00"/>
    <x v="569"/>
    <n v="2313"/>
    <n v="4012.75"/>
    <n v="3039"/>
    <x v="1"/>
    <n v="7"/>
    <x v="1"/>
    <d v="2022-09-02T00:00:00"/>
    <n v="1"/>
    <n v="1035"/>
    <n v="1.31"/>
    <s v="Outlier"/>
    <n v="2022"/>
    <s v="September"/>
  </r>
  <r>
    <n v="1735"/>
    <n v="230"/>
    <x v="4"/>
    <x v="1"/>
    <x v="2"/>
    <d v="2022-06-07T00:00:00"/>
    <x v="406"/>
    <n v="3701"/>
    <n v="1429"/>
    <n v="2272"/>
    <x v="1"/>
    <n v="10"/>
    <x v="1"/>
    <d v="2023-05-05T00:00:00"/>
    <n v="1"/>
    <n v="1036"/>
    <n v="0.61"/>
    <s v="Normal"/>
    <n v="2023"/>
    <s v="May"/>
  </r>
  <r>
    <n v="1736"/>
    <n v="128"/>
    <x v="0"/>
    <x v="0"/>
    <x v="1"/>
    <d v="2022-06-21T00:00:00"/>
    <x v="570"/>
    <n v="6429"/>
    <n v="4611"/>
    <n v="1818"/>
    <x v="0"/>
    <n v="17"/>
    <x v="1"/>
    <d v="2023-12-20T00:00:00"/>
    <n v="1"/>
    <n v="1037"/>
    <n v="0.28000000000000003"/>
    <s v="Normal"/>
    <n v="2023"/>
    <s v="December"/>
  </r>
  <r>
    <n v="1742"/>
    <n v="273"/>
    <x v="2"/>
    <x v="3"/>
    <x v="0"/>
    <d v="2022-03-06T00:00:00"/>
    <x v="571"/>
    <n v="1506"/>
    <n v="4253"/>
    <n v="-2747"/>
    <x v="1"/>
    <n v="18"/>
    <x v="1"/>
    <d v="2023-09-18T00:00:00"/>
    <n v="1"/>
    <n v="1038"/>
    <n v="-1.82"/>
    <s v="Outlier"/>
    <n v="2023"/>
    <s v="September"/>
  </r>
  <r>
    <n v="1743"/>
    <n v="108"/>
    <x v="0"/>
    <x v="0"/>
    <x v="2"/>
    <d v="2022-02-21T00:00:00"/>
    <x v="33"/>
    <n v="3394"/>
    <n v="933"/>
    <n v="2461"/>
    <x v="0"/>
    <n v="15"/>
    <x v="1"/>
    <d v="2023-05-21T00:00:00"/>
    <n v="1"/>
    <n v="1039"/>
    <n v="0.73"/>
    <s v="Normal"/>
    <n v="2023"/>
    <s v="May"/>
  </r>
  <r>
    <n v="1746"/>
    <n v="148"/>
    <x v="0"/>
    <x v="1"/>
    <x v="1"/>
    <d v="2022-09-11T00:00:00"/>
    <x v="455"/>
    <n v="4967.93"/>
    <n v="4496"/>
    <n v="-5935"/>
    <x v="0"/>
    <n v="4"/>
    <x v="0"/>
    <d v="2023-01-21T00:00:00"/>
    <n v="0"/>
    <n v="1040"/>
    <n v="-1.19"/>
    <s v="Outlier"/>
    <n v="2023"/>
    <s v="January"/>
  </r>
  <r>
    <n v="1747"/>
    <n v="180"/>
    <x v="1"/>
    <x v="3"/>
    <x v="2"/>
    <d v="2022-06-10T00:00:00"/>
    <x v="2"/>
    <n v="3982"/>
    <n v="6166"/>
    <n v="-2184"/>
    <x v="1"/>
    <n v="15"/>
    <x v="1"/>
    <d v="2023-09-15T00:00:00"/>
    <n v="0"/>
    <n v="1041"/>
    <n v="-0.55000000000000004"/>
    <s v="Normal"/>
    <n v="2023"/>
    <s v="September"/>
  </r>
  <r>
    <n v="1749"/>
    <n v="136"/>
    <x v="0"/>
    <x v="0"/>
    <x v="0"/>
    <d v="2022-12-04T00:00:00"/>
    <x v="318"/>
    <n v="8390"/>
    <n v="6336"/>
    <n v="2054"/>
    <x v="1"/>
    <n v="8"/>
    <x v="1"/>
    <d v="2023-08-17T00:00:00"/>
    <n v="0"/>
    <n v="1042"/>
    <n v="0.24"/>
    <s v="Normal"/>
    <n v="2023"/>
    <s v="August"/>
  </r>
  <r>
    <n v="1750"/>
    <n v="364"/>
    <x v="3"/>
    <x v="2"/>
    <x v="2"/>
    <d v="2022-06-04T00:00:00"/>
    <x v="199"/>
    <n v="4635"/>
    <n v="1998"/>
    <n v="2637"/>
    <x v="2"/>
    <n v="15"/>
    <x v="1"/>
    <d v="2023-09-24T00:00:00"/>
    <n v="0"/>
    <n v="1043"/>
    <n v="0.56999999999999995"/>
    <s v="Normal"/>
    <n v="2023"/>
    <s v="September"/>
  </r>
  <r>
    <n v="1751"/>
    <n v="489"/>
    <x v="4"/>
    <x v="0"/>
    <x v="0"/>
    <d v="2022-04-05T00:00:00"/>
    <x v="303"/>
    <n v="2480"/>
    <n v="2444"/>
    <n v="36"/>
    <x v="0"/>
    <n v="8"/>
    <x v="1"/>
    <d v="2022-12-20T00:00:00"/>
    <n v="0"/>
    <n v="1044"/>
    <n v="0.01"/>
    <s v="Normal"/>
    <n v="2022"/>
    <s v="December"/>
  </r>
  <r>
    <n v="1752"/>
    <n v="382"/>
    <x v="2"/>
    <x v="3"/>
    <x v="0"/>
    <d v="2022-10-08T00:00:00"/>
    <x v="572"/>
    <n v="3003"/>
    <n v="5544"/>
    <n v="-2541"/>
    <x v="0"/>
    <n v="1"/>
    <x v="0"/>
    <d v="2022-11-21T00:00:00"/>
    <n v="0"/>
    <n v="1045"/>
    <n v="-0.85"/>
    <s v="Normal"/>
    <n v="2022"/>
    <s v="November"/>
  </r>
  <r>
    <n v="1753"/>
    <n v="218"/>
    <x v="2"/>
    <x v="1"/>
    <x v="1"/>
    <d v="2022-10-05T00:00:00"/>
    <x v="495"/>
    <n v="3293"/>
    <n v="2290"/>
    <n v="577.01"/>
    <x v="2"/>
    <n v="13"/>
    <x v="1"/>
    <d v="2023-12-04T00:00:00"/>
    <n v="1"/>
    <n v="1046"/>
    <n v="0.18"/>
    <s v="Normal"/>
    <n v="2023"/>
    <s v="December"/>
  </r>
  <r>
    <n v="1754"/>
    <n v="498"/>
    <x v="2"/>
    <x v="1"/>
    <x v="1"/>
    <d v="2022-08-02T00:00:00"/>
    <x v="573"/>
    <n v="3966"/>
    <n v="3497"/>
    <n v="469"/>
    <x v="0"/>
    <n v="16"/>
    <x v="1"/>
    <d v="2023-12-29T00:00:00"/>
    <n v="0"/>
    <n v="1047"/>
    <n v="0.12"/>
    <s v="Normal"/>
    <n v="2023"/>
    <s v="December"/>
  </r>
  <r>
    <n v="1757"/>
    <n v="404"/>
    <x v="3"/>
    <x v="3"/>
    <x v="2"/>
    <d v="2022-08-24T00:00:00"/>
    <x v="96"/>
    <n v="4330"/>
    <n v="2889"/>
    <n v="1441"/>
    <x v="1"/>
    <n v="17"/>
    <x v="1"/>
    <d v="2024-01-26T00:00:00"/>
    <n v="1"/>
    <n v="1048"/>
    <n v="0.33"/>
    <s v="Normal"/>
    <n v="2024"/>
    <s v="January"/>
  </r>
  <r>
    <n v="1759"/>
    <n v="469"/>
    <x v="3"/>
    <x v="3"/>
    <x v="1"/>
    <d v="2022-04-26T00:00:00"/>
    <x v="574"/>
    <n v="8221"/>
    <n v="4714"/>
    <n v="3507"/>
    <x v="2"/>
    <n v="12"/>
    <x v="1"/>
    <d v="2023-05-15T00:00:00"/>
    <n v="0"/>
    <n v="1049"/>
    <n v="0.43"/>
    <s v="Normal"/>
    <n v="2023"/>
    <s v="May"/>
  </r>
  <r>
    <n v="1760"/>
    <n v="129"/>
    <x v="3"/>
    <x v="1"/>
    <x v="0"/>
    <d v="2022-01-31T00:00:00"/>
    <x v="16"/>
    <n v="5752"/>
    <n v="3697"/>
    <n v="2055"/>
    <x v="1"/>
    <n v="9"/>
    <x v="1"/>
    <d v="2022-11-03T00:00:00"/>
    <n v="0"/>
    <n v="1050"/>
    <n v="0.36"/>
    <s v="Normal"/>
    <n v="2022"/>
    <s v="November"/>
  </r>
  <r>
    <n v="1762"/>
    <n v="113"/>
    <x v="2"/>
    <x v="2"/>
    <x v="2"/>
    <d v="2022-11-05T00:00:00"/>
    <x v="445"/>
    <n v="9870"/>
    <n v="4012.75"/>
    <n v="9880"/>
    <x v="1"/>
    <n v="12"/>
    <x v="1"/>
    <d v="2023-11-12T00:00:00"/>
    <n v="1"/>
    <n v="1051"/>
    <n v="1"/>
    <s v="Outlier"/>
    <n v="2023"/>
    <s v="November"/>
  </r>
  <r>
    <n v="1767"/>
    <n v="160"/>
    <x v="3"/>
    <x v="2"/>
    <x v="0"/>
    <d v="2022-06-25T00:00:00"/>
    <x v="110"/>
    <n v="2967"/>
    <n v="5781"/>
    <n v="-2814"/>
    <x v="1"/>
    <n v="4"/>
    <x v="0"/>
    <d v="2022-10-31T00:00:00"/>
    <n v="0"/>
    <n v="1052"/>
    <n v="-0.95"/>
    <s v="Normal"/>
    <n v="2022"/>
    <s v="October"/>
  </r>
  <r>
    <n v="1770"/>
    <n v="310"/>
    <x v="1"/>
    <x v="3"/>
    <x v="0"/>
    <d v="2022-06-30T00:00:00"/>
    <x v="95"/>
    <n v="4967.93"/>
    <n v="2707"/>
    <n v="-3035"/>
    <x v="1"/>
    <n v="15"/>
    <x v="1"/>
    <d v="2023-10-12T00:00:00"/>
    <n v="0"/>
    <n v="1053"/>
    <n v="-0.61"/>
    <s v="Normal"/>
    <n v="2023"/>
    <s v="October"/>
  </r>
  <r>
    <n v="1771"/>
    <n v="197"/>
    <x v="3"/>
    <x v="3"/>
    <x v="1"/>
    <d v="2022-06-14T00:00:00"/>
    <x v="575"/>
    <n v="2513"/>
    <n v="1200"/>
    <n v="1313"/>
    <x v="0"/>
    <n v="18"/>
    <x v="1"/>
    <d v="2024-01-08T00:00:00"/>
    <n v="1"/>
    <n v="1054"/>
    <n v="0.52"/>
    <s v="Normal"/>
    <n v="2024"/>
    <s v="January"/>
  </r>
  <r>
    <n v="1774"/>
    <n v="404"/>
    <x v="0"/>
    <x v="3"/>
    <x v="0"/>
    <d v="2022-06-29T00:00:00"/>
    <x v="292"/>
    <n v="3689"/>
    <n v="6560"/>
    <n v="-2871"/>
    <x v="0"/>
    <n v="13"/>
    <x v="1"/>
    <d v="2023-08-16T00:00:00"/>
    <n v="1"/>
    <n v="1055"/>
    <n v="-0.78"/>
    <s v="Normal"/>
    <n v="2023"/>
    <s v="August"/>
  </r>
  <r>
    <n v="1777"/>
    <n v="244"/>
    <x v="4"/>
    <x v="2"/>
    <x v="2"/>
    <d v="2022-08-13T00:00:00"/>
    <x v="299"/>
    <n v="5892"/>
    <n v="4191"/>
    <n v="1701"/>
    <x v="1"/>
    <n v="2"/>
    <x v="0"/>
    <d v="2022-10-18T00:00:00"/>
    <n v="0"/>
    <n v="1056"/>
    <n v="0.28999999999999998"/>
    <s v="Normal"/>
    <n v="2022"/>
    <s v="October"/>
  </r>
  <r>
    <n v="1778"/>
    <n v="394"/>
    <x v="0"/>
    <x v="3"/>
    <x v="1"/>
    <d v="2022-11-24T00:00:00"/>
    <x v="535"/>
    <n v="3898"/>
    <n v="572"/>
    <n v="3326"/>
    <x v="1"/>
    <n v="16"/>
    <x v="1"/>
    <d v="2024-04-11T00:00:00"/>
    <n v="0"/>
    <n v="1057"/>
    <n v="0.85"/>
    <s v="Normal"/>
    <n v="2024"/>
    <s v="April"/>
  </r>
  <r>
    <n v="1781"/>
    <n v="264"/>
    <x v="4"/>
    <x v="2"/>
    <x v="0"/>
    <d v="2022-11-23T00:00:00"/>
    <x v="411"/>
    <n v="7585"/>
    <n v="1143"/>
    <n v="6442"/>
    <x v="1"/>
    <n v="14"/>
    <x v="1"/>
    <d v="2024-02-05T00:00:00"/>
    <n v="0"/>
    <n v="1058"/>
    <n v="0.85"/>
    <s v="Normal"/>
    <n v="2024"/>
    <s v="February"/>
  </r>
  <r>
    <n v="1783"/>
    <n v="450"/>
    <x v="0"/>
    <x v="0"/>
    <x v="1"/>
    <d v="2022-11-26T00:00:00"/>
    <x v="576"/>
    <n v="9464"/>
    <n v="4486"/>
    <n v="4978"/>
    <x v="1"/>
    <n v="17"/>
    <x v="1"/>
    <d v="2024-05-24T00:00:00"/>
    <n v="0"/>
    <n v="1059"/>
    <n v="0.53"/>
    <s v="Normal"/>
    <n v="2024"/>
    <s v="May"/>
  </r>
  <r>
    <n v="1785"/>
    <n v="471"/>
    <x v="4"/>
    <x v="1"/>
    <x v="1"/>
    <d v="2022-11-22T00:00:00"/>
    <x v="577"/>
    <n v="1745"/>
    <n v="1111"/>
    <n v="634"/>
    <x v="1"/>
    <n v="16"/>
    <x v="1"/>
    <d v="2024-04-13T00:00:00"/>
    <n v="0"/>
    <n v="1060"/>
    <n v="0.36"/>
    <s v="Normal"/>
    <n v="2024"/>
    <s v="April"/>
  </r>
  <r>
    <n v="1789"/>
    <n v="168"/>
    <x v="0"/>
    <x v="0"/>
    <x v="1"/>
    <d v="2022-03-20T00:00:00"/>
    <x v="207"/>
    <n v="2988"/>
    <n v="1262"/>
    <n v="1726"/>
    <x v="0"/>
    <n v="6"/>
    <x v="2"/>
    <d v="2022-10-17T00:00:00"/>
    <n v="1"/>
    <n v="1061"/>
    <n v="0.57999999999999996"/>
    <s v="Normal"/>
    <n v="2022"/>
    <s v="October"/>
  </r>
  <r>
    <n v="1793"/>
    <n v="361"/>
    <x v="3"/>
    <x v="1"/>
    <x v="1"/>
    <d v="2022-12-14T00:00:00"/>
    <x v="272"/>
    <n v="7795"/>
    <n v="2894"/>
    <n v="4901"/>
    <x v="0"/>
    <n v="6"/>
    <x v="2"/>
    <d v="2023-07-01T00:00:00"/>
    <n v="0"/>
    <n v="1062"/>
    <n v="0.63"/>
    <s v="Normal"/>
    <n v="2023"/>
    <s v="July"/>
  </r>
  <r>
    <n v="1795"/>
    <n v="130"/>
    <x v="1"/>
    <x v="1"/>
    <x v="2"/>
    <d v="2022-02-27T00:00:00"/>
    <x v="72"/>
    <n v="8615"/>
    <n v="3048"/>
    <n v="5567"/>
    <x v="2"/>
    <n v="17"/>
    <x v="1"/>
    <d v="2023-08-12T00:00:00"/>
    <n v="0"/>
    <n v="1063"/>
    <n v="0.65"/>
    <s v="Normal"/>
    <n v="2023"/>
    <s v="August"/>
  </r>
  <r>
    <n v="1797"/>
    <n v="498"/>
    <x v="1"/>
    <x v="1"/>
    <x v="1"/>
    <d v="2022-12-29T00:00:00"/>
    <x v="401"/>
    <n v="1388"/>
    <n v="4012.75"/>
    <n v="2335"/>
    <x v="2"/>
    <n v="10"/>
    <x v="1"/>
    <d v="2023-11-11T00:00:00"/>
    <n v="1"/>
    <n v="1064"/>
    <n v="1.68"/>
    <s v="Outlier"/>
    <n v="2023"/>
    <s v="November"/>
  </r>
  <r>
    <n v="1799"/>
    <n v="136"/>
    <x v="4"/>
    <x v="0"/>
    <x v="2"/>
    <d v="2022-09-15T00:00:00"/>
    <x v="564"/>
    <n v="4967.93"/>
    <n v="4732"/>
    <n v="-6079"/>
    <x v="2"/>
    <n v="2"/>
    <x v="0"/>
    <d v="2022-12-01T00:00:00"/>
    <n v="0"/>
    <n v="1065"/>
    <n v="-1.22"/>
    <s v="Outlier"/>
    <n v="2022"/>
    <s v="December"/>
  </r>
  <r>
    <n v="1801"/>
    <n v="338"/>
    <x v="2"/>
    <x v="0"/>
    <x v="0"/>
    <d v="2022-02-06T00:00:00"/>
    <x v="478"/>
    <n v="9544"/>
    <n v="7178"/>
    <n v="2366"/>
    <x v="2"/>
    <n v="8"/>
    <x v="1"/>
    <d v="2022-10-07T00:00:00"/>
    <n v="1"/>
    <n v="1066"/>
    <n v="0.25"/>
    <s v="Normal"/>
    <n v="2022"/>
    <s v="October"/>
  </r>
  <r>
    <n v="1803"/>
    <n v="334"/>
    <x v="1"/>
    <x v="0"/>
    <x v="1"/>
    <d v="2022-07-26T00:00:00"/>
    <x v="380"/>
    <n v="2359"/>
    <n v="2064"/>
    <n v="295"/>
    <x v="2"/>
    <n v="4"/>
    <x v="0"/>
    <d v="2022-12-14T00:00:00"/>
    <n v="1"/>
    <n v="1067"/>
    <n v="0.13"/>
    <s v="Normal"/>
    <n v="2022"/>
    <s v="December"/>
  </r>
  <r>
    <n v="1804"/>
    <n v="200"/>
    <x v="2"/>
    <x v="1"/>
    <x v="0"/>
    <d v="2022-07-30T00:00:00"/>
    <x v="142"/>
    <n v="3483"/>
    <n v="2872"/>
    <n v="577.01"/>
    <x v="1"/>
    <n v="5"/>
    <x v="0"/>
    <d v="2023-01-22T00:00:00"/>
    <n v="1"/>
    <n v="1068"/>
    <n v="0.17"/>
    <s v="Normal"/>
    <n v="2023"/>
    <s v="January"/>
  </r>
  <r>
    <n v="1805"/>
    <n v="238"/>
    <x v="1"/>
    <x v="0"/>
    <x v="0"/>
    <d v="2022-10-08T00:00:00"/>
    <x v="578"/>
    <n v="601"/>
    <n v="3774"/>
    <n v="-3173"/>
    <x v="0"/>
    <n v="18"/>
    <x v="1"/>
    <d v="2024-04-19T00:00:00"/>
    <n v="0"/>
    <n v="1069"/>
    <n v="-5.28"/>
    <s v="Outlier"/>
    <n v="2024"/>
    <s v="April"/>
  </r>
  <r>
    <n v="1806"/>
    <n v="152"/>
    <x v="4"/>
    <x v="3"/>
    <x v="0"/>
    <d v="2022-12-05T00:00:00"/>
    <x v="268"/>
    <n v="9951"/>
    <n v="5081"/>
    <n v="4870"/>
    <x v="1"/>
    <n v="12"/>
    <x v="1"/>
    <d v="2023-12-06T00:00:00"/>
    <n v="1"/>
    <n v="1070"/>
    <n v="0.49"/>
    <s v="Normal"/>
    <n v="2023"/>
    <s v="December"/>
  </r>
  <r>
    <n v="1807"/>
    <n v="414"/>
    <x v="3"/>
    <x v="0"/>
    <x v="0"/>
    <d v="2022-07-29T00:00:00"/>
    <x v="545"/>
    <n v="7183"/>
    <n v="2171"/>
    <n v="5012"/>
    <x v="1"/>
    <n v="4"/>
    <x v="0"/>
    <d v="2022-12-17T00:00:00"/>
    <n v="1"/>
    <n v="1071"/>
    <n v="0.7"/>
    <s v="Normal"/>
    <n v="2022"/>
    <s v="December"/>
  </r>
  <r>
    <n v="1808"/>
    <n v="103"/>
    <x v="0"/>
    <x v="3"/>
    <x v="0"/>
    <d v="2022-12-24T00:00:00"/>
    <x v="425"/>
    <n v="4967.93"/>
    <n v="1989"/>
    <n v="-3820"/>
    <x v="1"/>
    <n v="4"/>
    <x v="0"/>
    <d v="2023-04-29T00:00:00"/>
    <n v="1"/>
    <n v="1072"/>
    <n v="-0.77"/>
    <s v="Normal"/>
    <n v="2023"/>
    <s v="April"/>
  </r>
  <r>
    <n v="1809"/>
    <n v="360"/>
    <x v="3"/>
    <x v="2"/>
    <x v="0"/>
    <d v="2022-03-20T00:00:00"/>
    <x v="134"/>
    <n v="4967.93"/>
    <n v="5080"/>
    <n v="-6599"/>
    <x v="0"/>
    <n v="7"/>
    <x v="1"/>
    <d v="2022-11-05T00:00:00"/>
    <n v="0"/>
    <n v="1073"/>
    <n v="-1.33"/>
    <s v="Outlier"/>
    <n v="2022"/>
    <s v="November"/>
  </r>
  <r>
    <n v="1811"/>
    <n v="290"/>
    <x v="0"/>
    <x v="0"/>
    <x v="0"/>
    <d v="2022-02-05T00:00:00"/>
    <x v="71"/>
    <n v="4967.93"/>
    <n v="4012.75"/>
    <n v="-205"/>
    <x v="2"/>
    <n v="17"/>
    <x v="1"/>
    <d v="2023-07-31T00:00:00"/>
    <n v="0"/>
    <n v="1074"/>
    <n v="-0.04"/>
    <s v="Normal"/>
    <n v="2023"/>
    <s v="July"/>
  </r>
  <r>
    <n v="1814"/>
    <n v="449"/>
    <x v="2"/>
    <x v="1"/>
    <x v="1"/>
    <d v="2022-09-12T00:00:00"/>
    <x v="579"/>
    <n v="2325"/>
    <n v="2858"/>
    <n v="577.01"/>
    <x v="2"/>
    <n v="17"/>
    <x v="1"/>
    <d v="2024-02-13T00:00:00"/>
    <n v="0"/>
    <n v="1075"/>
    <n v="0.25"/>
    <s v="Normal"/>
    <n v="2024"/>
    <s v="February"/>
  </r>
  <r>
    <n v="1815"/>
    <n v="312"/>
    <x v="2"/>
    <x v="3"/>
    <x v="1"/>
    <d v="2022-06-12T00:00:00"/>
    <x v="386"/>
    <n v="3651"/>
    <n v="4012.75"/>
    <n v="4361"/>
    <x v="0"/>
    <n v="11"/>
    <x v="1"/>
    <d v="2023-05-18T00:00:00"/>
    <n v="1"/>
    <n v="1076"/>
    <n v="1.19"/>
    <s v="Outlier"/>
    <n v="2023"/>
    <s v="May"/>
  </r>
  <r>
    <n v="1817"/>
    <n v="163"/>
    <x v="1"/>
    <x v="3"/>
    <x v="2"/>
    <d v="2022-06-03T00:00:00"/>
    <x v="99"/>
    <n v="5741"/>
    <n v="5850"/>
    <n v="-109"/>
    <x v="0"/>
    <n v="8"/>
    <x v="1"/>
    <d v="2023-02-23T00:00:00"/>
    <n v="0"/>
    <n v="1077"/>
    <n v="-0.02"/>
    <s v="Normal"/>
    <n v="2023"/>
    <s v="February"/>
  </r>
  <r>
    <n v="1821"/>
    <n v="365"/>
    <x v="2"/>
    <x v="1"/>
    <x v="2"/>
    <d v="2022-12-12T00:00:00"/>
    <x v="399"/>
    <n v="8654"/>
    <n v="912"/>
    <n v="7742"/>
    <x v="1"/>
    <n v="17"/>
    <x v="1"/>
    <d v="2024-06-02T00:00:00"/>
    <n v="0"/>
    <n v="1078"/>
    <n v="0.89"/>
    <s v="Normal"/>
    <n v="2024"/>
    <s v="June"/>
  </r>
  <r>
    <n v="1822"/>
    <n v="136"/>
    <x v="2"/>
    <x v="0"/>
    <x v="2"/>
    <d v="2022-07-07T00:00:00"/>
    <x v="409"/>
    <n v="1040"/>
    <n v="4012.75"/>
    <n v="577.01"/>
    <x v="0"/>
    <n v="17"/>
    <x v="1"/>
    <d v="2024-01-02T00:00:00"/>
    <n v="1"/>
    <n v="1079"/>
    <n v="0.55000000000000004"/>
    <s v="Normal"/>
    <n v="2024"/>
    <s v="January"/>
  </r>
  <r>
    <n v="1825"/>
    <n v="163"/>
    <x v="3"/>
    <x v="3"/>
    <x v="2"/>
    <d v="2022-02-09T00:00:00"/>
    <x v="580"/>
    <n v="2760"/>
    <n v="4012.75"/>
    <n v="2805"/>
    <x v="2"/>
    <n v="4"/>
    <x v="0"/>
    <d v="2022-06-25T00:00:00"/>
    <n v="1"/>
    <n v="1080"/>
    <n v="1.02"/>
    <s v="Outlier"/>
    <n v="2022"/>
    <s v="June"/>
  </r>
  <r>
    <n v="1826"/>
    <n v="169"/>
    <x v="1"/>
    <x v="2"/>
    <x v="0"/>
    <d v="2022-07-23T00:00:00"/>
    <x v="255"/>
    <n v="1124"/>
    <n v="174"/>
    <n v="950"/>
    <x v="1"/>
    <n v="2"/>
    <x v="0"/>
    <d v="2022-09-25T00:00:00"/>
    <n v="0"/>
    <n v="1081"/>
    <n v="0.85"/>
    <s v="Normal"/>
    <n v="2022"/>
    <s v="September"/>
  </r>
  <r>
    <n v="1827"/>
    <n v="130"/>
    <x v="2"/>
    <x v="0"/>
    <x v="0"/>
    <d v="2022-06-14T00:00:00"/>
    <x v="392"/>
    <n v="8372"/>
    <n v="1595"/>
    <n v="577.01"/>
    <x v="2"/>
    <n v="16"/>
    <x v="1"/>
    <d v="2023-10-22T00:00:00"/>
    <n v="1"/>
    <n v="1082"/>
    <n v="7.0000000000000007E-2"/>
    <s v="Normal"/>
    <n v="2023"/>
    <s v="October"/>
  </r>
  <r>
    <n v="1829"/>
    <n v="367"/>
    <x v="3"/>
    <x v="3"/>
    <x v="1"/>
    <d v="2022-10-01T00:00:00"/>
    <x v="44"/>
    <n v="5110"/>
    <n v="2658"/>
    <n v="2452"/>
    <x v="1"/>
    <n v="4"/>
    <x v="0"/>
    <d v="2023-02-08T00:00:00"/>
    <n v="1"/>
    <n v="1083"/>
    <n v="0.48"/>
    <s v="Normal"/>
    <n v="2023"/>
    <s v="February"/>
  </r>
  <r>
    <n v="1831"/>
    <n v="255"/>
    <x v="3"/>
    <x v="3"/>
    <x v="1"/>
    <d v="2022-10-30T00:00:00"/>
    <x v="581"/>
    <n v="9964"/>
    <n v="5327"/>
    <n v="4637"/>
    <x v="2"/>
    <n v="8"/>
    <x v="1"/>
    <d v="2023-07-27T00:00:00"/>
    <n v="1"/>
    <n v="1084"/>
    <n v="0.47"/>
    <s v="Normal"/>
    <n v="2023"/>
    <s v="July"/>
  </r>
  <r>
    <n v="1832"/>
    <n v="297"/>
    <x v="2"/>
    <x v="1"/>
    <x v="2"/>
    <d v="2022-05-13T00:00:00"/>
    <x v="582"/>
    <n v="1191"/>
    <n v="4450"/>
    <n v="577.01"/>
    <x v="1"/>
    <n v="15"/>
    <x v="1"/>
    <d v="2023-09-07T00:00:00"/>
    <n v="1"/>
    <n v="1085"/>
    <n v="0.48"/>
    <s v="Normal"/>
    <n v="2023"/>
    <s v="September"/>
  </r>
  <r>
    <n v="1836"/>
    <n v="200"/>
    <x v="0"/>
    <x v="2"/>
    <x v="2"/>
    <d v="2022-03-31T00:00:00"/>
    <x v="583"/>
    <n v="589"/>
    <n v="7713"/>
    <n v="-7124"/>
    <x v="1"/>
    <n v="18"/>
    <x v="1"/>
    <d v="2023-10-30T00:00:00"/>
    <n v="0"/>
    <n v="1086"/>
    <n v="-12.1"/>
    <s v="Outlier"/>
    <n v="2023"/>
    <s v="October"/>
  </r>
  <r>
    <n v="1837"/>
    <n v="466"/>
    <x v="3"/>
    <x v="2"/>
    <x v="1"/>
    <d v="2022-03-19T00:00:00"/>
    <x v="67"/>
    <n v="4967.93"/>
    <n v="4666"/>
    <n v="-6278"/>
    <x v="2"/>
    <n v="11"/>
    <x v="1"/>
    <d v="2023-02-20T00:00:00"/>
    <n v="1"/>
    <n v="1087"/>
    <n v="-1.26"/>
    <s v="Outlier"/>
    <n v="2023"/>
    <s v="February"/>
  </r>
  <r>
    <n v="1838"/>
    <n v="110"/>
    <x v="4"/>
    <x v="0"/>
    <x v="1"/>
    <d v="2022-07-30T00:00:00"/>
    <x v="551"/>
    <n v="7364"/>
    <n v="807"/>
    <n v="577.01"/>
    <x v="1"/>
    <n v="17"/>
    <x v="1"/>
    <d v="2024-01-12T00:00:00"/>
    <n v="0"/>
    <n v="1088"/>
    <n v="0.08"/>
    <s v="Normal"/>
    <n v="2024"/>
    <s v="January"/>
  </r>
  <r>
    <n v="1839"/>
    <n v="473"/>
    <x v="3"/>
    <x v="3"/>
    <x v="2"/>
    <d v="2022-03-04T00:00:00"/>
    <x v="558"/>
    <n v="480"/>
    <n v="7865"/>
    <n v="-7385"/>
    <x v="0"/>
    <n v="17"/>
    <x v="1"/>
    <d v="2023-08-04T00:00:00"/>
    <n v="0"/>
    <n v="1089"/>
    <n v="-15.39"/>
    <s v="Outlier"/>
    <n v="2023"/>
    <s v="August"/>
  </r>
  <r>
    <n v="1840"/>
    <n v="295"/>
    <x v="3"/>
    <x v="1"/>
    <x v="0"/>
    <d v="2022-12-13T00:00:00"/>
    <x v="18"/>
    <n v="9009"/>
    <n v="6632"/>
    <n v="2377"/>
    <x v="1"/>
    <n v="6"/>
    <x v="2"/>
    <d v="2023-06-17T00:00:00"/>
    <n v="0"/>
    <n v="1090"/>
    <n v="0.26"/>
    <s v="Normal"/>
    <n v="2023"/>
    <s v="June"/>
  </r>
  <r>
    <n v="1841"/>
    <n v="112"/>
    <x v="1"/>
    <x v="3"/>
    <x v="0"/>
    <d v="2022-05-01T00:00:00"/>
    <x v="264"/>
    <n v="660"/>
    <n v="6016"/>
    <n v="-5356"/>
    <x v="1"/>
    <n v="16"/>
    <x v="1"/>
    <d v="2023-09-17T00:00:00"/>
    <n v="1"/>
    <n v="1091"/>
    <n v="-8.1199999999999992"/>
    <s v="Outlier"/>
    <n v="2023"/>
    <s v="September"/>
  </r>
  <r>
    <n v="1842"/>
    <n v="452"/>
    <x v="3"/>
    <x v="3"/>
    <x v="0"/>
    <d v="2022-05-21T00:00:00"/>
    <x v="69"/>
    <n v="1396"/>
    <n v="7963"/>
    <n v="-6567"/>
    <x v="1"/>
    <n v="13"/>
    <x v="1"/>
    <d v="2023-07-18T00:00:00"/>
    <n v="0"/>
    <n v="1092"/>
    <n v="-4.7"/>
    <s v="Outlier"/>
    <n v="2023"/>
    <s v="July"/>
  </r>
  <r>
    <n v="1846"/>
    <n v="171"/>
    <x v="1"/>
    <x v="3"/>
    <x v="0"/>
    <d v="2022-06-11T00:00:00"/>
    <x v="213"/>
    <n v="4967.93"/>
    <n v="6998"/>
    <n v="-7921"/>
    <x v="2"/>
    <n v="13"/>
    <x v="1"/>
    <d v="2023-07-19T00:00:00"/>
    <n v="0"/>
    <n v="1093"/>
    <n v="-1.59"/>
    <s v="Outlier"/>
    <n v="2023"/>
    <s v="July"/>
  </r>
  <r>
    <n v="1847"/>
    <n v="264"/>
    <x v="3"/>
    <x v="0"/>
    <x v="1"/>
    <d v="2022-10-26T00:00:00"/>
    <x v="553"/>
    <n v="4967.93"/>
    <n v="7471"/>
    <n v="-8285"/>
    <x v="2"/>
    <n v="3"/>
    <x v="0"/>
    <d v="2023-01-30T00:00:00"/>
    <n v="1"/>
    <n v="1094"/>
    <n v="-1.67"/>
    <s v="Outlier"/>
    <n v="2023"/>
    <s v="January"/>
  </r>
  <r>
    <n v="1848"/>
    <n v="439"/>
    <x v="3"/>
    <x v="3"/>
    <x v="0"/>
    <d v="2022-02-28T00:00:00"/>
    <x v="424"/>
    <n v="8800"/>
    <n v="2326"/>
    <n v="6474"/>
    <x v="1"/>
    <n v="16"/>
    <x v="1"/>
    <d v="2023-07-12T00:00:00"/>
    <n v="1"/>
    <n v="1095"/>
    <n v="0.74"/>
    <s v="Normal"/>
    <n v="2023"/>
    <s v="July"/>
  </r>
  <r>
    <n v="1849"/>
    <n v="440"/>
    <x v="2"/>
    <x v="0"/>
    <x v="1"/>
    <d v="2022-04-05T00:00:00"/>
    <x v="72"/>
    <n v="1337"/>
    <n v="4639"/>
    <n v="-3302"/>
    <x v="1"/>
    <n v="16"/>
    <x v="1"/>
    <d v="2023-08-12T00:00:00"/>
    <n v="0"/>
    <n v="1096"/>
    <n v="-2.4700000000000002"/>
    <s v="Outlier"/>
    <n v="2023"/>
    <s v="August"/>
  </r>
  <r>
    <n v="1851"/>
    <n v="310"/>
    <x v="3"/>
    <x v="1"/>
    <x v="0"/>
    <d v="2022-08-20T00:00:00"/>
    <x v="438"/>
    <n v="4967.93"/>
    <n v="6921"/>
    <n v="-8599"/>
    <x v="0"/>
    <n v="17"/>
    <x v="1"/>
    <d v="2024-02-11T00:00:00"/>
    <n v="0"/>
    <n v="1097"/>
    <n v="-1.73"/>
    <s v="Outlier"/>
    <n v="2024"/>
    <s v="February"/>
  </r>
  <r>
    <n v="1854"/>
    <n v="297"/>
    <x v="0"/>
    <x v="2"/>
    <x v="2"/>
    <d v="2022-09-21T00:00:00"/>
    <x v="313"/>
    <n v="4906"/>
    <n v="511"/>
    <n v="4395"/>
    <x v="1"/>
    <n v="9"/>
    <x v="1"/>
    <d v="2023-06-23T00:00:00"/>
    <n v="1"/>
    <n v="1098"/>
    <n v="0.9"/>
    <s v="Normal"/>
    <n v="2023"/>
    <s v="June"/>
  </r>
  <r>
    <n v="1857"/>
    <n v="404"/>
    <x v="1"/>
    <x v="2"/>
    <x v="2"/>
    <d v="2022-09-01T00:00:00"/>
    <x v="172"/>
    <n v="5896"/>
    <n v="4012.75"/>
    <n v="5904"/>
    <x v="0"/>
    <n v="5"/>
    <x v="0"/>
    <d v="2023-02-26T00:00:00"/>
    <n v="0"/>
    <n v="1099"/>
    <n v="1"/>
    <s v="Outlier"/>
    <n v="2023"/>
    <s v="February"/>
  </r>
  <r>
    <n v="1858"/>
    <n v="117"/>
    <x v="2"/>
    <x v="2"/>
    <x v="0"/>
    <d v="2022-11-22T00:00:00"/>
    <x v="514"/>
    <n v="4359"/>
    <n v="3702"/>
    <n v="657"/>
    <x v="1"/>
    <n v="1"/>
    <x v="0"/>
    <d v="2022-12-29T00:00:00"/>
    <n v="1"/>
    <n v="1100"/>
    <n v="0.15"/>
    <s v="Normal"/>
    <n v="2022"/>
    <s v="December"/>
  </r>
  <r>
    <n v="1859"/>
    <n v="271"/>
    <x v="3"/>
    <x v="3"/>
    <x v="1"/>
    <d v="2022-04-05T00:00:00"/>
    <x v="94"/>
    <n v="9312"/>
    <n v="6225"/>
    <n v="577.01"/>
    <x v="2"/>
    <n v="14"/>
    <x v="1"/>
    <d v="2023-06-13T00:00:00"/>
    <n v="0"/>
    <n v="1101"/>
    <n v="0.06"/>
    <s v="Normal"/>
    <n v="2023"/>
    <s v="June"/>
  </r>
  <r>
    <n v="1860"/>
    <n v="325"/>
    <x v="3"/>
    <x v="2"/>
    <x v="0"/>
    <d v="2022-05-19T00:00:00"/>
    <x v="501"/>
    <n v="4551"/>
    <n v="6927"/>
    <n v="577.01"/>
    <x v="2"/>
    <n v="1"/>
    <x v="0"/>
    <d v="2022-06-21T00:00:00"/>
    <n v="0"/>
    <n v="1102"/>
    <n v="0.13"/>
    <s v="Normal"/>
    <n v="2022"/>
    <s v="June"/>
  </r>
  <r>
    <n v="1862"/>
    <n v="442"/>
    <x v="4"/>
    <x v="0"/>
    <x v="2"/>
    <d v="2022-02-13T00:00:00"/>
    <x v="390"/>
    <n v="2944"/>
    <n v="4012.75"/>
    <n v="3131"/>
    <x v="1"/>
    <n v="4"/>
    <x v="0"/>
    <d v="2022-06-30T00:00:00"/>
    <n v="0"/>
    <n v="1103"/>
    <n v="1.06"/>
    <s v="Outlier"/>
    <n v="2022"/>
    <s v="June"/>
  </r>
  <r>
    <n v="1863"/>
    <n v="478"/>
    <x v="3"/>
    <x v="1"/>
    <x v="0"/>
    <d v="2022-11-19T00:00:00"/>
    <x v="584"/>
    <n v="5316"/>
    <n v="252"/>
    <n v="5064"/>
    <x v="2"/>
    <n v="18"/>
    <x v="1"/>
    <d v="2024-05-30T00:00:00"/>
    <n v="1"/>
    <n v="1104"/>
    <n v="0.95"/>
    <s v="Normal"/>
    <n v="2024"/>
    <s v="May"/>
  </r>
  <r>
    <n v="1865"/>
    <n v="147"/>
    <x v="2"/>
    <x v="2"/>
    <x v="0"/>
    <d v="2022-01-11T00:00:00"/>
    <x v="370"/>
    <n v="3054"/>
    <n v="1443"/>
    <n v="1611"/>
    <x v="0"/>
    <n v="10"/>
    <x v="1"/>
    <d v="2022-11-23T00:00:00"/>
    <n v="1"/>
    <n v="1105"/>
    <n v="0.53"/>
    <s v="Normal"/>
    <n v="2022"/>
    <s v="November"/>
  </r>
  <r>
    <n v="1866"/>
    <n v="368"/>
    <x v="1"/>
    <x v="0"/>
    <x v="1"/>
    <d v="2022-06-01T00:00:00"/>
    <x v="516"/>
    <n v="8401"/>
    <n v="4012.75"/>
    <n v="8733"/>
    <x v="0"/>
    <n v="18"/>
    <x v="1"/>
    <d v="2023-12-19T00:00:00"/>
    <n v="1"/>
    <n v="1106"/>
    <n v="1.04"/>
    <s v="Outlier"/>
    <n v="2023"/>
    <s v="December"/>
  </r>
  <r>
    <n v="1870"/>
    <n v="449"/>
    <x v="3"/>
    <x v="2"/>
    <x v="2"/>
    <d v="2022-02-14T00:00:00"/>
    <x v="53"/>
    <n v="9759"/>
    <n v="5284"/>
    <n v="4475"/>
    <x v="1"/>
    <n v="4"/>
    <x v="0"/>
    <d v="2022-07-11T00:00:00"/>
    <n v="1"/>
    <n v="1107"/>
    <n v="0.46"/>
    <s v="Normal"/>
    <n v="2022"/>
    <s v="July"/>
  </r>
  <r>
    <n v="1871"/>
    <n v="228"/>
    <x v="1"/>
    <x v="3"/>
    <x v="1"/>
    <d v="2022-04-27T00:00:00"/>
    <x v="478"/>
    <n v="5901"/>
    <n v="1634"/>
    <n v="4267"/>
    <x v="1"/>
    <n v="5"/>
    <x v="0"/>
    <d v="2022-10-07T00:00:00"/>
    <n v="0"/>
    <n v="1108"/>
    <n v="0.72"/>
    <s v="Normal"/>
    <n v="2022"/>
    <s v="October"/>
  </r>
  <r>
    <n v="1872"/>
    <n v="245"/>
    <x v="4"/>
    <x v="3"/>
    <x v="2"/>
    <d v="2022-11-10T00:00:00"/>
    <x v="585"/>
    <n v="6874"/>
    <n v="5291"/>
    <n v="1583"/>
    <x v="2"/>
    <n v="12"/>
    <x v="1"/>
    <d v="2023-11-27T00:00:00"/>
    <n v="1"/>
    <n v="1109"/>
    <n v="0.23"/>
    <s v="Normal"/>
    <n v="2023"/>
    <s v="November"/>
  </r>
  <r>
    <n v="1875"/>
    <n v="307"/>
    <x v="4"/>
    <x v="1"/>
    <x v="1"/>
    <d v="2022-02-20T00:00:00"/>
    <x v="586"/>
    <n v="4304"/>
    <n v="6333"/>
    <n v="-2029"/>
    <x v="1"/>
    <n v="14"/>
    <x v="1"/>
    <d v="2023-04-21T00:00:00"/>
    <n v="1"/>
    <n v="1110"/>
    <n v="-0.47"/>
    <s v="Normal"/>
    <n v="2023"/>
    <s v="April"/>
  </r>
  <r>
    <n v="1876"/>
    <n v="324"/>
    <x v="1"/>
    <x v="3"/>
    <x v="0"/>
    <d v="2022-10-02T00:00:00"/>
    <x v="14"/>
    <n v="8982"/>
    <n v="7931"/>
    <n v="1051"/>
    <x v="2"/>
    <n v="10"/>
    <x v="1"/>
    <d v="2023-08-21T00:00:00"/>
    <n v="0"/>
    <n v="1111"/>
    <n v="0.12"/>
    <s v="Normal"/>
    <n v="2023"/>
    <s v="August"/>
  </r>
  <r>
    <n v="1879"/>
    <n v="220"/>
    <x v="3"/>
    <x v="1"/>
    <x v="0"/>
    <d v="2022-09-28T00:00:00"/>
    <x v="587"/>
    <n v="1947"/>
    <n v="4012.75"/>
    <n v="1974"/>
    <x v="1"/>
    <n v="19"/>
    <x v="1"/>
    <d v="2024-05-12T00:00:00"/>
    <n v="0"/>
    <n v="1112"/>
    <n v="1.01"/>
    <s v="Outlier"/>
    <n v="2024"/>
    <s v="May"/>
  </r>
  <r>
    <n v="1881"/>
    <n v="162"/>
    <x v="2"/>
    <x v="0"/>
    <x v="0"/>
    <d v="2022-08-11T00:00:00"/>
    <x v="41"/>
    <n v="3337"/>
    <n v="4114"/>
    <n v="-777"/>
    <x v="2"/>
    <n v="8"/>
    <x v="1"/>
    <d v="2023-04-28T00:00:00"/>
    <n v="1"/>
    <n v="1113"/>
    <n v="-0.23"/>
    <s v="Normal"/>
    <n v="2023"/>
    <s v="April"/>
  </r>
  <r>
    <n v="1882"/>
    <n v="390"/>
    <x v="3"/>
    <x v="0"/>
    <x v="0"/>
    <d v="2022-10-19T00:00:00"/>
    <x v="540"/>
    <n v="194"/>
    <n v="2477"/>
    <n v="-2283"/>
    <x v="0"/>
    <n v="9"/>
    <x v="1"/>
    <d v="2023-08-09T00:00:00"/>
    <n v="0"/>
    <n v="1114"/>
    <n v="-11.77"/>
    <s v="Outlier"/>
    <n v="2023"/>
    <s v="August"/>
  </r>
  <r>
    <n v="1884"/>
    <n v="418"/>
    <x v="0"/>
    <x v="0"/>
    <x v="0"/>
    <d v="2022-05-23T00:00:00"/>
    <x v="588"/>
    <n v="538"/>
    <n v="3011"/>
    <n v="-2473"/>
    <x v="2"/>
    <n v="14"/>
    <x v="1"/>
    <d v="2023-07-23T00:00:00"/>
    <n v="1"/>
    <n v="1115"/>
    <n v="-4.5999999999999996"/>
    <s v="Outlier"/>
    <n v="2023"/>
    <s v="July"/>
  </r>
  <r>
    <n v="1888"/>
    <n v="434"/>
    <x v="2"/>
    <x v="2"/>
    <x v="0"/>
    <d v="2022-03-01T00:00:00"/>
    <x v="428"/>
    <n v="4698"/>
    <n v="6753"/>
    <n v="-2055"/>
    <x v="0"/>
    <n v="13"/>
    <x v="1"/>
    <d v="2023-04-15T00:00:00"/>
    <n v="1"/>
    <n v="1116"/>
    <n v="-0.44"/>
    <s v="Normal"/>
    <n v="2023"/>
    <s v="April"/>
  </r>
  <r>
    <n v="1890"/>
    <n v="448"/>
    <x v="1"/>
    <x v="0"/>
    <x v="1"/>
    <d v="2022-12-19T00:00:00"/>
    <x v="129"/>
    <n v="4378"/>
    <n v="6370"/>
    <n v="-1992"/>
    <x v="2"/>
    <n v="5"/>
    <x v="0"/>
    <d v="2023-06-02T00:00:00"/>
    <n v="1"/>
    <n v="1117"/>
    <n v="-0.46"/>
    <s v="Normal"/>
    <n v="2023"/>
    <s v="June"/>
  </r>
  <r>
    <n v="1891"/>
    <n v="394"/>
    <x v="0"/>
    <x v="1"/>
    <x v="0"/>
    <d v="2022-11-14T00:00:00"/>
    <x v="287"/>
    <n v="9059"/>
    <n v="1216"/>
    <n v="7843"/>
    <x v="1"/>
    <n v="16"/>
    <x v="1"/>
    <d v="2024-03-29T00:00:00"/>
    <n v="1"/>
    <n v="1118"/>
    <n v="0.87"/>
    <s v="Normal"/>
    <n v="2024"/>
    <s v="March"/>
  </r>
  <r>
    <n v="1893"/>
    <n v="201"/>
    <x v="2"/>
    <x v="0"/>
    <x v="1"/>
    <d v="2022-02-15T00:00:00"/>
    <x v="558"/>
    <n v="1705"/>
    <n v="2626"/>
    <n v="-921"/>
    <x v="1"/>
    <n v="17"/>
    <x v="1"/>
    <d v="2023-08-04T00:00:00"/>
    <n v="1"/>
    <n v="1119"/>
    <n v="-0.54"/>
    <s v="Normal"/>
    <n v="2023"/>
    <s v="August"/>
  </r>
  <r>
    <n v="1899"/>
    <n v="105"/>
    <x v="4"/>
    <x v="1"/>
    <x v="0"/>
    <d v="2022-08-05T00:00:00"/>
    <x v="199"/>
    <n v="8274"/>
    <n v="542"/>
    <n v="7732"/>
    <x v="2"/>
    <n v="13"/>
    <x v="1"/>
    <d v="2023-09-24T00:00:00"/>
    <n v="1"/>
    <n v="1120"/>
    <n v="0.93"/>
    <s v="Normal"/>
    <n v="2023"/>
    <s v="September"/>
  </r>
  <r>
    <n v="1900"/>
    <n v="263"/>
    <x v="2"/>
    <x v="3"/>
    <x v="0"/>
    <d v="2022-08-07T00:00:00"/>
    <x v="422"/>
    <n v="7627"/>
    <n v="5302"/>
    <n v="2325"/>
    <x v="0"/>
    <n v="17"/>
    <x v="1"/>
    <d v="2024-01-10T00:00:00"/>
    <n v="1"/>
    <n v="1121"/>
    <n v="0.3"/>
    <s v="Normal"/>
    <n v="2024"/>
    <s v="January"/>
  </r>
  <r>
    <n v="1902"/>
    <n v="236"/>
    <x v="2"/>
    <x v="1"/>
    <x v="1"/>
    <d v="2022-02-03T00:00:00"/>
    <x v="493"/>
    <n v="2181"/>
    <n v="3370"/>
    <n v="-1189"/>
    <x v="2"/>
    <n v="12"/>
    <x v="1"/>
    <d v="2023-02-16T00:00:00"/>
    <n v="0"/>
    <n v="1122"/>
    <n v="-0.55000000000000004"/>
    <s v="Normal"/>
    <n v="2023"/>
    <s v="February"/>
  </r>
  <r>
    <n v="1903"/>
    <n v="391"/>
    <x v="3"/>
    <x v="1"/>
    <x v="0"/>
    <d v="2022-05-03T00:00:00"/>
    <x v="385"/>
    <n v="4378"/>
    <n v="935"/>
    <n v="3443"/>
    <x v="1"/>
    <n v="12"/>
    <x v="1"/>
    <d v="2023-05-10T00:00:00"/>
    <n v="0"/>
    <n v="1123"/>
    <n v="0.79"/>
    <s v="Normal"/>
    <n v="2023"/>
    <s v="May"/>
  </r>
  <r>
    <n v="1905"/>
    <n v="380"/>
    <x v="1"/>
    <x v="3"/>
    <x v="0"/>
    <d v="2022-01-01T00:00:00"/>
    <x v="513"/>
    <n v="3419"/>
    <n v="4012.75"/>
    <n v="4260"/>
    <x v="2"/>
    <n v="2"/>
    <x v="0"/>
    <d v="2022-03-26T00:00:00"/>
    <n v="1"/>
    <n v="1124"/>
    <n v="1.25"/>
    <s v="Outlier"/>
    <n v="2022"/>
    <s v="March"/>
  </r>
  <r>
    <n v="1907"/>
    <n v="258"/>
    <x v="0"/>
    <x v="1"/>
    <x v="0"/>
    <d v="2022-04-07T00:00:00"/>
    <x v="589"/>
    <n v="3226"/>
    <n v="5927"/>
    <n v="-2701"/>
    <x v="1"/>
    <n v="16"/>
    <x v="1"/>
    <d v="2023-08-27T00:00:00"/>
    <n v="0"/>
    <n v="1125"/>
    <n v="-0.84"/>
    <s v="Normal"/>
    <n v="2023"/>
    <s v="August"/>
  </r>
  <r>
    <n v="1908"/>
    <n v="336"/>
    <x v="4"/>
    <x v="1"/>
    <x v="2"/>
    <d v="2022-11-22T00:00:00"/>
    <x v="590"/>
    <n v="8354"/>
    <n v="1120"/>
    <n v="577.01"/>
    <x v="1"/>
    <n v="3"/>
    <x v="0"/>
    <d v="2023-02-28T00:00:00"/>
    <n v="1"/>
    <n v="1126"/>
    <n v="7.0000000000000007E-2"/>
    <s v="Normal"/>
    <n v="2023"/>
    <s v="February"/>
  </r>
  <r>
    <n v="1911"/>
    <n v="336"/>
    <x v="0"/>
    <x v="3"/>
    <x v="2"/>
    <d v="2022-11-13T00:00:00"/>
    <x v="489"/>
    <n v="4967.93"/>
    <n v="5610"/>
    <n v="-6347"/>
    <x v="1"/>
    <n v="16"/>
    <x v="1"/>
    <d v="2024-03-23T00:00:00"/>
    <n v="0"/>
    <n v="1127"/>
    <n v="-1.28"/>
    <s v="Outlier"/>
    <n v="2024"/>
    <s v="March"/>
  </r>
  <r>
    <n v="1913"/>
    <n v="420"/>
    <x v="4"/>
    <x v="1"/>
    <x v="0"/>
    <d v="2022-09-04T00:00:00"/>
    <x v="424"/>
    <n v="6847"/>
    <n v="6150"/>
    <n v="697"/>
    <x v="0"/>
    <n v="10"/>
    <x v="1"/>
    <d v="2023-07-12T00:00:00"/>
    <n v="1"/>
    <n v="1128"/>
    <n v="0.1"/>
    <s v="Normal"/>
    <n v="2023"/>
    <s v="July"/>
  </r>
  <r>
    <n v="1914"/>
    <n v="205"/>
    <x v="0"/>
    <x v="2"/>
    <x v="0"/>
    <d v="2022-02-10T00:00:00"/>
    <x v="591"/>
    <n v="8701"/>
    <n v="1998"/>
    <n v="6703"/>
    <x v="1"/>
    <n v="10"/>
    <x v="1"/>
    <d v="2022-12-13T00:00:00"/>
    <n v="1"/>
    <n v="1129"/>
    <n v="0.77"/>
    <s v="Normal"/>
    <n v="2022"/>
    <s v="December"/>
  </r>
  <r>
    <n v="1915"/>
    <n v="337"/>
    <x v="4"/>
    <x v="3"/>
    <x v="0"/>
    <d v="2022-10-21T00:00:00"/>
    <x v="557"/>
    <n v="6633"/>
    <n v="7254"/>
    <n v="-621"/>
    <x v="0"/>
    <n v="15"/>
    <x v="1"/>
    <d v="2024-02-01T00:00:00"/>
    <n v="1"/>
    <n v="1130"/>
    <n v="-0.09"/>
    <s v="Normal"/>
    <n v="2024"/>
    <s v="February"/>
  </r>
  <r>
    <n v="1916"/>
    <n v="107"/>
    <x v="1"/>
    <x v="2"/>
    <x v="1"/>
    <d v="2022-09-17T00:00:00"/>
    <x v="161"/>
    <n v="3170"/>
    <n v="7386"/>
    <n v="-4216"/>
    <x v="1"/>
    <n v="19"/>
    <x v="1"/>
    <d v="2024-04-18T00:00:00"/>
    <n v="0"/>
    <n v="1131"/>
    <n v="-1.33"/>
    <s v="Outlier"/>
    <n v="2024"/>
    <s v="April"/>
  </r>
  <r>
    <n v="1917"/>
    <n v="198"/>
    <x v="2"/>
    <x v="0"/>
    <x v="0"/>
    <d v="2022-12-29T00:00:00"/>
    <x v="217"/>
    <n v="4967.93"/>
    <n v="1802"/>
    <n v="577.01"/>
    <x v="0"/>
    <n v="4"/>
    <x v="0"/>
    <d v="2023-05-17T00:00:00"/>
    <n v="1"/>
    <n v="1132"/>
    <n v="0.12"/>
    <s v="Normal"/>
    <n v="2023"/>
    <s v="May"/>
  </r>
  <r>
    <n v="1918"/>
    <n v="418"/>
    <x v="3"/>
    <x v="3"/>
    <x v="2"/>
    <d v="2022-04-29T00:00:00"/>
    <x v="246"/>
    <n v="7979"/>
    <n v="1634"/>
    <n v="6345"/>
    <x v="1"/>
    <n v="5"/>
    <x v="0"/>
    <d v="2022-10-05T00:00:00"/>
    <n v="1"/>
    <n v="1133"/>
    <n v="0.8"/>
    <s v="Normal"/>
    <n v="2022"/>
    <s v="October"/>
  </r>
  <r>
    <n v="1919"/>
    <n v="185"/>
    <x v="3"/>
    <x v="1"/>
    <x v="1"/>
    <d v="2022-06-11T00:00:00"/>
    <x v="592"/>
    <n v="2280"/>
    <n v="6162"/>
    <n v="-3882"/>
    <x v="2"/>
    <n v="17"/>
    <x v="1"/>
    <d v="2023-11-15T00:00:00"/>
    <n v="1"/>
    <n v="1134"/>
    <n v="-1.7"/>
    <s v="Outlier"/>
    <n v="2023"/>
    <s v="November"/>
  </r>
  <r>
    <n v="1920"/>
    <n v="332"/>
    <x v="4"/>
    <x v="0"/>
    <x v="2"/>
    <d v="2022-06-15T00:00:00"/>
    <x v="310"/>
    <n v="9426"/>
    <n v="4012.75"/>
    <n v="9767"/>
    <x v="1"/>
    <n v="16"/>
    <x v="1"/>
    <d v="2023-10-28T00:00:00"/>
    <n v="1"/>
    <n v="1135"/>
    <n v="1.04"/>
    <s v="Outlier"/>
    <n v="2023"/>
    <s v="October"/>
  </r>
  <r>
    <n v="1922"/>
    <n v="488"/>
    <x v="3"/>
    <x v="2"/>
    <x v="2"/>
    <d v="2022-06-25T00:00:00"/>
    <x v="476"/>
    <n v="7786"/>
    <n v="3037"/>
    <n v="4749"/>
    <x v="0"/>
    <n v="2"/>
    <x v="0"/>
    <d v="2022-09-24T00:00:00"/>
    <n v="1"/>
    <n v="1136"/>
    <n v="0.61"/>
    <s v="Normal"/>
    <n v="2022"/>
    <s v="September"/>
  </r>
  <r>
    <n v="1924"/>
    <n v="483"/>
    <x v="3"/>
    <x v="1"/>
    <x v="1"/>
    <d v="2022-11-05T00:00:00"/>
    <x v="11"/>
    <n v="4967.93"/>
    <n v="4012.75"/>
    <n v="56"/>
    <x v="1"/>
    <n v="7"/>
    <x v="1"/>
    <d v="2023-06-30T00:00:00"/>
    <n v="1"/>
    <n v="1137"/>
    <n v="0.01"/>
    <s v="Normal"/>
    <n v="2023"/>
    <s v="June"/>
  </r>
  <r>
    <n v="1925"/>
    <n v="373"/>
    <x v="3"/>
    <x v="0"/>
    <x v="0"/>
    <d v="2022-08-15T00:00:00"/>
    <x v="593"/>
    <n v="3668"/>
    <n v="6248"/>
    <n v="577.01"/>
    <x v="2"/>
    <n v="1"/>
    <x v="0"/>
    <d v="2022-10-02T00:00:00"/>
    <n v="1"/>
    <n v="1138"/>
    <n v="0.16"/>
    <s v="Normal"/>
    <n v="2022"/>
    <s v="October"/>
  </r>
  <r>
    <n v="1927"/>
    <n v="364"/>
    <x v="0"/>
    <x v="2"/>
    <x v="0"/>
    <d v="2022-02-19T00:00:00"/>
    <x v="594"/>
    <n v="2520"/>
    <n v="6864"/>
    <n v="-4344"/>
    <x v="1"/>
    <n v="5"/>
    <x v="0"/>
    <d v="2022-08-17T00:00:00"/>
    <n v="0"/>
    <n v="1139"/>
    <n v="-1.72"/>
    <s v="Outlier"/>
    <n v="2022"/>
    <s v="August"/>
  </r>
  <r>
    <n v="1931"/>
    <n v="171"/>
    <x v="2"/>
    <x v="2"/>
    <x v="0"/>
    <d v="2022-11-22T00:00:00"/>
    <x v="518"/>
    <n v="4967.93"/>
    <n v="7185"/>
    <n v="-7621"/>
    <x v="2"/>
    <n v="17"/>
    <x v="1"/>
    <d v="2024-04-25T00:00:00"/>
    <n v="0"/>
    <n v="1140"/>
    <n v="-1.53"/>
    <s v="Outlier"/>
    <n v="2024"/>
    <s v="April"/>
  </r>
  <r>
    <n v="1932"/>
    <n v="425"/>
    <x v="4"/>
    <x v="2"/>
    <x v="2"/>
    <d v="2022-12-09T00:00:00"/>
    <x v="441"/>
    <n v="1081"/>
    <n v="5199"/>
    <n v="-4118"/>
    <x v="1"/>
    <n v="8"/>
    <x v="1"/>
    <d v="2023-09-02T00:00:00"/>
    <n v="1"/>
    <n v="1141"/>
    <n v="-3.81"/>
    <s v="Outlier"/>
    <n v="2023"/>
    <s v="September"/>
  </r>
  <r>
    <n v="1933"/>
    <n v="410"/>
    <x v="2"/>
    <x v="1"/>
    <x v="1"/>
    <d v="2022-03-21T00:00:00"/>
    <x v="0"/>
    <n v="4967.93"/>
    <n v="4012.75"/>
    <n v="25"/>
    <x v="0"/>
    <n v="9"/>
    <x v="1"/>
    <d v="2023-01-20T00:00:00"/>
    <n v="1"/>
    <n v="1142"/>
    <n v="0.01"/>
    <s v="Normal"/>
    <n v="2023"/>
    <s v="January"/>
  </r>
  <r>
    <n v="1934"/>
    <n v="357"/>
    <x v="0"/>
    <x v="2"/>
    <x v="2"/>
    <d v="2022-05-15T00:00:00"/>
    <x v="246"/>
    <n v="3353"/>
    <n v="2917"/>
    <n v="436"/>
    <x v="1"/>
    <n v="4"/>
    <x v="0"/>
    <d v="2022-10-05T00:00:00"/>
    <n v="1"/>
    <n v="1143"/>
    <n v="0.13"/>
    <s v="Normal"/>
    <n v="2022"/>
    <s v="October"/>
  </r>
  <r>
    <n v="1938"/>
    <n v="477"/>
    <x v="0"/>
    <x v="0"/>
    <x v="1"/>
    <d v="2022-06-15T00:00:00"/>
    <x v="523"/>
    <n v="7235"/>
    <n v="7526"/>
    <n v="-291"/>
    <x v="0"/>
    <n v="1"/>
    <x v="0"/>
    <d v="2022-07-25T00:00:00"/>
    <n v="0"/>
    <n v="1144"/>
    <n v="-0.04"/>
    <s v="Normal"/>
    <n v="2022"/>
    <s v="July"/>
  </r>
  <r>
    <n v="1940"/>
    <n v="235"/>
    <x v="2"/>
    <x v="3"/>
    <x v="2"/>
    <d v="2022-01-20T00:00:00"/>
    <x v="595"/>
    <n v="7777"/>
    <n v="5928"/>
    <n v="1849"/>
    <x v="1"/>
    <n v="1"/>
    <x v="0"/>
    <d v="2022-02-27T00:00:00"/>
    <n v="1"/>
    <n v="1145"/>
    <n v="0.24"/>
    <s v="Normal"/>
    <n v="2022"/>
    <s v="February"/>
  </r>
  <r>
    <n v="1941"/>
    <n v="429"/>
    <x v="1"/>
    <x v="3"/>
    <x v="1"/>
    <d v="2022-09-04T00:00:00"/>
    <x v="45"/>
    <n v="3655"/>
    <n v="1524"/>
    <n v="2131"/>
    <x v="1"/>
    <n v="3"/>
    <x v="0"/>
    <d v="2023-01-02T00:00:00"/>
    <n v="0"/>
    <n v="1146"/>
    <n v="0.57999999999999996"/>
    <s v="Normal"/>
    <n v="2023"/>
    <s v="January"/>
  </r>
  <r>
    <n v="1943"/>
    <n v="457"/>
    <x v="3"/>
    <x v="1"/>
    <x v="1"/>
    <d v="2022-10-28T00:00:00"/>
    <x v="457"/>
    <n v="9888"/>
    <n v="6039"/>
    <n v="3849"/>
    <x v="2"/>
    <n v="14"/>
    <x v="1"/>
    <d v="2023-12-31T00:00:00"/>
    <n v="1"/>
    <n v="1147"/>
    <n v="0.39"/>
    <s v="Normal"/>
    <n v="2023"/>
    <s v="December"/>
  </r>
  <r>
    <n v="1945"/>
    <n v="133"/>
    <x v="2"/>
    <x v="0"/>
    <x v="1"/>
    <d v="2022-04-29T00:00:00"/>
    <x v="251"/>
    <n v="8061"/>
    <n v="2121"/>
    <n v="5940"/>
    <x v="2"/>
    <n v="5"/>
    <x v="0"/>
    <d v="2022-10-09T00:00:00"/>
    <n v="1"/>
    <n v="1148"/>
    <n v="0.74"/>
    <s v="Normal"/>
    <n v="2022"/>
    <s v="October"/>
  </r>
  <r>
    <n v="1946"/>
    <n v="392"/>
    <x v="2"/>
    <x v="0"/>
    <x v="0"/>
    <d v="2022-09-05T00:00:00"/>
    <x v="56"/>
    <n v="4967.93"/>
    <n v="161"/>
    <n v="-1683"/>
    <x v="0"/>
    <n v="12"/>
    <x v="1"/>
    <d v="2023-10-02T00:00:00"/>
    <n v="0"/>
    <n v="1149"/>
    <n v="-0.34"/>
    <s v="Normal"/>
    <n v="2023"/>
    <s v="October"/>
  </r>
  <r>
    <n v="1948"/>
    <n v="191"/>
    <x v="3"/>
    <x v="1"/>
    <x v="0"/>
    <d v="2022-09-08T00:00:00"/>
    <x v="489"/>
    <n v="3308"/>
    <n v="485"/>
    <n v="2823"/>
    <x v="2"/>
    <n v="18"/>
    <x v="1"/>
    <d v="2024-03-23T00:00:00"/>
    <n v="0"/>
    <n v="1150"/>
    <n v="0.85"/>
    <s v="Normal"/>
    <n v="2024"/>
    <s v="March"/>
  </r>
  <r>
    <n v="1950"/>
    <n v="274"/>
    <x v="2"/>
    <x v="1"/>
    <x v="2"/>
    <d v="2022-09-07T00:00:00"/>
    <x v="349"/>
    <n v="1030"/>
    <n v="6555"/>
    <n v="-5525"/>
    <x v="1"/>
    <n v="8"/>
    <x v="1"/>
    <d v="2023-06-03T00:00:00"/>
    <n v="0"/>
    <n v="1151"/>
    <n v="-5.36"/>
    <s v="Outlier"/>
    <n v="2023"/>
    <s v="June"/>
  </r>
  <r>
    <n v="1955"/>
    <n v="102"/>
    <x v="3"/>
    <x v="1"/>
    <x v="1"/>
    <d v="2022-12-13T00:00:00"/>
    <x v="587"/>
    <n v="2853"/>
    <n v="3352"/>
    <n v="577.01"/>
    <x v="1"/>
    <n v="16"/>
    <x v="1"/>
    <d v="2024-05-12T00:00:00"/>
    <n v="1"/>
    <n v="1152"/>
    <n v="0.2"/>
    <s v="Normal"/>
    <n v="2024"/>
    <s v="May"/>
  </r>
  <r>
    <n v="1957"/>
    <n v="405"/>
    <x v="2"/>
    <x v="1"/>
    <x v="1"/>
    <d v="2022-10-04T00:00:00"/>
    <x v="319"/>
    <n v="4967.93"/>
    <n v="4304"/>
    <n v="-6101"/>
    <x v="0"/>
    <n v="18"/>
    <x v="1"/>
    <d v="2024-04-12T00:00:00"/>
    <n v="0"/>
    <n v="1153"/>
    <n v="-1.23"/>
    <s v="Outlier"/>
    <n v="2024"/>
    <s v="April"/>
  </r>
  <r>
    <n v="1958"/>
    <n v="164"/>
    <x v="1"/>
    <x v="3"/>
    <x v="1"/>
    <d v="2022-04-09T00:00:00"/>
    <x v="596"/>
    <n v="4967.93"/>
    <n v="6707"/>
    <n v="-8074"/>
    <x v="2"/>
    <n v="17"/>
    <x v="1"/>
    <d v="2023-09-16T00:00:00"/>
    <n v="0"/>
    <n v="1154"/>
    <n v="-1.63"/>
    <s v="Outlier"/>
    <n v="2023"/>
    <s v="September"/>
  </r>
  <r>
    <n v="1961"/>
    <n v="262"/>
    <x v="3"/>
    <x v="1"/>
    <x v="1"/>
    <d v="2022-03-22T00:00:00"/>
    <x v="48"/>
    <n v="4967.93"/>
    <n v="1899"/>
    <n v="-3617"/>
    <x v="0"/>
    <n v="19"/>
    <x v="1"/>
    <d v="2023-11-02T00:00:00"/>
    <n v="0"/>
    <n v="1155"/>
    <n v="-0.73"/>
    <s v="Normal"/>
    <n v="2023"/>
    <s v="November"/>
  </r>
  <r>
    <n v="1964"/>
    <n v="144"/>
    <x v="0"/>
    <x v="1"/>
    <x v="2"/>
    <d v="2022-11-21T00:00:00"/>
    <x v="504"/>
    <n v="5668"/>
    <n v="1420"/>
    <n v="4248"/>
    <x v="0"/>
    <n v="2"/>
    <x v="0"/>
    <d v="2023-02-18T00:00:00"/>
    <n v="1"/>
    <n v="1156"/>
    <n v="0.75"/>
    <s v="Normal"/>
    <n v="2023"/>
    <s v="February"/>
  </r>
  <r>
    <n v="1965"/>
    <n v="335"/>
    <x v="2"/>
    <x v="3"/>
    <x v="2"/>
    <d v="2022-08-11T00:00:00"/>
    <x v="36"/>
    <n v="3755"/>
    <n v="1373"/>
    <n v="2382"/>
    <x v="2"/>
    <n v="11"/>
    <x v="1"/>
    <d v="2023-07-29T00:00:00"/>
    <n v="0"/>
    <n v="1157"/>
    <n v="0.63"/>
    <s v="Normal"/>
    <n v="2023"/>
    <s v="July"/>
  </r>
  <r>
    <n v="1969"/>
    <n v="445"/>
    <x v="3"/>
    <x v="0"/>
    <x v="0"/>
    <d v="2022-04-26T00:00:00"/>
    <x v="474"/>
    <n v="8787"/>
    <n v="6404"/>
    <n v="2383"/>
    <x v="1"/>
    <n v="10"/>
    <x v="1"/>
    <d v="2023-03-14T00:00:00"/>
    <n v="0"/>
    <n v="1158"/>
    <n v="0.27"/>
    <s v="Normal"/>
    <n v="2023"/>
    <s v="March"/>
  </r>
  <r>
    <n v="1974"/>
    <n v="288"/>
    <x v="1"/>
    <x v="3"/>
    <x v="0"/>
    <d v="2022-05-19T00:00:00"/>
    <x v="597"/>
    <n v="8610"/>
    <n v="4739"/>
    <n v="3871"/>
    <x v="2"/>
    <n v="18"/>
    <x v="1"/>
    <d v="2023-11-30T00:00:00"/>
    <n v="1"/>
    <n v="1159"/>
    <n v="0.45"/>
    <s v="Normal"/>
    <n v="2023"/>
    <s v="November"/>
  </r>
  <r>
    <n v="1975"/>
    <n v="480"/>
    <x v="4"/>
    <x v="2"/>
    <x v="1"/>
    <d v="2022-12-01T00:00:00"/>
    <x v="448"/>
    <n v="460"/>
    <n v="6591"/>
    <n v="-6131"/>
    <x v="0"/>
    <n v="7"/>
    <x v="1"/>
    <d v="2023-07-21T00:00:00"/>
    <n v="1"/>
    <n v="1160"/>
    <n v="-13.33"/>
    <s v="Outlier"/>
    <n v="2023"/>
    <s v="July"/>
  </r>
  <r>
    <n v="1976"/>
    <n v="131"/>
    <x v="1"/>
    <x v="1"/>
    <x v="0"/>
    <d v="2022-11-28T00:00:00"/>
    <x v="598"/>
    <n v="4967.93"/>
    <n v="6885"/>
    <n v="-8054"/>
    <x v="1"/>
    <n v="17"/>
    <x v="1"/>
    <d v="2024-05-09T00:00:00"/>
    <n v="0"/>
    <n v="1161"/>
    <n v="-1.62"/>
    <s v="Outlier"/>
    <n v="2024"/>
    <s v="May"/>
  </r>
  <r>
    <n v="1977"/>
    <n v="203"/>
    <x v="2"/>
    <x v="0"/>
    <x v="1"/>
    <d v="2022-07-12T00:00:00"/>
    <x v="402"/>
    <n v="497"/>
    <n v="4139"/>
    <n v="-3642"/>
    <x v="1"/>
    <n v="8"/>
    <x v="1"/>
    <d v="2023-04-07T00:00:00"/>
    <n v="1"/>
    <n v="1162"/>
    <n v="-7.33"/>
    <s v="Outlier"/>
    <n v="2023"/>
    <s v="April"/>
  </r>
  <r>
    <n v="1978"/>
    <n v="451"/>
    <x v="2"/>
    <x v="2"/>
    <x v="0"/>
    <d v="2022-01-31T00:00:00"/>
    <x v="145"/>
    <n v="3591"/>
    <n v="7209"/>
    <n v="-3618"/>
    <x v="1"/>
    <n v="11"/>
    <x v="1"/>
    <d v="2023-01-09T00:00:00"/>
    <n v="0"/>
    <n v="1163"/>
    <n v="-1.01"/>
    <s v="Outlier"/>
    <n v="2023"/>
    <s v="January"/>
  </r>
  <r>
    <n v="1979"/>
    <n v="100"/>
    <x v="3"/>
    <x v="0"/>
    <x v="1"/>
    <d v="2022-05-09T00:00:00"/>
    <x v="525"/>
    <n v="4616"/>
    <n v="4950"/>
    <n v="-334"/>
    <x v="1"/>
    <n v="5"/>
    <x v="0"/>
    <d v="2022-10-27T00:00:00"/>
    <n v="1"/>
    <n v="1164"/>
    <n v="-7.0000000000000007E-2"/>
    <s v="Normal"/>
    <n v="2022"/>
    <s v="October"/>
  </r>
  <r>
    <n v="1980"/>
    <n v="315"/>
    <x v="0"/>
    <x v="2"/>
    <x v="1"/>
    <d v="2022-11-02T00:00:00"/>
    <x v="427"/>
    <n v="7106"/>
    <n v="24"/>
    <n v="7082"/>
    <x v="1"/>
    <n v="4"/>
    <x v="0"/>
    <d v="2023-03-08T00:00:00"/>
    <n v="1"/>
    <n v="1165"/>
    <n v="1"/>
    <s v="Normal"/>
    <n v="2023"/>
    <s v="March"/>
  </r>
  <r>
    <n v="1981"/>
    <n v="393"/>
    <x v="1"/>
    <x v="2"/>
    <x v="1"/>
    <d v="2022-12-18T00:00:00"/>
    <x v="215"/>
    <n v="5753"/>
    <n v="3547"/>
    <n v="2206"/>
    <x v="0"/>
    <n v="8"/>
    <x v="1"/>
    <d v="2023-08-22T00:00:00"/>
    <n v="0"/>
    <n v="1166"/>
    <n v="0.38"/>
    <s v="Normal"/>
    <n v="2023"/>
    <s v="August"/>
  </r>
  <r>
    <n v="1982"/>
    <n v="494"/>
    <x v="0"/>
    <x v="3"/>
    <x v="0"/>
    <d v="2022-09-05T00:00:00"/>
    <x v="424"/>
    <n v="3346"/>
    <n v="4012.75"/>
    <n v="3925"/>
    <x v="2"/>
    <n v="10"/>
    <x v="1"/>
    <d v="2023-07-12T00:00:00"/>
    <n v="1"/>
    <n v="1167"/>
    <n v="1.17"/>
    <s v="Outlier"/>
    <n v="2023"/>
    <s v="July"/>
  </r>
  <r>
    <n v="1983"/>
    <n v="130"/>
    <x v="4"/>
    <x v="1"/>
    <x v="0"/>
    <d v="2022-11-15T00:00:00"/>
    <x v="539"/>
    <n v="6284"/>
    <n v="6588"/>
    <n v="-304"/>
    <x v="1"/>
    <n v="16"/>
    <x v="1"/>
    <d v="2024-03-28T00:00:00"/>
    <n v="0"/>
    <n v="1168"/>
    <n v="-0.05"/>
    <s v="Normal"/>
    <n v="2024"/>
    <s v="March"/>
  </r>
  <r>
    <n v="1989"/>
    <n v="361"/>
    <x v="2"/>
    <x v="2"/>
    <x v="1"/>
    <d v="2022-07-22T00:00:00"/>
    <x v="494"/>
    <n v="8634"/>
    <n v="4012.75"/>
    <n v="9528"/>
    <x v="2"/>
    <n v="10"/>
    <x v="1"/>
    <d v="2023-06-09T00:00:00"/>
    <n v="0"/>
    <n v="1169"/>
    <n v="1.1000000000000001"/>
    <s v="Outlier"/>
    <n v="2023"/>
    <s v="June"/>
  </r>
  <r>
    <n v="1990"/>
    <n v="283"/>
    <x v="0"/>
    <x v="3"/>
    <x v="0"/>
    <d v="2022-08-25T00:00:00"/>
    <x v="599"/>
    <n v="5941"/>
    <n v="4012.75"/>
    <n v="6291"/>
    <x v="0"/>
    <n v="19"/>
    <x v="1"/>
    <d v="2024-03-30T00:00:00"/>
    <n v="1"/>
    <n v="1170"/>
    <n v="1.06"/>
    <s v="Outlier"/>
    <n v="2024"/>
    <s v="March"/>
  </r>
  <r>
    <n v="1992"/>
    <n v="147"/>
    <x v="1"/>
    <x v="2"/>
    <x v="1"/>
    <d v="2022-06-27T00:00:00"/>
    <x v="537"/>
    <n v="246"/>
    <n v="4276"/>
    <n v="-4030"/>
    <x v="0"/>
    <n v="13"/>
    <x v="1"/>
    <d v="2023-07-28T00:00:00"/>
    <n v="1"/>
    <n v="1171"/>
    <n v="-16.38"/>
    <s v="Outlier"/>
    <n v="2023"/>
    <s v="July"/>
  </r>
  <r>
    <n v="1994"/>
    <n v="383"/>
    <x v="3"/>
    <x v="2"/>
    <x v="1"/>
    <d v="2022-07-15T00:00:00"/>
    <x v="509"/>
    <n v="4967.93"/>
    <n v="1587"/>
    <n v="-1762"/>
    <x v="1"/>
    <n v="3"/>
    <x v="0"/>
    <d v="2022-10-23T00:00:00"/>
    <n v="0"/>
    <n v="1172"/>
    <n v="-0.35"/>
    <s v="Normal"/>
    <n v="2022"/>
    <s v="October"/>
  </r>
  <r>
    <n v="1996"/>
    <n v="306"/>
    <x v="1"/>
    <x v="2"/>
    <x v="1"/>
    <d v="2022-09-27T00:00:00"/>
    <x v="600"/>
    <n v="9414"/>
    <n v="6091"/>
    <n v="3323"/>
    <x v="0"/>
    <n v="14"/>
    <x v="1"/>
    <d v="2023-12-25T00:00:00"/>
    <n v="1"/>
    <n v="1173"/>
    <n v="0.35"/>
    <s v="Normal"/>
    <n v="2023"/>
    <s v="December"/>
  </r>
  <r>
    <n v="1997"/>
    <n v="210"/>
    <x v="0"/>
    <x v="3"/>
    <x v="0"/>
    <d v="2022-12-08T00:00:00"/>
    <x v="46"/>
    <n v="4890"/>
    <n v="6851"/>
    <n v="-1961"/>
    <x v="1"/>
    <n v="9"/>
    <x v="1"/>
    <d v="2023-09-19T00:00:00"/>
    <n v="0"/>
    <n v="1174"/>
    <n v="-0.4"/>
    <s v="Normal"/>
    <n v="2023"/>
    <s v="September"/>
  </r>
  <r>
    <n v="1998"/>
    <n v="205"/>
    <x v="2"/>
    <x v="2"/>
    <x v="2"/>
    <d v="2022-08-26T00:00:00"/>
    <x v="356"/>
    <n v="4532"/>
    <n v="1279"/>
    <n v="3253"/>
    <x v="1"/>
    <n v="3"/>
    <x v="0"/>
    <d v="2022-12-23T00:00:00"/>
    <n v="0"/>
    <n v="1175"/>
    <n v="0.72"/>
    <s v="Normal"/>
    <n v="2022"/>
    <s v="December"/>
  </r>
  <r>
    <n v="2001"/>
    <n v="332"/>
    <x v="1"/>
    <x v="0"/>
    <x v="2"/>
    <d v="2022-07-18T00:00:00"/>
    <x v="187"/>
    <n v="1284"/>
    <n v="1314"/>
    <n v="-30"/>
    <x v="1"/>
    <n v="1"/>
    <x v="0"/>
    <d v="2022-09-12T00:00:00"/>
    <n v="0"/>
    <n v="1176"/>
    <n v="-0.02"/>
    <s v="Normal"/>
    <n v="2022"/>
    <s v="September"/>
  </r>
  <r>
    <n v="2003"/>
    <n v="207"/>
    <x v="0"/>
    <x v="0"/>
    <x v="2"/>
    <d v="2022-05-13T00:00:00"/>
    <x v="352"/>
    <n v="4967.93"/>
    <n v="2920"/>
    <n v="-4509"/>
    <x v="2"/>
    <n v="1"/>
    <x v="0"/>
    <d v="2022-07-07T00:00:00"/>
    <n v="0"/>
    <n v="1177"/>
    <n v="-0.91"/>
    <s v="Normal"/>
    <n v="2022"/>
    <s v="July"/>
  </r>
  <r>
    <n v="2004"/>
    <n v="313"/>
    <x v="4"/>
    <x v="2"/>
    <x v="1"/>
    <d v="2022-03-06T00:00:00"/>
    <x v="10"/>
    <n v="3987"/>
    <n v="3154"/>
    <n v="833"/>
    <x v="2"/>
    <n v="17"/>
    <x v="1"/>
    <d v="2023-08-29T00:00:00"/>
    <n v="1"/>
    <n v="1178"/>
    <n v="0.21"/>
    <s v="Normal"/>
    <n v="2023"/>
    <s v="August"/>
  </r>
  <r>
    <n v="2007"/>
    <n v="152"/>
    <x v="4"/>
    <x v="3"/>
    <x v="0"/>
    <d v="2022-09-10T00:00:00"/>
    <x v="265"/>
    <n v="2433"/>
    <n v="104"/>
    <n v="2329"/>
    <x v="1"/>
    <n v="16"/>
    <x v="1"/>
    <d v="2024-01-16T00:00:00"/>
    <n v="1"/>
    <n v="1179"/>
    <n v="0.96"/>
    <s v="Normal"/>
    <n v="2024"/>
    <s v="January"/>
  </r>
  <r>
    <n v="2008"/>
    <n v="122"/>
    <x v="1"/>
    <x v="1"/>
    <x v="2"/>
    <d v="2022-04-14T00:00:00"/>
    <x v="601"/>
    <n v="7908"/>
    <n v="3452"/>
    <n v="4456"/>
    <x v="0"/>
    <n v="18"/>
    <x v="1"/>
    <d v="2023-11-07T00:00:00"/>
    <n v="1"/>
    <n v="1180"/>
    <n v="0.56000000000000005"/>
    <s v="Normal"/>
    <n v="2023"/>
    <s v="November"/>
  </r>
  <r>
    <n v="2010"/>
    <n v="305"/>
    <x v="0"/>
    <x v="0"/>
    <x v="2"/>
    <d v="2022-12-13T00:00:00"/>
    <x v="311"/>
    <n v="3033"/>
    <n v="4012.75"/>
    <n v="3154"/>
    <x v="2"/>
    <n v="11"/>
    <x v="1"/>
    <d v="2023-11-14T00:00:00"/>
    <n v="1"/>
    <n v="1181"/>
    <n v="1.04"/>
    <s v="Outlier"/>
    <n v="2023"/>
    <s v="November"/>
  </r>
  <r>
    <n v="2011"/>
    <n v="462"/>
    <x v="4"/>
    <x v="1"/>
    <x v="2"/>
    <d v="2022-07-26T00:00:00"/>
    <x v="401"/>
    <n v="4967.93"/>
    <n v="4636"/>
    <n v="-5826"/>
    <x v="2"/>
    <n v="15"/>
    <x v="1"/>
    <d v="2023-11-11T00:00:00"/>
    <n v="0"/>
    <n v="1182"/>
    <n v="-1.17"/>
    <s v="Outlier"/>
    <n v="2023"/>
    <s v="November"/>
  </r>
  <r>
    <n v="2013"/>
    <n v="206"/>
    <x v="4"/>
    <x v="1"/>
    <x v="1"/>
    <d v="2022-08-26T00:00:00"/>
    <x v="379"/>
    <n v="9917"/>
    <n v="4888"/>
    <n v="5029"/>
    <x v="2"/>
    <n v="9"/>
    <x v="1"/>
    <d v="2023-06-21T00:00:00"/>
    <n v="1"/>
    <n v="1183"/>
    <n v="0.51"/>
    <s v="Normal"/>
    <n v="2023"/>
    <s v="June"/>
  </r>
  <r>
    <n v="2014"/>
    <n v="239"/>
    <x v="4"/>
    <x v="3"/>
    <x v="0"/>
    <d v="2022-10-11T00:00:00"/>
    <x v="136"/>
    <n v="4953"/>
    <n v="6622"/>
    <n v="-1669"/>
    <x v="2"/>
    <n v="10"/>
    <x v="1"/>
    <d v="2023-08-11T00:00:00"/>
    <n v="1"/>
    <n v="1184"/>
    <n v="-0.34"/>
    <s v="Normal"/>
    <n v="2023"/>
    <s v="August"/>
  </r>
  <r>
    <n v="2015"/>
    <n v="266"/>
    <x v="1"/>
    <x v="2"/>
    <x v="0"/>
    <d v="2022-08-10T00:00:00"/>
    <x v="0"/>
    <n v="779"/>
    <n v="6063"/>
    <n v="577.01"/>
    <x v="1"/>
    <n v="5"/>
    <x v="0"/>
    <d v="2023-01-20T00:00:00"/>
    <n v="1"/>
    <n v="1185"/>
    <n v="0.74"/>
    <s v="Normal"/>
    <n v="2023"/>
    <s v="January"/>
  </r>
  <r>
    <n v="2016"/>
    <n v="212"/>
    <x v="3"/>
    <x v="1"/>
    <x v="0"/>
    <d v="2022-02-09T00:00:00"/>
    <x v="424"/>
    <n v="3871"/>
    <n v="1644"/>
    <n v="2227"/>
    <x v="1"/>
    <n v="17"/>
    <x v="1"/>
    <d v="2023-07-12T00:00:00"/>
    <n v="0"/>
    <n v="1186"/>
    <n v="0.57999999999999996"/>
    <s v="Normal"/>
    <n v="2023"/>
    <s v="July"/>
  </r>
  <r>
    <n v="2017"/>
    <n v="178"/>
    <x v="0"/>
    <x v="1"/>
    <x v="2"/>
    <d v="2022-06-05T00:00:00"/>
    <x v="187"/>
    <n v="6949"/>
    <n v="2698"/>
    <n v="4251"/>
    <x v="0"/>
    <n v="3"/>
    <x v="0"/>
    <d v="2022-09-12T00:00:00"/>
    <n v="1"/>
    <n v="1187"/>
    <n v="0.61"/>
    <s v="Normal"/>
    <n v="2022"/>
    <s v="September"/>
  </r>
  <r>
    <n v="2020"/>
    <n v="244"/>
    <x v="0"/>
    <x v="1"/>
    <x v="0"/>
    <d v="2022-05-07T00:00:00"/>
    <x v="250"/>
    <n v="6789"/>
    <n v="6563"/>
    <n v="226"/>
    <x v="0"/>
    <n v="8"/>
    <x v="1"/>
    <d v="2023-01-11T00:00:00"/>
    <n v="1"/>
    <n v="1188"/>
    <n v="0.03"/>
    <s v="Normal"/>
    <n v="2023"/>
    <s v="January"/>
  </r>
  <r>
    <n v="2021"/>
    <n v="371"/>
    <x v="0"/>
    <x v="0"/>
    <x v="0"/>
    <d v="2022-02-26T00:00:00"/>
    <x v="203"/>
    <n v="4280"/>
    <n v="1274"/>
    <n v="3006"/>
    <x v="0"/>
    <n v="14"/>
    <x v="1"/>
    <d v="2023-05-06T00:00:00"/>
    <n v="1"/>
    <n v="1189"/>
    <n v="0.7"/>
    <s v="Normal"/>
    <n v="2023"/>
    <s v="May"/>
  </r>
  <r>
    <n v="2024"/>
    <n v="474"/>
    <x v="0"/>
    <x v="2"/>
    <x v="2"/>
    <d v="2022-03-10T00:00:00"/>
    <x v="313"/>
    <n v="4967.93"/>
    <n v="2089"/>
    <n v="-3017"/>
    <x v="1"/>
    <n v="15"/>
    <x v="1"/>
    <d v="2023-06-23T00:00:00"/>
    <n v="1"/>
    <n v="1190"/>
    <n v="-0.61"/>
    <s v="Normal"/>
    <n v="2023"/>
    <s v="June"/>
  </r>
  <r>
    <n v="2025"/>
    <n v="368"/>
    <x v="1"/>
    <x v="0"/>
    <x v="1"/>
    <d v="2022-04-08T00:00:00"/>
    <x v="347"/>
    <n v="4967.93"/>
    <n v="3310"/>
    <n v="-5203"/>
    <x v="1"/>
    <n v="1"/>
    <x v="0"/>
    <d v="2022-06-01T00:00:00"/>
    <n v="0"/>
    <n v="1191"/>
    <n v="-1.05"/>
    <s v="Outlier"/>
    <n v="2022"/>
    <s v="June"/>
  </r>
  <r>
    <n v="2028"/>
    <n v="439"/>
    <x v="4"/>
    <x v="0"/>
    <x v="0"/>
    <d v="2022-10-09T00:00:00"/>
    <x v="301"/>
    <n v="6879"/>
    <n v="4012.75"/>
    <n v="7014"/>
    <x v="1"/>
    <n v="10"/>
    <x v="1"/>
    <d v="2023-08-31T00:00:00"/>
    <n v="1"/>
    <n v="1192"/>
    <n v="1.02"/>
    <s v="Outlier"/>
    <n v="2023"/>
    <s v="August"/>
  </r>
  <r>
    <n v="2029"/>
    <n v="117"/>
    <x v="4"/>
    <x v="2"/>
    <x v="2"/>
    <d v="2022-10-18T00:00:00"/>
    <x v="588"/>
    <n v="3836"/>
    <n v="2433"/>
    <n v="1403"/>
    <x v="1"/>
    <n v="9"/>
    <x v="1"/>
    <d v="2023-07-23T00:00:00"/>
    <n v="0"/>
    <n v="1193"/>
    <n v="0.37"/>
    <s v="Normal"/>
    <n v="2023"/>
    <s v="July"/>
  </r>
  <r>
    <n v="2031"/>
    <n v="235"/>
    <x v="0"/>
    <x v="3"/>
    <x v="1"/>
    <d v="2022-07-19T00:00:00"/>
    <x v="602"/>
    <n v="7362"/>
    <n v="5928"/>
    <n v="1434"/>
    <x v="1"/>
    <n v="18"/>
    <x v="1"/>
    <d v="2024-01-20T00:00:00"/>
    <n v="1"/>
    <n v="1194"/>
    <n v="0.19"/>
    <s v="Normal"/>
    <n v="2024"/>
    <s v="January"/>
  </r>
  <r>
    <n v="2032"/>
    <n v="181"/>
    <x v="3"/>
    <x v="3"/>
    <x v="2"/>
    <d v="2022-10-11T00:00:00"/>
    <x v="70"/>
    <n v="4967.93"/>
    <n v="6000"/>
    <n v="-7664"/>
    <x v="2"/>
    <n v="8"/>
    <x v="1"/>
    <d v="2023-06-22T00:00:00"/>
    <n v="0"/>
    <n v="1195"/>
    <n v="-1.54"/>
    <s v="Outlier"/>
    <n v="2023"/>
    <s v="June"/>
  </r>
  <r>
    <n v="2033"/>
    <n v="192"/>
    <x v="2"/>
    <x v="2"/>
    <x v="1"/>
    <d v="2022-04-15T00:00:00"/>
    <x v="500"/>
    <n v="155"/>
    <n v="7179"/>
    <n v="-7024"/>
    <x v="0"/>
    <n v="12"/>
    <x v="1"/>
    <d v="2023-04-18T00:00:00"/>
    <n v="0"/>
    <n v="1196"/>
    <n v="-45.32"/>
    <s v="Outlier"/>
    <n v="2023"/>
    <s v="April"/>
  </r>
  <r>
    <n v="2037"/>
    <n v="286"/>
    <x v="0"/>
    <x v="1"/>
    <x v="0"/>
    <d v="2022-08-17T00:00:00"/>
    <x v="28"/>
    <n v="184"/>
    <n v="6464"/>
    <n v="-6280"/>
    <x v="2"/>
    <n v="5"/>
    <x v="0"/>
    <d v="2023-01-27T00:00:00"/>
    <n v="0"/>
    <n v="1197"/>
    <n v="-34.130000000000003"/>
    <s v="Outlier"/>
    <n v="2023"/>
    <s v="January"/>
  </r>
  <r>
    <n v="2038"/>
    <n v="203"/>
    <x v="2"/>
    <x v="0"/>
    <x v="0"/>
    <d v="2022-06-24T00:00:00"/>
    <x v="508"/>
    <n v="4967.93"/>
    <n v="2483"/>
    <n v="-2704"/>
    <x v="0"/>
    <n v="14"/>
    <x v="1"/>
    <d v="2023-08-30T00:00:00"/>
    <n v="1"/>
    <n v="1198"/>
    <n v="-0.54"/>
    <s v="Normal"/>
    <n v="2023"/>
    <s v="August"/>
  </r>
  <r>
    <n v="2043"/>
    <n v="183"/>
    <x v="3"/>
    <x v="2"/>
    <x v="2"/>
    <d v="2022-05-16T00:00:00"/>
    <x v="157"/>
    <n v="3251"/>
    <n v="1376"/>
    <n v="1875"/>
    <x v="2"/>
    <n v="2"/>
    <x v="0"/>
    <d v="2022-07-27T00:00:00"/>
    <n v="1"/>
    <n v="1199"/>
    <n v="0.57999999999999996"/>
    <s v="Normal"/>
    <n v="2022"/>
    <s v="July"/>
  </r>
  <r>
    <n v="2044"/>
    <n v="500"/>
    <x v="1"/>
    <x v="1"/>
    <x v="0"/>
    <d v="2022-07-01T00:00:00"/>
    <x v="441"/>
    <n v="5474"/>
    <n v="3901"/>
    <n v="1573"/>
    <x v="2"/>
    <n v="14"/>
    <x v="1"/>
    <d v="2023-09-02T00:00:00"/>
    <n v="1"/>
    <n v="1200"/>
    <n v="0.28999999999999998"/>
    <s v="Normal"/>
    <n v="2023"/>
    <s v="September"/>
  </r>
  <r>
    <n v="2046"/>
    <n v="417"/>
    <x v="1"/>
    <x v="2"/>
    <x v="2"/>
    <d v="2022-04-30T00:00:00"/>
    <x v="603"/>
    <n v="5744"/>
    <n v="5236"/>
    <n v="508"/>
    <x v="0"/>
    <n v="15"/>
    <x v="1"/>
    <d v="2023-08-25T00:00:00"/>
    <n v="0"/>
    <n v="1201"/>
    <n v="0.09"/>
    <s v="Normal"/>
    <n v="2023"/>
    <s v="August"/>
  </r>
  <r>
    <n v="2047"/>
    <n v="142"/>
    <x v="2"/>
    <x v="2"/>
    <x v="1"/>
    <d v="2022-06-12T00:00:00"/>
    <x v="472"/>
    <n v="3958"/>
    <n v="6705"/>
    <n v="-2747"/>
    <x v="1"/>
    <n v="16"/>
    <x v="1"/>
    <d v="2023-10-27T00:00:00"/>
    <n v="1"/>
    <n v="1202"/>
    <n v="-0.69"/>
    <s v="Normal"/>
    <n v="2023"/>
    <s v="October"/>
  </r>
  <r>
    <n v="2048"/>
    <n v="415"/>
    <x v="0"/>
    <x v="0"/>
    <x v="2"/>
    <d v="2022-01-11T00:00:00"/>
    <x v="604"/>
    <n v="9381"/>
    <n v="756"/>
    <n v="8625"/>
    <x v="1"/>
    <n v="2"/>
    <x v="0"/>
    <d v="2022-03-28T00:00:00"/>
    <n v="0"/>
    <n v="1203"/>
    <n v="0.92"/>
    <s v="Normal"/>
    <n v="2022"/>
    <s v="March"/>
  </r>
  <r>
    <n v="2049"/>
    <n v="219"/>
    <x v="0"/>
    <x v="3"/>
    <x v="0"/>
    <d v="2022-07-22T00:00:00"/>
    <x v="226"/>
    <n v="4967.93"/>
    <n v="4012.75"/>
    <n v="-423"/>
    <x v="2"/>
    <n v="1"/>
    <x v="0"/>
    <d v="2022-09-03T00:00:00"/>
    <n v="1"/>
    <n v="1204"/>
    <n v="-0.09"/>
    <s v="Normal"/>
    <n v="2022"/>
    <s v="September"/>
  </r>
  <r>
    <n v="2053"/>
    <n v="361"/>
    <x v="0"/>
    <x v="3"/>
    <x v="2"/>
    <d v="2022-07-29T00:00:00"/>
    <x v="40"/>
    <n v="4967.93"/>
    <n v="4680"/>
    <n v="-5537"/>
    <x v="2"/>
    <n v="11"/>
    <x v="1"/>
    <d v="2023-07-02T00:00:00"/>
    <n v="0"/>
    <n v="1205"/>
    <n v="-1.1100000000000001"/>
    <s v="Outlier"/>
    <n v="2023"/>
    <s v="July"/>
  </r>
  <r>
    <n v="2054"/>
    <n v="447"/>
    <x v="0"/>
    <x v="0"/>
    <x v="0"/>
    <d v="2022-12-13T00:00:00"/>
    <x v="111"/>
    <n v="6155"/>
    <n v="3048"/>
    <n v="3107"/>
    <x v="1"/>
    <n v="11"/>
    <x v="1"/>
    <d v="2023-11-16T00:00:00"/>
    <n v="0"/>
    <n v="1206"/>
    <n v="0.5"/>
    <s v="Normal"/>
    <n v="2023"/>
    <s v="November"/>
  </r>
  <r>
    <n v="2055"/>
    <n v="489"/>
    <x v="1"/>
    <x v="0"/>
    <x v="1"/>
    <d v="2022-05-24T00:00:00"/>
    <x v="9"/>
    <n v="4967.93"/>
    <n v="4246"/>
    <n v="-6020"/>
    <x v="2"/>
    <n v="16"/>
    <x v="1"/>
    <d v="2023-10-15T00:00:00"/>
    <n v="1"/>
    <n v="1207"/>
    <n v="-1.21"/>
    <s v="Outlier"/>
    <n v="2023"/>
    <s v="October"/>
  </r>
  <r>
    <n v="2056"/>
    <n v="362"/>
    <x v="1"/>
    <x v="2"/>
    <x v="0"/>
    <d v="2022-03-01T00:00:00"/>
    <x v="525"/>
    <n v="3543"/>
    <n v="48"/>
    <n v="3495"/>
    <x v="1"/>
    <n v="7"/>
    <x v="1"/>
    <d v="2022-10-27T00:00:00"/>
    <n v="1"/>
    <n v="1208"/>
    <n v="0.99"/>
    <s v="Normal"/>
    <n v="2022"/>
    <s v="October"/>
  </r>
  <r>
    <n v="2058"/>
    <n v="193"/>
    <x v="4"/>
    <x v="0"/>
    <x v="1"/>
    <d v="2022-05-07T00:00:00"/>
    <x v="482"/>
    <n v="6965"/>
    <n v="6834"/>
    <n v="131"/>
    <x v="2"/>
    <n v="11"/>
    <x v="1"/>
    <d v="2023-05-01T00:00:00"/>
    <n v="1"/>
    <n v="1209"/>
    <n v="0.02"/>
    <s v="Normal"/>
    <n v="2023"/>
    <s v="May"/>
  </r>
  <r>
    <n v="2059"/>
    <n v="121"/>
    <x v="1"/>
    <x v="3"/>
    <x v="0"/>
    <d v="2022-04-24T00:00:00"/>
    <x v="311"/>
    <n v="3562"/>
    <n v="4012.75"/>
    <n v="3632"/>
    <x v="0"/>
    <n v="18"/>
    <x v="1"/>
    <d v="2023-11-14T00:00:00"/>
    <n v="0"/>
    <n v="1210"/>
    <n v="1.02"/>
    <s v="Outlier"/>
    <n v="2023"/>
    <s v="November"/>
  </r>
  <r>
    <n v="2060"/>
    <n v="120"/>
    <x v="4"/>
    <x v="1"/>
    <x v="0"/>
    <d v="2022-11-10T00:00:00"/>
    <x v="254"/>
    <n v="165"/>
    <n v="6102"/>
    <n v="-5937"/>
    <x v="0"/>
    <n v="7"/>
    <x v="1"/>
    <d v="2023-07-06T00:00:00"/>
    <n v="0"/>
    <n v="1211"/>
    <n v="-35.979999999999997"/>
    <s v="Outlier"/>
    <n v="2023"/>
    <s v="July"/>
  </r>
  <r>
    <n v="2061"/>
    <n v="463"/>
    <x v="0"/>
    <x v="1"/>
    <x v="1"/>
    <d v="2022-10-08T00:00:00"/>
    <x v="605"/>
    <n v="4967.93"/>
    <n v="6580"/>
    <n v="-6865"/>
    <x v="0"/>
    <n v="12"/>
    <x v="1"/>
    <d v="2023-10-29T00:00:00"/>
    <n v="1"/>
    <n v="1212"/>
    <n v="-1.38"/>
    <s v="Outlier"/>
    <n v="2023"/>
    <s v="October"/>
  </r>
  <r>
    <n v="2063"/>
    <n v="485"/>
    <x v="1"/>
    <x v="2"/>
    <x v="0"/>
    <d v="2022-12-27T00:00:00"/>
    <x v="319"/>
    <n v="4967.93"/>
    <n v="5696"/>
    <n v="-6414"/>
    <x v="2"/>
    <n v="15"/>
    <x v="1"/>
    <d v="2024-04-12T00:00:00"/>
    <n v="1"/>
    <n v="1213"/>
    <n v="-1.29"/>
    <s v="Outlier"/>
    <n v="2024"/>
    <s v="April"/>
  </r>
  <r>
    <n v="2064"/>
    <n v="439"/>
    <x v="4"/>
    <x v="2"/>
    <x v="1"/>
    <d v="2022-05-02T00:00:00"/>
    <x v="606"/>
    <n v="3555"/>
    <n v="468"/>
    <n v="3087"/>
    <x v="1"/>
    <n v="18"/>
    <x v="1"/>
    <d v="2023-12-01T00:00:00"/>
    <n v="0"/>
    <n v="1214"/>
    <n v="0.87"/>
    <s v="Normal"/>
    <n v="2023"/>
    <s v="December"/>
  </r>
  <r>
    <n v="2066"/>
    <n v="258"/>
    <x v="2"/>
    <x v="0"/>
    <x v="2"/>
    <d v="2022-02-11T00:00:00"/>
    <x v="461"/>
    <n v="2368"/>
    <n v="7802"/>
    <n v="-5434"/>
    <x v="2"/>
    <n v="18"/>
    <x v="1"/>
    <d v="2023-08-14T00:00:00"/>
    <n v="0"/>
    <n v="1215"/>
    <n v="-2.29"/>
    <s v="Outlier"/>
    <n v="2023"/>
    <s v="August"/>
  </r>
  <r>
    <n v="2067"/>
    <n v="117"/>
    <x v="1"/>
    <x v="3"/>
    <x v="1"/>
    <d v="2022-05-15T00:00:00"/>
    <x v="315"/>
    <n v="5581"/>
    <n v="2452"/>
    <n v="3129"/>
    <x v="0"/>
    <n v="13"/>
    <x v="1"/>
    <d v="2023-07-13T00:00:00"/>
    <n v="1"/>
    <n v="1216"/>
    <n v="0.56000000000000005"/>
    <s v="Normal"/>
    <n v="2023"/>
    <s v="July"/>
  </r>
  <r>
    <n v="2068"/>
    <n v="121"/>
    <x v="2"/>
    <x v="3"/>
    <x v="2"/>
    <d v="2022-03-01T00:00:00"/>
    <x v="386"/>
    <n v="9009"/>
    <n v="4725"/>
    <n v="4284"/>
    <x v="1"/>
    <n v="14"/>
    <x v="1"/>
    <d v="2023-05-18T00:00:00"/>
    <n v="0"/>
    <n v="1217"/>
    <n v="0.48"/>
    <s v="Normal"/>
    <n v="2023"/>
    <s v="May"/>
  </r>
  <r>
    <n v="2069"/>
    <n v="157"/>
    <x v="2"/>
    <x v="2"/>
    <x v="0"/>
    <d v="2022-05-10T00:00:00"/>
    <x v="169"/>
    <n v="8416"/>
    <n v="606"/>
    <n v="577.01"/>
    <x v="1"/>
    <n v="1"/>
    <x v="0"/>
    <d v="2022-06-27T00:00:00"/>
    <n v="1"/>
    <n v="1218"/>
    <n v="7.0000000000000007E-2"/>
    <s v="Normal"/>
    <n v="2022"/>
    <s v="June"/>
  </r>
  <r>
    <n v="2070"/>
    <n v="382"/>
    <x v="1"/>
    <x v="1"/>
    <x v="1"/>
    <d v="2022-12-17T00:00:00"/>
    <x v="607"/>
    <n v="9939"/>
    <n v="7878"/>
    <n v="2061"/>
    <x v="2"/>
    <n v="18"/>
    <x v="1"/>
    <d v="2024-06-19T00:00:00"/>
    <n v="0"/>
    <n v="1219"/>
    <n v="0.21"/>
    <s v="Normal"/>
    <n v="2024"/>
    <s v="June"/>
  </r>
  <r>
    <n v="2071"/>
    <n v="289"/>
    <x v="3"/>
    <x v="1"/>
    <x v="2"/>
    <d v="2022-10-20T00:00:00"/>
    <x v="130"/>
    <n v="4967.93"/>
    <n v="1682"/>
    <n v="-2004"/>
    <x v="2"/>
    <n v="5"/>
    <x v="0"/>
    <d v="2023-03-28T00:00:00"/>
    <n v="0"/>
    <n v="1220"/>
    <n v="-0.4"/>
    <s v="Normal"/>
    <n v="2023"/>
    <s v="March"/>
  </r>
  <r>
    <n v="2072"/>
    <n v="482"/>
    <x v="0"/>
    <x v="2"/>
    <x v="0"/>
    <d v="2022-11-29T00:00:00"/>
    <x v="608"/>
    <n v="5930"/>
    <n v="1843"/>
    <n v="4087"/>
    <x v="0"/>
    <n v="4"/>
    <x v="0"/>
    <d v="2023-04-06T00:00:00"/>
    <n v="1"/>
    <n v="1221"/>
    <n v="0.69"/>
    <s v="Normal"/>
    <n v="2023"/>
    <s v="April"/>
  </r>
  <r>
    <n v="2073"/>
    <n v="411"/>
    <x v="0"/>
    <x v="3"/>
    <x v="1"/>
    <d v="2022-07-22T00:00:00"/>
    <x v="357"/>
    <n v="4478"/>
    <n v="3286"/>
    <n v="1192"/>
    <x v="1"/>
    <n v="7"/>
    <x v="1"/>
    <d v="2023-02-25T00:00:00"/>
    <n v="1"/>
    <n v="1222"/>
    <n v="0.27"/>
    <s v="Normal"/>
    <n v="2023"/>
    <s v="February"/>
  </r>
  <r>
    <n v="2074"/>
    <n v="136"/>
    <x v="2"/>
    <x v="3"/>
    <x v="1"/>
    <d v="2022-12-13T00:00:00"/>
    <x v="609"/>
    <n v="4967.93"/>
    <n v="4709"/>
    <n v="-5773"/>
    <x v="0"/>
    <n v="9"/>
    <x v="1"/>
    <d v="2023-09-25T00:00:00"/>
    <n v="1"/>
    <n v="1223"/>
    <n v="-1.1599999999999999"/>
    <s v="Outlier"/>
    <n v="2023"/>
    <s v="September"/>
  </r>
  <r>
    <n v="2075"/>
    <n v="134"/>
    <x v="4"/>
    <x v="2"/>
    <x v="0"/>
    <d v="2022-09-23T00:00:00"/>
    <x v="440"/>
    <n v="4967.93"/>
    <n v="3889"/>
    <n v="-4170"/>
    <x v="2"/>
    <n v="4"/>
    <x v="0"/>
    <d v="2023-02-22T00:00:00"/>
    <n v="1"/>
    <n v="1224"/>
    <n v="-0.84"/>
    <s v="Normal"/>
    <n v="2023"/>
    <s v="February"/>
  </r>
  <r>
    <n v="2077"/>
    <n v="487"/>
    <x v="3"/>
    <x v="1"/>
    <x v="2"/>
    <d v="2022-09-02T00:00:00"/>
    <x v="109"/>
    <n v="1457"/>
    <n v="241"/>
    <n v="1216"/>
    <x v="1"/>
    <n v="19"/>
    <x v="1"/>
    <d v="2024-04-08T00:00:00"/>
    <n v="1"/>
    <n v="1225"/>
    <n v="0.83"/>
    <s v="Normal"/>
    <n v="2024"/>
    <s v="April"/>
  </r>
  <r>
    <n v="2078"/>
    <n v="133"/>
    <x v="0"/>
    <x v="2"/>
    <x v="1"/>
    <d v="2022-08-16T00:00:00"/>
    <x v="313"/>
    <n v="2537"/>
    <n v="5249"/>
    <n v="577.01"/>
    <x v="1"/>
    <n v="10"/>
    <x v="1"/>
    <d v="2023-06-23T00:00:00"/>
    <n v="0"/>
    <n v="1226"/>
    <n v="0.23"/>
    <s v="Normal"/>
    <n v="2023"/>
    <s v="June"/>
  </r>
  <r>
    <n v="2079"/>
    <n v="226"/>
    <x v="2"/>
    <x v="3"/>
    <x v="0"/>
    <d v="2022-08-29T00:00:00"/>
    <x v="610"/>
    <n v="3290"/>
    <n v="2931"/>
    <n v="359"/>
    <x v="1"/>
    <n v="19"/>
    <x v="1"/>
    <d v="2024-04-14T00:00:00"/>
    <n v="1"/>
    <n v="1227"/>
    <n v="0.11"/>
    <s v="Normal"/>
    <n v="2024"/>
    <s v="April"/>
  </r>
  <r>
    <n v="2080"/>
    <n v="286"/>
    <x v="0"/>
    <x v="1"/>
    <x v="1"/>
    <d v="2022-03-29T00:00:00"/>
    <x v="611"/>
    <n v="6857"/>
    <n v="3414"/>
    <n v="3443"/>
    <x v="1"/>
    <n v="13"/>
    <x v="1"/>
    <d v="2023-05-26T00:00:00"/>
    <n v="0"/>
    <n v="1228"/>
    <n v="0.5"/>
    <s v="Normal"/>
    <n v="2023"/>
    <s v="May"/>
  </r>
  <r>
    <n v="2081"/>
    <n v="385"/>
    <x v="1"/>
    <x v="0"/>
    <x v="0"/>
    <d v="2022-01-07T00:00:00"/>
    <x v="509"/>
    <n v="1649"/>
    <n v="4107"/>
    <n v="-2458"/>
    <x v="2"/>
    <n v="9"/>
    <x v="1"/>
    <d v="2022-10-23T00:00:00"/>
    <n v="1"/>
    <n v="1229"/>
    <n v="-1.49"/>
    <s v="Outlier"/>
    <n v="2022"/>
    <s v="October"/>
  </r>
  <r>
    <n v="2083"/>
    <n v="167"/>
    <x v="2"/>
    <x v="0"/>
    <x v="1"/>
    <d v="2022-03-21T00:00:00"/>
    <x v="519"/>
    <n v="573"/>
    <n v="4012.75"/>
    <n v="818"/>
    <x v="0"/>
    <n v="1"/>
    <x v="0"/>
    <d v="2022-04-30T00:00:00"/>
    <n v="0"/>
    <n v="1230"/>
    <n v="1.43"/>
    <s v="Outlier"/>
    <n v="2022"/>
    <s v="April"/>
  </r>
  <r>
    <n v="2085"/>
    <n v="451"/>
    <x v="4"/>
    <x v="1"/>
    <x v="1"/>
    <d v="2022-03-25T00:00:00"/>
    <x v="612"/>
    <n v="7064"/>
    <n v="5832"/>
    <n v="1232"/>
    <x v="1"/>
    <n v="8"/>
    <x v="1"/>
    <d v="2022-12-11T00:00:00"/>
    <n v="1"/>
    <n v="1231"/>
    <n v="0.17"/>
    <s v="Normal"/>
    <n v="2022"/>
    <s v="December"/>
  </r>
  <r>
    <n v="2087"/>
    <n v="230"/>
    <x v="1"/>
    <x v="1"/>
    <x v="1"/>
    <d v="2022-06-01T00:00:00"/>
    <x v="600"/>
    <n v="3201"/>
    <n v="5350"/>
    <n v="577.01"/>
    <x v="2"/>
    <n v="18"/>
    <x v="1"/>
    <d v="2023-12-25T00:00:00"/>
    <n v="0"/>
    <n v="1232"/>
    <n v="0.18"/>
    <s v="Normal"/>
    <n v="2023"/>
    <s v="December"/>
  </r>
  <r>
    <n v="2088"/>
    <n v="169"/>
    <x v="0"/>
    <x v="0"/>
    <x v="2"/>
    <d v="2022-09-04T00:00:00"/>
    <x v="613"/>
    <n v="5028"/>
    <n v="7959"/>
    <n v="577.01"/>
    <x v="0"/>
    <n v="13"/>
    <x v="1"/>
    <d v="2023-10-06T00:00:00"/>
    <n v="1"/>
    <n v="1233"/>
    <n v="0.11"/>
    <s v="Normal"/>
    <n v="2023"/>
    <s v="October"/>
  </r>
  <r>
    <n v="2089"/>
    <n v="296"/>
    <x v="3"/>
    <x v="3"/>
    <x v="2"/>
    <d v="2022-05-11T00:00:00"/>
    <x v="232"/>
    <n v="4967.93"/>
    <n v="5963"/>
    <n v="577.01"/>
    <x v="2"/>
    <n v="11"/>
    <x v="1"/>
    <d v="2023-04-17T00:00:00"/>
    <n v="0"/>
    <n v="1234"/>
    <n v="0.12"/>
    <s v="Normal"/>
    <n v="2023"/>
    <s v="April"/>
  </r>
  <r>
    <n v="2090"/>
    <n v="404"/>
    <x v="2"/>
    <x v="0"/>
    <x v="2"/>
    <d v="2022-10-30T00:00:00"/>
    <x v="84"/>
    <n v="3804"/>
    <n v="7339"/>
    <n v="577.01"/>
    <x v="2"/>
    <n v="7"/>
    <x v="1"/>
    <d v="2023-06-10T00:00:00"/>
    <n v="0"/>
    <n v="1235"/>
    <n v="0.15"/>
    <s v="Normal"/>
    <n v="2023"/>
    <s v="June"/>
  </r>
  <r>
    <n v="2091"/>
    <n v="286"/>
    <x v="1"/>
    <x v="3"/>
    <x v="2"/>
    <d v="2022-09-08T00:00:00"/>
    <x v="586"/>
    <n v="9316"/>
    <n v="2314"/>
    <n v="7002"/>
    <x v="1"/>
    <n v="7"/>
    <x v="1"/>
    <d v="2023-04-21T00:00:00"/>
    <n v="1"/>
    <n v="1236"/>
    <n v="0.75"/>
    <s v="Normal"/>
    <n v="2023"/>
    <s v="April"/>
  </r>
  <r>
    <n v="2092"/>
    <n v="152"/>
    <x v="2"/>
    <x v="3"/>
    <x v="0"/>
    <d v="2022-07-25T00:00:00"/>
    <x v="233"/>
    <n v="2194"/>
    <n v="6836"/>
    <n v="577.01"/>
    <x v="1"/>
    <n v="16"/>
    <x v="1"/>
    <d v="2023-12-23T00:00:00"/>
    <n v="0"/>
    <n v="1237"/>
    <n v="0.26"/>
    <s v="Normal"/>
    <n v="2023"/>
    <s v="December"/>
  </r>
  <r>
    <n v="2095"/>
    <n v="149"/>
    <x v="2"/>
    <x v="1"/>
    <x v="1"/>
    <d v="2022-07-11T00:00:00"/>
    <x v="305"/>
    <n v="4967.93"/>
    <n v="1937"/>
    <n v="-2231"/>
    <x v="0"/>
    <n v="7"/>
    <x v="1"/>
    <d v="2023-02-11T00:00:00"/>
    <n v="0"/>
    <n v="1238"/>
    <n v="-0.45"/>
    <s v="Normal"/>
    <n v="2023"/>
    <s v="February"/>
  </r>
  <r>
    <n v="2098"/>
    <n v="359"/>
    <x v="0"/>
    <x v="3"/>
    <x v="2"/>
    <d v="2022-02-23T00:00:00"/>
    <x v="146"/>
    <n v="4967.93"/>
    <n v="1105"/>
    <n v="-2434"/>
    <x v="1"/>
    <n v="19"/>
    <x v="1"/>
    <d v="2023-10-08T00:00:00"/>
    <n v="1"/>
    <n v="1239"/>
    <n v="-0.49"/>
    <s v="Normal"/>
    <n v="2023"/>
    <s v="October"/>
  </r>
  <r>
    <n v="2100"/>
    <n v="344"/>
    <x v="4"/>
    <x v="3"/>
    <x v="2"/>
    <d v="2022-05-18T00:00:00"/>
    <x v="34"/>
    <n v="8646"/>
    <n v="614"/>
    <n v="8032"/>
    <x v="1"/>
    <n v="4"/>
    <x v="0"/>
    <d v="2022-10-14T00:00:00"/>
    <n v="1"/>
    <n v="1240"/>
    <n v="0.93"/>
    <s v="Normal"/>
    <n v="2022"/>
    <s v="October"/>
  </r>
  <r>
    <n v="2101"/>
    <n v="450"/>
    <x v="2"/>
    <x v="3"/>
    <x v="0"/>
    <d v="2022-01-05T00:00:00"/>
    <x v="288"/>
    <n v="5220"/>
    <n v="4508"/>
    <n v="712"/>
    <x v="2"/>
    <n v="14"/>
    <x v="1"/>
    <d v="2023-03-31T00:00:00"/>
    <n v="1"/>
    <n v="1241"/>
    <n v="0.14000000000000001"/>
    <s v="Normal"/>
    <n v="2023"/>
    <s v="March"/>
  </r>
  <r>
    <n v="2102"/>
    <n v="238"/>
    <x v="0"/>
    <x v="1"/>
    <x v="2"/>
    <d v="2022-07-15T00:00:00"/>
    <x v="608"/>
    <n v="3295"/>
    <n v="4012.75"/>
    <n v="3456"/>
    <x v="2"/>
    <n v="8"/>
    <x v="1"/>
    <d v="2023-04-06T00:00:00"/>
    <n v="1"/>
    <n v="1242"/>
    <n v="1.05"/>
    <s v="Outlier"/>
    <n v="2023"/>
    <s v="April"/>
  </r>
  <r>
    <n v="2105"/>
    <n v="204"/>
    <x v="2"/>
    <x v="3"/>
    <x v="2"/>
    <d v="2022-07-10T00:00:00"/>
    <x v="4"/>
    <n v="8842"/>
    <n v="5339"/>
    <n v="3503"/>
    <x v="2"/>
    <n v="8"/>
    <x v="1"/>
    <d v="2023-04-05T00:00:00"/>
    <n v="1"/>
    <n v="1243"/>
    <n v="0.4"/>
    <s v="Normal"/>
    <n v="2023"/>
    <s v="April"/>
  </r>
  <r>
    <n v="2108"/>
    <n v="466"/>
    <x v="1"/>
    <x v="2"/>
    <x v="1"/>
    <d v="2022-11-11T00:00:00"/>
    <x v="68"/>
    <n v="4967.93"/>
    <n v="2086"/>
    <n v="577.01"/>
    <x v="2"/>
    <n v="9"/>
    <x v="1"/>
    <d v="2023-09-10T00:00:00"/>
    <n v="0"/>
    <n v="1244"/>
    <n v="0.12"/>
    <s v="Normal"/>
    <n v="2023"/>
    <s v="September"/>
  </r>
  <r>
    <n v="2109"/>
    <n v="426"/>
    <x v="3"/>
    <x v="3"/>
    <x v="0"/>
    <d v="2022-07-20T00:00:00"/>
    <x v="554"/>
    <n v="7556"/>
    <n v="5534"/>
    <n v="2022"/>
    <x v="1"/>
    <n v="3"/>
    <x v="0"/>
    <d v="2022-11-18T00:00:00"/>
    <n v="0"/>
    <n v="1245"/>
    <n v="0.27"/>
    <s v="Normal"/>
    <n v="2022"/>
    <s v="November"/>
  </r>
  <r>
    <n v="2110"/>
    <n v="359"/>
    <x v="0"/>
    <x v="2"/>
    <x v="2"/>
    <d v="2022-08-09T00:00:00"/>
    <x v="532"/>
    <n v="5168"/>
    <n v="3886"/>
    <n v="1282"/>
    <x v="2"/>
    <n v="1"/>
    <x v="0"/>
    <d v="2022-09-15T00:00:00"/>
    <n v="0"/>
    <n v="1246"/>
    <n v="0.25"/>
    <s v="Normal"/>
    <n v="2022"/>
    <s v="September"/>
  </r>
  <r>
    <n v="2112"/>
    <n v="283"/>
    <x v="2"/>
    <x v="0"/>
    <x v="2"/>
    <d v="2022-06-16T00:00:00"/>
    <x v="39"/>
    <n v="1985"/>
    <n v="1359"/>
    <n v="626"/>
    <x v="1"/>
    <n v="15"/>
    <x v="1"/>
    <d v="2023-09-27T00:00:00"/>
    <n v="1"/>
    <n v="1247"/>
    <n v="0.32"/>
    <s v="Normal"/>
    <n v="2023"/>
    <s v="September"/>
  </r>
  <r>
    <n v="2113"/>
    <n v="380"/>
    <x v="4"/>
    <x v="3"/>
    <x v="0"/>
    <d v="2022-12-14T00:00:00"/>
    <x v="8"/>
    <n v="4967.93"/>
    <n v="5704"/>
    <n v="-7278"/>
    <x v="1"/>
    <n v="16"/>
    <x v="1"/>
    <d v="2024-05-13T00:00:00"/>
    <n v="0"/>
    <n v="1248"/>
    <n v="-1.46"/>
    <s v="Outlier"/>
    <n v="2024"/>
    <s v="May"/>
  </r>
  <r>
    <n v="2116"/>
    <n v="246"/>
    <x v="1"/>
    <x v="2"/>
    <x v="0"/>
    <d v="2022-09-28T00:00:00"/>
    <x v="312"/>
    <n v="6587"/>
    <n v="1789"/>
    <n v="577.01"/>
    <x v="1"/>
    <n v="14"/>
    <x v="1"/>
    <d v="2023-12-15T00:00:00"/>
    <n v="1"/>
    <n v="1249"/>
    <n v="0.09"/>
    <s v="Normal"/>
    <n v="2023"/>
    <s v="December"/>
  </r>
  <r>
    <n v="2118"/>
    <n v="207"/>
    <x v="3"/>
    <x v="0"/>
    <x v="1"/>
    <d v="2022-05-08T00:00:00"/>
    <x v="35"/>
    <n v="4967.93"/>
    <n v="5761"/>
    <n v="-7069"/>
    <x v="0"/>
    <n v="18"/>
    <x v="1"/>
    <d v="2023-11-25T00:00:00"/>
    <n v="1"/>
    <n v="1250"/>
    <n v="-1.42"/>
    <s v="Outlier"/>
    <n v="2023"/>
    <s v="November"/>
  </r>
  <r>
    <n v="2119"/>
    <n v="122"/>
    <x v="1"/>
    <x v="3"/>
    <x v="1"/>
    <d v="2022-06-14T00:00:00"/>
    <x v="413"/>
    <n v="4060"/>
    <n v="3434"/>
    <n v="626"/>
    <x v="1"/>
    <n v="13"/>
    <x v="1"/>
    <d v="2023-07-16T00:00:00"/>
    <n v="0"/>
    <n v="1251"/>
    <n v="0.15"/>
    <s v="Normal"/>
    <n v="2023"/>
    <s v="July"/>
  </r>
  <r>
    <n v="2124"/>
    <n v="269"/>
    <x v="4"/>
    <x v="1"/>
    <x v="1"/>
    <d v="2022-02-21T00:00:00"/>
    <x v="425"/>
    <n v="5470"/>
    <n v="5132"/>
    <n v="338"/>
    <x v="1"/>
    <n v="14"/>
    <x v="1"/>
    <d v="2023-04-29T00:00:00"/>
    <n v="0"/>
    <n v="1252"/>
    <n v="0.06"/>
    <s v="Normal"/>
    <n v="2023"/>
    <s v="April"/>
  </r>
  <r>
    <n v="2125"/>
    <n v="373"/>
    <x v="4"/>
    <x v="2"/>
    <x v="0"/>
    <d v="2022-08-05T00:00:00"/>
    <x v="495"/>
    <n v="6128"/>
    <n v="117"/>
    <n v="6011"/>
    <x v="1"/>
    <n v="15"/>
    <x v="1"/>
    <d v="2023-12-04T00:00:00"/>
    <n v="1"/>
    <n v="1253"/>
    <n v="0.98"/>
    <s v="Normal"/>
    <n v="2023"/>
    <s v="December"/>
  </r>
  <r>
    <n v="2128"/>
    <n v="426"/>
    <x v="0"/>
    <x v="2"/>
    <x v="0"/>
    <d v="2022-06-19T00:00:00"/>
    <x v="357"/>
    <n v="5057"/>
    <n v="989"/>
    <n v="577.01"/>
    <x v="1"/>
    <n v="8"/>
    <x v="1"/>
    <d v="2023-02-25T00:00:00"/>
    <n v="1"/>
    <n v="1254"/>
    <n v="0.11"/>
    <s v="Normal"/>
    <n v="2023"/>
    <s v="February"/>
  </r>
  <r>
    <n v="2130"/>
    <n v="330"/>
    <x v="3"/>
    <x v="2"/>
    <x v="2"/>
    <d v="2022-02-02T00:00:00"/>
    <x v="443"/>
    <n v="846"/>
    <n v="4269"/>
    <n v="-3423"/>
    <x v="0"/>
    <n v="7"/>
    <x v="1"/>
    <d v="2022-09-07T00:00:00"/>
    <n v="0"/>
    <n v="1255"/>
    <n v="-4.05"/>
    <s v="Outlier"/>
    <n v="2022"/>
    <s v="September"/>
  </r>
  <r>
    <n v="2131"/>
    <n v="197"/>
    <x v="4"/>
    <x v="2"/>
    <x v="1"/>
    <d v="2022-02-02T00:00:00"/>
    <x v="433"/>
    <n v="7486"/>
    <n v="3137"/>
    <n v="4349"/>
    <x v="1"/>
    <n v="13"/>
    <x v="1"/>
    <d v="2023-03-11T00:00:00"/>
    <n v="1"/>
    <n v="1256"/>
    <n v="0.57999999999999996"/>
    <s v="Normal"/>
    <n v="2023"/>
    <s v="March"/>
  </r>
  <r>
    <n v="2132"/>
    <n v="444"/>
    <x v="0"/>
    <x v="3"/>
    <x v="1"/>
    <d v="2022-03-20T00:00:00"/>
    <x v="212"/>
    <n v="9691"/>
    <n v="7220"/>
    <n v="2471"/>
    <x v="2"/>
    <n v="8"/>
    <x v="1"/>
    <d v="2022-12-07T00:00:00"/>
    <n v="1"/>
    <n v="1257"/>
    <n v="0.25"/>
    <s v="Normal"/>
    <n v="2022"/>
    <s v="December"/>
  </r>
  <r>
    <n v="2133"/>
    <n v="492"/>
    <x v="3"/>
    <x v="2"/>
    <x v="0"/>
    <d v="2022-04-29T00:00:00"/>
    <x v="354"/>
    <n v="8446"/>
    <n v="1671"/>
    <n v="6775"/>
    <x v="1"/>
    <n v="6"/>
    <x v="2"/>
    <d v="2022-11-28T00:00:00"/>
    <n v="0"/>
    <n v="1258"/>
    <n v="0.8"/>
    <s v="Normal"/>
    <n v="2022"/>
    <s v="November"/>
  </r>
  <r>
    <n v="2135"/>
    <n v="280"/>
    <x v="2"/>
    <x v="1"/>
    <x v="2"/>
    <d v="2022-05-25T00:00:00"/>
    <x v="541"/>
    <n v="4759"/>
    <n v="7435"/>
    <n v="-2676"/>
    <x v="2"/>
    <n v="5"/>
    <x v="0"/>
    <d v="2022-11-06T00:00:00"/>
    <n v="0"/>
    <n v="1259"/>
    <n v="-0.56000000000000005"/>
    <s v="Normal"/>
    <n v="2022"/>
    <s v="November"/>
  </r>
  <r>
    <n v="2138"/>
    <n v="402"/>
    <x v="3"/>
    <x v="0"/>
    <x v="2"/>
    <d v="2022-12-11T00:00:00"/>
    <x v="256"/>
    <n v="6561"/>
    <n v="1082"/>
    <n v="5479"/>
    <x v="0"/>
    <n v="11"/>
    <x v="1"/>
    <d v="2023-12-10T00:00:00"/>
    <n v="1"/>
    <n v="1260"/>
    <n v="0.84"/>
    <s v="Normal"/>
    <n v="2023"/>
    <s v="December"/>
  </r>
  <r>
    <n v="2141"/>
    <n v="212"/>
    <x v="4"/>
    <x v="1"/>
    <x v="1"/>
    <d v="2022-08-24T00:00:00"/>
    <x v="259"/>
    <n v="3953"/>
    <n v="5818"/>
    <n v="-1865"/>
    <x v="1"/>
    <n v="17"/>
    <x v="1"/>
    <d v="2024-02-20T00:00:00"/>
    <n v="1"/>
    <n v="1261"/>
    <n v="-0.47"/>
    <s v="Normal"/>
    <n v="2024"/>
    <s v="February"/>
  </r>
  <r>
    <n v="2143"/>
    <n v="415"/>
    <x v="0"/>
    <x v="1"/>
    <x v="1"/>
    <d v="2022-09-22T00:00:00"/>
    <x v="574"/>
    <n v="985"/>
    <n v="4012.75"/>
    <n v="1484"/>
    <x v="0"/>
    <n v="7"/>
    <x v="1"/>
    <d v="2023-05-15T00:00:00"/>
    <n v="0"/>
    <n v="1262"/>
    <n v="1.51"/>
    <s v="Outlier"/>
    <n v="2023"/>
    <s v="May"/>
  </r>
  <r>
    <n v="2146"/>
    <n v="449"/>
    <x v="4"/>
    <x v="3"/>
    <x v="1"/>
    <d v="2022-01-28T00:00:00"/>
    <x v="503"/>
    <n v="4967.93"/>
    <n v="816"/>
    <n v="-887"/>
    <x v="2"/>
    <n v="15"/>
    <x v="1"/>
    <d v="2023-05-07T00:00:00"/>
    <n v="0"/>
    <n v="1263"/>
    <n v="-0.18"/>
    <s v="Normal"/>
    <n v="2023"/>
    <s v="May"/>
  </r>
  <r>
    <n v="2147"/>
    <n v="261"/>
    <x v="1"/>
    <x v="3"/>
    <x v="2"/>
    <d v="2022-12-26T00:00:00"/>
    <x v="601"/>
    <n v="8388"/>
    <n v="4481"/>
    <n v="3907"/>
    <x v="1"/>
    <n v="10"/>
    <x v="1"/>
    <d v="2023-11-07T00:00:00"/>
    <n v="1"/>
    <n v="1264"/>
    <n v="0.47"/>
    <s v="Normal"/>
    <n v="2023"/>
    <s v="November"/>
  </r>
  <r>
    <n v="2149"/>
    <n v="210"/>
    <x v="4"/>
    <x v="3"/>
    <x v="1"/>
    <d v="2022-12-01T00:00:00"/>
    <x v="116"/>
    <n v="1078"/>
    <n v="6597"/>
    <n v="-5519"/>
    <x v="0"/>
    <n v="6"/>
    <x v="2"/>
    <d v="2023-06-27T00:00:00"/>
    <n v="1"/>
    <n v="1265"/>
    <n v="-5.12"/>
    <s v="Outlier"/>
    <n v="2023"/>
    <s v="June"/>
  </r>
  <r>
    <n v="2150"/>
    <n v="411"/>
    <x v="1"/>
    <x v="3"/>
    <x v="0"/>
    <d v="2022-09-08T00:00:00"/>
    <x v="256"/>
    <n v="6358"/>
    <n v="2991"/>
    <n v="3367"/>
    <x v="2"/>
    <n v="15"/>
    <x v="1"/>
    <d v="2023-12-10T00:00:00"/>
    <n v="0"/>
    <n v="1266"/>
    <n v="0.53"/>
    <s v="Normal"/>
    <n v="2023"/>
    <s v="December"/>
  </r>
  <r>
    <n v="2152"/>
    <n v="330"/>
    <x v="3"/>
    <x v="2"/>
    <x v="0"/>
    <d v="2022-12-13T00:00:00"/>
    <x v="575"/>
    <n v="4967.93"/>
    <n v="4309"/>
    <n v="-6075"/>
    <x v="2"/>
    <n v="12"/>
    <x v="1"/>
    <d v="2024-01-08T00:00:00"/>
    <n v="0"/>
    <n v="1267"/>
    <n v="-1.22"/>
    <s v="Outlier"/>
    <n v="2024"/>
    <s v="January"/>
  </r>
  <r>
    <n v="2153"/>
    <n v="315"/>
    <x v="4"/>
    <x v="0"/>
    <x v="1"/>
    <d v="2022-11-01T00:00:00"/>
    <x v="592"/>
    <n v="5384"/>
    <n v="3016"/>
    <n v="2368"/>
    <x v="0"/>
    <n v="12"/>
    <x v="1"/>
    <d v="2023-11-15T00:00:00"/>
    <n v="0"/>
    <n v="1268"/>
    <n v="0.44"/>
    <s v="Normal"/>
    <n v="2023"/>
    <s v="November"/>
  </r>
  <r>
    <n v="2154"/>
    <n v="483"/>
    <x v="3"/>
    <x v="0"/>
    <x v="2"/>
    <d v="2022-07-02T00:00:00"/>
    <x v="589"/>
    <n v="6732"/>
    <n v="6334"/>
    <n v="398"/>
    <x v="0"/>
    <n v="13"/>
    <x v="1"/>
    <d v="2023-08-27T00:00:00"/>
    <n v="1"/>
    <n v="1269"/>
    <n v="0.06"/>
    <s v="Normal"/>
    <n v="2023"/>
    <s v="August"/>
  </r>
  <r>
    <n v="2155"/>
    <n v="122"/>
    <x v="2"/>
    <x v="3"/>
    <x v="2"/>
    <d v="2022-04-16T00:00:00"/>
    <x v="417"/>
    <n v="276"/>
    <n v="5813"/>
    <n v="-5537"/>
    <x v="1"/>
    <n v="5"/>
    <x v="0"/>
    <d v="2022-10-08T00:00:00"/>
    <n v="1"/>
    <n v="1270"/>
    <n v="-20.059999999999999"/>
    <s v="Outlier"/>
    <n v="2022"/>
    <s v="October"/>
  </r>
  <r>
    <n v="2156"/>
    <n v="173"/>
    <x v="4"/>
    <x v="1"/>
    <x v="1"/>
    <d v="2022-09-28T00:00:00"/>
    <x v="257"/>
    <n v="4967.93"/>
    <n v="4012.75"/>
    <n v="577.01"/>
    <x v="1"/>
    <n v="11"/>
    <x v="1"/>
    <d v="2023-09-11T00:00:00"/>
    <n v="0"/>
    <n v="1271"/>
    <n v="0.12"/>
    <s v="Normal"/>
    <n v="2023"/>
    <s v="September"/>
  </r>
  <r>
    <n v="2157"/>
    <n v="204"/>
    <x v="4"/>
    <x v="3"/>
    <x v="0"/>
    <d v="2022-12-27T00:00:00"/>
    <x v="366"/>
    <n v="4967.93"/>
    <n v="3027"/>
    <n v="-4014"/>
    <x v="2"/>
    <n v="8"/>
    <x v="1"/>
    <d v="2023-09-23T00:00:00"/>
    <n v="0"/>
    <n v="1272"/>
    <n v="-0.81"/>
    <s v="Normal"/>
    <n v="2023"/>
    <s v="September"/>
  </r>
  <r>
    <n v="2159"/>
    <n v="403"/>
    <x v="4"/>
    <x v="1"/>
    <x v="1"/>
    <d v="2022-04-22T00:00:00"/>
    <x v="614"/>
    <n v="4013"/>
    <n v="3307"/>
    <n v="706"/>
    <x v="2"/>
    <n v="13"/>
    <x v="1"/>
    <d v="2023-05-29T00:00:00"/>
    <n v="0"/>
    <n v="1273"/>
    <n v="0.18"/>
    <s v="Normal"/>
    <n v="2023"/>
    <s v="May"/>
  </r>
  <r>
    <n v="2160"/>
    <n v="449"/>
    <x v="3"/>
    <x v="2"/>
    <x v="0"/>
    <d v="2022-10-27T00:00:00"/>
    <x v="200"/>
    <n v="7657"/>
    <n v="1510"/>
    <n v="6147"/>
    <x v="0"/>
    <n v="13"/>
    <x v="1"/>
    <d v="2023-12-09T00:00:00"/>
    <n v="1"/>
    <n v="1274"/>
    <n v="0.8"/>
    <s v="Normal"/>
    <n v="2023"/>
    <s v="December"/>
  </r>
  <r>
    <n v="2161"/>
    <n v="132"/>
    <x v="0"/>
    <x v="2"/>
    <x v="0"/>
    <d v="2022-04-27T00:00:00"/>
    <x v="531"/>
    <n v="428"/>
    <n v="1305"/>
    <n v="577.01"/>
    <x v="1"/>
    <n v="5"/>
    <x v="0"/>
    <d v="2022-10-01T00:00:00"/>
    <n v="0"/>
    <n v="1275"/>
    <n v="1.35"/>
    <s v="Outlier"/>
    <n v="2022"/>
    <s v="October"/>
  </r>
  <r>
    <n v="2162"/>
    <n v="144"/>
    <x v="0"/>
    <x v="2"/>
    <x v="1"/>
    <d v="2022-03-16T00:00:00"/>
    <x v="226"/>
    <n v="4967.93"/>
    <n v="6219"/>
    <n v="577.01"/>
    <x v="1"/>
    <n v="5"/>
    <x v="0"/>
    <d v="2022-09-03T00:00:00"/>
    <n v="0"/>
    <n v="1276"/>
    <n v="0.12"/>
    <s v="Normal"/>
    <n v="2022"/>
    <s v="September"/>
  </r>
  <r>
    <n v="2163"/>
    <n v="493"/>
    <x v="3"/>
    <x v="1"/>
    <x v="0"/>
    <d v="2022-05-22T00:00:00"/>
    <x v="615"/>
    <n v="7111"/>
    <n v="1743"/>
    <n v="577.01"/>
    <x v="1"/>
    <n v="1"/>
    <x v="0"/>
    <d v="2022-07-09T00:00:00"/>
    <n v="0"/>
    <n v="1277"/>
    <n v="0.08"/>
    <s v="Normal"/>
    <n v="2022"/>
    <s v="July"/>
  </r>
  <r>
    <n v="2166"/>
    <n v="167"/>
    <x v="3"/>
    <x v="0"/>
    <x v="2"/>
    <d v="2022-12-25T00:00:00"/>
    <x v="480"/>
    <n v="746"/>
    <n v="4012.75"/>
    <n v="1426"/>
    <x v="0"/>
    <n v="12"/>
    <x v="1"/>
    <d v="2024-01-13T00:00:00"/>
    <n v="0"/>
    <n v="1278"/>
    <n v="1.91"/>
    <s v="Outlier"/>
    <n v="2024"/>
    <s v="January"/>
  </r>
  <r>
    <n v="2169"/>
    <n v="247"/>
    <x v="2"/>
    <x v="2"/>
    <x v="1"/>
    <d v="2022-01-08T00:00:00"/>
    <x v="260"/>
    <n v="3941"/>
    <n v="1455"/>
    <n v="2486"/>
    <x v="2"/>
    <n v="18"/>
    <x v="1"/>
    <d v="2023-07-11T00:00:00"/>
    <n v="0"/>
    <n v="1279"/>
    <n v="0.63"/>
    <s v="Normal"/>
    <n v="2023"/>
    <s v="July"/>
  </r>
  <r>
    <n v="2170"/>
    <n v="276"/>
    <x v="4"/>
    <x v="0"/>
    <x v="0"/>
    <d v="2022-12-23T00:00:00"/>
    <x v="550"/>
    <n v="7642"/>
    <n v="4012.75"/>
    <n v="7986"/>
    <x v="2"/>
    <n v="15"/>
    <x v="1"/>
    <d v="2024-04-05T00:00:00"/>
    <n v="0"/>
    <n v="1280"/>
    <n v="1.05"/>
    <s v="Outlier"/>
    <n v="2024"/>
    <s v="April"/>
  </r>
  <r>
    <n v="2172"/>
    <n v="171"/>
    <x v="2"/>
    <x v="2"/>
    <x v="0"/>
    <d v="2022-11-11T00:00:00"/>
    <x v="601"/>
    <n v="4967.93"/>
    <n v="1212"/>
    <n v="-2213"/>
    <x v="2"/>
    <n v="11"/>
    <x v="1"/>
    <d v="2023-11-07T00:00:00"/>
    <n v="1"/>
    <n v="1281"/>
    <n v="-0.45"/>
    <s v="Normal"/>
    <n v="2023"/>
    <s v="November"/>
  </r>
  <r>
    <n v="2173"/>
    <n v="292"/>
    <x v="1"/>
    <x v="3"/>
    <x v="1"/>
    <d v="2022-11-28T00:00:00"/>
    <x v="601"/>
    <n v="7041"/>
    <n v="6376"/>
    <n v="665"/>
    <x v="1"/>
    <n v="11"/>
    <x v="1"/>
    <d v="2023-11-07T00:00:00"/>
    <n v="1"/>
    <n v="1282"/>
    <n v="0.09"/>
    <s v="Normal"/>
    <n v="2023"/>
    <s v="November"/>
  </r>
  <r>
    <n v="2175"/>
    <n v="257"/>
    <x v="1"/>
    <x v="3"/>
    <x v="0"/>
    <d v="2022-06-13T00:00:00"/>
    <x v="231"/>
    <n v="7524"/>
    <n v="4012.75"/>
    <n v="8403"/>
    <x v="2"/>
    <n v="7"/>
    <x v="1"/>
    <d v="2023-01-24T00:00:00"/>
    <n v="1"/>
    <n v="1283"/>
    <n v="1.1200000000000001"/>
    <s v="Outlier"/>
    <n v="2023"/>
    <s v="January"/>
  </r>
  <r>
    <n v="2176"/>
    <n v="442"/>
    <x v="4"/>
    <x v="3"/>
    <x v="0"/>
    <d v="2022-01-30T00:00:00"/>
    <x v="339"/>
    <n v="2048"/>
    <n v="7445"/>
    <n v="-5397"/>
    <x v="1"/>
    <n v="9"/>
    <x v="1"/>
    <d v="2022-11-12T00:00:00"/>
    <n v="0"/>
    <n v="1284"/>
    <n v="-2.64"/>
    <s v="Outlier"/>
    <n v="2022"/>
    <s v="November"/>
  </r>
  <r>
    <n v="2177"/>
    <n v="396"/>
    <x v="0"/>
    <x v="3"/>
    <x v="2"/>
    <d v="2022-11-02T00:00:00"/>
    <x v="40"/>
    <n v="4359"/>
    <n v="512"/>
    <n v="3847"/>
    <x v="0"/>
    <n v="8"/>
    <x v="1"/>
    <d v="2023-07-02T00:00:00"/>
    <n v="1"/>
    <n v="1285"/>
    <n v="0.88"/>
    <s v="Normal"/>
    <n v="2023"/>
    <s v="July"/>
  </r>
  <r>
    <n v="2180"/>
    <n v="106"/>
    <x v="2"/>
    <x v="1"/>
    <x v="1"/>
    <d v="2022-11-06T00:00:00"/>
    <x v="605"/>
    <n v="6361"/>
    <n v="2351"/>
    <n v="4010"/>
    <x v="1"/>
    <n v="11"/>
    <x v="1"/>
    <d v="2023-10-29T00:00:00"/>
    <n v="1"/>
    <n v="1286"/>
    <n v="0.63"/>
    <s v="Normal"/>
    <n v="2023"/>
    <s v="October"/>
  </r>
  <r>
    <n v="2184"/>
    <n v="353"/>
    <x v="3"/>
    <x v="1"/>
    <x v="2"/>
    <d v="2022-07-05T00:00:00"/>
    <x v="72"/>
    <n v="5364"/>
    <n v="4648"/>
    <n v="716"/>
    <x v="1"/>
    <n v="13"/>
    <x v="1"/>
    <d v="2023-08-12T00:00:00"/>
    <n v="0"/>
    <n v="1287"/>
    <n v="0.13"/>
    <s v="Normal"/>
    <n v="2023"/>
    <s v="August"/>
  </r>
  <r>
    <n v="2185"/>
    <n v="291"/>
    <x v="4"/>
    <x v="3"/>
    <x v="1"/>
    <d v="2022-04-22T00:00:00"/>
    <x v="329"/>
    <n v="2721"/>
    <n v="7411"/>
    <n v="-4690"/>
    <x v="1"/>
    <n v="13"/>
    <x v="1"/>
    <d v="2023-06-05T00:00:00"/>
    <n v="1"/>
    <n v="1288"/>
    <n v="-1.72"/>
    <s v="Outlier"/>
    <n v="2023"/>
    <s v="June"/>
  </r>
  <r>
    <n v="2188"/>
    <n v="103"/>
    <x v="0"/>
    <x v="3"/>
    <x v="2"/>
    <d v="2022-10-24T00:00:00"/>
    <x v="80"/>
    <n v="9881"/>
    <n v="6648"/>
    <n v="3233"/>
    <x v="2"/>
    <n v="2"/>
    <x v="0"/>
    <d v="2023-01-12T00:00:00"/>
    <n v="0"/>
    <n v="1289"/>
    <n v="0.33"/>
    <s v="Normal"/>
    <n v="2023"/>
    <s v="January"/>
  </r>
  <r>
    <n v="2189"/>
    <n v="319"/>
    <x v="3"/>
    <x v="2"/>
    <x v="0"/>
    <d v="2022-06-17T00:00:00"/>
    <x v="383"/>
    <n v="7156"/>
    <n v="4012.75"/>
    <n v="7326"/>
    <x v="2"/>
    <n v="2"/>
    <x v="0"/>
    <d v="2022-09-06T00:00:00"/>
    <n v="1"/>
    <n v="1290"/>
    <n v="1.02"/>
    <s v="Outlier"/>
    <n v="2022"/>
    <s v="September"/>
  </r>
  <r>
    <n v="2191"/>
    <n v="220"/>
    <x v="2"/>
    <x v="3"/>
    <x v="1"/>
    <d v="2022-05-21T00:00:00"/>
    <x v="174"/>
    <n v="670"/>
    <n v="757"/>
    <n v="-87"/>
    <x v="2"/>
    <n v="5"/>
    <x v="0"/>
    <d v="2022-11-19T00:00:00"/>
    <n v="1"/>
    <n v="1291"/>
    <n v="-0.13"/>
    <s v="Normal"/>
    <n v="2022"/>
    <s v="November"/>
  </r>
  <r>
    <n v="2192"/>
    <n v="396"/>
    <x v="2"/>
    <x v="3"/>
    <x v="2"/>
    <d v="2022-09-12T00:00:00"/>
    <x v="504"/>
    <n v="4967.93"/>
    <n v="7056"/>
    <n v="-8599"/>
    <x v="0"/>
    <n v="5"/>
    <x v="0"/>
    <d v="2023-02-18T00:00:00"/>
    <n v="0"/>
    <n v="1292"/>
    <n v="-1.73"/>
    <s v="Outlier"/>
    <n v="2023"/>
    <s v="February"/>
  </r>
  <r>
    <n v="2194"/>
    <n v="101"/>
    <x v="0"/>
    <x v="2"/>
    <x v="2"/>
    <d v="2022-06-23T00:00:00"/>
    <x v="176"/>
    <n v="9724"/>
    <n v="1520"/>
    <n v="8204"/>
    <x v="1"/>
    <n v="1"/>
    <x v="0"/>
    <d v="2022-08-14T00:00:00"/>
    <n v="1"/>
    <n v="1293"/>
    <n v="0.84"/>
    <s v="Normal"/>
    <n v="2022"/>
    <s v="August"/>
  </r>
  <r>
    <n v="2195"/>
    <n v="420"/>
    <x v="2"/>
    <x v="1"/>
    <x v="0"/>
    <d v="2022-03-24T00:00:00"/>
    <x v="569"/>
    <n v="4967.93"/>
    <n v="1016"/>
    <n v="-2419"/>
    <x v="0"/>
    <n v="5"/>
    <x v="0"/>
    <d v="2022-09-02T00:00:00"/>
    <n v="0"/>
    <n v="1294"/>
    <n v="-0.49"/>
    <s v="Normal"/>
    <n v="2022"/>
    <s v="September"/>
  </r>
  <r>
    <n v="2196"/>
    <n v="313"/>
    <x v="0"/>
    <x v="0"/>
    <x v="1"/>
    <d v="2022-08-25T00:00:00"/>
    <x v="50"/>
    <n v="4967.93"/>
    <n v="6088"/>
    <n v="-7012"/>
    <x v="0"/>
    <n v="12"/>
    <x v="1"/>
    <d v="2023-09-08T00:00:00"/>
    <n v="0"/>
    <n v="1295"/>
    <n v="-1.41"/>
    <s v="Outlier"/>
    <n v="2023"/>
    <s v="September"/>
  </r>
  <r>
    <n v="2198"/>
    <n v="327"/>
    <x v="0"/>
    <x v="0"/>
    <x v="2"/>
    <d v="2022-05-26T00:00:00"/>
    <x v="131"/>
    <n v="2390"/>
    <n v="1892"/>
    <n v="498"/>
    <x v="2"/>
    <n v="12"/>
    <x v="1"/>
    <d v="2023-06-01T00:00:00"/>
    <n v="0"/>
    <n v="1296"/>
    <n v="0.21"/>
    <s v="Normal"/>
    <n v="2023"/>
    <s v="June"/>
  </r>
  <r>
    <n v="2199"/>
    <n v="412"/>
    <x v="4"/>
    <x v="2"/>
    <x v="0"/>
    <d v="2022-11-26T00:00:00"/>
    <x v="363"/>
    <n v="7931"/>
    <n v="3498"/>
    <n v="4433"/>
    <x v="1"/>
    <n v="16"/>
    <x v="1"/>
    <d v="2024-04-20T00:00:00"/>
    <n v="0"/>
    <n v="1297"/>
    <n v="0.56000000000000005"/>
    <s v="Normal"/>
    <n v="2024"/>
    <s v="April"/>
  </r>
  <r>
    <n v="2202"/>
    <n v="113"/>
    <x v="0"/>
    <x v="0"/>
    <x v="1"/>
    <d v="2022-09-03T00:00:00"/>
    <x v="77"/>
    <n v="5830"/>
    <n v="4647"/>
    <n v="1183"/>
    <x v="1"/>
    <n v="17"/>
    <x v="1"/>
    <d v="2024-02-16T00:00:00"/>
    <n v="1"/>
    <n v="1298"/>
    <n v="0.2"/>
    <s v="Normal"/>
    <n v="2024"/>
    <s v="February"/>
  </r>
  <r>
    <n v="2204"/>
    <n v="267"/>
    <x v="3"/>
    <x v="0"/>
    <x v="1"/>
    <d v="2022-08-08T00:00:00"/>
    <x v="394"/>
    <n v="5050"/>
    <n v="6365"/>
    <n v="-1315"/>
    <x v="2"/>
    <n v="3"/>
    <x v="0"/>
    <d v="2022-11-22T00:00:00"/>
    <n v="1"/>
    <n v="1299"/>
    <n v="-0.26"/>
    <s v="Normal"/>
    <n v="2022"/>
    <s v="November"/>
  </r>
  <r>
    <n v="2205"/>
    <n v="459"/>
    <x v="4"/>
    <x v="3"/>
    <x v="1"/>
    <d v="2022-09-09T00:00:00"/>
    <x v="616"/>
    <n v="4915"/>
    <n v="1203"/>
    <n v="577.01"/>
    <x v="1"/>
    <n v="16"/>
    <x v="1"/>
    <d v="2024-02-08T00:00:00"/>
    <n v="1"/>
    <n v="1300"/>
    <n v="0.12"/>
    <s v="Normal"/>
    <n v="2024"/>
    <s v="February"/>
  </r>
  <r>
    <n v="2206"/>
    <n v="245"/>
    <x v="4"/>
    <x v="3"/>
    <x v="1"/>
    <d v="2022-03-11T00:00:00"/>
    <x v="617"/>
    <n v="7045"/>
    <n v="4012.75"/>
    <n v="7200"/>
    <x v="2"/>
    <n v="1"/>
    <x v="0"/>
    <d v="2022-05-09T00:00:00"/>
    <n v="1"/>
    <n v="1301"/>
    <n v="1.02"/>
    <s v="Outlier"/>
    <n v="2022"/>
    <s v="May"/>
  </r>
  <r>
    <n v="2208"/>
    <n v="409"/>
    <x v="2"/>
    <x v="1"/>
    <x v="1"/>
    <d v="2022-11-13T00:00:00"/>
    <x v="356"/>
    <n v="6929"/>
    <n v="7951"/>
    <n v="-1022"/>
    <x v="2"/>
    <n v="1"/>
    <x v="0"/>
    <d v="2022-12-23T00:00:00"/>
    <n v="1"/>
    <n v="1302"/>
    <n v="-0.15"/>
    <s v="Normal"/>
    <n v="2022"/>
    <s v="December"/>
  </r>
  <r>
    <n v="2209"/>
    <n v="301"/>
    <x v="1"/>
    <x v="3"/>
    <x v="2"/>
    <d v="2022-07-24T00:00:00"/>
    <x v="34"/>
    <n v="1175"/>
    <n v="2533"/>
    <n v="577.01"/>
    <x v="0"/>
    <n v="2"/>
    <x v="0"/>
    <d v="2022-10-14T00:00:00"/>
    <n v="0"/>
    <n v="1303"/>
    <n v="0.49"/>
    <s v="Normal"/>
    <n v="2022"/>
    <s v="October"/>
  </r>
  <r>
    <n v="2210"/>
    <n v="435"/>
    <x v="0"/>
    <x v="2"/>
    <x v="1"/>
    <d v="2022-12-26T00:00:00"/>
    <x v="310"/>
    <n v="5661"/>
    <n v="6574"/>
    <n v="-913"/>
    <x v="1"/>
    <n v="10"/>
    <x v="1"/>
    <d v="2023-10-28T00:00:00"/>
    <n v="1"/>
    <n v="1304"/>
    <n v="-0.16"/>
    <s v="Normal"/>
    <n v="2023"/>
    <s v="October"/>
  </r>
  <r>
    <n v="2211"/>
    <n v="313"/>
    <x v="2"/>
    <x v="2"/>
    <x v="0"/>
    <d v="2022-06-03T00:00:00"/>
    <x v="618"/>
    <n v="2847"/>
    <n v="3051"/>
    <n v="577.01"/>
    <x v="1"/>
    <n v="19"/>
    <x v="1"/>
    <d v="2024-01-15T00:00:00"/>
    <n v="0"/>
    <n v="1305"/>
    <n v="0.2"/>
    <s v="Normal"/>
    <n v="2024"/>
    <s v="January"/>
  </r>
  <r>
    <n v="2214"/>
    <n v="395"/>
    <x v="1"/>
    <x v="0"/>
    <x v="2"/>
    <d v="2022-04-29T00:00:00"/>
    <x v="162"/>
    <n v="5895"/>
    <n v="4012.75"/>
    <n v="577.01"/>
    <x v="1"/>
    <n v="15"/>
    <x v="1"/>
    <d v="2023-08-01T00:00:00"/>
    <n v="0"/>
    <n v="1306"/>
    <n v="0.1"/>
    <s v="Normal"/>
    <n v="2023"/>
    <s v="August"/>
  </r>
  <r>
    <n v="2215"/>
    <n v="412"/>
    <x v="3"/>
    <x v="2"/>
    <x v="1"/>
    <d v="2022-12-16T00:00:00"/>
    <x v="619"/>
    <n v="771"/>
    <n v="2394"/>
    <n v="-1623"/>
    <x v="0"/>
    <n v="11"/>
    <x v="1"/>
    <d v="2023-11-18T00:00:00"/>
    <n v="1"/>
    <n v="1307"/>
    <n v="-2.11"/>
    <s v="Outlier"/>
    <n v="2023"/>
    <s v="November"/>
  </r>
  <r>
    <n v="2216"/>
    <n v="162"/>
    <x v="4"/>
    <x v="3"/>
    <x v="1"/>
    <d v="2022-11-01T00:00:00"/>
    <x v="620"/>
    <n v="7763"/>
    <n v="1138"/>
    <n v="6625"/>
    <x v="1"/>
    <n v="16"/>
    <x v="1"/>
    <d v="2024-03-03T00:00:00"/>
    <n v="1"/>
    <n v="1308"/>
    <n v="0.85"/>
    <s v="Normal"/>
    <n v="2024"/>
    <s v="March"/>
  </r>
  <r>
    <n v="2217"/>
    <n v="162"/>
    <x v="2"/>
    <x v="0"/>
    <x v="0"/>
    <d v="2022-08-02T00:00:00"/>
    <x v="371"/>
    <n v="9544"/>
    <n v="4285"/>
    <n v="5259"/>
    <x v="1"/>
    <n v="17"/>
    <x v="1"/>
    <d v="2024-01-27T00:00:00"/>
    <n v="1"/>
    <n v="1309"/>
    <n v="0.55000000000000004"/>
    <s v="Normal"/>
    <n v="2024"/>
    <s v="January"/>
  </r>
  <r>
    <n v="2218"/>
    <n v="212"/>
    <x v="2"/>
    <x v="3"/>
    <x v="1"/>
    <d v="2022-01-19T00:00:00"/>
    <x v="621"/>
    <n v="4228"/>
    <n v="6358"/>
    <n v="-2130"/>
    <x v="1"/>
    <n v="1"/>
    <x v="0"/>
    <d v="2022-02-24T00:00:00"/>
    <n v="1"/>
    <n v="1310"/>
    <n v="-0.5"/>
    <s v="Normal"/>
    <n v="2022"/>
    <s v="February"/>
  </r>
  <r>
    <n v="2219"/>
    <n v="362"/>
    <x v="3"/>
    <x v="1"/>
    <x v="1"/>
    <d v="2022-07-08T00:00:00"/>
    <x v="95"/>
    <n v="6656"/>
    <n v="7677"/>
    <n v="-1021"/>
    <x v="2"/>
    <n v="15"/>
    <x v="1"/>
    <d v="2023-10-12T00:00:00"/>
    <n v="1"/>
    <n v="1311"/>
    <n v="-0.15"/>
    <s v="Normal"/>
    <n v="2023"/>
    <s v="October"/>
  </r>
  <r>
    <n v="2220"/>
    <n v="496"/>
    <x v="0"/>
    <x v="0"/>
    <x v="2"/>
    <d v="2022-02-08T00:00:00"/>
    <x v="541"/>
    <n v="146"/>
    <n v="4012.75"/>
    <n v="960"/>
    <x v="1"/>
    <n v="8"/>
    <x v="1"/>
    <d v="2022-11-06T00:00:00"/>
    <n v="0"/>
    <n v="1312"/>
    <n v="6.58"/>
    <s v="Outlier"/>
    <n v="2022"/>
    <s v="November"/>
  </r>
  <r>
    <n v="2222"/>
    <n v="420"/>
    <x v="3"/>
    <x v="0"/>
    <x v="1"/>
    <d v="2022-04-25T00:00:00"/>
    <x v="66"/>
    <n v="4967.93"/>
    <n v="7603"/>
    <n v="-8184"/>
    <x v="1"/>
    <n v="14"/>
    <x v="1"/>
    <d v="2023-07-04T00:00:00"/>
    <n v="0"/>
    <n v="1313"/>
    <n v="-1.65"/>
    <s v="Outlier"/>
    <n v="2023"/>
    <s v="July"/>
  </r>
  <r>
    <n v="2223"/>
    <n v="327"/>
    <x v="2"/>
    <x v="2"/>
    <x v="2"/>
    <d v="2022-12-15T00:00:00"/>
    <x v="619"/>
    <n v="1237"/>
    <n v="3342"/>
    <n v="577.01"/>
    <x v="1"/>
    <n v="11"/>
    <x v="1"/>
    <d v="2023-11-18T00:00:00"/>
    <n v="1"/>
    <n v="1314"/>
    <n v="0.47"/>
    <s v="Normal"/>
    <n v="2023"/>
    <s v="November"/>
  </r>
  <r>
    <n v="2224"/>
    <n v="252"/>
    <x v="0"/>
    <x v="2"/>
    <x v="0"/>
    <d v="2022-10-25T00:00:00"/>
    <x v="622"/>
    <n v="9770"/>
    <n v="4012.75"/>
    <n v="10658"/>
    <x v="0"/>
    <n v="4"/>
    <x v="0"/>
    <d v="2023-03-17T00:00:00"/>
    <n v="0"/>
    <n v="1315"/>
    <n v="1.0900000000000001"/>
    <s v="Outlier"/>
    <n v="2023"/>
    <s v="March"/>
  </r>
  <r>
    <n v="2228"/>
    <n v="108"/>
    <x v="4"/>
    <x v="1"/>
    <x v="2"/>
    <d v="2022-01-31T00:00:00"/>
    <x v="317"/>
    <n v="1226"/>
    <n v="5720"/>
    <n v="-4494"/>
    <x v="0"/>
    <n v="9"/>
    <x v="1"/>
    <d v="2022-11-14T00:00:00"/>
    <n v="0"/>
    <n v="1316"/>
    <n v="-3.67"/>
    <s v="Outlier"/>
    <n v="2022"/>
    <s v="November"/>
  </r>
  <r>
    <n v="2232"/>
    <n v="107"/>
    <x v="3"/>
    <x v="0"/>
    <x v="1"/>
    <d v="2022-12-18T00:00:00"/>
    <x v="281"/>
    <n v="2810"/>
    <n v="6948"/>
    <n v="-4138"/>
    <x v="2"/>
    <n v="17"/>
    <x v="1"/>
    <d v="2024-06-17T00:00:00"/>
    <n v="1"/>
    <n v="1317"/>
    <n v="-1.47"/>
    <s v="Outlier"/>
    <n v="2024"/>
    <s v="June"/>
  </r>
  <r>
    <n v="2233"/>
    <n v="310"/>
    <x v="1"/>
    <x v="1"/>
    <x v="0"/>
    <d v="2022-10-08T00:00:00"/>
    <x v="623"/>
    <n v="9006"/>
    <n v="1527"/>
    <n v="7479"/>
    <x v="2"/>
    <n v="16"/>
    <x v="1"/>
    <d v="2024-02-26T00:00:00"/>
    <n v="0"/>
    <n v="1318"/>
    <n v="0.83"/>
    <s v="Normal"/>
    <n v="2024"/>
    <s v="February"/>
  </r>
  <r>
    <n v="2234"/>
    <n v="203"/>
    <x v="3"/>
    <x v="1"/>
    <x v="2"/>
    <d v="2022-06-02T00:00:00"/>
    <x v="427"/>
    <n v="7169"/>
    <n v="105"/>
    <n v="7064"/>
    <x v="2"/>
    <n v="9"/>
    <x v="1"/>
    <d v="2023-03-08T00:00:00"/>
    <n v="1"/>
    <n v="1319"/>
    <n v="0.99"/>
    <s v="Normal"/>
    <n v="2023"/>
    <s v="March"/>
  </r>
  <r>
    <n v="2235"/>
    <n v="258"/>
    <x v="0"/>
    <x v="2"/>
    <x v="0"/>
    <d v="2022-06-24T00:00:00"/>
    <x v="362"/>
    <n v="4967.93"/>
    <n v="4012.75"/>
    <n v="577.01"/>
    <x v="0"/>
    <n v="13"/>
    <x v="1"/>
    <d v="2023-08-19T00:00:00"/>
    <n v="1"/>
    <n v="1320"/>
    <n v="0.12"/>
    <s v="Normal"/>
    <n v="2023"/>
    <s v="August"/>
  </r>
  <r>
    <n v="2239"/>
    <n v="401"/>
    <x v="0"/>
    <x v="1"/>
    <x v="0"/>
    <d v="2022-06-05T00:00:00"/>
    <x v="87"/>
    <n v="3778"/>
    <n v="4012.75"/>
    <n v="4305"/>
    <x v="1"/>
    <n v="16"/>
    <x v="1"/>
    <d v="2023-11-01T00:00:00"/>
    <n v="0"/>
    <n v="1321"/>
    <n v="1.1399999999999999"/>
    <s v="Outlier"/>
    <n v="2023"/>
    <s v="November"/>
  </r>
  <r>
    <n v="2240"/>
    <n v="382"/>
    <x v="2"/>
    <x v="0"/>
    <x v="1"/>
    <d v="2022-02-09T00:00:00"/>
    <x v="102"/>
    <n v="2711"/>
    <n v="2275"/>
    <n v="436"/>
    <x v="1"/>
    <n v="5"/>
    <x v="0"/>
    <d v="2022-07-12T00:00:00"/>
    <n v="1"/>
    <n v="1322"/>
    <n v="0.16"/>
    <s v="Normal"/>
    <n v="2022"/>
    <s v="July"/>
  </r>
  <r>
    <n v="2241"/>
    <n v="125"/>
    <x v="1"/>
    <x v="3"/>
    <x v="2"/>
    <d v="2022-12-07T00:00:00"/>
    <x v="367"/>
    <n v="4967.93"/>
    <n v="4012.75"/>
    <n v="-1075"/>
    <x v="0"/>
    <n v="2"/>
    <x v="0"/>
    <d v="2023-02-14T00:00:00"/>
    <n v="0"/>
    <n v="1323"/>
    <n v="-0.22"/>
    <s v="Normal"/>
    <n v="2023"/>
    <s v="February"/>
  </r>
  <r>
    <n v="2243"/>
    <n v="468"/>
    <x v="3"/>
    <x v="0"/>
    <x v="0"/>
    <d v="2022-10-29T00:00:00"/>
    <x v="369"/>
    <n v="5097"/>
    <n v="4333"/>
    <n v="764"/>
    <x v="1"/>
    <n v="7"/>
    <x v="1"/>
    <d v="2023-06-26T00:00:00"/>
    <n v="0"/>
    <n v="1324"/>
    <n v="0.15"/>
    <s v="Normal"/>
    <n v="2023"/>
    <s v="June"/>
  </r>
  <r>
    <n v="2244"/>
    <n v="294"/>
    <x v="4"/>
    <x v="1"/>
    <x v="0"/>
    <d v="2022-06-28T00:00:00"/>
    <x v="48"/>
    <n v="5726"/>
    <n v="3335"/>
    <n v="2391"/>
    <x v="2"/>
    <n v="16"/>
    <x v="1"/>
    <d v="2023-11-02T00:00:00"/>
    <n v="0"/>
    <n v="1325"/>
    <n v="0.42"/>
    <s v="Normal"/>
    <n v="2023"/>
    <s v="November"/>
  </r>
  <r>
    <n v="2246"/>
    <n v="203"/>
    <x v="4"/>
    <x v="2"/>
    <x v="2"/>
    <d v="2022-09-07T00:00:00"/>
    <x v="327"/>
    <n v="6800"/>
    <n v="7588"/>
    <n v="-788"/>
    <x v="1"/>
    <n v="7"/>
    <x v="1"/>
    <d v="2023-04-25T00:00:00"/>
    <n v="1"/>
    <n v="1326"/>
    <n v="-0.12"/>
    <s v="Normal"/>
    <n v="2023"/>
    <s v="April"/>
  </r>
  <r>
    <n v="2247"/>
    <n v="457"/>
    <x v="2"/>
    <x v="2"/>
    <x v="0"/>
    <d v="2022-05-06T00:00:00"/>
    <x v="370"/>
    <n v="2675"/>
    <n v="3190"/>
    <n v="-515"/>
    <x v="1"/>
    <n v="6"/>
    <x v="2"/>
    <d v="2022-11-23T00:00:00"/>
    <n v="0"/>
    <n v="1327"/>
    <n v="-0.19"/>
    <s v="Normal"/>
    <n v="2022"/>
    <s v="November"/>
  </r>
  <r>
    <n v="2248"/>
    <n v="488"/>
    <x v="0"/>
    <x v="1"/>
    <x v="0"/>
    <d v="2022-07-24T00:00:00"/>
    <x v="624"/>
    <n v="3760"/>
    <n v="2059"/>
    <n v="577.01"/>
    <x v="0"/>
    <n v="18"/>
    <x v="1"/>
    <d v="2024-02-12T00:00:00"/>
    <n v="0"/>
    <n v="1328"/>
    <n v="0.15"/>
    <s v="Normal"/>
    <n v="2024"/>
    <s v="February"/>
  </r>
  <r>
    <n v="2250"/>
    <n v="318"/>
    <x v="4"/>
    <x v="2"/>
    <x v="1"/>
    <d v="2022-10-19T00:00:00"/>
    <x v="386"/>
    <n v="8379"/>
    <n v="1779"/>
    <n v="6600"/>
    <x v="0"/>
    <n v="6"/>
    <x v="2"/>
    <d v="2023-05-18T00:00:00"/>
    <n v="0"/>
    <n v="1329"/>
    <n v="0.79"/>
    <s v="Normal"/>
    <n v="2023"/>
    <s v="May"/>
  </r>
  <r>
    <n v="2252"/>
    <n v="109"/>
    <x v="4"/>
    <x v="1"/>
    <x v="0"/>
    <d v="2022-12-02T00:00:00"/>
    <x v="337"/>
    <n v="7819"/>
    <n v="2701"/>
    <n v="5118"/>
    <x v="1"/>
    <n v="11"/>
    <x v="1"/>
    <d v="2023-11-03T00:00:00"/>
    <n v="0"/>
    <n v="1330"/>
    <n v="0.65"/>
    <s v="Normal"/>
    <n v="2023"/>
    <s v="November"/>
  </r>
  <r>
    <n v="2254"/>
    <n v="179"/>
    <x v="0"/>
    <x v="2"/>
    <x v="0"/>
    <d v="2022-10-06T00:00:00"/>
    <x v="48"/>
    <n v="5853"/>
    <n v="5787"/>
    <n v="66"/>
    <x v="1"/>
    <n v="12"/>
    <x v="1"/>
    <d v="2023-11-02T00:00:00"/>
    <n v="1"/>
    <n v="1331"/>
    <n v="0.01"/>
    <s v="Normal"/>
    <n v="2023"/>
    <s v="November"/>
  </r>
  <r>
    <n v="2255"/>
    <n v="500"/>
    <x v="4"/>
    <x v="3"/>
    <x v="1"/>
    <d v="2022-07-21T00:00:00"/>
    <x v="625"/>
    <n v="2179"/>
    <n v="4012.75"/>
    <n v="2635"/>
    <x v="2"/>
    <n v="16"/>
    <x v="1"/>
    <d v="2023-12-13T00:00:00"/>
    <n v="1"/>
    <n v="1332"/>
    <n v="1.21"/>
    <s v="Outlier"/>
    <n v="2023"/>
    <s v="December"/>
  </r>
  <r>
    <n v="2259"/>
    <n v="388"/>
    <x v="4"/>
    <x v="0"/>
    <x v="0"/>
    <d v="2022-01-05T00:00:00"/>
    <x v="540"/>
    <n v="8386"/>
    <n v="2120"/>
    <n v="6266"/>
    <x v="1"/>
    <n v="19"/>
    <x v="1"/>
    <d v="2023-08-09T00:00:00"/>
    <n v="0"/>
    <n v="1333"/>
    <n v="0.75"/>
    <s v="Normal"/>
    <n v="2023"/>
    <s v="August"/>
  </r>
  <r>
    <n v="2260"/>
    <n v="154"/>
    <x v="2"/>
    <x v="3"/>
    <x v="1"/>
    <d v="2022-06-04T00:00:00"/>
    <x v="626"/>
    <n v="8928"/>
    <n v="4012.75"/>
    <n v="9311"/>
    <x v="1"/>
    <n v="17"/>
    <x v="1"/>
    <d v="2023-11-05T00:00:00"/>
    <n v="1"/>
    <n v="1334"/>
    <n v="1.04"/>
    <s v="Outlier"/>
    <n v="2023"/>
    <s v="November"/>
  </r>
  <r>
    <n v="2261"/>
    <n v="207"/>
    <x v="2"/>
    <x v="3"/>
    <x v="0"/>
    <d v="2022-10-26T00:00:00"/>
    <x v="146"/>
    <n v="4967.93"/>
    <n v="3702"/>
    <n v="-4256"/>
    <x v="1"/>
    <n v="11"/>
    <x v="1"/>
    <d v="2023-10-08T00:00:00"/>
    <n v="1"/>
    <n v="1335"/>
    <n v="-0.86"/>
    <s v="Normal"/>
    <n v="2023"/>
    <s v="October"/>
  </r>
  <r>
    <n v="2263"/>
    <n v="149"/>
    <x v="0"/>
    <x v="1"/>
    <x v="2"/>
    <d v="2022-09-28T00:00:00"/>
    <x v="619"/>
    <n v="4967.93"/>
    <n v="6245"/>
    <n v="-6963"/>
    <x v="1"/>
    <n v="13"/>
    <x v="1"/>
    <d v="2023-11-18T00:00:00"/>
    <n v="1"/>
    <n v="1336"/>
    <n v="-1.4"/>
    <s v="Outlier"/>
    <n v="2023"/>
    <s v="November"/>
  </r>
  <r>
    <n v="2264"/>
    <n v="303"/>
    <x v="4"/>
    <x v="1"/>
    <x v="2"/>
    <d v="2022-11-22T00:00:00"/>
    <x v="153"/>
    <n v="5478"/>
    <n v="4500"/>
    <n v="978"/>
    <x v="2"/>
    <n v="5"/>
    <x v="0"/>
    <d v="2023-04-22T00:00:00"/>
    <n v="0"/>
    <n v="1337"/>
    <n v="0.18"/>
    <s v="Normal"/>
    <n v="2023"/>
    <s v="April"/>
  </r>
  <r>
    <n v="2267"/>
    <n v="199"/>
    <x v="2"/>
    <x v="3"/>
    <x v="1"/>
    <d v="2022-08-03T00:00:00"/>
    <x v="134"/>
    <n v="9932"/>
    <n v="1744"/>
    <n v="8188"/>
    <x v="2"/>
    <n v="3"/>
    <x v="0"/>
    <d v="2022-11-05T00:00:00"/>
    <n v="1"/>
    <n v="1338"/>
    <n v="0.82"/>
    <s v="Normal"/>
    <n v="2022"/>
    <s v="November"/>
  </r>
  <r>
    <n v="2268"/>
    <n v="152"/>
    <x v="2"/>
    <x v="1"/>
    <x v="0"/>
    <d v="2022-06-10T00:00:00"/>
    <x v="123"/>
    <n v="8784"/>
    <n v="1518"/>
    <n v="7266"/>
    <x v="1"/>
    <n v="1"/>
    <x v="0"/>
    <d v="2022-07-19T00:00:00"/>
    <n v="0"/>
    <n v="1339"/>
    <n v="0.83"/>
    <s v="Normal"/>
    <n v="2022"/>
    <s v="July"/>
  </r>
  <r>
    <n v="2269"/>
    <n v="179"/>
    <x v="4"/>
    <x v="1"/>
    <x v="0"/>
    <d v="2022-07-02T00:00:00"/>
    <x v="220"/>
    <n v="4967.93"/>
    <n v="2618"/>
    <n v="-4402"/>
    <x v="2"/>
    <n v="8"/>
    <x v="1"/>
    <d v="2023-03-29T00:00:00"/>
    <n v="0"/>
    <n v="1340"/>
    <n v="-0.89"/>
    <s v="Normal"/>
    <n v="2023"/>
    <s v="March"/>
  </r>
  <r>
    <n v="2270"/>
    <n v="377"/>
    <x v="2"/>
    <x v="0"/>
    <x v="0"/>
    <d v="2022-03-23T00:00:00"/>
    <x v="308"/>
    <n v="2912"/>
    <n v="2358"/>
    <n v="554"/>
    <x v="0"/>
    <n v="11"/>
    <x v="1"/>
    <d v="2023-03-20T00:00:00"/>
    <n v="0"/>
    <n v="1341"/>
    <n v="0.19"/>
    <s v="Normal"/>
    <n v="2023"/>
    <s v="March"/>
  </r>
  <r>
    <n v="2271"/>
    <n v="461"/>
    <x v="1"/>
    <x v="2"/>
    <x v="0"/>
    <d v="2022-01-01T00:00:00"/>
    <x v="513"/>
    <n v="1073"/>
    <n v="937"/>
    <n v="136"/>
    <x v="1"/>
    <n v="2"/>
    <x v="0"/>
    <d v="2022-03-26T00:00:00"/>
    <n v="0"/>
    <n v="1342"/>
    <n v="0.13"/>
    <s v="Normal"/>
    <n v="2022"/>
    <s v="March"/>
  </r>
  <r>
    <n v="2273"/>
    <n v="350"/>
    <x v="0"/>
    <x v="2"/>
    <x v="0"/>
    <d v="2022-10-04T00:00:00"/>
    <x v="24"/>
    <n v="7771"/>
    <n v="5248"/>
    <n v="577.01"/>
    <x v="1"/>
    <n v="8"/>
    <x v="1"/>
    <d v="2023-06-14T00:00:00"/>
    <n v="0"/>
    <n v="1343"/>
    <n v="7.0000000000000007E-2"/>
    <s v="Normal"/>
    <n v="2023"/>
    <s v="June"/>
  </r>
  <r>
    <n v="2278"/>
    <n v="450"/>
    <x v="4"/>
    <x v="3"/>
    <x v="0"/>
    <d v="2022-06-14T00:00:00"/>
    <x v="627"/>
    <n v="6454"/>
    <n v="645"/>
    <n v="5809"/>
    <x v="2"/>
    <n v="10"/>
    <x v="1"/>
    <d v="2023-05-08T00:00:00"/>
    <n v="0"/>
    <n v="1344"/>
    <n v="0.9"/>
    <s v="Normal"/>
    <n v="2023"/>
    <s v="May"/>
  </r>
  <r>
    <n v="2279"/>
    <n v="445"/>
    <x v="2"/>
    <x v="0"/>
    <x v="0"/>
    <d v="2022-07-24T00:00:00"/>
    <x v="42"/>
    <n v="8808"/>
    <n v="3649"/>
    <n v="5159"/>
    <x v="0"/>
    <n v="7"/>
    <x v="1"/>
    <d v="2023-03-05T00:00:00"/>
    <n v="0"/>
    <n v="1345"/>
    <n v="0.59"/>
    <s v="Normal"/>
    <n v="2023"/>
    <s v="March"/>
  </r>
  <r>
    <n v="2280"/>
    <n v="286"/>
    <x v="3"/>
    <x v="3"/>
    <x v="1"/>
    <d v="2022-03-02T00:00:00"/>
    <x v="335"/>
    <n v="2074"/>
    <n v="873"/>
    <n v="1201"/>
    <x v="2"/>
    <n v="17"/>
    <x v="1"/>
    <d v="2023-08-18T00:00:00"/>
    <n v="0"/>
    <n v="1346"/>
    <n v="0.57999999999999996"/>
    <s v="Normal"/>
    <n v="2023"/>
    <s v="August"/>
  </r>
  <r>
    <n v="2281"/>
    <n v="382"/>
    <x v="4"/>
    <x v="2"/>
    <x v="0"/>
    <d v="2022-01-23T00:00:00"/>
    <x v="501"/>
    <n v="4967.93"/>
    <n v="1384"/>
    <n v="-3145"/>
    <x v="0"/>
    <n v="4"/>
    <x v="0"/>
    <d v="2022-06-21T00:00:00"/>
    <n v="0"/>
    <n v="1347"/>
    <n v="-0.63"/>
    <s v="Normal"/>
    <n v="2022"/>
    <s v="June"/>
  </r>
  <r>
    <n v="2282"/>
    <n v="474"/>
    <x v="4"/>
    <x v="2"/>
    <x v="2"/>
    <d v="2022-06-17T00:00:00"/>
    <x v="110"/>
    <n v="6882"/>
    <n v="1266"/>
    <n v="5616"/>
    <x v="1"/>
    <n v="4"/>
    <x v="0"/>
    <d v="2022-10-31T00:00:00"/>
    <n v="0"/>
    <n v="1348"/>
    <n v="0.82"/>
    <s v="Normal"/>
    <n v="2022"/>
    <s v="October"/>
  </r>
  <r>
    <n v="2284"/>
    <n v="497"/>
    <x v="0"/>
    <x v="3"/>
    <x v="1"/>
    <d v="2022-03-16T00:00:00"/>
    <x v="306"/>
    <n v="4967.93"/>
    <n v="2457"/>
    <n v="-3962"/>
    <x v="0"/>
    <n v="8"/>
    <x v="1"/>
    <d v="2022-11-25T00:00:00"/>
    <n v="0"/>
    <n v="1349"/>
    <n v="-0.8"/>
    <s v="Normal"/>
    <n v="2022"/>
    <s v="November"/>
  </r>
  <r>
    <n v="2286"/>
    <n v="496"/>
    <x v="3"/>
    <x v="0"/>
    <x v="1"/>
    <d v="2022-09-19T00:00:00"/>
    <x v="340"/>
    <n v="426"/>
    <n v="7724"/>
    <n v="-7298"/>
    <x v="1"/>
    <n v="5"/>
    <x v="0"/>
    <d v="2023-03-03T00:00:00"/>
    <n v="0"/>
    <n v="1350"/>
    <n v="-17.13"/>
    <s v="Outlier"/>
    <n v="2023"/>
    <s v="March"/>
  </r>
  <r>
    <n v="2287"/>
    <n v="179"/>
    <x v="0"/>
    <x v="0"/>
    <x v="1"/>
    <d v="2022-07-26T00:00:00"/>
    <x v="531"/>
    <n v="1655"/>
    <n v="7572"/>
    <n v="-5917"/>
    <x v="1"/>
    <n v="2"/>
    <x v="0"/>
    <d v="2022-10-01T00:00:00"/>
    <n v="0"/>
    <n v="1351"/>
    <n v="-3.58"/>
    <s v="Outlier"/>
    <n v="2022"/>
    <s v="October"/>
  </r>
  <r>
    <n v="2288"/>
    <n v="246"/>
    <x v="1"/>
    <x v="1"/>
    <x v="0"/>
    <d v="2022-10-23T00:00:00"/>
    <x v="515"/>
    <n v="4967.93"/>
    <n v="7497"/>
    <n v="-9158"/>
    <x v="1"/>
    <n v="4"/>
    <x v="0"/>
    <d v="2023-03-21T00:00:00"/>
    <n v="0"/>
    <n v="1352"/>
    <n v="-1.84"/>
    <s v="Outlier"/>
    <n v="2023"/>
    <s v="March"/>
  </r>
  <r>
    <n v="2289"/>
    <n v="385"/>
    <x v="3"/>
    <x v="3"/>
    <x v="0"/>
    <d v="2022-05-22T00:00:00"/>
    <x v="264"/>
    <n v="1972"/>
    <n v="2173"/>
    <n v="-201"/>
    <x v="1"/>
    <n v="15"/>
    <x v="1"/>
    <d v="2023-09-17T00:00:00"/>
    <n v="1"/>
    <n v="1353"/>
    <n v="-0.1"/>
    <s v="Normal"/>
    <n v="2023"/>
    <s v="September"/>
  </r>
  <r>
    <n v="2290"/>
    <n v="134"/>
    <x v="1"/>
    <x v="2"/>
    <x v="2"/>
    <d v="2022-04-15T00:00:00"/>
    <x v="1"/>
    <n v="4967.93"/>
    <n v="3466"/>
    <n v="-3698"/>
    <x v="1"/>
    <n v="1"/>
    <x v="0"/>
    <d v="2022-05-18T00:00:00"/>
    <n v="0"/>
    <n v="1354"/>
    <n v="-0.74"/>
    <s v="Normal"/>
    <n v="2022"/>
    <s v="May"/>
  </r>
  <r>
    <n v="2291"/>
    <n v="144"/>
    <x v="2"/>
    <x v="0"/>
    <x v="2"/>
    <d v="2022-01-09T00:00:00"/>
    <x v="628"/>
    <n v="4915"/>
    <n v="840"/>
    <n v="4075"/>
    <x v="1"/>
    <n v="19"/>
    <x v="1"/>
    <d v="2023-08-24T00:00:00"/>
    <n v="0"/>
    <n v="1355"/>
    <n v="0.83"/>
    <s v="Normal"/>
    <n v="2023"/>
    <s v="August"/>
  </r>
  <r>
    <n v="2292"/>
    <n v="363"/>
    <x v="0"/>
    <x v="3"/>
    <x v="1"/>
    <d v="2022-02-10T00:00:00"/>
    <x v="131"/>
    <n v="4967.93"/>
    <n v="1934"/>
    <n v="-3223"/>
    <x v="2"/>
    <n v="15"/>
    <x v="1"/>
    <d v="2023-06-01T00:00:00"/>
    <n v="0"/>
    <n v="1356"/>
    <n v="-0.65"/>
    <s v="Normal"/>
    <n v="2023"/>
    <s v="June"/>
  </r>
  <r>
    <n v="2293"/>
    <n v="427"/>
    <x v="3"/>
    <x v="3"/>
    <x v="1"/>
    <d v="2022-02-28T00:00:00"/>
    <x v="147"/>
    <n v="3451"/>
    <n v="1757"/>
    <n v="1694"/>
    <x v="1"/>
    <n v="4"/>
    <x v="0"/>
    <d v="2022-06-29T00:00:00"/>
    <n v="0"/>
    <n v="1357"/>
    <n v="0.49"/>
    <s v="Normal"/>
    <n v="2022"/>
    <s v="June"/>
  </r>
  <r>
    <n v="2296"/>
    <n v="413"/>
    <x v="4"/>
    <x v="1"/>
    <x v="1"/>
    <d v="2022-05-25T00:00:00"/>
    <x v="508"/>
    <n v="8627"/>
    <n v="989"/>
    <n v="7638"/>
    <x v="0"/>
    <n v="15"/>
    <x v="1"/>
    <d v="2023-08-30T00:00:00"/>
    <n v="1"/>
    <n v="1358"/>
    <n v="0.89"/>
    <s v="Normal"/>
    <n v="2023"/>
    <s v="August"/>
  </r>
  <r>
    <n v="2297"/>
    <n v="151"/>
    <x v="3"/>
    <x v="3"/>
    <x v="0"/>
    <d v="2022-10-08T00:00:00"/>
    <x v="629"/>
    <n v="4967.93"/>
    <n v="496"/>
    <n v="-2038"/>
    <x v="0"/>
    <n v="11"/>
    <x v="1"/>
    <d v="2023-09-22T00:00:00"/>
    <n v="1"/>
    <n v="1359"/>
    <n v="-0.41"/>
    <s v="Normal"/>
    <n v="2023"/>
    <s v="September"/>
  </r>
  <r>
    <n v="2301"/>
    <n v="176"/>
    <x v="1"/>
    <x v="3"/>
    <x v="2"/>
    <d v="2022-11-29T00:00:00"/>
    <x v="388"/>
    <n v="8895"/>
    <n v="6426"/>
    <n v="2469"/>
    <x v="1"/>
    <n v="2"/>
    <x v="0"/>
    <d v="2023-02-17T00:00:00"/>
    <n v="1"/>
    <n v="1360"/>
    <n v="0.28000000000000003"/>
    <s v="Normal"/>
    <n v="2023"/>
    <s v="February"/>
  </r>
  <r>
    <n v="2302"/>
    <n v="271"/>
    <x v="0"/>
    <x v="1"/>
    <x v="0"/>
    <d v="2022-07-27T00:00:00"/>
    <x v="630"/>
    <n v="5719"/>
    <n v="1308"/>
    <n v="4411"/>
    <x v="0"/>
    <n v="4"/>
    <x v="0"/>
    <d v="2022-12-22T00:00:00"/>
    <n v="1"/>
    <n v="1361"/>
    <n v="0.77"/>
    <s v="Normal"/>
    <n v="2022"/>
    <s v="December"/>
  </r>
  <r>
    <n v="2305"/>
    <n v="333"/>
    <x v="2"/>
    <x v="3"/>
    <x v="2"/>
    <d v="2022-02-18T00:00:00"/>
    <x v="370"/>
    <n v="7058"/>
    <n v="6170"/>
    <n v="888"/>
    <x v="1"/>
    <n v="9"/>
    <x v="1"/>
    <d v="2022-11-23T00:00:00"/>
    <n v="1"/>
    <n v="1362"/>
    <n v="0.13"/>
    <s v="Normal"/>
    <n v="2022"/>
    <s v="November"/>
  </r>
  <r>
    <n v="2306"/>
    <n v="434"/>
    <x v="1"/>
    <x v="2"/>
    <x v="2"/>
    <d v="2022-07-11T00:00:00"/>
    <x v="330"/>
    <n v="1169"/>
    <n v="7385"/>
    <n v="-6216"/>
    <x v="1"/>
    <n v="3"/>
    <x v="0"/>
    <d v="2022-10-29T00:00:00"/>
    <n v="1"/>
    <n v="1363"/>
    <n v="-5.32"/>
    <s v="Outlier"/>
    <n v="2022"/>
    <s v="October"/>
  </r>
  <r>
    <n v="2309"/>
    <n v="242"/>
    <x v="0"/>
    <x v="3"/>
    <x v="2"/>
    <d v="2022-06-15T00:00:00"/>
    <x v="107"/>
    <n v="7749"/>
    <n v="4012.75"/>
    <n v="8194"/>
    <x v="2"/>
    <n v="3"/>
    <x v="0"/>
    <d v="2022-10-03T00:00:00"/>
    <n v="1"/>
    <n v="1364"/>
    <n v="1.06"/>
    <s v="Outlier"/>
    <n v="2022"/>
    <s v="October"/>
  </r>
  <r>
    <n v="2313"/>
    <n v="116"/>
    <x v="4"/>
    <x v="2"/>
    <x v="1"/>
    <d v="2022-07-19T00:00:00"/>
    <x v="631"/>
    <n v="9489"/>
    <n v="4427"/>
    <n v="5062"/>
    <x v="0"/>
    <n v="1"/>
    <x v="0"/>
    <d v="2022-09-17T00:00:00"/>
    <n v="0"/>
    <n v="1365"/>
    <n v="0.53"/>
    <s v="Normal"/>
    <n v="2022"/>
    <s v="September"/>
  </r>
  <r>
    <n v="2315"/>
    <n v="347"/>
    <x v="1"/>
    <x v="1"/>
    <x v="0"/>
    <d v="2022-04-29T00:00:00"/>
    <x v="347"/>
    <n v="11"/>
    <n v="7680"/>
    <n v="577.01"/>
    <x v="1"/>
    <n v="1"/>
    <x v="0"/>
    <d v="2022-06-01T00:00:00"/>
    <n v="0"/>
    <n v="1366"/>
    <n v="52.46"/>
    <s v="Outlier"/>
    <n v="2022"/>
    <s v="June"/>
  </r>
  <r>
    <n v="2316"/>
    <n v="242"/>
    <x v="0"/>
    <x v="1"/>
    <x v="0"/>
    <d v="2022-11-13T00:00:00"/>
    <x v="602"/>
    <n v="532"/>
    <n v="4012.75"/>
    <n v="563"/>
    <x v="1"/>
    <n v="14"/>
    <x v="1"/>
    <d v="2024-01-20T00:00:00"/>
    <n v="0"/>
    <n v="1367"/>
    <n v="1.06"/>
    <s v="Outlier"/>
    <n v="2024"/>
    <s v="January"/>
  </r>
  <r>
    <n v="2317"/>
    <n v="261"/>
    <x v="1"/>
    <x v="2"/>
    <x v="0"/>
    <d v="2022-03-10T00:00:00"/>
    <x v="515"/>
    <n v="6425"/>
    <n v="5798"/>
    <n v="627"/>
    <x v="1"/>
    <n v="12"/>
    <x v="1"/>
    <d v="2023-03-21T00:00:00"/>
    <n v="1"/>
    <n v="1368"/>
    <n v="0.1"/>
    <s v="Normal"/>
    <n v="2023"/>
    <s v="March"/>
  </r>
  <r>
    <n v="2318"/>
    <n v="392"/>
    <x v="0"/>
    <x v="0"/>
    <x v="0"/>
    <d v="2022-01-27T00:00:00"/>
    <x v="537"/>
    <n v="8441"/>
    <n v="4012.75"/>
    <n v="8872"/>
    <x v="1"/>
    <n v="18"/>
    <x v="1"/>
    <d v="2023-07-28T00:00:00"/>
    <n v="0"/>
    <n v="1369"/>
    <n v="1.05"/>
    <s v="Outlier"/>
    <n v="2023"/>
    <s v="July"/>
  </r>
  <r>
    <n v="2320"/>
    <n v="440"/>
    <x v="1"/>
    <x v="0"/>
    <x v="0"/>
    <d v="2022-04-01T00:00:00"/>
    <x v="24"/>
    <n v="9421"/>
    <n v="6745"/>
    <n v="2676"/>
    <x v="0"/>
    <n v="14"/>
    <x v="1"/>
    <d v="2023-06-14T00:00:00"/>
    <n v="1"/>
    <n v="1370"/>
    <n v="0.28000000000000003"/>
    <s v="Normal"/>
    <n v="2023"/>
    <s v="June"/>
  </r>
  <r>
    <n v="2321"/>
    <n v="261"/>
    <x v="2"/>
    <x v="0"/>
    <x v="1"/>
    <d v="2022-06-02T00:00:00"/>
    <x v="35"/>
    <n v="3444"/>
    <n v="6059"/>
    <n v="-2615"/>
    <x v="0"/>
    <n v="17"/>
    <x v="1"/>
    <d v="2023-11-25T00:00:00"/>
    <n v="1"/>
    <n v="1371"/>
    <n v="-0.76"/>
    <s v="Normal"/>
    <n v="2023"/>
    <s v="November"/>
  </r>
  <r>
    <n v="2322"/>
    <n v="208"/>
    <x v="4"/>
    <x v="2"/>
    <x v="0"/>
    <d v="2022-12-13T00:00:00"/>
    <x v="427"/>
    <n v="7471"/>
    <n v="3134"/>
    <n v="577.01"/>
    <x v="1"/>
    <n v="2"/>
    <x v="0"/>
    <d v="2023-03-08T00:00:00"/>
    <n v="1"/>
    <n v="1372"/>
    <n v="0.08"/>
    <s v="Normal"/>
    <n v="2023"/>
    <s v="March"/>
  </r>
  <r>
    <n v="2325"/>
    <n v="412"/>
    <x v="0"/>
    <x v="0"/>
    <x v="1"/>
    <d v="2022-04-28T00:00:00"/>
    <x v="251"/>
    <n v="8303"/>
    <n v="7114"/>
    <n v="1189"/>
    <x v="2"/>
    <n v="5"/>
    <x v="0"/>
    <d v="2022-10-09T00:00:00"/>
    <n v="1"/>
    <n v="1373"/>
    <n v="0.14000000000000001"/>
    <s v="Normal"/>
    <n v="2022"/>
    <s v="October"/>
  </r>
  <r>
    <n v="2327"/>
    <n v="194"/>
    <x v="1"/>
    <x v="1"/>
    <x v="1"/>
    <d v="2022-08-07T00:00:00"/>
    <x v="632"/>
    <n v="8056"/>
    <n v="6252"/>
    <n v="577.01"/>
    <x v="0"/>
    <n v="17"/>
    <x v="1"/>
    <d v="2024-01-18T00:00:00"/>
    <n v="0"/>
    <n v="1374"/>
    <n v="7.0000000000000007E-2"/>
    <s v="Normal"/>
    <n v="2024"/>
    <s v="January"/>
  </r>
  <r>
    <n v="2330"/>
    <n v="182"/>
    <x v="0"/>
    <x v="3"/>
    <x v="2"/>
    <d v="2022-03-18T00:00:00"/>
    <x v="633"/>
    <n v="3099"/>
    <n v="2882"/>
    <n v="217"/>
    <x v="2"/>
    <n v="5"/>
    <x v="0"/>
    <d v="2022-09-16T00:00:00"/>
    <n v="1"/>
    <n v="1375"/>
    <n v="7.0000000000000007E-2"/>
    <s v="Normal"/>
    <n v="2022"/>
    <s v="September"/>
  </r>
  <r>
    <n v="2332"/>
    <n v="332"/>
    <x v="4"/>
    <x v="0"/>
    <x v="0"/>
    <d v="2022-06-16T00:00:00"/>
    <x v="608"/>
    <n v="4967.93"/>
    <n v="932"/>
    <n v="-2875"/>
    <x v="1"/>
    <n v="9"/>
    <x v="1"/>
    <d v="2023-04-06T00:00:00"/>
    <n v="1"/>
    <n v="1376"/>
    <n v="-0.57999999999999996"/>
    <s v="Normal"/>
    <n v="2023"/>
    <s v="April"/>
  </r>
  <r>
    <n v="2334"/>
    <n v="363"/>
    <x v="3"/>
    <x v="0"/>
    <x v="2"/>
    <d v="2022-07-03T00:00:00"/>
    <x v="233"/>
    <n v="22"/>
    <n v="3726"/>
    <n v="-3704"/>
    <x v="0"/>
    <n v="17"/>
    <x v="1"/>
    <d v="2023-12-23T00:00:00"/>
    <n v="0"/>
    <n v="1377"/>
    <n v="-168.36"/>
    <s v="Outlier"/>
    <n v="2023"/>
    <s v="December"/>
  </r>
  <r>
    <n v="2335"/>
    <n v="311"/>
    <x v="2"/>
    <x v="1"/>
    <x v="2"/>
    <d v="2022-01-14T00:00:00"/>
    <x v="479"/>
    <n v="3199"/>
    <n v="931"/>
    <n v="2268"/>
    <x v="2"/>
    <n v="12"/>
    <x v="1"/>
    <d v="2023-02-04T00:00:00"/>
    <n v="0"/>
    <n v="1378"/>
    <n v="0.71"/>
    <s v="Normal"/>
    <n v="2023"/>
    <s v="February"/>
  </r>
  <r>
    <n v="2336"/>
    <n v="169"/>
    <x v="2"/>
    <x v="0"/>
    <x v="1"/>
    <d v="2022-06-12T00:00:00"/>
    <x v="243"/>
    <n v="8941"/>
    <n v="1617"/>
    <n v="7324"/>
    <x v="1"/>
    <n v="18"/>
    <x v="1"/>
    <d v="2023-12-30T00:00:00"/>
    <n v="0"/>
    <n v="1379"/>
    <n v="0.82"/>
    <s v="Normal"/>
    <n v="2023"/>
    <s v="December"/>
  </r>
  <r>
    <n v="2338"/>
    <n v="283"/>
    <x v="0"/>
    <x v="2"/>
    <x v="0"/>
    <d v="2022-11-11T00:00:00"/>
    <x v="558"/>
    <n v="1112"/>
    <n v="1917"/>
    <n v="-805"/>
    <x v="0"/>
    <n v="8"/>
    <x v="1"/>
    <d v="2023-08-04T00:00:00"/>
    <n v="1"/>
    <n v="1380"/>
    <n v="-0.72"/>
    <s v="Normal"/>
    <n v="2023"/>
    <s v="August"/>
  </r>
  <r>
    <n v="2339"/>
    <n v="124"/>
    <x v="0"/>
    <x v="2"/>
    <x v="2"/>
    <d v="2022-02-03T00:00:00"/>
    <x v="634"/>
    <n v="5385"/>
    <n v="869"/>
    <n v="4516"/>
    <x v="1"/>
    <n v="1"/>
    <x v="0"/>
    <d v="2022-03-10T00:00:00"/>
    <n v="1"/>
    <n v="1381"/>
    <n v="0.84"/>
    <s v="Normal"/>
    <n v="2022"/>
    <s v="March"/>
  </r>
  <r>
    <n v="2340"/>
    <n v="105"/>
    <x v="2"/>
    <x v="1"/>
    <x v="2"/>
    <d v="2022-10-09T00:00:00"/>
    <x v="286"/>
    <n v="1522"/>
    <n v="5109"/>
    <n v="-3587"/>
    <x v="0"/>
    <n v="5"/>
    <x v="0"/>
    <d v="2023-03-15T00:00:00"/>
    <n v="1"/>
    <n v="1382"/>
    <n v="-2.36"/>
    <s v="Outlier"/>
    <n v="2023"/>
    <s v="March"/>
  </r>
  <r>
    <n v="2344"/>
    <n v="102"/>
    <x v="1"/>
    <x v="1"/>
    <x v="1"/>
    <d v="2022-11-27T00:00:00"/>
    <x v="504"/>
    <n v="4967.93"/>
    <n v="1380"/>
    <n v="-1789"/>
    <x v="0"/>
    <n v="2"/>
    <x v="0"/>
    <d v="2023-02-18T00:00:00"/>
    <n v="0"/>
    <n v="1383"/>
    <n v="-0.36"/>
    <s v="Normal"/>
    <n v="2023"/>
    <s v="February"/>
  </r>
  <r>
    <n v="2345"/>
    <n v="475"/>
    <x v="1"/>
    <x v="3"/>
    <x v="1"/>
    <d v="2022-03-27T00:00:00"/>
    <x v="603"/>
    <n v="4967.93"/>
    <n v="1690"/>
    <n v="-2691"/>
    <x v="2"/>
    <n v="16"/>
    <x v="1"/>
    <d v="2023-08-25T00:00:00"/>
    <n v="0"/>
    <n v="1384"/>
    <n v="-0.54"/>
    <s v="Normal"/>
    <n v="2023"/>
    <s v="August"/>
  </r>
  <r>
    <n v="2348"/>
    <n v="149"/>
    <x v="4"/>
    <x v="3"/>
    <x v="0"/>
    <d v="2022-09-06T00:00:00"/>
    <x v="568"/>
    <n v="4967.93"/>
    <n v="4012.75"/>
    <n v="60"/>
    <x v="2"/>
    <n v="18"/>
    <x v="1"/>
    <d v="2024-03-18T00:00:00"/>
    <n v="0"/>
    <n v="1385"/>
    <n v="0.01"/>
    <s v="Normal"/>
    <n v="2024"/>
    <s v="March"/>
  </r>
  <r>
    <n v="2349"/>
    <n v="162"/>
    <x v="1"/>
    <x v="2"/>
    <x v="0"/>
    <d v="2022-10-31T00:00:00"/>
    <x v="571"/>
    <n v="4749"/>
    <n v="5660"/>
    <n v="-911"/>
    <x v="2"/>
    <n v="10"/>
    <x v="1"/>
    <d v="2023-09-18T00:00:00"/>
    <n v="1"/>
    <n v="1386"/>
    <n v="-0.19"/>
    <s v="Normal"/>
    <n v="2023"/>
    <s v="September"/>
  </r>
  <r>
    <n v="2351"/>
    <n v="319"/>
    <x v="2"/>
    <x v="0"/>
    <x v="1"/>
    <d v="2022-08-12T00:00:00"/>
    <x v="540"/>
    <n v="9106"/>
    <n v="7582"/>
    <n v="1524"/>
    <x v="1"/>
    <n v="11"/>
    <x v="1"/>
    <d v="2023-08-09T00:00:00"/>
    <n v="0"/>
    <n v="1387"/>
    <n v="0.17"/>
    <s v="Normal"/>
    <n v="2023"/>
    <s v="August"/>
  </r>
  <r>
    <n v="2353"/>
    <n v="360"/>
    <x v="3"/>
    <x v="0"/>
    <x v="1"/>
    <d v="2022-05-03T00:00:00"/>
    <x v="252"/>
    <n v="7422"/>
    <n v="2715"/>
    <n v="4707"/>
    <x v="0"/>
    <n v="19"/>
    <x v="1"/>
    <d v="2023-12-12T00:00:00"/>
    <n v="0"/>
    <n v="1388"/>
    <n v="0.63"/>
    <s v="Normal"/>
    <n v="2023"/>
    <s v="December"/>
  </r>
  <r>
    <n v="2354"/>
    <n v="495"/>
    <x v="2"/>
    <x v="1"/>
    <x v="2"/>
    <d v="2022-08-29T00:00:00"/>
    <x v="559"/>
    <n v="3360"/>
    <n v="3680"/>
    <n v="-320"/>
    <x v="2"/>
    <n v="16"/>
    <x v="1"/>
    <d v="2024-01-01T00:00:00"/>
    <n v="1"/>
    <n v="1389"/>
    <n v="-0.1"/>
    <s v="Normal"/>
    <n v="2024"/>
    <s v="January"/>
  </r>
  <r>
    <n v="2355"/>
    <n v="169"/>
    <x v="2"/>
    <x v="0"/>
    <x v="0"/>
    <d v="2022-09-08T00:00:00"/>
    <x v="128"/>
    <n v="2540"/>
    <n v="5358"/>
    <n v="-2818"/>
    <x v="2"/>
    <n v="17"/>
    <x v="1"/>
    <d v="2024-02-21T00:00:00"/>
    <n v="0"/>
    <n v="1390"/>
    <n v="-1.1100000000000001"/>
    <s v="Outlier"/>
    <n v="2024"/>
    <s v="February"/>
  </r>
  <r>
    <n v="2356"/>
    <n v="279"/>
    <x v="4"/>
    <x v="2"/>
    <x v="1"/>
    <d v="2022-12-07T00:00:00"/>
    <x v="516"/>
    <n v="34"/>
    <n v="2194"/>
    <n v="-2160"/>
    <x v="0"/>
    <n v="12"/>
    <x v="1"/>
    <d v="2023-12-19T00:00:00"/>
    <n v="1"/>
    <n v="1391"/>
    <n v="-63.53"/>
    <s v="Outlier"/>
    <n v="2023"/>
    <s v="December"/>
  </r>
  <r>
    <n v="2357"/>
    <n v="138"/>
    <x v="3"/>
    <x v="3"/>
    <x v="2"/>
    <d v="2022-09-16T00:00:00"/>
    <x v="189"/>
    <n v="8774"/>
    <n v="4842"/>
    <n v="3932"/>
    <x v="0"/>
    <n v="6"/>
    <x v="2"/>
    <d v="2023-04-04T00:00:00"/>
    <n v="1"/>
    <n v="1392"/>
    <n v="0.45"/>
    <s v="Normal"/>
    <n v="2023"/>
    <s v="April"/>
  </r>
  <r>
    <n v="2358"/>
    <n v="447"/>
    <x v="2"/>
    <x v="3"/>
    <x v="0"/>
    <d v="2022-01-10T00:00:00"/>
    <x v="635"/>
    <n v="6436"/>
    <n v="6865"/>
    <n v="577.01"/>
    <x v="1"/>
    <n v="10"/>
    <x v="1"/>
    <d v="2022-12-06T00:00:00"/>
    <n v="0"/>
    <n v="1393"/>
    <n v="0.09"/>
    <s v="Normal"/>
    <n v="2022"/>
    <s v="December"/>
  </r>
  <r>
    <n v="2359"/>
    <n v="222"/>
    <x v="2"/>
    <x v="3"/>
    <x v="2"/>
    <d v="2022-03-11T00:00:00"/>
    <x v="636"/>
    <n v="4967.93"/>
    <n v="7404"/>
    <n v="-7520"/>
    <x v="1"/>
    <n v="3"/>
    <x v="0"/>
    <d v="2022-06-16T00:00:00"/>
    <n v="0"/>
    <n v="1394"/>
    <n v="-1.51"/>
    <s v="Outlier"/>
    <n v="2022"/>
    <s v="June"/>
  </r>
  <r>
    <n v="2361"/>
    <n v="271"/>
    <x v="4"/>
    <x v="2"/>
    <x v="0"/>
    <d v="2022-05-30T00:00:00"/>
    <x v="72"/>
    <n v="3935"/>
    <n v="7521"/>
    <n v="-3586"/>
    <x v="0"/>
    <n v="14"/>
    <x v="1"/>
    <d v="2023-08-12T00:00:00"/>
    <n v="0"/>
    <n v="1395"/>
    <n v="-0.91"/>
    <s v="Normal"/>
    <n v="2023"/>
    <s v="August"/>
  </r>
  <r>
    <n v="2362"/>
    <n v="423"/>
    <x v="4"/>
    <x v="3"/>
    <x v="1"/>
    <d v="2022-08-21T00:00:00"/>
    <x v="331"/>
    <n v="2023"/>
    <n v="6069"/>
    <n v="-4046"/>
    <x v="0"/>
    <n v="17"/>
    <x v="1"/>
    <d v="2024-01-31T00:00:00"/>
    <n v="0"/>
    <n v="1396"/>
    <n v="-2"/>
    <s v="Outlier"/>
    <n v="2024"/>
    <s v="January"/>
  </r>
  <r>
    <n v="2366"/>
    <n v="347"/>
    <x v="3"/>
    <x v="0"/>
    <x v="2"/>
    <d v="2022-04-05T00:00:00"/>
    <x v="190"/>
    <n v="4681"/>
    <n v="3901"/>
    <n v="780"/>
    <x v="1"/>
    <n v="4"/>
    <x v="0"/>
    <d v="2022-08-11T00:00:00"/>
    <n v="1"/>
    <n v="1397"/>
    <n v="0.17"/>
    <s v="Normal"/>
    <n v="2022"/>
    <s v="August"/>
  </r>
  <r>
    <n v="2367"/>
    <n v="484"/>
    <x v="1"/>
    <x v="1"/>
    <x v="0"/>
    <d v="2022-12-09T00:00:00"/>
    <x v="500"/>
    <n v="986"/>
    <n v="7947"/>
    <n v="-6961"/>
    <x v="0"/>
    <n v="4"/>
    <x v="0"/>
    <d v="2023-04-18T00:00:00"/>
    <n v="0"/>
    <n v="1398"/>
    <n v="-7.06"/>
    <s v="Outlier"/>
    <n v="2023"/>
    <s v="April"/>
  </r>
  <r>
    <n v="2368"/>
    <n v="465"/>
    <x v="3"/>
    <x v="1"/>
    <x v="0"/>
    <d v="2022-07-26T00:00:00"/>
    <x v="67"/>
    <n v="4967.93"/>
    <n v="6657"/>
    <n v="-6713"/>
    <x v="2"/>
    <n v="6"/>
    <x v="2"/>
    <d v="2023-02-20T00:00:00"/>
    <n v="0"/>
    <n v="1399"/>
    <n v="-1.35"/>
    <s v="Outlier"/>
    <n v="2023"/>
    <s v="February"/>
  </r>
  <r>
    <n v="2369"/>
    <n v="127"/>
    <x v="4"/>
    <x v="2"/>
    <x v="0"/>
    <d v="2022-05-25T00:00:00"/>
    <x v="228"/>
    <n v="4176"/>
    <n v="111"/>
    <n v="4065"/>
    <x v="0"/>
    <n v="3"/>
    <x v="0"/>
    <d v="2022-09-08T00:00:00"/>
    <n v="1"/>
    <n v="1400"/>
    <n v="0.97"/>
    <s v="Normal"/>
    <n v="2022"/>
    <s v="September"/>
  </r>
  <r>
    <n v="2374"/>
    <n v="117"/>
    <x v="0"/>
    <x v="0"/>
    <x v="1"/>
    <d v="2022-10-03T00:00:00"/>
    <x v="402"/>
    <n v="2204"/>
    <n v="3534"/>
    <n v="-1330"/>
    <x v="2"/>
    <n v="6"/>
    <x v="2"/>
    <d v="2023-04-07T00:00:00"/>
    <n v="0"/>
    <n v="1401"/>
    <n v="-0.6"/>
    <s v="Normal"/>
    <n v="2023"/>
    <s v="April"/>
  </r>
  <r>
    <n v="2375"/>
    <n v="223"/>
    <x v="0"/>
    <x v="0"/>
    <x v="2"/>
    <d v="2022-04-05T00:00:00"/>
    <x v="40"/>
    <n v="2765"/>
    <n v="6885"/>
    <n v="-4120"/>
    <x v="0"/>
    <n v="14"/>
    <x v="1"/>
    <d v="2023-07-02T00:00:00"/>
    <n v="0"/>
    <n v="1402"/>
    <n v="-1.49"/>
    <s v="Outlier"/>
    <n v="2023"/>
    <s v="July"/>
  </r>
  <r>
    <n v="2376"/>
    <n v="450"/>
    <x v="2"/>
    <x v="0"/>
    <x v="1"/>
    <d v="2022-06-26T00:00:00"/>
    <x v="364"/>
    <n v="892"/>
    <n v="7921"/>
    <n v="-7029"/>
    <x v="1"/>
    <n v="7"/>
    <x v="1"/>
    <d v="2023-02-21T00:00:00"/>
    <n v="1"/>
    <n v="1403"/>
    <n v="-7.88"/>
    <s v="Outlier"/>
    <n v="2023"/>
    <s v="February"/>
  </r>
  <r>
    <n v="2379"/>
    <n v="209"/>
    <x v="1"/>
    <x v="1"/>
    <x v="2"/>
    <d v="2022-04-03T00:00:00"/>
    <x v="154"/>
    <n v="9904"/>
    <n v="7891"/>
    <n v="2013"/>
    <x v="2"/>
    <n v="14"/>
    <x v="1"/>
    <d v="2023-06-24T00:00:00"/>
    <n v="0"/>
    <n v="1404"/>
    <n v="0.2"/>
    <s v="Normal"/>
    <n v="2023"/>
    <s v="June"/>
  </r>
  <r>
    <n v="2380"/>
    <n v="353"/>
    <x v="3"/>
    <x v="3"/>
    <x v="0"/>
    <d v="2022-07-17T00:00:00"/>
    <x v="483"/>
    <n v="6760"/>
    <n v="1510"/>
    <n v="5250"/>
    <x v="0"/>
    <n v="19"/>
    <x v="1"/>
    <d v="2024-02-19T00:00:00"/>
    <n v="0"/>
    <n v="1405"/>
    <n v="0.78"/>
    <s v="Normal"/>
    <n v="2024"/>
    <s v="February"/>
  </r>
  <r>
    <n v="2381"/>
    <n v="460"/>
    <x v="0"/>
    <x v="1"/>
    <x v="2"/>
    <d v="2022-08-13T00:00:00"/>
    <x v="223"/>
    <n v="4967.93"/>
    <n v="6792"/>
    <n v="-7872"/>
    <x v="0"/>
    <n v="12"/>
    <x v="1"/>
    <d v="2023-08-23T00:00:00"/>
    <n v="1"/>
    <n v="1406"/>
    <n v="-1.58"/>
    <s v="Outlier"/>
    <n v="2023"/>
    <s v="August"/>
  </r>
  <r>
    <n v="2384"/>
    <n v="422"/>
    <x v="4"/>
    <x v="3"/>
    <x v="0"/>
    <d v="2022-02-23T00:00:00"/>
    <x v="564"/>
    <n v="3395"/>
    <n v="3545"/>
    <n v="-150"/>
    <x v="1"/>
    <n v="9"/>
    <x v="1"/>
    <d v="2022-12-01T00:00:00"/>
    <n v="0"/>
    <n v="1407"/>
    <n v="-0.04"/>
    <s v="Normal"/>
    <n v="2022"/>
    <s v="December"/>
  </r>
  <r>
    <n v="2386"/>
    <n v="176"/>
    <x v="4"/>
    <x v="0"/>
    <x v="1"/>
    <d v="2022-11-30T00:00:00"/>
    <x v="431"/>
    <n v="4967.93"/>
    <n v="3281"/>
    <n v="-4254"/>
    <x v="2"/>
    <n v="6"/>
    <x v="2"/>
    <d v="2023-06-11T00:00:00"/>
    <n v="1"/>
    <n v="1408"/>
    <n v="-0.86"/>
    <s v="Normal"/>
    <n v="2023"/>
    <s v="June"/>
  </r>
  <r>
    <n v="2389"/>
    <n v="185"/>
    <x v="1"/>
    <x v="1"/>
    <x v="1"/>
    <d v="2022-10-01T00:00:00"/>
    <x v="224"/>
    <n v="2650"/>
    <n v="2774"/>
    <n v="-124"/>
    <x v="1"/>
    <n v="2"/>
    <x v="0"/>
    <d v="2022-12-24T00:00:00"/>
    <n v="0"/>
    <n v="1409"/>
    <n v="-0.05"/>
    <s v="Normal"/>
    <n v="2022"/>
    <s v="December"/>
  </r>
  <r>
    <n v="2390"/>
    <n v="479"/>
    <x v="1"/>
    <x v="3"/>
    <x v="2"/>
    <d v="2022-03-02T00:00:00"/>
    <x v="309"/>
    <n v="2248"/>
    <n v="4012.75"/>
    <n v="2436"/>
    <x v="1"/>
    <n v="13"/>
    <x v="1"/>
    <d v="2023-04-19T00:00:00"/>
    <n v="0"/>
    <n v="1410"/>
    <n v="1.08"/>
    <s v="Outlier"/>
    <n v="2023"/>
    <s v="April"/>
  </r>
  <r>
    <n v="2393"/>
    <n v="353"/>
    <x v="0"/>
    <x v="1"/>
    <x v="0"/>
    <d v="2022-10-01T00:00:00"/>
    <x v="637"/>
    <n v="4967.93"/>
    <n v="4012.75"/>
    <n v="460"/>
    <x v="0"/>
    <n v="17"/>
    <x v="1"/>
    <d v="2024-03-25T00:00:00"/>
    <n v="0"/>
    <n v="1411"/>
    <n v="0.09"/>
    <s v="Normal"/>
    <n v="2024"/>
    <s v="March"/>
  </r>
  <r>
    <n v="2394"/>
    <n v="445"/>
    <x v="1"/>
    <x v="2"/>
    <x v="1"/>
    <d v="2022-07-21T00:00:00"/>
    <x v="63"/>
    <n v="9844"/>
    <n v="4012.75"/>
    <n v="10120"/>
    <x v="1"/>
    <n v="5"/>
    <x v="0"/>
    <d v="2023-01-05T00:00:00"/>
    <n v="1"/>
    <n v="1412"/>
    <n v="1.03"/>
    <s v="Outlier"/>
    <n v="2023"/>
    <s v="January"/>
  </r>
  <r>
    <n v="2396"/>
    <n v="392"/>
    <x v="4"/>
    <x v="3"/>
    <x v="0"/>
    <d v="2022-03-12T00:00:00"/>
    <x v="638"/>
    <n v="4967.93"/>
    <n v="4731"/>
    <n v="577.01"/>
    <x v="0"/>
    <n v="1"/>
    <x v="0"/>
    <d v="2022-04-28T00:00:00"/>
    <n v="1"/>
    <n v="1413"/>
    <n v="0.12"/>
    <s v="Normal"/>
    <n v="2022"/>
    <s v="April"/>
  </r>
  <r>
    <n v="2402"/>
    <n v="408"/>
    <x v="0"/>
    <x v="1"/>
    <x v="0"/>
    <d v="2022-02-02T00:00:00"/>
    <x v="470"/>
    <n v="8906"/>
    <n v="2019"/>
    <n v="6887"/>
    <x v="1"/>
    <n v="3"/>
    <x v="0"/>
    <d v="2022-05-26T00:00:00"/>
    <n v="0"/>
    <n v="1414"/>
    <n v="0.77"/>
    <s v="Normal"/>
    <n v="2022"/>
    <s v="May"/>
  </r>
  <r>
    <n v="2403"/>
    <n v="474"/>
    <x v="1"/>
    <x v="0"/>
    <x v="2"/>
    <d v="2022-02-12T00:00:00"/>
    <x v="386"/>
    <n v="5107"/>
    <n v="4987"/>
    <n v="120"/>
    <x v="1"/>
    <n v="15"/>
    <x v="1"/>
    <d v="2023-05-18T00:00:00"/>
    <n v="0"/>
    <n v="1415"/>
    <n v="0.02"/>
    <s v="Normal"/>
    <n v="2023"/>
    <s v="May"/>
  </r>
  <r>
    <n v="2405"/>
    <n v="116"/>
    <x v="3"/>
    <x v="1"/>
    <x v="0"/>
    <d v="2022-03-16T00:00:00"/>
    <x v="306"/>
    <n v="3642"/>
    <n v="5395"/>
    <n v="-1753"/>
    <x v="0"/>
    <n v="8"/>
    <x v="1"/>
    <d v="2022-11-25T00:00:00"/>
    <n v="1"/>
    <n v="1416"/>
    <n v="-0.48"/>
    <s v="Normal"/>
    <n v="2022"/>
    <s v="November"/>
  </r>
  <r>
    <n v="2408"/>
    <n v="479"/>
    <x v="2"/>
    <x v="2"/>
    <x v="1"/>
    <d v="2022-07-26T00:00:00"/>
    <x v="331"/>
    <n v="4967.93"/>
    <n v="5766"/>
    <n v="-6072"/>
    <x v="0"/>
    <n v="18"/>
    <x v="1"/>
    <d v="2024-01-31T00:00:00"/>
    <n v="1"/>
    <n v="1417"/>
    <n v="-1.22"/>
    <s v="Outlier"/>
    <n v="2024"/>
    <s v="January"/>
  </r>
  <r>
    <n v="2410"/>
    <n v="289"/>
    <x v="3"/>
    <x v="2"/>
    <x v="1"/>
    <d v="2022-05-09T00:00:00"/>
    <x v="173"/>
    <n v="9894"/>
    <n v="2064"/>
    <n v="7830"/>
    <x v="1"/>
    <n v="7"/>
    <x v="1"/>
    <d v="2023-01-04T00:00:00"/>
    <n v="1"/>
    <n v="1418"/>
    <n v="0.79"/>
    <s v="Normal"/>
    <n v="2023"/>
    <s v="January"/>
  </r>
  <r>
    <n v="2412"/>
    <n v="163"/>
    <x v="2"/>
    <x v="2"/>
    <x v="0"/>
    <d v="2022-06-12T00:00:00"/>
    <x v="639"/>
    <n v="2730"/>
    <n v="6673"/>
    <n v="-3943"/>
    <x v="1"/>
    <n v="1"/>
    <x v="0"/>
    <d v="2022-08-01T00:00:00"/>
    <n v="0"/>
    <n v="1419"/>
    <n v="-1.44"/>
    <s v="Outlier"/>
    <n v="2022"/>
    <s v="August"/>
  </r>
  <r>
    <n v="2413"/>
    <n v="400"/>
    <x v="4"/>
    <x v="3"/>
    <x v="0"/>
    <d v="2022-01-31T00:00:00"/>
    <x v="640"/>
    <n v="4008"/>
    <n v="372"/>
    <n v="3636"/>
    <x v="2"/>
    <n v="1"/>
    <x v="0"/>
    <d v="2022-03-20T00:00:00"/>
    <n v="1"/>
    <n v="1420"/>
    <n v="0.91"/>
    <s v="Normal"/>
    <n v="2022"/>
    <s v="March"/>
  </r>
  <r>
    <n v="2414"/>
    <n v="358"/>
    <x v="4"/>
    <x v="0"/>
    <x v="2"/>
    <d v="2022-01-11T00:00:00"/>
    <x v="641"/>
    <n v="1557"/>
    <n v="4580"/>
    <n v="-3023"/>
    <x v="2"/>
    <n v="2"/>
    <x v="0"/>
    <d v="2022-03-13T00:00:00"/>
    <n v="1"/>
    <n v="1421"/>
    <n v="-1.94"/>
    <s v="Outlier"/>
    <n v="2022"/>
    <s v="March"/>
  </r>
  <r>
    <n v="2415"/>
    <n v="169"/>
    <x v="0"/>
    <x v="1"/>
    <x v="1"/>
    <d v="2022-04-21T00:00:00"/>
    <x v="244"/>
    <n v="2466"/>
    <n v="3815"/>
    <n v="-1349"/>
    <x v="2"/>
    <n v="8"/>
    <x v="1"/>
    <d v="2022-12-26T00:00:00"/>
    <n v="1"/>
    <n v="1422"/>
    <n v="-0.55000000000000004"/>
    <s v="Normal"/>
    <n v="2022"/>
    <s v="December"/>
  </r>
  <r>
    <n v="2417"/>
    <n v="343"/>
    <x v="2"/>
    <x v="0"/>
    <x v="0"/>
    <d v="2022-12-27T00:00:00"/>
    <x v="150"/>
    <n v="4967.93"/>
    <n v="1296"/>
    <n v="-3136"/>
    <x v="2"/>
    <n v="10"/>
    <x v="1"/>
    <d v="2023-11-24T00:00:00"/>
    <n v="0"/>
    <n v="1423"/>
    <n v="-0.63"/>
    <s v="Normal"/>
    <n v="2023"/>
    <s v="November"/>
  </r>
  <r>
    <n v="2418"/>
    <n v="265"/>
    <x v="0"/>
    <x v="1"/>
    <x v="0"/>
    <d v="2022-05-17T00:00:00"/>
    <x v="396"/>
    <n v="2360"/>
    <n v="4012.75"/>
    <n v="2568"/>
    <x v="1"/>
    <n v="6"/>
    <x v="2"/>
    <d v="2022-12-04T00:00:00"/>
    <n v="0"/>
    <n v="1424"/>
    <n v="1.0900000000000001"/>
    <s v="Outlier"/>
    <n v="2022"/>
    <s v="December"/>
  </r>
  <r>
    <n v="2423"/>
    <n v="188"/>
    <x v="0"/>
    <x v="3"/>
    <x v="1"/>
    <d v="2022-03-08T00:00:00"/>
    <x v="267"/>
    <n v="3399"/>
    <n v="3334"/>
    <n v="65"/>
    <x v="1"/>
    <n v="3"/>
    <x v="0"/>
    <d v="2022-06-10T00:00:00"/>
    <n v="1"/>
    <n v="1425"/>
    <n v="0.02"/>
    <s v="Normal"/>
    <n v="2022"/>
    <s v="June"/>
  </r>
  <r>
    <n v="2426"/>
    <n v="138"/>
    <x v="4"/>
    <x v="0"/>
    <x v="2"/>
    <d v="2022-04-05T00:00:00"/>
    <x v="492"/>
    <n v="9278"/>
    <n v="346"/>
    <n v="8932"/>
    <x v="1"/>
    <n v="13"/>
    <x v="1"/>
    <d v="2023-06-04T00:00:00"/>
    <n v="1"/>
    <n v="1426"/>
    <n v="0.96"/>
    <s v="Normal"/>
    <n v="2023"/>
    <s v="June"/>
  </r>
  <r>
    <n v="2428"/>
    <n v="470"/>
    <x v="4"/>
    <x v="2"/>
    <x v="0"/>
    <d v="2022-05-20T00:00:00"/>
    <x v="633"/>
    <n v="231"/>
    <n v="2626"/>
    <n v="-2395"/>
    <x v="1"/>
    <n v="3"/>
    <x v="0"/>
    <d v="2022-09-16T00:00:00"/>
    <n v="0"/>
    <n v="1427"/>
    <n v="-10.37"/>
    <s v="Outlier"/>
    <n v="2022"/>
    <s v="September"/>
  </r>
  <r>
    <n v="2429"/>
    <n v="256"/>
    <x v="2"/>
    <x v="2"/>
    <x v="0"/>
    <d v="2022-12-20T00:00:00"/>
    <x v="589"/>
    <n v="9737"/>
    <n v="6829"/>
    <n v="2908"/>
    <x v="0"/>
    <n v="8"/>
    <x v="1"/>
    <d v="2023-08-27T00:00:00"/>
    <n v="0"/>
    <n v="1428"/>
    <n v="0.3"/>
    <s v="Normal"/>
    <n v="2023"/>
    <s v="August"/>
  </r>
  <r>
    <n v="2430"/>
    <n v="159"/>
    <x v="3"/>
    <x v="1"/>
    <x v="0"/>
    <d v="2022-02-03T00:00:00"/>
    <x v="642"/>
    <n v="4967.93"/>
    <n v="5351"/>
    <n v="577.01"/>
    <x v="1"/>
    <n v="1"/>
    <x v="0"/>
    <d v="2022-04-01T00:00:00"/>
    <n v="1"/>
    <n v="1429"/>
    <n v="0.12"/>
    <s v="Normal"/>
    <n v="2022"/>
    <s v="April"/>
  </r>
  <r>
    <n v="2432"/>
    <n v="283"/>
    <x v="4"/>
    <x v="1"/>
    <x v="2"/>
    <d v="2022-04-17T00:00:00"/>
    <x v="589"/>
    <n v="4967.93"/>
    <n v="227"/>
    <n v="-2061"/>
    <x v="2"/>
    <n v="16"/>
    <x v="1"/>
    <d v="2023-08-27T00:00:00"/>
    <n v="0"/>
    <n v="1430"/>
    <n v="-0.41"/>
    <s v="Normal"/>
    <n v="2023"/>
    <s v="August"/>
  </r>
  <r>
    <n v="2434"/>
    <n v="139"/>
    <x v="4"/>
    <x v="2"/>
    <x v="0"/>
    <d v="2022-02-11T00:00:00"/>
    <x v="643"/>
    <n v="4967.93"/>
    <n v="4964"/>
    <n v="-6089"/>
    <x v="1"/>
    <n v="1"/>
    <x v="0"/>
    <d v="2022-03-19T00:00:00"/>
    <n v="1"/>
    <n v="1431"/>
    <n v="-1.23"/>
    <s v="Outlier"/>
    <n v="2022"/>
    <s v="March"/>
  </r>
  <r>
    <n v="2435"/>
    <n v="232"/>
    <x v="0"/>
    <x v="1"/>
    <x v="0"/>
    <d v="2022-12-15T00:00:00"/>
    <x v="644"/>
    <n v="5167"/>
    <n v="1274"/>
    <n v="3893"/>
    <x v="1"/>
    <n v="18"/>
    <x v="1"/>
    <d v="2024-06-18T00:00:00"/>
    <n v="1"/>
    <n v="1432"/>
    <n v="0.75"/>
    <s v="Normal"/>
    <n v="2024"/>
    <s v="June"/>
  </r>
  <r>
    <n v="2438"/>
    <n v="500"/>
    <x v="0"/>
    <x v="3"/>
    <x v="2"/>
    <d v="2022-02-05T00:00:00"/>
    <x v="645"/>
    <n v="8489"/>
    <n v="2759"/>
    <n v="5730"/>
    <x v="1"/>
    <n v="7"/>
    <x v="1"/>
    <d v="2022-09-22T00:00:00"/>
    <n v="0"/>
    <n v="1433"/>
    <n v="0.67"/>
    <s v="Normal"/>
    <n v="2022"/>
    <s v="September"/>
  </r>
  <r>
    <n v="2439"/>
    <n v="330"/>
    <x v="1"/>
    <x v="3"/>
    <x v="0"/>
    <d v="2022-05-02T00:00:00"/>
    <x v="64"/>
    <n v="5677"/>
    <n v="4217"/>
    <n v="1460"/>
    <x v="0"/>
    <n v="10"/>
    <x v="1"/>
    <d v="2023-03-07T00:00:00"/>
    <n v="0"/>
    <n v="1434"/>
    <n v="0.26"/>
    <s v="Normal"/>
    <n v="2023"/>
    <s v="March"/>
  </r>
  <r>
    <n v="2441"/>
    <n v="371"/>
    <x v="2"/>
    <x v="0"/>
    <x v="1"/>
    <d v="2022-02-04T00:00:00"/>
    <x v="588"/>
    <n v="1476"/>
    <n v="4012.75"/>
    <n v="577.01"/>
    <x v="0"/>
    <n v="17"/>
    <x v="1"/>
    <d v="2023-07-23T00:00:00"/>
    <n v="0"/>
    <n v="1435"/>
    <n v="0.39"/>
    <s v="Normal"/>
    <n v="2023"/>
    <s v="July"/>
  </r>
  <r>
    <n v="2442"/>
    <n v="142"/>
    <x v="2"/>
    <x v="1"/>
    <x v="0"/>
    <d v="2022-12-05T00:00:00"/>
    <x v="398"/>
    <n v="6027"/>
    <n v="3463"/>
    <n v="2564"/>
    <x v="1"/>
    <n v="13"/>
    <x v="1"/>
    <d v="2024-01-28T00:00:00"/>
    <n v="1"/>
    <n v="1436"/>
    <n v="0.43"/>
    <s v="Normal"/>
    <n v="2024"/>
    <s v="January"/>
  </r>
  <r>
    <n v="2443"/>
    <n v="331"/>
    <x v="4"/>
    <x v="2"/>
    <x v="0"/>
    <d v="2022-01-10T00:00:00"/>
    <x v="378"/>
    <n v="8953"/>
    <n v="6676"/>
    <n v="2277"/>
    <x v="1"/>
    <n v="17"/>
    <x v="1"/>
    <d v="2023-06-12T00:00:00"/>
    <n v="0"/>
    <n v="1437"/>
    <n v="0.25"/>
    <s v="Normal"/>
    <n v="2023"/>
    <s v="June"/>
  </r>
  <r>
    <n v="2444"/>
    <n v="389"/>
    <x v="2"/>
    <x v="0"/>
    <x v="2"/>
    <d v="2022-12-17T00:00:00"/>
    <x v="55"/>
    <n v="6548"/>
    <n v="313"/>
    <n v="577.01"/>
    <x v="1"/>
    <n v="10"/>
    <x v="1"/>
    <d v="2023-11-06T00:00:00"/>
    <n v="0"/>
    <n v="1438"/>
    <n v="0.09"/>
    <s v="Normal"/>
    <n v="2023"/>
    <s v="November"/>
  </r>
  <r>
    <n v="2445"/>
    <n v="209"/>
    <x v="2"/>
    <x v="3"/>
    <x v="1"/>
    <d v="2022-05-22T00:00:00"/>
    <x v="301"/>
    <n v="5023"/>
    <n v="4"/>
    <n v="5019"/>
    <x v="1"/>
    <n v="15"/>
    <x v="1"/>
    <d v="2023-08-31T00:00:00"/>
    <n v="0"/>
    <n v="1439"/>
    <n v="1"/>
    <s v="Normal"/>
    <n v="2023"/>
    <s v="August"/>
  </r>
  <r>
    <n v="2446"/>
    <n v="333"/>
    <x v="4"/>
    <x v="0"/>
    <x v="1"/>
    <d v="2022-07-02T00:00:00"/>
    <x v="646"/>
    <n v="5592"/>
    <n v="6276"/>
    <n v="-684"/>
    <x v="1"/>
    <n v="3"/>
    <x v="0"/>
    <d v="2022-10-22T00:00:00"/>
    <n v="0"/>
    <n v="1440"/>
    <n v="-0.12"/>
    <s v="Normal"/>
    <n v="2022"/>
    <s v="October"/>
  </r>
  <r>
    <n v="2447"/>
    <n v="203"/>
    <x v="4"/>
    <x v="3"/>
    <x v="1"/>
    <d v="2022-07-19T00:00:00"/>
    <x v="386"/>
    <n v="938"/>
    <n v="4582"/>
    <n v="577.01"/>
    <x v="2"/>
    <n v="9"/>
    <x v="1"/>
    <d v="2023-05-18T00:00:00"/>
    <n v="0"/>
    <n v="1441"/>
    <n v="0.62"/>
    <s v="Normal"/>
    <n v="2023"/>
    <s v="May"/>
  </r>
  <r>
    <n v="2448"/>
    <n v="233"/>
    <x v="2"/>
    <x v="0"/>
    <x v="1"/>
    <d v="2022-06-14T00:00:00"/>
    <x v="6"/>
    <n v="9786"/>
    <n v="4818"/>
    <n v="4968"/>
    <x v="0"/>
    <n v="13"/>
    <x v="1"/>
    <d v="2023-08-06T00:00:00"/>
    <n v="0"/>
    <n v="1442"/>
    <n v="0.51"/>
    <s v="Normal"/>
    <n v="2023"/>
    <s v="August"/>
  </r>
  <r>
    <n v="2450"/>
    <n v="148"/>
    <x v="1"/>
    <x v="1"/>
    <x v="0"/>
    <d v="2022-02-07T00:00:00"/>
    <x v="537"/>
    <n v="7940"/>
    <n v="883"/>
    <n v="7057"/>
    <x v="1"/>
    <n v="17"/>
    <x v="1"/>
    <d v="2023-07-28T00:00:00"/>
    <n v="0"/>
    <n v="1443"/>
    <n v="0.89"/>
    <s v="Normal"/>
    <n v="2023"/>
    <s v="July"/>
  </r>
  <r>
    <n v="2451"/>
    <n v="141"/>
    <x v="1"/>
    <x v="3"/>
    <x v="1"/>
    <d v="2022-11-24T00:00:00"/>
    <x v="448"/>
    <n v="4967.93"/>
    <n v="4012.75"/>
    <n v="-1705"/>
    <x v="1"/>
    <n v="7"/>
    <x v="1"/>
    <d v="2023-07-21T00:00:00"/>
    <n v="0"/>
    <n v="1444"/>
    <n v="-0.34"/>
    <s v="Normal"/>
    <n v="2023"/>
    <s v="July"/>
  </r>
  <r>
    <n v="2452"/>
    <n v="139"/>
    <x v="4"/>
    <x v="2"/>
    <x v="0"/>
    <d v="2022-12-09T00:00:00"/>
    <x v="109"/>
    <n v="34"/>
    <n v="6016"/>
    <n v="-5982"/>
    <x v="2"/>
    <n v="15"/>
    <x v="1"/>
    <d v="2024-04-08T00:00:00"/>
    <n v="1"/>
    <n v="1445"/>
    <n v="-175.94"/>
    <s v="Outlier"/>
    <n v="2024"/>
    <s v="April"/>
  </r>
  <r>
    <n v="2455"/>
    <n v="256"/>
    <x v="0"/>
    <x v="3"/>
    <x v="2"/>
    <d v="2022-06-21T00:00:00"/>
    <x v="138"/>
    <n v="8163"/>
    <n v="146"/>
    <n v="8017"/>
    <x v="2"/>
    <n v="3"/>
    <x v="0"/>
    <d v="2022-10-11T00:00:00"/>
    <n v="1"/>
    <n v="1446"/>
    <n v="0.98"/>
    <s v="Normal"/>
    <n v="2022"/>
    <s v="October"/>
  </r>
  <r>
    <n v="2456"/>
    <n v="112"/>
    <x v="3"/>
    <x v="0"/>
    <x v="0"/>
    <d v="2022-03-14T00:00:00"/>
    <x v="231"/>
    <n v="8870"/>
    <n v="2676"/>
    <n v="6194"/>
    <x v="1"/>
    <n v="10"/>
    <x v="1"/>
    <d v="2023-01-24T00:00:00"/>
    <n v="1"/>
    <n v="1447"/>
    <n v="0.7"/>
    <s v="Normal"/>
    <n v="2023"/>
    <s v="January"/>
  </r>
  <r>
    <n v="2457"/>
    <n v="113"/>
    <x v="0"/>
    <x v="0"/>
    <x v="2"/>
    <d v="2022-11-21T00:00:00"/>
    <x v="637"/>
    <n v="756"/>
    <n v="1496"/>
    <n v="-740"/>
    <x v="2"/>
    <n v="16"/>
    <x v="1"/>
    <d v="2024-03-25T00:00:00"/>
    <n v="1"/>
    <n v="1448"/>
    <n v="-0.98"/>
    <s v="Normal"/>
    <n v="2024"/>
    <s v="March"/>
  </r>
  <r>
    <n v="2459"/>
    <n v="109"/>
    <x v="4"/>
    <x v="3"/>
    <x v="0"/>
    <d v="2022-12-09T00:00:00"/>
    <x v="292"/>
    <n v="174"/>
    <n v="4212"/>
    <n v="577.01"/>
    <x v="1"/>
    <n v="8"/>
    <x v="1"/>
    <d v="2023-08-16T00:00:00"/>
    <n v="1"/>
    <n v="1449"/>
    <n v="3.32"/>
    <s v="Outlier"/>
    <n v="2023"/>
    <s v="August"/>
  </r>
  <r>
    <n v="2463"/>
    <n v="264"/>
    <x v="3"/>
    <x v="3"/>
    <x v="2"/>
    <d v="2022-07-28T00:00:00"/>
    <x v="645"/>
    <n v="3435"/>
    <n v="3607"/>
    <n v="-172"/>
    <x v="0"/>
    <n v="1"/>
    <x v="0"/>
    <d v="2022-09-22T00:00:00"/>
    <n v="0"/>
    <n v="1450"/>
    <n v="-0.05"/>
    <s v="Normal"/>
    <n v="2022"/>
    <s v="September"/>
  </r>
  <r>
    <n v="2464"/>
    <n v="371"/>
    <x v="4"/>
    <x v="3"/>
    <x v="0"/>
    <d v="2022-12-07T00:00:00"/>
    <x v="647"/>
    <n v="9981"/>
    <n v="6144"/>
    <n v="3837"/>
    <x v="1"/>
    <n v="13"/>
    <x v="1"/>
    <d v="2024-01-09T00:00:00"/>
    <n v="0"/>
    <n v="1451"/>
    <n v="0.38"/>
    <s v="Normal"/>
    <n v="2024"/>
    <s v="January"/>
  </r>
  <r>
    <n v="2465"/>
    <n v="259"/>
    <x v="1"/>
    <x v="1"/>
    <x v="2"/>
    <d v="2022-11-24T00:00:00"/>
    <x v="265"/>
    <n v="9142"/>
    <n v="4012.75"/>
    <n v="577.01"/>
    <x v="1"/>
    <n v="13"/>
    <x v="1"/>
    <d v="2024-01-16T00:00:00"/>
    <n v="1"/>
    <n v="1452"/>
    <n v="0.06"/>
    <s v="Normal"/>
    <n v="2024"/>
    <s v="January"/>
  </r>
  <r>
    <n v="2466"/>
    <n v="115"/>
    <x v="3"/>
    <x v="0"/>
    <x v="1"/>
    <d v="2022-07-07T00:00:00"/>
    <x v="648"/>
    <n v="306"/>
    <n v="4012.75"/>
    <n v="949"/>
    <x v="1"/>
    <n v="19"/>
    <x v="1"/>
    <d v="2024-02-10T00:00:00"/>
    <n v="0"/>
    <n v="1453"/>
    <n v="3.1"/>
    <s v="Outlier"/>
    <n v="2024"/>
    <s v="February"/>
  </r>
  <r>
    <n v="2467"/>
    <n v="171"/>
    <x v="1"/>
    <x v="1"/>
    <x v="1"/>
    <d v="2022-04-21T00:00:00"/>
    <x v="649"/>
    <n v="4337"/>
    <n v="548"/>
    <n v="3789"/>
    <x v="1"/>
    <n v="10"/>
    <x v="1"/>
    <d v="2023-02-27T00:00:00"/>
    <n v="0"/>
    <n v="1454"/>
    <n v="0.87"/>
    <s v="Normal"/>
    <n v="2023"/>
    <s v="February"/>
  </r>
  <r>
    <n v="2471"/>
    <n v="300"/>
    <x v="0"/>
    <x v="2"/>
    <x v="0"/>
    <d v="2022-08-05T00:00:00"/>
    <x v="626"/>
    <n v="1505"/>
    <n v="3727"/>
    <n v="577.01"/>
    <x v="0"/>
    <n v="15"/>
    <x v="1"/>
    <d v="2023-11-05T00:00:00"/>
    <n v="0"/>
    <n v="1455"/>
    <n v="0.38"/>
    <s v="Normal"/>
    <n v="2023"/>
    <s v="November"/>
  </r>
  <r>
    <n v="2472"/>
    <n v="228"/>
    <x v="4"/>
    <x v="0"/>
    <x v="0"/>
    <d v="2022-11-20T00:00:00"/>
    <x v="77"/>
    <n v="1474"/>
    <n v="7949"/>
    <n v="-6475"/>
    <x v="1"/>
    <n v="14"/>
    <x v="1"/>
    <d v="2024-02-16T00:00:00"/>
    <n v="0"/>
    <n v="1456"/>
    <n v="-4.3899999999999997"/>
    <s v="Outlier"/>
    <n v="2024"/>
    <s v="February"/>
  </r>
  <r>
    <n v="2473"/>
    <n v="408"/>
    <x v="4"/>
    <x v="1"/>
    <x v="0"/>
    <d v="2022-01-06T00:00:00"/>
    <x v="45"/>
    <n v="7008"/>
    <n v="4012.75"/>
    <n v="7337"/>
    <x v="1"/>
    <n v="11"/>
    <x v="1"/>
    <d v="2023-01-02T00:00:00"/>
    <n v="0"/>
    <n v="1457"/>
    <n v="1.05"/>
    <s v="Outlier"/>
    <n v="2023"/>
    <s v="January"/>
  </r>
  <r>
    <n v="2475"/>
    <n v="254"/>
    <x v="0"/>
    <x v="0"/>
    <x v="1"/>
    <d v="2022-12-20T00:00:00"/>
    <x v="349"/>
    <n v="2386"/>
    <n v="3179"/>
    <n v="-793"/>
    <x v="1"/>
    <n v="5"/>
    <x v="0"/>
    <d v="2023-06-03T00:00:00"/>
    <n v="1"/>
    <n v="1458"/>
    <n v="-0.33"/>
    <s v="Normal"/>
    <n v="2023"/>
    <s v="June"/>
  </r>
  <r>
    <n v="2477"/>
    <n v="422"/>
    <x v="3"/>
    <x v="3"/>
    <x v="2"/>
    <d v="2022-06-11T00:00:00"/>
    <x v="474"/>
    <n v="3703"/>
    <n v="4102"/>
    <n v="-399"/>
    <x v="1"/>
    <n v="9"/>
    <x v="1"/>
    <d v="2023-03-14T00:00:00"/>
    <n v="1"/>
    <n v="1459"/>
    <n v="-0.11"/>
    <s v="Normal"/>
    <n v="2023"/>
    <s v="March"/>
  </r>
  <r>
    <n v="2478"/>
    <n v="376"/>
    <x v="2"/>
    <x v="2"/>
    <x v="1"/>
    <d v="2022-10-20T00:00:00"/>
    <x v="637"/>
    <n v="5906"/>
    <n v="877"/>
    <n v="5029"/>
    <x v="1"/>
    <n v="17"/>
    <x v="1"/>
    <d v="2024-03-25T00:00:00"/>
    <n v="0"/>
    <n v="1460"/>
    <n v="0.85"/>
    <s v="Normal"/>
    <n v="2024"/>
    <s v="March"/>
  </r>
  <r>
    <n v="2483"/>
    <n v="491"/>
    <x v="2"/>
    <x v="0"/>
    <x v="2"/>
    <d v="2022-02-02T00:00:00"/>
    <x v="67"/>
    <n v="3957"/>
    <n v="4012.75"/>
    <n v="4401"/>
    <x v="1"/>
    <n v="12"/>
    <x v="1"/>
    <d v="2023-02-20T00:00:00"/>
    <n v="1"/>
    <n v="1461"/>
    <n v="1.1100000000000001"/>
    <s v="Outlier"/>
    <n v="2023"/>
    <s v="February"/>
  </r>
  <r>
    <n v="2486"/>
    <n v="257"/>
    <x v="1"/>
    <x v="0"/>
    <x v="2"/>
    <d v="2022-11-24T00:00:00"/>
    <x v="179"/>
    <n v="9560"/>
    <n v="4475"/>
    <n v="577.01"/>
    <x v="2"/>
    <n v="3"/>
    <x v="0"/>
    <d v="2023-03-18T00:00:00"/>
    <n v="0"/>
    <n v="1462"/>
    <n v="0.06"/>
    <s v="Normal"/>
    <n v="2023"/>
    <s v="March"/>
  </r>
  <r>
    <n v="2487"/>
    <n v="117"/>
    <x v="2"/>
    <x v="3"/>
    <x v="0"/>
    <d v="2022-11-14T00:00:00"/>
    <x v="349"/>
    <n v="4967.93"/>
    <n v="4564"/>
    <n v="-5095"/>
    <x v="1"/>
    <n v="6"/>
    <x v="2"/>
    <d v="2023-06-03T00:00:00"/>
    <n v="0"/>
    <n v="1463"/>
    <n v="-1.03"/>
    <s v="Outlier"/>
    <n v="2023"/>
    <s v="June"/>
  </r>
  <r>
    <n v="2494"/>
    <n v="307"/>
    <x v="3"/>
    <x v="0"/>
    <x v="0"/>
    <d v="2022-06-18T00:00:00"/>
    <x v="296"/>
    <n v="5977"/>
    <n v="4697"/>
    <n v="1280"/>
    <x v="2"/>
    <n v="2"/>
    <x v="0"/>
    <d v="2022-08-22T00:00:00"/>
    <n v="1"/>
    <n v="1464"/>
    <n v="0.21"/>
    <s v="Normal"/>
    <n v="2022"/>
    <s v="August"/>
  </r>
  <r>
    <n v="2495"/>
    <n v="128"/>
    <x v="3"/>
    <x v="3"/>
    <x v="0"/>
    <d v="2022-03-21T00:00:00"/>
    <x v="650"/>
    <n v="9257"/>
    <n v="3488"/>
    <n v="5769"/>
    <x v="0"/>
    <n v="8"/>
    <x v="1"/>
    <d v="2022-12-02T00:00:00"/>
    <n v="0"/>
    <n v="1465"/>
    <n v="0.62"/>
    <s v="Normal"/>
    <n v="2022"/>
    <s v="December"/>
  </r>
  <r>
    <n v="2501"/>
    <n v="464"/>
    <x v="3"/>
    <x v="0"/>
    <x v="1"/>
    <d v="2022-03-14T00:00:00"/>
    <x v="617"/>
    <n v="4967.93"/>
    <n v="4012.75"/>
    <n v="6"/>
    <x v="2"/>
    <n v="1"/>
    <x v="0"/>
    <d v="2022-05-09T00:00:00"/>
    <n v="1"/>
    <n v="1466"/>
    <n v="0"/>
    <s v="Normal"/>
    <n v="2022"/>
    <s v="May"/>
  </r>
  <r>
    <n v="2502"/>
    <n v="147"/>
    <x v="4"/>
    <x v="0"/>
    <x v="1"/>
    <d v="2022-07-25T00:00:00"/>
    <x v="124"/>
    <n v="4667"/>
    <n v="7425"/>
    <n v="-2758"/>
    <x v="1"/>
    <n v="8"/>
    <x v="1"/>
    <d v="2023-04-13T00:00:00"/>
    <n v="0"/>
    <n v="1467"/>
    <n v="-0.59"/>
    <s v="Normal"/>
    <n v="2023"/>
    <s v="April"/>
  </r>
  <r>
    <n v="2503"/>
    <n v="328"/>
    <x v="3"/>
    <x v="0"/>
    <x v="1"/>
    <d v="2022-09-17T00:00:00"/>
    <x v="278"/>
    <n v="8093"/>
    <n v="945"/>
    <n v="7148"/>
    <x v="1"/>
    <n v="3"/>
    <x v="0"/>
    <d v="2023-01-03T00:00:00"/>
    <n v="1"/>
    <n v="1468"/>
    <n v="0.88"/>
    <s v="Normal"/>
    <n v="2023"/>
    <s v="January"/>
  </r>
  <r>
    <n v="2505"/>
    <n v="334"/>
    <x v="0"/>
    <x v="1"/>
    <x v="0"/>
    <d v="2022-12-21T00:00:00"/>
    <x v="36"/>
    <n v="9698"/>
    <n v="5007"/>
    <n v="4691"/>
    <x v="0"/>
    <n v="7"/>
    <x v="1"/>
    <d v="2023-07-29T00:00:00"/>
    <n v="0"/>
    <n v="1469"/>
    <n v="0.48"/>
    <s v="Normal"/>
    <n v="2023"/>
    <s v="July"/>
  </r>
  <r>
    <n v="2506"/>
    <n v="350"/>
    <x v="4"/>
    <x v="3"/>
    <x v="1"/>
    <d v="2022-01-20T00:00:00"/>
    <x v="22"/>
    <n v="2512"/>
    <n v="3715"/>
    <n v="-1203"/>
    <x v="2"/>
    <n v="13"/>
    <x v="1"/>
    <d v="2023-03-19T00:00:00"/>
    <n v="0"/>
    <n v="1470"/>
    <n v="-0.48"/>
    <s v="Normal"/>
    <n v="2023"/>
    <s v="March"/>
  </r>
  <r>
    <n v="2507"/>
    <n v="448"/>
    <x v="2"/>
    <x v="2"/>
    <x v="1"/>
    <d v="2022-12-18T00:00:00"/>
    <x v="651"/>
    <n v="7266"/>
    <n v="374"/>
    <n v="6892"/>
    <x v="2"/>
    <n v="17"/>
    <x v="1"/>
    <d v="2024-05-19T00:00:00"/>
    <n v="0"/>
    <n v="1471"/>
    <n v="0.95"/>
    <s v="Normal"/>
    <n v="2024"/>
    <s v="May"/>
  </r>
  <r>
    <n v="2508"/>
    <n v="356"/>
    <x v="4"/>
    <x v="2"/>
    <x v="2"/>
    <d v="2022-04-22T00:00:00"/>
    <x v="345"/>
    <n v="9850"/>
    <n v="4012.75"/>
    <n v="10023"/>
    <x v="1"/>
    <n v="1"/>
    <x v="0"/>
    <d v="2022-05-22T00:00:00"/>
    <n v="0"/>
    <n v="1472"/>
    <n v="1.02"/>
    <s v="Outlier"/>
    <n v="2022"/>
    <s v="May"/>
  </r>
  <r>
    <n v="2509"/>
    <n v="490"/>
    <x v="1"/>
    <x v="2"/>
    <x v="1"/>
    <d v="2022-01-29T00:00:00"/>
    <x v="652"/>
    <n v="7188"/>
    <n v="919"/>
    <n v="6269"/>
    <x v="1"/>
    <n v="2"/>
    <x v="0"/>
    <d v="2022-04-19T00:00:00"/>
    <n v="0"/>
    <n v="1473"/>
    <n v="0.87"/>
    <s v="Normal"/>
    <n v="2022"/>
    <s v="April"/>
  </r>
  <r>
    <n v="2510"/>
    <n v="217"/>
    <x v="0"/>
    <x v="1"/>
    <x v="0"/>
    <d v="2022-04-27T00:00:00"/>
    <x v="190"/>
    <n v="4967.93"/>
    <n v="7979"/>
    <n v="-8246"/>
    <x v="2"/>
    <n v="3"/>
    <x v="0"/>
    <d v="2022-08-11T00:00:00"/>
    <n v="1"/>
    <n v="1474"/>
    <n v="-1.66"/>
    <s v="Outlier"/>
    <n v="2022"/>
    <s v="August"/>
  </r>
  <r>
    <n v="2512"/>
    <n v="323"/>
    <x v="4"/>
    <x v="3"/>
    <x v="0"/>
    <d v="2022-09-19T00:00:00"/>
    <x v="298"/>
    <n v="1683"/>
    <n v="2068"/>
    <n v="-385"/>
    <x v="1"/>
    <n v="7"/>
    <x v="1"/>
    <d v="2023-05-16T00:00:00"/>
    <n v="0"/>
    <n v="1475"/>
    <n v="-0.23"/>
    <s v="Normal"/>
    <n v="2023"/>
    <s v="May"/>
  </r>
  <r>
    <n v="2513"/>
    <n v="206"/>
    <x v="0"/>
    <x v="3"/>
    <x v="1"/>
    <d v="2022-06-02T00:00:00"/>
    <x v="378"/>
    <n v="6579"/>
    <n v="7510"/>
    <n v="-931"/>
    <x v="0"/>
    <n v="12"/>
    <x v="1"/>
    <d v="2023-06-12T00:00:00"/>
    <n v="1"/>
    <n v="1476"/>
    <n v="-0.14000000000000001"/>
    <s v="Normal"/>
    <n v="2023"/>
    <s v="June"/>
  </r>
  <r>
    <n v="2514"/>
    <n v="258"/>
    <x v="2"/>
    <x v="2"/>
    <x v="1"/>
    <d v="2022-04-15T00:00:00"/>
    <x v="459"/>
    <n v="1525"/>
    <n v="7123"/>
    <n v="-5598"/>
    <x v="2"/>
    <n v="11"/>
    <x v="1"/>
    <d v="2023-03-27T00:00:00"/>
    <n v="1"/>
    <n v="1477"/>
    <n v="-3.67"/>
    <s v="Outlier"/>
    <n v="2023"/>
    <s v="March"/>
  </r>
  <r>
    <n v="2515"/>
    <n v="315"/>
    <x v="4"/>
    <x v="1"/>
    <x v="2"/>
    <d v="2022-12-12T00:00:00"/>
    <x v="613"/>
    <n v="6916"/>
    <n v="1765"/>
    <n v="5151"/>
    <x v="1"/>
    <n v="9"/>
    <x v="1"/>
    <d v="2023-10-06T00:00:00"/>
    <n v="0"/>
    <n v="1478"/>
    <n v="0.74"/>
    <s v="Normal"/>
    <n v="2023"/>
    <s v="October"/>
  </r>
  <r>
    <n v="2517"/>
    <n v="259"/>
    <x v="0"/>
    <x v="1"/>
    <x v="1"/>
    <d v="2022-01-03T00:00:00"/>
    <x v="85"/>
    <n v="5477"/>
    <n v="5135"/>
    <n v="342"/>
    <x v="0"/>
    <n v="14"/>
    <x v="1"/>
    <d v="2023-03-24T00:00:00"/>
    <n v="0"/>
    <n v="1479"/>
    <n v="0.06"/>
    <s v="Normal"/>
    <n v="2023"/>
    <s v="March"/>
  </r>
  <r>
    <n v="2518"/>
    <n v="449"/>
    <x v="2"/>
    <x v="2"/>
    <x v="0"/>
    <d v="2022-12-31T00:00:00"/>
    <x v="653"/>
    <n v="3943"/>
    <n v="2308"/>
    <n v="1635"/>
    <x v="0"/>
    <n v="10"/>
    <x v="1"/>
    <d v="2023-11-04T00:00:00"/>
    <n v="1"/>
    <n v="1480"/>
    <n v="0.41"/>
    <s v="Normal"/>
    <n v="2023"/>
    <s v="November"/>
  </r>
  <r>
    <n v="2521"/>
    <n v="366"/>
    <x v="4"/>
    <x v="1"/>
    <x v="1"/>
    <d v="2022-01-28T00:00:00"/>
    <x v="279"/>
    <n v="4967.93"/>
    <n v="2054"/>
    <n v="577.01"/>
    <x v="2"/>
    <n v="1"/>
    <x v="0"/>
    <d v="2022-03-24T00:00:00"/>
    <n v="0"/>
    <n v="1481"/>
    <n v="0.12"/>
    <s v="Normal"/>
    <n v="2022"/>
    <s v="March"/>
  </r>
  <r>
    <n v="2522"/>
    <n v="399"/>
    <x v="2"/>
    <x v="0"/>
    <x v="1"/>
    <d v="2022-10-02T00:00:00"/>
    <x v="539"/>
    <n v="2284"/>
    <n v="6627"/>
    <n v="-4343"/>
    <x v="1"/>
    <n v="17"/>
    <x v="1"/>
    <d v="2024-03-28T00:00:00"/>
    <n v="0"/>
    <n v="1482"/>
    <n v="-1.9"/>
    <s v="Outlier"/>
    <n v="2024"/>
    <s v="March"/>
  </r>
  <r>
    <n v="2524"/>
    <n v="403"/>
    <x v="2"/>
    <x v="2"/>
    <x v="2"/>
    <d v="2022-11-16T00:00:00"/>
    <x v="377"/>
    <n v="8029"/>
    <n v="5405"/>
    <n v="2624"/>
    <x v="1"/>
    <n v="4"/>
    <x v="0"/>
    <d v="2023-04-14T00:00:00"/>
    <n v="0"/>
    <n v="1483"/>
    <n v="0.33"/>
    <s v="Normal"/>
    <n v="2023"/>
    <s v="April"/>
  </r>
  <r>
    <n v="2526"/>
    <n v="291"/>
    <x v="1"/>
    <x v="1"/>
    <x v="1"/>
    <d v="2022-09-19T00:00:00"/>
    <x v="586"/>
    <n v="322"/>
    <n v="4012.75"/>
    <n v="638"/>
    <x v="1"/>
    <n v="7"/>
    <x v="1"/>
    <d v="2023-04-21T00:00:00"/>
    <n v="0"/>
    <n v="1484"/>
    <n v="1.98"/>
    <s v="Outlier"/>
    <n v="2023"/>
    <s v="April"/>
  </r>
  <r>
    <n v="2529"/>
    <n v="235"/>
    <x v="0"/>
    <x v="0"/>
    <x v="1"/>
    <d v="2022-12-24T00:00:00"/>
    <x v="654"/>
    <n v="1686"/>
    <n v="3937"/>
    <n v="-2251"/>
    <x v="1"/>
    <n v="3"/>
    <x v="0"/>
    <d v="2023-04-10T00:00:00"/>
    <n v="0"/>
    <n v="1485"/>
    <n v="-1.34"/>
    <s v="Outlier"/>
    <n v="2023"/>
    <s v="April"/>
  </r>
  <r>
    <n v="2530"/>
    <n v="463"/>
    <x v="4"/>
    <x v="3"/>
    <x v="2"/>
    <d v="2022-02-27T00:00:00"/>
    <x v="101"/>
    <n v="5360"/>
    <n v="2543"/>
    <n v="2817"/>
    <x v="0"/>
    <n v="8"/>
    <x v="1"/>
    <d v="2022-11-17T00:00:00"/>
    <n v="0"/>
    <n v="1486"/>
    <n v="0.53"/>
    <s v="Normal"/>
    <n v="2022"/>
    <s v="November"/>
  </r>
  <r>
    <n v="2531"/>
    <n v="140"/>
    <x v="0"/>
    <x v="2"/>
    <x v="0"/>
    <d v="2022-01-30T00:00:00"/>
    <x v="231"/>
    <n v="8478"/>
    <n v="993"/>
    <n v="7485"/>
    <x v="1"/>
    <n v="11"/>
    <x v="1"/>
    <d v="2023-01-24T00:00:00"/>
    <n v="0"/>
    <n v="1487"/>
    <n v="0.88"/>
    <s v="Normal"/>
    <n v="2023"/>
    <s v="January"/>
  </r>
  <r>
    <n v="2532"/>
    <n v="123"/>
    <x v="2"/>
    <x v="2"/>
    <x v="2"/>
    <d v="2022-11-14T00:00:00"/>
    <x v="655"/>
    <n v="9264"/>
    <n v="4661"/>
    <n v="4603"/>
    <x v="1"/>
    <n v="16"/>
    <x v="1"/>
    <d v="2024-03-31T00:00:00"/>
    <n v="1"/>
    <n v="1488"/>
    <n v="0.5"/>
    <s v="Normal"/>
    <n v="2024"/>
    <s v="March"/>
  </r>
  <r>
    <n v="2533"/>
    <n v="267"/>
    <x v="0"/>
    <x v="0"/>
    <x v="2"/>
    <d v="2022-11-24T00:00:00"/>
    <x v="60"/>
    <n v="4720"/>
    <n v="5144"/>
    <n v="-424"/>
    <x v="2"/>
    <n v="10"/>
    <x v="1"/>
    <d v="2023-09-28T00:00:00"/>
    <n v="0"/>
    <n v="1489"/>
    <n v="-0.09"/>
    <s v="Normal"/>
    <n v="2023"/>
    <s v="September"/>
  </r>
  <r>
    <n v="2535"/>
    <n v="178"/>
    <x v="3"/>
    <x v="3"/>
    <x v="1"/>
    <d v="2022-04-28T00:00:00"/>
    <x v="139"/>
    <n v="4967.93"/>
    <n v="3635"/>
    <n v="-4933"/>
    <x v="2"/>
    <n v="3"/>
    <x v="0"/>
    <d v="2022-08-04T00:00:00"/>
    <n v="0"/>
    <n v="1490"/>
    <n v="-0.99"/>
    <s v="Normal"/>
    <n v="2022"/>
    <s v="August"/>
  </r>
  <r>
    <n v="2536"/>
    <n v="441"/>
    <x v="0"/>
    <x v="2"/>
    <x v="1"/>
    <d v="2022-09-16T00:00:00"/>
    <x v="162"/>
    <n v="4967.93"/>
    <n v="3247"/>
    <n v="-4241"/>
    <x v="1"/>
    <n v="10"/>
    <x v="1"/>
    <d v="2023-08-01T00:00:00"/>
    <n v="0"/>
    <n v="1491"/>
    <n v="-0.85"/>
    <s v="Normal"/>
    <n v="2023"/>
    <s v="August"/>
  </r>
  <r>
    <n v="2538"/>
    <n v="452"/>
    <x v="1"/>
    <x v="0"/>
    <x v="2"/>
    <d v="2022-11-21T00:00:00"/>
    <x v="422"/>
    <n v="570"/>
    <n v="2198"/>
    <n v="-1628"/>
    <x v="0"/>
    <n v="13"/>
    <x v="1"/>
    <d v="2024-01-10T00:00:00"/>
    <n v="1"/>
    <n v="1492"/>
    <n v="-2.86"/>
    <s v="Outlier"/>
    <n v="2024"/>
    <s v="January"/>
  </r>
  <r>
    <n v="2539"/>
    <n v="322"/>
    <x v="3"/>
    <x v="0"/>
    <x v="2"/>
    <d v="2022-12-15T00:00:00"/>
    <x v="24"/>
    <n v="5757"/>
    <n v="4012.75"/>
    <n v="6404"/>
    <x v="1"/>
    <n v="5"/>
    <x v="0"/>
    <d v="2023-06-14T00:00:00"/>
    <n v="1"/>
    <n v="1493"/>
    <n v="1.1100000000000001"/>
    <s v="Outlier"/>
    <n v="2023"/>
    <s v="June"/>
  </r>
  <r>
    <n v="2540"/>
    <n v="307"/>
    <x v="3"/>
    <x v="2"/>
    <x v="2"/>
    <d v="2022-09-23T00:00:00"/>
    <x v="485"/>
    <n v="7957"/>
    <n v="5969"/>
    <n v="1988"/>
    <x v="1"/>
    <n v="2"/>
    <x v="0"/>
    <d v="2022-12-08T00:00:00"/>
    <n v="0"/>
    <n v="1494"/>
    <n v="0.25"/>
    <s v="Normal"/>
    <n v="2022"/>
    <s v="December"/>
  </r>
  <r>
    <n v="2541"/>
    <n v="248"/>
    <x v="2"/>
    <x v="1"/>
    <x v="2"/>
    <d v="2022-05-31T00:00:00"/>
    <x v="613"/>
    <n v="4967.93"/>
    <n v="5608"/>
    <n v="-7028"/>
    <x v="1"/>
    <n v="16"/>
    <x v="1"/>
    <d v="2023-10-06T00:00:00"/>
    <n v="0"/>
    <n v="1495"/>
    <n v="-1.41"/>
    <s v="Outlier"/>
    <n v="2023"/>
    <s v="October"/>
  </r>
  <r>
    <n v="2542"/>
    <n v="262"/>
    <x v="3"/>
    <x v="0"/>
    <x v="2"/>
    <d v="2022-08-23T00:00:00"/>
    <x v="656"/>
    <n v="1115"/>
    <n v="2038"/>
    <n v="-923"/>
    <x v="2"/>
    <n v="3"/>
    <x v="0"/>
    <d v="2022-12-12T00:00:00"/>
    <n v="1"/>
    <n v="1496"/>
    <n v="-0.83"/>
    <s v="Normal"/>
    <n v="2022"/>
    <s v="December"/>
  </r>
  <r>
    <n v="2543"/>
    <n v="189"/>
    <x v="1"/>
    <x v="2"/>
    <x v="0"/>
    <d v="2022-06-13T00:00:00"/>
    <x v="524"/>
    <n v="6966"/>
    <n v="1313"/>
    <n v="5653"/>
    <x v="0"/>
    <n v="6"/>
    <x v="2"/>
    <d v="2022-12-30T00:00:00"/>
    <n v="0"/>
    <n v="1497"/>
    <n v="0.81"/>
    <s v="Normal"/>
    <n v="2022"/>
    <s v="December"/>
  </r>
  <r>
    <n v="2544"/>
    <n v="348"/>
    <x v="0"/>
    <x v="3"/>
    <x v="0"/>
    <d v="2022-05-28T00:00:00"/>
    <x v="657"/>
    <n v="1218"/>
    <n v="7803"/>
    <n v="-6585"/>
    <x v="1"/>
    <n v="10"/>
    <x v="1"/>
    <d v="2023-04-24T00:00:00"/>
    <n v="1"/>
    <n v="1498"/>
    <n v="-5.41"/>
    <s v="Outlier"/>
    <n v="2023"/>
    <s v="April"/>
  </r>
  <r>
    <n v="2545"/>
    <n v="325"/>
    <x v="2"/>
    <x v="0"/>
    <x v="0"/>
    <d v="2022-07-16T00:00:00"/>
    <x v="93"/>
    <n v="4959"/>
    <n v="4192"/>
    <n v="767"/>
    <x v="2"/>
    <n v="2"/>
    <x v="0"/>
    <d v="2022-10-06T00:00:00"/>
    <n v="1"/>
    <n v="1499"/>
    <n v="0.15"/>
    <s v="Normal"/>
    <n v="2022"/>
    <s v="October"/>
  </r>
  <r>
    <n v="2547"/>
    <n v="114"/>
    <x v="2"/>
    <x v="1"/>
    <x v="2"/>
    <d v="2022-10-13T00:00:00"/>
    <x v="261"/>
    <n v="4943"/>
    <n v="7537"/>
    <n v="577.01"/>
    <x v="2"/>
    <n v="6"/>
    <x v="2"/>
    <d v="2023-05-02T00:00:00"/>
    <n v="1"/>
    <n v="1500"/>
    <n v="0.12"/>
    <s v="Normal"/>
    <n v="2023"/>
    <s v="May"/>
  </r>
  <r>
    <n v="2548"/>
    <n v="315"/>
    <x v="0"/>
    <x v="2"/>
    <x v="0"/>
    <d v="2022-08-26T00:00:00"/>
    <x v="183"/>
    <n v="8867"/>
    <n v="4012.75"/>
    <n v="9444"/>
    <x v="0"/>
    <n v="19"/>
    <x v="1"/>
    <d v="2024-04-09T00:00:00"/>
    <n v="0"/>
    <n v="1501"/>
    <n v="1.07"/>
    <s v="Outlier"/>
    <n v="2024"/>
    <s v="April"/>
  </r>
  <r>
    <n v="2550"/>
    <n v="173"/>
    <x v="4"/>
    <x v="1"/>
    <x v="1"/>
    <d v="2022-06-10T00:00:00"/>
    <x v="76"/>
    <n v="835"/>
    <n v="2123"/>
    <n v="-1288"/>
    <x v="0"/>
    <n v="4"/>
    <x v="0"/>
    <d v="2022-11-08T00:00:00"/>
    <n v="1"/>
    <n v="1502"/>
    <n v="-1.54"/>
    <s v="Outlier"/>
    <n v="2022"/>
    <s v="November"/>
  </r>
  <r>
    <n v="2553"/>
    <n v="118"/>
    <x v="4"/>
    <x v="0"/>
    <x v="0"/>
    <d v="2022-10-02T00:00:00"/>
    <x v="243"/>
    <n v="5335"/>
    <n v="5423"/>
    <n v="-88"/>
    <x v="1"/>
    <n v="14"/>
    <x v="1"/>
    <d v="2023-12-30T00:00:00"/>
    <n v="0"/>
    <n v="1503"/>
    <n v="-0.02"/>
    <s v="Normal"/>
    <n v="2023"/>
    <s v="December"/>
  </r>
  <r>
    <n v="2556"/>
    <n v="377"/>
    <x v="3"/>
    <x v="2"/>
    <x v="1"/>
    <d v="2022-06-16T00:00:00"/>
    <x v="420"/>
    <n v="9182"/>
    <n v="2046"/>
    <n v="7136"/>
    <x v="1"/>
    <n v="13"/>
    <x v="1"/>
    <d v="2023-07-25T00:00:00"/>
    <n v="1"/>
    <n v="1504"/>
    <n v="0.78"/>
    <s v="Normal"/>
    <n v="2023"/>
    <s v="July"/>
  </r>
  <r>
    <n v="2558"/>
    <n v="259"/>
    <x v="3"/>
    <x v="3"/>
    <x v="1"/>
    <d v="2022-02-23T00:00:00"/>
    <x v="658"/>
    <n v="9725"/>
    <n v="4012.75"/>
    <n v="10060"/>
    <x v="0"/>
    <n v="1"/>
    <x v="0"/>
    <d v="2022-04-17T00:00:00"/>
    <n v="0"/>
    <n v="1505"/>
    <n v="1.03"/>
    <s v="Outlier"/>
    <n v="2022"/>
    <s v="April"/>
  </r>
  <r>
    <n v="2560"/>
    <n v="480"/>
    <x v="0"/>
    <x v="1"/>
    <x v="0"/>
    <d v="2022-12-01T00:00:00"/>
    <x v="432"/>
    <n v="4967.93"/>
    <n v="4120"/>
    <n v="-5568"/>
    <x v="1"/>
    <n v="14"/>
    <x v="1"/>
    <d v="2024-02-25T00:00:00"/>
    <n v="1"/>
    <n v="1506"/>
    <n v="-1.1200000000000001"/>
    <s v="Outlier"/>
    <n v="2024"/>
    <s v="February"/>
  </r>
  <r>
    <n v="2561"/>
    <n v="234"/>
    <x v="2"/>
    <x v="1"/>
    <x v="2"/>
    <d v="2022-05-10T00:00:00"/>
    <x v="308"/>
    <n v="6258"/>
    <n v="3670"/>
    <n v="2588"/>
    <x v="0"/>
    <n v="10"/>
    <x v="1"/>
    <d v="2023-03-20T00:00:00"/>
    <n v="0"/>
    <n v="1507"/>
    <n v="0.41"/>
    <s v="Normal"/>
    <n v="2023"/>
    <s v="March"/>
  </r>
  <r>
    <n v="2563"/>
    <n v="378"/>
    <x v="1"/>
    <x v="1"/>
    <x v="1"/>
    <d v="2022-04-04T00:00:00"/>
    <x v="6"/>
    <n v="7773"/>
    <n v="2052"/>
    <n v="5721"/>
    <x v="1"/>
    <n v="16"/>
    <x v="1"/>
    <d v="2023-08-06T00:00:00"/>
    <n v="1"/>
    <n v="1508"/>
    <n v="0.74"/>
    <s v="Normal"/>
    <n v="2023"/>
    <s v="August"/>
  </r>
  <r>
    <n v="2564"/>
    <n v="454"/>
    <x v="1"/>
    <x v="0"/>
    <x v="0"/>
    <d v="2022-04-02T00:00:00"/>
    <x v="427"/>
    <n v="4964"/>
    <n v="2766"/>
    <n v="577.01"/>
    <x v="1"/>
    <n v="11"/>
    <x v="1"/>
    <d v="2023-03-08T00:00:00"/>
    <n v="1"/>
    <n v="1509"/>
    <n v="0.12"/>
    <s v="Normal"/>
    <n v="2023"/>
    <s v="March"/>
  </r>
  <r>
    <n v="2565"/>
    <n v="420"/>
    <x v="1"/>
    <x v="2"/>
    <x v="1"/>
    <d v="2022-11-03T00:00:00"/>
    <x v="613"/>
    <n v="5973"/>
    <n v="1306"/>
    <n v="4667"/>
    <x v="0"/>
    <n v="11"/>
    <x v="1"/>
    <d v="2023-10-06T00:00:00"/>
    <n v="0"/>
    <n v="1510"/>
    <n v="0.78"/>
    <s v="Normal"/>
    <n v="2023"/>
    <s v="October"/>
  </r>
  <r>
    <n v="2566"/>
    <n v="398"/>
    <x v="1"/>
    <x v="0"/>
    <x v="2"/>
    <d v="2022-01-18T00:00:00"/>
    <x v="659"/>
    <n v="4967.93"/>
    <n v="6891"/>
    <n v="-8550"/>
    <x v="1"/>
    <n v="3"/>
    <x v="0"/>
    <d v="2022-05-08T00:00:00"/>
    <n v="0"/>
    <n v="1511"/>
    <n v="-1.72"/>
    <s v="Outlier"/>
    <n v="2022"/>
    <s v="May"/>
  </r>
  <r>
    <n v="2568"/>
    <n v="409"/>
    <x v="1"/>
    <x v="3"/>
    <x v="1"/>
    <d v="2022-05-08T00:00:00"/>
    <x v="660"/>
    <n v="2962"/>
    <n v="7404"/>
    <n v="-4442"/>
    <x v="1"/>
    <n v="4"/>
    <x v="0"/>
    <d v="2022-09-10T00:00:00"/>
    <n v="1"/>
    <n v="1512"/>
    <n v="-1.5"/>
    <s v="Outlier"/>
    <n v="2022"/>
    <s v="September"/>
  </r>
  <r>
    <n v="2569"/>
    <n v="367"/>
    <x v="4"/>
    <x v="3"/>
    <x v="2"/>
    <d v="2022-01-13T00:00:00"/>
    <x v="329"/>
    <n v="3093"/>
    <n v="661"/>
    <n v="2432"/>
    <x v="1"/>
    <n v="16"/>
    <x v="1"/>
    <d v="2023-06-05T00:00:00"/>
    <n v="1"/>
    <n v="1513"/>
    <n v="0.79"/>
    <s v="Normal"/>
    <n v="2023"/>
    <s v="June"/>
  </r>
  <r>
    <n v="2570"/>
    <n v="439"/>
    <x v="3"/>
    <x v="0"/>
    <x v="1"/>
    <d v="2022-01-29T00:00:00"/>
    <x v="661"/>
    <n v="9607"/>
    <n v="3069"/>
    <n v="6538"/>
    <x v="1"/>
    <n v="2"/>
    <x v="0"/>
    <d v="2022-04-15T00:00:00"/>
    <n v="0"/>
    <n v="1514"/>
    <n v="0.68"/>
    <s v="Normal"/>
    <n v="2022"/>
    <s v="April"/>
  </r>
  <r>
    <n v="2572"/>
    <n v="250"/>
    <x v="1"/>
    <x v="1"/>
    <x v="1"/>
    <d v="2022-05-25T00:00:00"/>
    <x v="212"/>
    <n v="8207"/>
    <n v="111"/>
    <n v="8096"/>
    <x v="2"/>
    <n v="6"/>
    <x v="2"/>
    <d v="2022-12-07T00:00:00"/>
    <n v="0"/>
    <n v="1515"/>
    <n v="0.99"/>
    <s v="Normal"/>
    <n v="2022"/>
    <s v="December"/>
  </r>
  <r>
    <n v="2573"/>
    <n v="319"/>
    <x v="0"/>
    <x v="2"/>
    <x v="0"/>
    <d v="2022-11-20T00:00:00"/>
    <x v="371"/>
    <n v="7137"/>
    <n v="4603"/>
    <n v="2534"/>
    <x v="0"/>
    <n v="14"/>
    <x v="1"/>
    <d v="2024-01-27T00:00:00"/>
    <n v="1"/>
    <n v="1516"/>
    <n v="0.36"/>
    <s v="Normal"/>
    <n v="2024"/>
    <s v="January"/>
  </r>
  <r>
    <n v="2574"/>
    <n v="485"/>
    <x v="4"/>
    <x v="3"/>
    <x v="0"/>
    <d v="2022-01-16T00:00:00"/>
    <x v="662"/>
    <n v="5698"/>
    <n v="2160"/>
    <n v="3538"/>
    <x v="2"/>
    <n v="1"/>
    <x v="0"/>
    <d v="2022-03-07T00:00:00"/>
    <n v="0"/>
    <n v="1517"/>
    <n v="0.62"/>
    <s v="Normal"/>
    <n v="2022"/>
    <s v="March"/>
  </r>
  <r>
    <n v="2575"/>
    <n v="412"/>
    <x v="1"/>
    <x v="0"/>
    <x v="1"/>
    <d v="2022-01-08T00:00:00"/>
    <x v="663"/>
    <n v="339"/>
    <n v="30"/>
    <n v="309"/>
    <x v="1"/>
    <n v="1"/>
    <x v="0"/>
    <d v="2022-02-26T00:00:00"/>
    <n v="0"/>
    <n v="1518"/>
    <n v="0.91"/>
    <s v="Normal"/>
    <n v="2022"/>
    <s v="February"/>
  </r>
  <r>
    <n v="2577"/>
    <n v="260"/>
    <x v="3"/>
    <x v="0"/>
    <x v="1"/>
    <d v="2022-11-05T00:00:00"/>
    <x v="343"/>
    <n v="3758"/>
    <n v="6979"/>
    <n v="-3221"/>
    <x v="1"/>
    <n v="14"/>
    <x v="1"/>
    <d v="2024-01-25T00:00:00"/>
    <n v="0"/>
    <n v="1519"/>
    <n v="-0.86"/>
    <s v="Normal"/>
    <n v="2024"/>
    <s v="January"/>
  </r>
  <r>
    <n v="2580"/>
    <n v="352"/>
    <x v="2"/>
    <x v="2"/>
    <x v="1"/>
    <d v="2022-01-23T00:00:00"/>
    <x v="622"/>
    <n v="6631"/>
    <n v="7062"/>
    <n v="-431"/>
    <x v="2"/>
    <n v="13"/>
    <x v="1"/>
    <d v="2023-03-17T00:00:00"/>
    <n v="0"/>
    <n v="1520"/>
    <n v="-0.06"/>
    <s v="Normal"/>
    <n v="2023"/>
    <s v="March"/>
  </r>
  <r>
    <n v="2581"/>
    <n v="194"/>
    <x v="2"/>
    <x v="2"/>
    <x v="2"/>
    <d v="2022-05-26T00:00:00"/>
    <x v="138"/>
    <n v="5902"/>
    <n v="7743"/>
    <n v="-1841"/>
    <x v="1"/>
    <n v="4"/>
    <x v="0"/>
    <d v="2022-10-11T00:00:00"/>
    <n v="1"/>
    <n v="1521"/>
    <n v="-0.31"/>
    <s v="Normal"/>
    <n v="2022"/>
    <s v="October"/>
  </r>
  <r>
    <n v="2583"/>
    <n v="202"/>
    <x v="2"/>
    <x v="3"/>
    <x v="2"/>
    <d v="2022-12-22T00:00:00"/>
    <x v="71"/>
    <n v="1121"/>
    <n v="464"/>
    <n v="657"/>
    <x v="2"/>
    <n v="7"/>
    <x v="1"/>
    <d v="2023-07-31T00:00:00"/>
    <n v="1"/>
    <n v="1522"/>
    <n v="0.59"/>
    <s v="Normal"/>
    <n v="2023"/>
    <s v="July"/>
  </r>
  <r>
    <n v="2584"/>
    <n v="307"/>
    <x v="1"/>
    <x v="1"/>
    <x v="2"/>
    <d v="2022-11-29T00:00:00"/>
    <x v="651"/>
    <n v="8397"/>
    <n v="6861"/>
    <n v="1536"/>
    <x v="2"/>
    <n v="17"/>
    <x v="1"/>
    <d v="2024-05-19T00:00:00"/>
    <n v="0"/>
    <n v="1523"/>
    <n v="0.18"/>
    <s v="Normal"/>
    <n v="2024"/>
    <s v="May"/>
  </r>
  <r>
    <n v="2585"/>
    <n v="103"/>
    <x v="3"/>
    <x v="3"/>
    <x v="0"/>
    <d v="2022-03-19T00:00:00"/>
    <x v="533"/>
    <n v="2299"/>
    <n v="6450"/>
    <n v="577.01"/>
    <x v="1"/>
    <n v="13"/>
    <x v="1"/>
    <d v="2023-04-27T00:00:00"/>
    <n v="0"/>
    <n v="1524"/>
    <n v="0.25"/>
    <s v="Normal"/>
    <n v="2023"/>
    <s v="April"/>
  </r>
  <r>
    <n v="2586"/>
    <n v="102"/>
    <x v="2"/>
    <x v="3"/>
    <x v="2"/>
    <d v="2022-11-14T00:00:00"/>
    <x v="664"/>
    <n v="3641"/>
    <n v="6097"/>
    <n v="-2456"/>
    <x v="1"/>
    <n v="19"/>
    <x v="1"/>
    <d v="2024-06-27T00:00:00"/>
    <n v="1"/>
    <n v="1525"/>
    <n v="-0.67"/>
    <s v="Normal"/>
    <n v="2024"/>
    <s v="June"/>
  </r>
  <r>
    <n v="2588"/>
    <n v="428"/>
    <x v="0"/>
    <x v="1"/>
    <x v="0"/>
    <d v="2022-08-03T00:00:00"/>
    <x v="654"/>
    <n v="8992"/>
    <n v="471"/>
    <n v="8521"/>
    <x v="2"/>
    <n v="8"/>
    <x v="1"/>
    <d v="2023-04-10T00:00:00"/>
    <n v="0"/>
    <n v="1526"/>
    <n v="0.95"/>
    <s v="Normal"/>
    <n v="2023"/>
    <s v="April"/>
  </r>
  <r>
    <n v="2590"/>
    <n v="422"/>
    <x v="4"/>
    <x v="0"/>
    <x v="0"/>
    <d v="2022-09-12T00:00:00"/>
    <x v="665"/>
    <n v="2151"/>
    <n v="3101"/>
    <n v="-950"/>
    <x v="1"/>
    <n v="16"/>
    <x v="1"/>
    <d v="2024-01-21T00:00:00"/>
    <n v="0"/>
    <n v="1527"/>
    <n v="-0.44"/>
    <s v="Normal"/>
    <n v="2024"/>
    <s v="January"/>
  </r>
  <r>
    <n v="2592"/>
    <n v="377"/>
    <x v="2"/>
    <x v="0"/>
    <x v="0"/>
    <d v="2022-11-28T00:00:00"/>
    <x v="32"/>
    <n v="1395"/>
    <n v="7088"/>
    <n v="-5693"/>
    <x v="1"/>
    <n v="6"/>
    <x v="2"/>
    <d v="2023-06-19T00:00:00"/>
    <n v="1"/>
    <n v="1528"/>
    <n v="-4.08"/>
    <s v="Outlier"/>
    <n v="2023"/>
    <s v="June"/>
  </r>
  <r>
    <n v="2593"/>
    <n v="499"/>
    <x v="3"/>
    <x v="3"/>
    <x v="2"/>
    <d v="2022-05-03T00:00:00"/>
    <x v="215"/>
    <n v="9198"/>
    <n v="3321"/>
    <n v="577.01"/>
    <x v="1"/>
    <n v="15"/>
    <x v="1"/>
    <d v="2023-08-22T00:00:00"/>
    <n v="0"/>
    <n v="1529"/>
    <n v="0.06"/>
    <s v="Normal"/>
    <n v="2023"/>
    <s v="August"/>
  </r>
  <r>
    <n v="2595"/>
    <n v="320"/>
    <x v="4"/>
    <x v="0"/>
    <x v="1"/>
    <d v="2022-02-23T00:00:00"/>
    <x v="666"/>
    <n v="963"/>
    <n v="1453"/>
    <n v="-490"/>
    <x v="1"/>
    <n v="1"/>
    <x v="0"/>
    <d v="2022-04-08T00:00:00"/>
    <n v="0"/>
    <n v="1530"/>
    <n v="-0.51"/>
    <s v="Normal"/>
    <n v="2022"/>
    <s v="April"/>
  </r>
  <r>
    <n v="2596"/>
    <n v="438"/>
    <x v="0"/>
    <x v="1"/>
    <x v="2"/>
    <d v="2022-04-21T00:00:00"/>
    <x v="548"/>
    <n v="8686"/>
    <n v="2432"/>
    <n v="6254"/>
    <x v="1"/>
    <n v="3"/>
    <x v="0"/>
    <d v="2022-07-23T00:00:00"/>
    <n v="1"/>
    <n v="1531"/>
    <n v="0.72"/>
    <s v="Normal"/>
    <n v="2022"/>
    <s v="July"/>
  </r>
  <r>
    <n v="2597"/>
    <n v="474"/>
    <x v="2"/>
    <x v="2"/>
    <x v="1"/>
    <d v="2022-12-03T00:00:00"/>
    <x v="547"/>
    <n v="5802"/>
    <n v="1338"/>
    <n v="4464"/>
    <x v="1"/>
    <n v="12"/>
    <x v="1"/>
    <d v="2023-12-27T00:00:00"/>
    <n v="1"/>
    <n v="1532"/>
    <n v="0.77"/>
    <s v="Normal"/>
    <n v="2023"/>
    <s v="December"/>
  </r>
  <r>
    <n v="2598"/>
    <n v="298"/>
    <x v="1"/>
    <x v="0"/>
    <x v="2"/>
    <d v="2022-11-11T00:00:00"/>
    <x v="625"/>
    <n v="6494"/>
    <n v="3044"/>
    <n v="3450"/>
    <x v="1"/>
    <n v="13"/>
    <x v="1"/>
    <d v="2023-12-13T00:00:00"/>
    <n v="1"/>
    <n v="1533"/>
    <n v="0.53"/>
    <s v="Normal"/>
    <n v="2023"/>
    <s v="December"/>
  </r>
  <r>
    <n v="2599"/>
    <n v="422"/>
    <x v="3"/>
    <x v="0"/>
    <x v="2"/>
    <d v="2022-04-23T00:00:00"/>
    <x v="461"/>
    <n v="2004"/>
    <n v="7940"/>
    <n v="-5936"/>
    <x v="2"/>
    <n v="15"/>
    <x v="1"/>
    <d v="2023-08-14T00:00:00"/>
    <n v="0"/>
    <n v="1534"/>
    <n v="-2.96"/>
    <s v="Outlier"/>
    <n v="2023"/>
    <s v="August"/>
  </r>
  <r>
    <n v="2601"/>
    <n v="336"/>
    <x v="4"/>
    <x v="1"/>
    <x v="0"/>
    <d v="2022-01-08T00:00:00"/>
    <x v="136"/>
    <n v="5468"/>
    <n v="6089"/>
    <n v="-621"/>
    <x v="1"/>
    <n v="19"/>
    <x v="1"/>
    <d v="2023-08-11T00:00:00"/>
    <n v="1"/>
    <n v="1535"/>
    <n v="-0.11"/>
    <s v="Normal"/>
    <n v="2023"/>
    <s v="August"/>
  </r>
  <r>
    <n v="2602"/>
    <n v="434"/>
    <x v="2"/>
    <x v="1"/>
    <x v="1"/>
    <d v="2022-04-02T00:00:00"/>
    <x v="129"/>
    <n v="3619"/>
    <n v="7941"/>
    <n v="-4322"/>
    <x v="1"/>
    <n v="14"/>
    <x v="1"/>
    <d v="2023-06-02T00:00:00"/>
    <n v="0"/>
    <n v="1536"/>
    <n v="-1.19"/>
    <s v="Outlier"/>
    <n v="2023"/>
    <s v="June"/>
  </r>
  <r>
    <n v="2605"/>
    <n v="287"/>
    <x v="2"/>
    <x v="3"/>
    <x v="1"/>
    <d v="2022-09-15T00:00:00"/>
    <x v="667"/>
    <n v="4731"/>
    <n v="1035"/>
    <n v="3696"/>
    <x v="0"/>
    <n v="7"/>
    <x v="1"/>
    <d v="2023-04-26T00:00:00"/>
    <n v="1"/>
    <n v="1537"/>
    <n v="0.78"/>
    <s v="Normal"/>
    <n v="2023"/>
    <s v="April"/>
  </r>
  <r>
    <n v="2607"/>
    <n v="435"/>
    <x v="4"/>
    <x v="1"/>
    <x v="0"/>
    <d v="2022-07-15T00:00:00"/>
    <x v="271"/>
    <n v="483"/>
    <n v="336"/>
    <n v="147"/>
    <x v="1"/>
    <n v="14"/>
    <x v="1"/>
    <d v="2023-09-29T00:00:00"/>
    <n v="1"/>
    <n v="1538"/>
    <n v="0.3"/>
    <s v="Normal"/>
    <n v="2023"/>
    <s v="September"/>
  </r>
  <r>
    <n v="2609"/>
    <n v="472"/>
    <x v="4"/>
    <x v="1"/>
    <x v="1"/>
    <d v="2022-10-06T00:00:00"/>
    <x v="191"/>
    <n v="7509"/>
    <n v="2803"/>
    <n v="4706"/>
    <x v="1"/>
    <n v="14"/>
    <x v="1"/>
    <d v="2023-12-07T00:00:00"/>
    <n v="0"/>
    <n v="1539"/>
    <n v="0.63"/>
    <s v="Normal"/>
    <n v="2023"/>
    <s v="December"/>
  </r>
  <r>
    <n v="2610"/>
    <n v="351"/>
    <x v="4"/>
    <x v="1"/>
    <x v="1"/>
    <d v="2022-01-18T00:00:00"/>
    <x v="107"/>
    <n v="7139"/>
    <n v="4012.75"/>
    <n v="7236"/>
    <x v="1"/>
    <n v="8"/>
    <x v="1"/>
    <d v="2022-10-03T00:00:00"/>
    <n v="1"/>
    <n v="1540"/>
    <n v="1.01"/>
    <s v="Outlier"/>
    <n v="2022"/>
    <s v="October"/>
  </r>
  <r>
    <n v="2611"/>
    <n v="323"/>
    <x v="4"/>
    <x v="0"/>
    <x v="1"/>
    <d v="2022-09-28T00:00:00"/>
    <x v="29"/>
    <n v="4769"/>
    <n v="2753"/>
    <n v="2016"/>
    <x v="1"/>
    <n v="4"/>
    <x v="0"/>
    <d v="2023-02-02T00:00:00"/>
    <n v="0"/>
    <n v="1541"/>
    <n v="0.42"/>
    <s v="Normal"/>
    <n v="2023"/>
    <s v="February"/>
  </r>
  <r>
    <n v="2612"/>
    <n v="373"/>
    <x v="4"/>
    <x v="1"/>
    <x v="1"/>
    <d v="2022-03-11T00:00:00"/>
    <x v="427"/>
    <n v="2951"/>
    <n v="6604"/>
    <n v="-3653"/>
    <x v="2"/>
    <n v="11"/>
    <x v="1"/>
    <d v="2023-03-08T00:00:00"/>
    <n v="0"/>
    <n v="1542"/>
    <n v="-1.24"/>
    <s v="Outlier"/>
    <n v="2023"/>
    <s v="March"/>
  </r>
  <r>
    <n v="2614"/>
    <n v="332"/>
    <x v="2"/>
    <x v="2"/>
    <x v="2"/>
    <d v="2022-04-06T00:00:00"/>
    <x v="522"/>
    <n v="1477"/>
    <n v="4093"/>
    <n v="-2616"/>
    <x v="2"/>
    <n v="3"/>
    <x v="0"/>
    <d v="2022-07-16T00:00:00"/>
    <n v="0"/>
    <n v="1543"/>
    <n v="-1.77"/>
    <s v="Outlier"/>
    <n v="2022"/>
    <s v="July"/>
  </r>
  <r>
    <n v="2615"/>
    <n v="218"/>
    <x v="4"/>
    <x v="3"/>
    <x v="1"/>
    <d v="2022-02-20T00:00:00"/>
    <x v="586"/>
    <n v="5712"/>
    <n v="7757"/>
    <n v="-2045"/>
    <x v="2"/>
    <n v="14"/>
    <x v="1"/>
    <d v="2023-04-21T00:00:00"/>
    <n v="0"/>
    <n v="1544"/>
    <n v="-0.36"/>
    <s v="Normal"/>
    <n v="2023"/>
    <s v="April"/>
  </r>
  <r>
    <n v="2616"/>
    <n v="434"/>
    <x v="1"/>
    <x v="0"/>
    <x v="1"/>
    <d v="2022-04-11T00:00:00"/>
    <x v="362"/>
    <n v="8629"/>
    <n v="6537"/>
    <n v="2092"/>
    <x v="0"/>
    <n v="16"/>
    <x v="1"/>
    <d v="2023-08-19T00:00:00"/>
    <n v="0"/>
    <n v="1545"/>
    <n v="0.24"/>
    <s v="Normal"/>
    <n v="2023"/>
    <s v="August"/>
  </r>
  <r>
    <n v="2617"/>
    <n v="432"/>
    <x v="1"/>
    <x v="2"/>
    <x v="2"/>
    <d v="2022-09-14T00:00:00"/>
    <x v="12"/>
    <n v="4659"/>
    <n v="2645"/>
    <n v="2014"/>
    <x v="1"/>
    <n v="8"/>
    <x v="1"/>
    <d v="2023-05-31T00:00:00"/>
    <n v="0"/>
    <n v="1546"/>
    <n v="0.43"/>
    <s v="Normal"/>
    <n v="2023"/>
    <s v="May"/>
  </r>
  <r>
    <n v="2618"/>
    <n v="180"/>
    <x v="2"/>
    <x v="2"/>
    <x v="0"/>
    <d v="2022-04-08T00:00:00"/>
    <x v="288"/>
    <n v="825"/>
    <n v="791"/>
    <n v="34"/>
    <x v="1"/>
    <n v="11"/>
    <x v="1"/>
    <d v="2023-03-31T00:00:00"/>
    <n v="0"/>
    <n v="1547"/>
    <n v="0.04"/>
    <s v="Normal"/>
    <n v="2023"/>
    <s v="March"/>
  </r>
  <r>
    <n v="2619"/>
    <n v="465"/>
    <x v="4"/>
    <x v="2"/>
    <x v="2"/>
    <d v="2022-12-03T00:00:00"/>
    <x v="69"/>
    <n v="5581"/>
    <n v="4651"/>
    <n v="930"/>
    <x v="1"/>
    <n v="7"/>
    <x v="1"/>
    <d v="2023-07-18T00:00:00"/>
    <n v="0"/>
    <n v="1548"/>
    <n v="0.17"/>
    <s v="Normal"/>
    <n v="2023"/>
    <s v="July"/>
  </r>
  <r>
    <n v="2620"/>
    <n v="186"/>
    <x v="1"/>
    <x v="2"/>
    <x v="1"/>
    <d v="2022-03-25T00:00:00"/>
    <x v="567"/>
    <n v="4967.93"/>
    <n v="4075"/>
    <n v="-4612"/>
    <x v="1"/>
    <n v="9"/>
    <x v="1"/>
    <d v="2023-01-08T00:00:00"/>
    <n v="1"/>
    <n v="1549"/>
    <n v="-0.93"/>
    <s v="Normal"/>
    <n v="2023"/>
    <s v="January"/>
  </r>
  <r>
    <n v="2621"/>
    <n v="247"/>
    <x v="0"/>
    <x v="3"/>
    <x v="2"/>
    <d v="2022-07-22T00:00:00"/>
    <x v="472"/>
    <n v="4760"/>
    <n v="6608"/>
    <n v="-1848"/>
    <x v="2"/>
    <n v="15"/>
    <x v="1"/>
    <d v="2023-10-27T00:00:00"/>
    <n v="1"/>
    <n v="1550"/>
    <n v="-0.39"/>
    <s v="Normal"/>
    <n v="2023"/>
    <s v="October"/>
  </r>
  <r>
    <n v="2622"/>
    <n v="484"/>
    <x v="3"/>
    <x v="2"/>
    <x v="0"/>
    <d v="2022-12-18T00:00:00"/>
    <x v="668"/>
    <n v="4443"/>
    <n v="7108"/>
    <n v="-2665"/>
    <x v="1"/>
    <n v="13"/>
    <x v="1"/>
    <d v="2024-02-04T00:00:00"/>
    <n v="0"/>
    <n v="1551"/>
    <n v="-0.6"/>
    <s v="Normal"/>
    <n v="2024"/>
    <s v="February"/>
  </r>
  <r>
    <n v="2623"/>
    <n v="151"/>
    <x v="4"/>
    <x v="0"/>
    <x v="1"/>
    <d v="2022-06-24T00:00:00"/>
    <x v="237"/>
    <n v="2682"/>
    <n v="5092"/>
    <n v="-2410"/>
    <x v="1"/>
    <n v="16"/>
    <x v="1"/>
    <d v="2023-11-08T00:00:00"/>
    <n v="0"/>
    <n v="1552"/>
    <n v="-0.9"/>
    <s v="Normal"/>
    <n v="2023"/>
    <s v="November"/>
  </r>
  <r>
    <n v="2624"/>
    <n v="297"/>
    <x v="2"/>
    <x v="0"/>
    <x v="0"/>
    <d v="2022-12-24T00:00:00"/>
    <x v="269"/>
    <n v="9391"/>
    <n v="4012.75"/>
    <n v="9779"/>
    <x v="1"/>
    <n v="7"/>
    <x v="1"/>
    <d v="2023-08-02T00:00:00"/>
    <n v="1"/>
    <n v="1553"/>
    <n v="1.04"/>
    <s v="Outlier"/>
    <n v="2023"/>
    <s v="August"/>
  </r>
  <r>
    <n v="2625"/>
    <n v="215"/>
    <x v="3"/>
    <x v="3"/>
    <x v="2"/>
    <d v="2022-04-08T00:00:00"/>
    <x v="630"/>
    <n v="1614"/>
    <n v="5788"/>
    <n v="-4174"/>
    <x v="1"/>
    <n v="8"/>
    <x v="1"/>
    <d v="2022-12-22T00:00:00"/>
    <n v="0"/>
    <n v="1554"/>
    <n v="-2.59"/>
    <s v="Outlier"/>
    <n v="2022"/>
    <s v="December"/>
  </r>
  <r>
    <n v="2628"/>
    <n v="343"/>
    <x v="0"/>
    <x v="2"/>
    <x v="0"/>
    <d v="2022-03-13T00:00:00"/>
    <x v="94"/>
    <n v="322"/>
    <n v="724"/>
    <n v="-402"/>
    <x v="1"/>
    <n v="15"/>
    <x v="1"/>
    <d v="2023-06-13T00:00:00"/>
    <n v="1"/>
    <n v="1555"/>
    <n v="-1.25"/>
    <s v="Outlier"/>
    <n v="2023"/>
    <s v="June"/>
  </r>
  <r>
    <n v="2629"/>
    <n v="427"/>
    <x v="2"/>
    <x v="0"/>
    <x v="2"/>
    <d v="2022-04-20T00:00:00"/>
    <x v="669"/>
    <n v="4264"/>
    <n v="4012.75"/>
    <n v="5158"/>
    <x v="0"/>
    <n v="5"/>
    <x v="0"/>
    <d v="2022-10-16T00:00:00"/>
    <n v="0"/>
    <n v="1556"/>
    <n v="1.21"/>
    <s v="Outlier"/>
    <n v="2022"/>
    <s v="October"/>
  </r>
  <r>
    <n v="2630"/>
    <n v="384"/>
    <x v="3"/>
    <x v="1"/>
    <x v="0"/>
    <d v="2022-04-20T00:00:00"/>
    <x v="141"/>
    <n v="7081"/>
    <n v="3896"/>
    <n v="3185"/>
    <x v="2"/>
    <n v="3"/>
    <x v="0"/>
    <d v="2022-08-03T00:00:00"/>
    <n v="0"/>
    <n v="1557"/>
    <n v="0.45"/>
    <s v="Normal"/>
    <n v="2022"/>
    <s v="August"/>
  </r>
  <r>
    <n v="2631"/>
    <n v="131"/>
    <x v="3"/>
    <x v="2"/>
    <x v="0"/>
    <d v="2022-05-28T00:00:00"/>
    <x v="397"/>
    <n v="4967.93"/>
    <n v="5498"/>
    <n v="-5505"/>
    <x v="1"/>
    <n v="17"/>
    <x v="1"/>
    <d v="2023-11-20T00:00:00"/>
    <n v="1"/>
    <n v="1558"/>
    <n v="-1.1100000000000001"/>
    <s v="Outlier"/>
    <n v="2023"/>
    <s v="November"/>
  </r>
  <r>
    <n v="2632"/>
    <n v="168"/>
    <x v="4"/>
    <x v="1"/>
    <x v="1"/>
    <d v="2022-10-08T00:00:00"/>
    <x v="670"/>
    <n v="4967.93"/>
    <n v="4400"/>
    <n v="577.01"/>
    <x v="2"/>
    <n v="17"/>
    <x v="1"/>
    <d v="2024-04-07T00:00:00"/>
    <n v="0"/>
    <n v="1559"/>
    <n v="0.12"/>
    <s v="Normal"/>
    <n v="2024"/>
    <s v="April"/>
  </r>
  <r>
    <n v="2633"/>
    <n v="419"/>
    <x v="4"/>
    <x v="1"/>
    <x v="2"/>
    <d v="2022-08-16T00:00:00"/>
    <x v="530"/>
    <n v="9026"/>
    <n v="7060"/>
    <n v="1966"/>
    <x v="1"/>
    <n v="18"/>
    <x v="1"/>
    <d v="2024-03-11T00:00:00"/>
    <n v="0"/>
    <n v="1560"/>
    <n v="0.22"/>
    <s v="Normal"/>
    <n v="2024"/>
    <s v="March"/>
  </r>
  <r>
    <n v="2634"/>
    <n v="228"/>
    <x v="2"/>
    <x v="2"/>
    <x v="2"/>
    <d v="2022-12-12T00:00:00"/>
    <x v="571"/>
    <n v="401"/>
    <n v="7846"/>
    <n v="-7445"/>
    <x v="1"/>
    <n v="9"/>
    <x v="1"/>
    <d v="2023-09-18T00:00:00"/>
    <n v="1"/>
    <n v="1561"/>
    <n v="-18.57"/>
    <s v="Outlier"/>
    <n v="2023"/>
    <s v="September"/>
  </r>
  <r>
    <n v="2635"/>
    <n v="114"/>
    <x v="0"/>
    <x v="0"/>
    <x v="1"/>
    <d v="2022-09-07T00:00:00"/>
    <x v="198"/>
    <n v="1034"/>
    <n v="89"/>
    <n v="945"/>
    <x v="1"/>
    <n v="4"/>
    <x v="0"/>
    <d v="2023-01-18T00:00:00"/>
    <n v="1"/>
    <n v="1562"/>
    <n v="0.91"/>
    <s v="Normal"/>
    <n v="2023"/>
    <s v="January"/>
  </r>
  <r>
    <n v="2636"/>
    <n v="136"/>
    <x v="0"/>
    <x v="1"/>
    <x v="0"/>
    <d v="2022-10-02T00:00:00"/>
    <x v="96"/>
    <n v="1527"/>
    <n v="4012.75"/>
    <n v="2202"/>
    <x v="0"/>
    <n v="15"/>
    <x v="1"/>
    <d v="2024-01-26T00:00:00"/>
    <n v="0"/>
    <n v="1563"/>
    <n v="1.44"/>
    <s v="Outlier"/>
    <n v="2024"/>
    <s v="January"/>
  </r>
  <r>
    <n v="2637"/>
    <n v="394"/>
    <x v="0"/>
    <x v="0"/>
    <x v="2"/>
    <d v="2022-04-18T00:00:00"/>
    <x v="173"/>
    <n v="9155"/>
    <n v="4012.75"/>
    <n v="9197"/>
    <x v="1"/>
    <n v="8"/>
    <x v="1"/>
    <d v="2023-01-04T00:00:00"/>
    <n v="1"/>
    <n v="1564"/>
    <n v="1"/>
    <s v="Outlier"/>
    <n v="2023"/>
    <s v="January"/>
  </r>
  <r>
    <n v="2638"/>
    <n v="193"/>
    <x v="4"/>
    <x v="1"/>
    <x v="0"/>
    <d v="2022-06-13T00:00:00"/>
    <x v="330"/>
    <n v="4496"/>
    <n v="5509"/>
    <n v="-1013"/>
    <x v="0"/>
    <n v="4"/>
    <x v="0"/>
    <d v="2022-10-29T00:00:00"/>
    <n v="1"/>
    <n v="1565"/>
    <n v="-0.23"/>
    <s v="Normal"/>
    <n v="2022"/>
    <s v="October"/>
  </r>
  <r>
    <n v="2639"/>
    <n v="432"/>
    <x v="2"/>
    <x v="1"/>
    <x v="2"/>
    <d v="2022-07-04T00:00:00"/>
    <x v="465"/>
    <n v="3801"/>
    <n v="5506"/>
    <n v="-1705"/>
    <x v="2"/>
    <n v="6"/>
    <x v="2"/>
    <d v="2023-01-19T00:00:00"/>
    <n v="1"/>
    <n v="1566"/>
    <n v="-0.45"/>
    <s v="Normal"/>
    <n v="2023"/>
    <s v="January"/>
  </r>
  <r>
    <n v="2640"/>
    <n v="100"/>
    <x v="1"/>
    <x v="2"/>
    <x v="1"/>
    <d v="2022-07-01T00:00:00"/>
    <x v="493"/>
    <n v="2138"/>
    <n v="3536"/>
    <n v="-1398"/>
    <x v="2"/>
    <n v="7"/>
    <x v="1"/>
    <d v="2023-02-16T00:00:00"/>
    <n v="1"/>
    <n v="1567"/>
    <n v="-0.65"/>
    <s v="Normal"/>
    <n v="2023"/>
    <s v="February"/>
  </r>
  <r>
    <n v="2641"/>
    <n v="163"/>
    <x v="3"/>
    <x v="0"/>
    <x v="1"/>
    <d v="2022-06-05T00:00:00"/>
    <x v="209"/>
    <n v="3673"/>
    <n v="4012.75"/>
    <n v="4348"/>
    <x v="2"/>
    <n v="11"/>
    <x v="1"/>
    <d v="2023-05-23T00:00:00"/>
    <n v="0"/>
    <n v="1568"/>
    <n v="1.18"/>
    <s v="Outlier"/>
    <n v="2023"/>
    <s v="May"/>
  </r>
  <r>
    <n v="2643"/>
    <n v="493"/>
    <x v="0"/>
    <x v="1"/>
    <x v="1"/>
    <d v="2022-05-31T00:00:00"/>
    <x v="671"/>
    <n v="5549"/>
    <n v="4012.75"/>
    <n v="577.01"/>
    <x v="1"/>
    <n v="1"/>
    <x v="0"/>
    <d v="2022-07-05T00:00:00"/>
    <n v="1"/>
    <n v="1569"/>
    <n v="0.1"/>
    <s v="Normal"/>
    <n v="2022"/>
    <s v="July"/>
  </r>
  <r>
    <n v="2645"/>
    <n v="295"/>
    <x v="1"/>
    <x v="0"/>
    <x v="1"/>
    <d v="2022-08-16T00:00:00"/>
    <x v="665"/>
    <n v="4668"/>
    <n v="4423"/>
    <n v="245"/>
    <x v="1"/>
    <n v="17"/>
    <x v="1"/>
    <d v="2024-01-21T00:00:00"/>
    <n v="1"/>
    <n v="1570"/>
    <n v="0.05"/>
    <s v="Normal"/>
    <n v="2024"/>
    <s v="January"/>
  </r>
  <r>
    <n v="2647"/>
    <n v="273"/>
    <x v="1"/>
    <x v="1"/>
    <x v="2"/>
    <d v="2022-11-03T00:00:00"/>
    <x v="95"/>
    <n v="5439"/>
    <n v="5406"/>
    <n v="33"/>
    <x v="1"/>
    <n v="11"/>
    <x v="1"/>
    <d v="2023-10-12T00:00:00"/>
    <n v="1"/>
    <n v="1571"/>
    <n v="0.01"/>
    <s v="Normal"/>
    <n v="2023"/>
    <s v="October"/>
  </r>
  <r>
    <n v="2648"/>
    <n v="392"/>
    <x v="0"/>
    <x v="1"/>
    <x v="0"/>
    <d v="2022-09-15T00:00:00"/>
    <x v="220"/>
    <n v="1854"/>
    <n v="6144"/>
    <n v="-4290"/>
    <x v="0"/>
    <n v="6"/>
    <x v="2"/>
    <d v="2023-03-29T00:00:00"/>
    <n v="0"/>
    <n v="1572"/>
    <n v="-2.31"/>
    <s v="Outlier"/>
    <n v="2023"/>
    <s v="March"/>
  </r>
  <r>
    <n v="2650"/>
    <n v="260"/>
    <x v="3"/>
    <x v="1"/>
    <x v="1"/>
    <d v="2022-03-07T00:00:00"/>
    <x v="630"/>
    <n v="3499"/>
    <n v="1605"/>
    <n v="1894"/>
    <x v="1"/>
    <n v="9"/>
    <x v="1"/>
    <d v="2022-12-22T00:00:00"/>
    <n v="0"/>
    <n v="1573"/>
    <n v="0.54"/>
    <s v="Normal"/>
    <n v="2022"/>
    <s v="December"/>
  </r>
  <r>
    <n v="2651"/>
    <n v="464"/>
    <x v="2"/>
    <x v="2"/>
    <x v="1"/>
    <d v="2022-07-02T00:00:00"/>
    <x v="656"/>
    <n v="2463"/>
    <n v="3430"/>
    <n v="-967"/>
    <x v="1"/>
    <n v="5"/>
    <x v="0"/>
    <d v="2022-12-12T00:00:00"/>
    <n v="0"/>
    <n v="1574"/>
    <n v="-0.39"/>
    <s v="Normal"/>
    <n v="2022"/>
    <s v="December"/>
  </r>
  <r>
    <n v="2656"/>
    <n v="403"/>
    <x v="0"/>
    <x v="0"/>
    <x v="2"/>
    <d v="2022-05-12T00:00:00"/>
    <x v="389"/>
    <n v="9341"/>
    <n v="915"/>
    <n v="8426"/>
    <x v="2"/>
    <n v="8"/>
    <x v="1"/>
    <d v="2023-01-28T00:00:00"/>
    <n v="1"/>
    <n v="1575"/>
    <n v="0.9"/>
    <s v="Normal"/>
    <n v="2023"/>
    <s v="January"/>
  </r>
  <r>
    <n v="2657"/>
    <n v="293"/>
    <x v="1"/>
    <x v="3"/>
    <x v="1"/>
    <d v="2022-03-18T00:00:00"/>
    <x v="446"/>
    <n v="9755"/>
    <n v="2176"/>
    <n v="7579"/>
    <x v="0"/>
    <n v="10"/>
    <x v="1"/>
    <d v="2023-02-13T00:00:00"/>
    <n v="1"/>
    <n v="1576"/>
    <n v="0.78"/>
    <s v="Normal"/>
    <n v="2023"/>
    <s v="February"/>
  </r>
  <r>
    <n v="2658"/>
    <n v="295"/>
    <x v="1"/>
    <x v="2"/>
    <x v="0"/>
    <d v="2022-12-28T00:00:00"/>
    <x v="6"/>
    <n v="114"/>
    <n v="4335"/>
    <n v="-4221"/>
    <x v="0"/>
    <n v="7"/>
    <x v="1"/>
    <d v="2023-08-06T00:00:00"/>
    <n v="0"/>
    <n v="1577"/>
    <n v="-37.03"/>
    <s v="Outlier"/>
    <n v="2023"/>
    <s v="August"/>
  </r>
  <r>
    <n v="2659"/>
    <n v="325"/>
    <x v="1"/>
    <x v="0"/>
    <x v="1"/>
    <d v="2022-02-16T00:00:00"/>
    <x v="1"/>
    <n v="392"/>
    <n v="2382"/>
    <n v="-1990"/>
    <x v="0"/>
    <n v="3"/>
    <x v="0"/>
    <d v="2022-05-18T00:00:00"/>
    <n v="1"/>
    <n v="1578"/>
    <n v="-5.08"/>
    <s v="Outlier"/>
    <n v="2022"/>
    <s v="May"/>
  </r>
  <r>
    <n v="2661"/>
    <n v="358"/>
    <x v="4"/>
    <x v="2"/>
    <x v="1"/>
    <d v="2022-03-12T00:00:00"/>
    <x v="672"/>
    <n v="6726"/>
    <n v="632"/>
    <n v="6094"/>
    <x v="0"/>
    <n v="5"/>
    <x v="0"/>
    <d v="2022-08-25T00:00:00"/>
    <n v="0"/>
    <n v="1579"/>
    <n v="0.91"/>
    <s v="Normal"/>
    <n v="2022"/>
    <s v="August"/>
  </r>
  <r>
    <n v="2662"/>
    <n v="228"/>
    <x v="1"/>
    <x v="1"/>
    <x v="2"/>
    <d v="2022-12-10T00:00:00"/>
    <x v="605"/>
    <n v="2747"/>
    <n v="224"/>
    <n v="2523"/>
    <x v="2"/>
    <n v="10"/>
    <x v="1"/>
    <d v="2023-10-29T00:00:00"/>
    <n v="1"/>
    <n v="1580"/>
    <n v="0.92"/>
    <s v="Normal"/>
    <n v="2023"/>
    <s v="October"/>
  </r>
  <r>
    <n v="2663"/>
    <n v="149"/>
    <x v="4"/>
    <x v="2"/>
    <x v="0"/>
    <d v="2022-08-04T00:00:00"/>
    <x v="10"/>
    <n v="1105"/>
    <n v="2053"/>
    <n v="-948"/>
    <x v="1"/>
    <n v="12"/>
    <x v="1"/>
    <d v="2023-08-29T00:00:00"/>
    <n v="0"/>
    <n v="1581"/>
    <n v="-0.86"/>
    <s v="Normal"/>
    <n v="2023"/>
    <s v="August"/>
  </r>
  <r>
    <n v="2665"/>
    <n v="475"/>
    <x v="1"/>
    <x v="2"/>
    <x v="2"/>
    <d v="2022-11-11T00:00:00"/>
    <x v="493"/>
    <n v="4967.93"/>
    <n v="1927"/>
    <n v="-2212"/>
    <x v="1"/>
    <n v="3"/>
    <x v="0"/>
    <d v="2023-02-16T00:00:00"/>
    <n v="0"/>
    <n v="1582"/>
    <n v="-0.45"/>
    <s v="Normal"/>
    <n v="2023"/>
    <s v="February"/>
  </r>
  <r>
    <n v="2666"/>
    <n v="464"/>
    <x v="4"/>
    <x v="0"/>
    <x v="1"/>
    <d v="2022-02-22T00:00:00"/>
    <x v="209"/>
    <n v="47"/>
    <n v="5458"/>
    <n v="-5411"/>
    <x v="1"/>
    <n v="15"/>
    <x v="1"/>
    <d v="2023-05-23T00:00:00"/>
    <n v="1"/>
    <n v="1583"/>
    <n v="-115.13"/>
    <s v="Outlier"/>
    <n v="2023"/>
    <s v="May"/>
  </r>
  <r>
    <n v="2668"/>
    <n v="330"/>
    <x v="1"/>
    <x v="3"/>
    <x v="2"/>
    <d v="2022-04-22T00:00:00"/>
    <x v="673"/>
    <n v="7803"/>
    <n v="3316"/>
    <n v="4487"/>
    <x v="0"/>
    <n v="17"/>
    <x v="1"/>
    <d v="2023-10-14T00:00:00"/>
    <n v="0"/>
    <n v="1584"/>
    <n v="0.57999999999999996"/>
    <s v="Normal"/>
    <n v="2023"/>
    <s v="October"/>
  </r>
  <r>
    <n v="2673"/>
    <n v="432"/>
    <x v="4"/>
    <x v="0"/>
    <x v="0"/>
    <d v="2022-01-29T00:00:00"/>
    <x v="93"/>
    <n v="3157"/>
    <n v="3310"/>
    <n v="-153"/>
    <x v="2"/>
    <n v="8"/>
    <x v="1"/>
    <d v="2022-10-06T00:00:00"/>
    <n v="1"/>
    <n v="1585"/>
    <n v="-0.05"/>
    <s v="Normal"/>
    <n v="2022"/>
    <s v="October"/>
  </r>
  <r>
    <n v="2674"/>
    <n v="167"/>
    <x v="0"/>
    <x v="3"/>
    <x v="1"/>
    <d v="2022-08-19T00:00:00"/>
    <x v="331"/>
    <n v="6857"/>
    <n v="5854"/>
    <n v="1003"/>
    <x v="2"/>
    <n v="17"/>
    <x v="1"/>
    <d v="2024-01-31T00:00:00"/>
    <n v="0"/>
    <n v="1586"/>
    <n v="0.15"/>
    <s v="Normal"/>
    <n v="2024"/>
    <s v="January"/>
  </r>
  <r>
    <n v="2675"/>
    <n v="145"/>
    <x v="3"/>
    <x v="1"/>
    <x v="0"/>
    <d v="2022-12-04T00:00:00"/>
    <x v="68"/>
    <n v="9901"/>
    <n v="573"/>
    <n v="9328"/>
    <x v="2"/>
    <n v="9"/>
    <x v="1"/>
    <d v="2023-09-10T00:00:00"/>
    <n v="0"/>
    <n v="1587"/>
    <n v="0.94"/>
    <s v="Normal"/>
    <n v="2023"/>
    <s v="September"/>
  </r>
  <r>
    <n v="2676"/>
    <n v="272"/>
    <x v="0"/>
    <x v="0"/>
    <x v="0"/>
    <d v="2022-12-12T00:00:00"/>
    <x v="581"/>
    <n v="9212"/>
    <n v="4012.75"/>
    <n v="9854"/>
    <x v="2"/>
    <n v="7"/>
    <x v="1"/>
    <d v="2023-07-27T00:00:00"/>
    <n v="0"/>
    <n v="1588"/>
    <n v="1.07"/>
    <s v="Outlier"/>
    <n v="2023"/>
    <s v="July"/>
  </r>
  <r>
    <n v="2677"/>
    <n v="331"/>
    <x v="0"/>
    <x v="2"/>
    <x v="2"/>
    <d v="2022-05-01T00:00:00"/>
    <x v="248"/>
    <n v="6395"/>
    <n v="227"/>
    <n v="6168"/>
    <x v="1"/>
    <n v="18"/>
    <x v="1"/>
    <d v="2023-11-23T00:00:00"/>
    <n v="0"/>
    <n v="1589"/>
    <n v="0.96"/>
    <s v="Normal"/>
    <n v="2023"/>
    <s v="November"/>
  </r>
  <r>
    <n v="2679"/>
    <n v="280"/>
    <x v="3"/>
    <x v="3"/>
    <x v="2"/>
    <d v="2022-10-30T00:00:00"/>
    <x v="361"/>
    <n v="4967.93"/>
    <n v="3234"/>
    <n v="-4416"/>
    <x v="1"/>
    <n v="11"/>
    <x v="1"/>
    <d v="2023-10-20T00:00:00"/>
    <n v="0"/>
    <n v="1590"/>
    <n v="-0.89"/>
    <s v="Normal"/>
    <n v="2023"/>
    <s v="October"/>
  </r>
  <r>
    <n v="2680"/>
    <n v="373"/>
    <x v="3"/>
    <x v="1"/>
    <x v="2"/>
    <d v="2022-03-23T00:00:00"/>
    <x v="174"/>
    <n v="4020"/>
    <n v="6635"/>
    <n v="-2615"/>
    <x v="0"/>
    <n v="7"/>
    <x v="1"/>
    <d v="2022-11-19T00:00:00"/>
    <n v="1"/>
    <n v="1591"/>
    <n v="-0.65"/>
    <s v="Normal"/>
    <n v="2022"/>
    <s v="November"/>
  </r>
  <r>
    <n v="2683"/>
    <n v="132"/>
    <x v="2"/>
    <x v="0"/>
    <x v="1"/>
    <d v="2022-09-04T00:00:00"/>
    <x v="251"/>
    <n v="3627"/>
    <n v="988"/>
    <n v="2639"/>
    <x v="2"/>
    <n v="1"/>
    <x v="0"/>
    <d v="2022-10-09T00:00:00"/>
    <n v="1"/>
    <n v="1592"/>
    <n v="0.73"/>
    <s v="Normal"/>
    <n v="2022"/>
    <s v="October"/>
  </r>
  <r>
    <n v="2684"/>
    <n v="174"/>
    <x v="0"/>
    <x v="0"/>
    <x v="1"/>
    <d v="2022-12-13T00:00:00"/>
    <x v="177"/>
    <n v="6863"/>
    <n v="6855"/>
    <n v="8"/>
    <x v="1"/>
    <n v="7"/>
    <x v="1"/>
    <d v="2023-07-20T00:00:00"/>
    <n v="1"/>
    <n v="1593"/>
    <n v="0"/>
    <s v="Normal"/>
    <n v="2023"/>
    <s v="July"/>
  </r>
  <r>
    <n v="2686"/>
    <n v="414"/>
    <x v="3"/>
    <x v="0"/>
    <x v="2"/>
    <d v="2022-03-22T00:00:00"/>
    <x v="37"/>
    <n v="8416"/>
    <n v="7148"/>
    <n v="577.01"/>
    <x v="2"/>
    <n v="5"/>
    <x v="0"/>
    <d v="2022-09-05T00:00:00"/>
    <n v="0"/>
    <n v="1594"/>
    <n v="7.0000000000000007E-2"/>
    <s v="Normal"/>
    <n v="2022"/>
    <s v="September"/>
  </r>
  <r>
    <n v="2687"/>
    <n v="220"/>
    <x v="0"/>
    <x v="1"/>
    <x v="0"/>
    <d v="2022-10-20T00:00:00"/>
    <x v="80"/>
    <n v="466"/>
    <n v="7390"/>
    <n v="-6924"/>
    <x v="1"/>
    <n v="2"/>
    <x v="0"/>
    <d v="2023-01-12T00:00:00"/>
    <n v="0"/>
    <n v="1595"/>
    <n v="-14.86"/>
    <s v="Outlier"/>
    <n v="2023"/>
    <s v="January"/>
  </r>
  <r>
    <n v="2689"/>
    <n v="168"/>
    <x v="1"/>
    <x v="1"/>
    <x v="2"/>
    <d v="2022-12-26T00:00:00"/>
    <x v="674"/>
    <n v="974"/>
    <n v="3578"/>
    <n v="-2604"/>
    <x v="1"/>
    <n v="17"/>
    <x v="1"/>
    <d v="2024-06-24T00:00:00"/>
    <n v="0"/>
    <n v="1596"/>
    <n v="-2.67"/>
    <s v="Outlier"/>
    <n v="2024"/>
    <s v="June"/>
  </r>
  <r>
    <n v="2691"/>
    <n v="344"/>
    <x v="0"/>
    <x v="0"/>
    <x v="2"/>
    <d v="2022-09-25T00:00:00"/>
    <x v="212"/>
    <n v="2616"/>
    <n v="4012.75"/>
    <n v="3518"/>
    <x v="0"/>
    <n v="2"/>
    <x v="0"/>
    <d v="2022-12-07T00:00:00"/>
    <n v="0"/>
    <n v="1597"/>
    <n v="1.34"/>
    <s v="Outlier"/>
    <n v="2022"/>
    <s v="December"/>
  </r>
  <r>
    <n v="2694"/>
    <n v="149"/>
    <x v="3"/>
    <x v="3"/>
    <x v="1"/>
    <d v="2022-09-15T00:00:00"/>
    <x v="592"/>
    <n v="4385"/>
    <n v="4012.75"/>
    <n v="4877"/>
    <x v="0"/>
    <n v="14"/>
    <x v="1"/>
    <d v="2023-11-15T00:00:00"/>
    <n v="0"/>
    <n v="1598"/>
    <n v="1.1100000000000001"/>
    <s v="Outlier"/>
    <n v="2023"/>
    <s v="November"/>
  </r>
  <r>
    <n v="2695"/>
    <n v="409"/>
    <x v="1"/>
    <x v="1"/>
    <x v="0"/>
    <d v="2022-07-26T00:00:00"/>
    <x v="675"/>
    <n v="4967.93"/>
    <n v="390"/>
    <n v="-1741"/>
    <x v="1"/>
    <n v="15"/>
    <x v="1"/>
    <d v="2023-10-31T00:00:00"/>
    <n v="0"/>
    <n v="1599"/>
    <n v="-0.35"/>
    <s v="Normal"/>
    <n v="2023"/>
    <s v="October"/>
  </r>
  <r>
    <n v="2696"/>
    <n v="453"/>
    <x v="0"/>
    <x v="2"/>
    <x v="0"/>
    <d v="2022-05-11T00:00:00"/>
    <x v="315"/>
    <n v="9460"/>
    <n v="2975"/>
    <n v="6485"/>
    <x v="2"/>
    <n v="14"/>
    <x v="1"/>
    <d v="2023-07-13T00:00:00"/>
    <n v="1"/>
    <n v="1600"/>
    <n v="0.69"/>
    <s v="Normal"/>
    <n v="2023"/>
    <s v="July"/>
  </r>
  <r>
    <n v="2698"/>
    <n v="199"/>
    <x v="1"/>
    <x v="3"/>
    <x v="2"/>
    <d v="2022-10-17T00:00:00"/>
    <x v="192"/>
    <n v="3858"/>
    <n v="6149"/>
    <n v="-2291"/>
    <x v="2"/>
    <n v="2"/>
    <x v="0"/>
    <d v="2023-01-06T00:00:00"/>
    <n v="1"/>
    <n v="1601"/>
    <n v="-0.59"/>
    <s v="Normal"/>
    <n v="2023"/>
    <s v="January"/>
  </r>
  <r>
    <n v="2700"/>
    <n v="413"/>
    <x v="3"/>
    <x v="1"/>
    <x v="0"/>
    <d v="2022-02-13T00:00:00"/>
    <x v="156"/>
    <n v="5935"/>
    <n v="4872"/>
    <n v="1063"/>
    <x v="1"/>
    <n v="12"/>
    <x v="1"/>
    <d v="2023-02-24T00:00:00"/>
    <n v="0"/>
    <n v="1602"/>
    <n v="0.18"/>
    <s v="Normal"/>
    <n v="2023"/>
    <s v="February"/>
  </r>
  <r>
    <n v="2701"/>
    <n v="114"/>
    <x v="4"/>
    <x v="3"/>
    <x v="1"/>
    <d v="2022-02-13T00:00:00"/>
    <x v="537"/>
    <n v="8396"/>
    <n v="2983"/>
    <n v="5413"/>
    <x v="0"/>
    <n v="17"/>
    <x v="1"/>
    <d v="2023-07-28T00:00:00"/>
    <n v="1"/>
    <n v="1603"/>
    <n v="0.64"/>
    <s v="Normal"/>
    <n v="2023"/>
    <s v="July"/>
  </r>
  <r>
    <n v="2702"/>
    <n v="471"/>
    <x v="1"/>
    <x v="0"/>
    <x v="2"/>
    <d v="2022-05-18T00:00:00"/>
    <x v="450"/>
    <n v="6033"/>
    <n v="541"/>
    <n v="5492"/>
    <x v="2"/>
    <n v="10"/>
    <x v="1"/>
    <d v="2023-03-26T00:00:00"/>
    <n v="1"/>
    <n v="1604"/>
    <n v="0.91"/>
    <s v="Normal"/>
    <n v="2023"/>
    <s v="March"/>
  </r>
  <r>
    <n v="2703"/>
    <n v="404"/>
    <x v="3"/>
    <x v="2"/>
    <x v="2"/>
    <d v="2022-07-07T00:00:00"/>
    <x v="366"/>
    <n v="9648"/>
    <n v="6519"/>
    <n v="3129"/>
    <x v="2"/>
    <n v="14"/>
    <x v="1"/>
    <d v="2023-09-23T00:00:00"/>
    <n v="1"/>
    <n v="1605"/>
    <n v="0.32"/>
    <s v="Normal"/>
    <n v="2023"/>
    <s v="September"/>
  </r>
  <r>
    <n v="2704"/>
    <n v="176"/>
    <x v="1"/>
    <x v="0"/>
    <x v="0"/>
    <d v="2022-05-25T00:00:00"/>
    <x v="474"/>
    <n v="1720"/>
    <n v="4012.75"/>
    <n v="2681"/>
    <x v="1"/>
    <n v="9"/>
    <x v="1"/>
    <d v="2023-03-14T00:00:00"/>
    <n v="0"/>
    <n v="1606"/>
    <n v="1.56"/>
    <s v="Outlier"/>
    <n v="2023"/>
    <s v="March"/>
  </r>
  <r>
    <n v="2706"/>
    <n v="100"/>
    <x v="4"/>
    <x v="1"/>
    <x v="1"/>
    <d v="2022-08-03T00:00:00"/>
    <x v="676"/>
    <n v="1082"/>
    <n v="107"/>
    <n v="975"/>
    <x v="1"/>
    <n v="1"/>
    <x v="0"/>
    <d v="2022-09-27T00:00:00"/>
    <n v="1"/>
    <n v="1607"/>
    <n v="0.9"/>
    <s v="Normal"/>
    <n v="2022"/>
    <s v="September"/>
  </r>
  <r>
    <n v="2707"/>
    <n v="218"/>
    <x v="0"/>
    <x v="0"/>
    <x v="0"/>
    <d v="2022-12-18T00:00:00"/>
    <x v="302"/>
    <n v="4967.93"/>
    <n v="6612"/>
    <n v="-6900"/>
    <x v="1"/>
    <n v="14"/>
    <x v="1"/>
    <d v="2024-03-12T00:00:00"/>
    <n v="0"/>
    <n v="1608"/>
    <n v="-1.39"/>
    <s v="Outlier"/>
    <n v="2024"/>
    <s v="March"/>
  </r>
  <r>
    <n v="2709"/>
    <n v="454"/>
    <x v="1"/>
    <x v="3"/>
    <x v="0"/>
    <d v="2022-11-25T00:00:00"/>
    <x v="664"/>
    <n v="6514"/>
    <n v="2106"/>
    <n v="4408"/>
    <x v="1"/>
    <n v="19"/>
    <x v="1"/>
    <d v="2024-06-27T00:00:00"/>
    <n v="1"/>
    <n v="1609"/>
    <n v="0.68"/>
    <s v="Normal"/>
    <n v="2024"/>
    <s v="June"/>
  </r>
  <r>
    <n v="2710"/>
    <n v="410"/>
    <x v="1"/>
    <x v="2"/>
    <x v="0"/>
    <d v="2022-06-21T00:00:00"/>
    <x v="9"/>
    <n v="4021"/>
    <n v="2880"/>
    <n v="1141"/>
    <x v="1"/>
    <n v="15"/>
    <x v="1"/>
    <d v="2023-10-15T00:00:00"/>
    <n v="1"/>
    <n v="1610"/>
    <n v="0.28000000000000003"/>
    <s v="Normal"/>
    <n v="2023"/>
    <s v="October"/>
  </r>
  <r>
    <n v="2711"/>
    <n v="297"/>
    <x v="0"/>
    <x v="1"/>
    <x v="2"/>
    <d v="2022-04-18T00:00:00"/>
    <x v="499"/>
    <n v="4967.93"/>
    <n v="4235"/>
    <n v="-5424"/>
    <x v="1"/>
    <n v="6"/>
    <x v="2"/>
    <d v="2022-10-20T00:00:00"/>
    <n v="0"/>
    <n v="1611"/>
    <n v="-1.0900000000000001"/>
    <s v="Outlier"/>
    <n v="2022"/>
    <s v="October"/>
  </r>
  <r>
    <n v="2717"/>
    <n v="366"/>
    <x v="1"/>
    <x v="3"/>
    <x v="2"/>
    <d v="2022-07-25T00:00:00"/>
    <x v="402"/>
    <n v="652"/>
    <n v="5609"/>
    <n v="-4957"/>
    <x v="0"/>
    <n v="8"/>
    <x v="1"/>
    <d v="2023-04-07T00:00:00"/>
    <n v="0"/>
    <n v="1612"/>
    <n v="-7.6"/>
    <s v="Outlier"/>
    <n v="2023"/>
    <s v="April"/>
  </r>
  <r>
    <n v="2718"/>
    <n v="207"/>
    <x v="2"/>
    <x v="0"/>
    <x v="0"/>
    <d v="2022-09-09T00:00:00"/>
    <x v="71"/>
    <n v="2376"/>
    <n v="6147"/>
    <n v="-3771"/>
    <x v="2"/>
    <n v="10"/>
    <x v="1"/>
    <d v="2023-07-31T00:00:00"/>
    <n v="0"/>
    <n v="1613"/>
    <n v="-1.59"/>
    <s v="Outlier"/>
    <n v="2023"/>
    <s v="July"/>
  </r>
  <r>
    <n v="2719"/>
    <n v="241"/>
    <x v="2"/>
    <x v="2"/>
    <x v="2"/>
    <d v="2022-11-29T00:00:00"/>
    <x v="573"/>
    <n v="6664"/>
    <n v="5965"/>
    <n v="699"/>
    <x v="2"/>
    <n v="13"/>
    <x v="1"/>
    <d v="2023-12-29T00:00:00"/>
    <n v="0"/>
    <n v="1614"/>
    <n v="0.1"/>
    <s v="Normal"/>
    <n v="2023"/>
    <s v="December"/>
  </r>
  <r>
    <n v="2720"/>
    <n v="456"/>
    <x v="3"/>
    <x v="3"/>
    <x v="0"/>
    <d v="2022-06-07T00:00:00"/>
    <x v="80"/>
    <n v="3515"/>
    <n v="4841"/>
    <n v="-1326"/>
    <x v="1"/>
    <n v="7"/>
    <x v="1"/>
    <d v="2023-01-12T00:00:00"/>
    <n v="0"/>
    <n v="1615"/>
    <n v="-0.38"/>
    <s v="Normal"/>
    <n v="2023"/>
    <s v="January"/>
  </r>
  <r>
    <n v="2722"/>
    <n v="159"/>
    <x v="3"/>
    <x v="0"/>
    <x v="0"/>
    <d v="2022-01-25T00:00:00"/>
    <x v="89"/>
    <n v="4650"/>
    <n v="4100"/>
    <n v="550"/>
    <x v="1"/>
    <n v="13"/>
    <x v="1"/>
    <d v="2023-03-12T00:00:00"/>
    <n v="1"/>
    <n v="1616"/>
    <n v="0.12"/>
    <s v="Normal"/>
    <n v="2023"/>
    <s v="March"/>
  </r>
  <r>
    <n v="2723"/>
    <n v="431"/>
    <x v="3"/>
    <x v="3"/>
    <x v="0"/>
    <d v="2022-10-10T00:00:00"/>
    <x v="510"/>
    <n v="6002"/>
    <n v="2198"/>
    <n v="3804"/>
    <x v="0"/>
    <n v="12"/>
    <x v="1"/>
    <d v="2023-10-11T00:00:00"/>
    <n v="0"/>
    <n v="1617"/>
    <n v="0.63"/>
    <s v="Normal"/>
    <n v="2023"/>
    <s v="October"/>
  </r>
  <r>
    <n v="2725"/>
    <n v="306"/>
    <x v="1"/>
    <x v="0"/>
    <x v="0"/>
    <d v="2022-01-22T00:00:00"/>
    <x v="454"/>
    <n v="1706"/>
    <n v="155"/>
    <n v="1551"/>
    <x v="2"/>
    <n v="19"/>
    <x v="1"/>
    <d v="2023-09-05T00:00:00"/>
    <n v="1"/>
    <n v="1618"/>
    <n v="0.91"/>
    <s v="Normal"/>
    <n v="2023"/>
    <s v="September"/>
  </r>
  <r>
    <n v="2726"/>
    <n v="224"/>
    <x v="2"/>
    <x v="0"/>
    <x v="1"/>
    <d v="2022-01-05T00:00:00"/>
    <x v="496"/>
    <n v="4638"/>
    <n v="2534"/>
    <n v="2104"/>
    <x v="1"/>
    <n v="7"/>
    <x v="1"/>
    <d v="2022-08-06T00:00:00"/>
    <n v="1"/>
    <n v="1619"/>
    <n v="0.45"/>
    <s v="Normal"/>
    <n v="2022"/>
    <s v="August"/>
  </r>
  <r>
    <n v="2727"/>
    <n v="312"/>
    <x v="2"/>
    <x v="2"/>
    <x v="1"/>
    <d v="2022-12-21T00:00:00"/>
    <x v="677"/>
    <n v="7976"/>
    <n v="7249"/>
    <n v="727"/>
    <x v="0"/>
    <n v="9"/>
    <x v="1"/>
    <d v="2023-09-30T00:00:00"/>
    <n v="0"/>
    <n v="1620"/>
    <n v="0.09"/>
    <s v="Normal"/>
    <n v="2023"/>
    <s v="September"/>
  </r>
  <r>
    <n v="2728"/>
    <n v="467"/>
    <x v="0"/>
    <x v="2"/>
    <x v="0"/>
    <d v="2022-03-11T00:00:00"/>
    <x v="591"/>
    <n v="4690"/>
    <n v="504"/>
    <n v="4186"/>
    <x v="0"/>
    <n v="9"/>
    <x v="1"/>
    <d v="2022-12-13T00:00:00"/>
    <n v="1"/>
    <n v="1621"/>
    <n v="0.89"/>
    <s v="Normal"/>
    <n v="2022"/>
    <s v="December"/>
  </r>
  <r>
    <n v="2730"/>
    <n v="302"/>
    <x v="3"/>
    <x v="0"/>
    <x v="1"/>
    <d v="2022-05-05T00:00:00"/>
    <x v="678"/>
    <n v="4967.93"/>
    <n v="4012.75"/>
    <n v="846"/>
    <x v="0"/>
    <n v="18"/>
    <x v="1"/>
    <d v="2023-11-13T00:00:00"/>
    <n v="0"/>
    <n v="1622"/>
    <n v="0.17"/>
    <s v="Normal"/>
    <n v="2023"/>
    <s v="November"/>
  </r>
  <r>
    <n v="2733"/>
    <n v="441"/>
    <x v="4"/>
    <x v="0"/>
    <x v="1"/>
    <d v="2022-09-03T00:00:00"/>
    <x v="452"/>
    <n v="4600"/>
    <n v="4997"/>
    <n v="-397"/>
    <x v="2"/>
    <n v="17"/>
    <x v="1"/>
    <d v="2024-02-03T00:00:00"/>
    <n v="1"/>
    <n v="1623"/>
    <n v="-0.09"/>
    <s v="Normal"/>
    <n v="2024"/>
    <s v="February"/>
  </r>
  <r>
    <n v="2735"/>
    <n v="208"/>
    <x v="3"/>
    <x v="2"/>
    <x v="1"/>
    <d v="2022-12-08T00:00:00"/>
    <x v="106"/>
    <n v="7445"/>
    <n v="467"/>
    <n v="6978"/>
    <x v="2"/>
    <n v="18"/>
    <x v="1"/>
    <d v="2024-06-11T00:00:00"/>
    <n v="1"/>
    <n v="1624"/>
    <n v="0.94"/>
    <s v="Normal"/>
    <n v="2024"/>
    <s v="June"/>
  </r>
  <r>
    <n v="2736"/>
    <n v="214"/>
    <x v="4"/>
    <x v="1"/>
    <x v="2"/>
    <d v="2022-10-03T00:00:00"/>
    <x v="581"/>
    <n v="7705"/>
    <n v="7914"/>
    <n v="-209"/>
    <x v="2"/>
    <n v="9"/>
    <x v="1"/>
    <d v="2023-07-27T00:00:00"/>
    <n v="0"/>
    <n v="1625"/>
    <n v="-0.03"/>
    <s v="Normal"/>
    <n v="2023"/>
    <s v="July"/>
  </r>
  <r>
    <n v="2738"/>
    <n v="422"/>
    <x v="1"/>
    <x v="2"/>
    <x v="0"/>
    <d v="2022-03-03T00:00:00"/>
    <x v="461"/>
    <n v="4967.93"/>
    <n v="7156"/>
    <n v="-7703"/>
    <x v="1"/>
    <n v="17"/>
    <x v="1"/>
    <d v="2023-08-14T00:00:00"/>
    <n v="0"/>
    <n v="1626"/>
    <n v="-1.55"/>
    <s v="Outlier"/>
    <n v="2023"/>
    <s v="August"/>
  </r>
  <r>
    <n v="2739"/>
    <n v="120"/>
    <x v="2"/>
    <x v="3"/>
    <x v="1"/>
    <d v="2022-05-04T00:00:00"/>
    <x v="28"/>
    <n v="7539"/>
    <n v="3339"/>
    <n v="4200"/>
    <x v="1"/>
    <n v="8"/>
    <x v="1"/>
    <d v="2023-01-27T00:00:00"/>
    <n v="1"/>
    <n v="1627"/>
    <n v="0.56000000000000005"/>
    <s v="Normal"/>
    <n v="2023"/>
    <s v="January"/>
  </r>
  <r>
    <n v="2740"/>
    <n v="334"/>
    <x v="0"/>
    <x v="0"/>
    <x v="1"/>
    <d v="2022-06-09T00:00:00"/>
    <x v="678"/>
    <n v="5517"/>
    <n v="3338"/>
    <n v="2179"/>
    <x v="1"/>
    <n v="17"/>
    <x v="1"/>
    <d v="2023-11-13T00:00:00"/>
    <n v="1"/>
    <n v="1628"/>
    <n v="0.39"/>
    <s v="Normal"/>
    <n v="2023"/>
    <s v="November"/>
  </r>
  <r>
    <n v="2741"/>
    <n v="424"/>
    <x v="4"/>
    <x v="1"/>
    <x v="1"/>
    <d v="2022-07-17T00:00:00"/>
    <x v="583"/>
    <n v="2452"/>
    <n v="7212"/>
    <n v="-4760"/>
    <x v="0"/>
    <n v="15"/>
    <x v="1"/>
    <d v="2023-10-30T00:00:00"/>
    <n v="0"/>
    <n v="1629"/>
    <n v="-1.94"/>
    <s v="Outlier"/>
    <n v="2023"/>
    <s v="October"/>
  </r>
  <r>
    <n v="2743"/>
    <n v="320"/>
    <x v="2"/>
    <x v="3"/>
    <x v="2"/>
    <d v="2022-08-14T00:00:00"/>
    <x v="63"/>
    <n v="4324"/>
    <n v="175"/>
    <n v="4149"/>
    <x v="0"/>
    <n v="4"/>
    <x v="0"/>
    <d v="2023-01-05T00:00:00"/>
    <n v="1"/>
    <n v="1630"/>
    <n v="0.96"/>
    <s v="Normal"/>
    <n v="2023"/>
    <s v="January"/>
  </r>
  <r>
    <n v="2744"/>
    <n v="158"/>
    <x v="1"/>
    <x v="0"/>
    <x v="0"/>
    <d v="2022-07-31T00:00:00"/>
    <x v="456"/>
    <n v="6133"/>
    <n v="4012.75"/>
    <n v="577.01"/>
    <x v="2"/>
    <n v="10"/>
    <x v="1"/>
    <d v="2023-06-16T00:00:00"/>
    <n v="1"/>
    <n v="1631"/>
    <n v="0.09"/>
    <s v="Normal"/>
    <n v="2023"/>
    <s v="June"/>
  </r>
  <r>
    <n v="2749"/>
    <n v="495"/>
    <x v="0"/>
    <x v="3"/>
    <x v="0"/>
    <d v="2022-08-21T00:00:00"/>
    <x v="29"/>
    <n v="4992"/>
    <n v="5738"/>
    <n v="-746"/>
    <x v="1"/>
    <n v="5"/>
    <x v="0"/>
    <d v="2023-02-02T00:00:00"/>
    <n v="0"/>
    <n v="1632"/>
    <n v="-0.15"/>
    <s v="Normal"/>
    <n v="2023"/>
    <s v="February"/>
  </r>
  <r>
    <n v="2750"/>
    <n v="108"/>
    <x v="1"/>
    <x v="0"/>
    <x v="2"/>
    <d v="2022-11-04T00:00:00"/>
    <x v="679"/>
    <n v="1233"/>
    <n v="1904"/>
    <n v="-671"/>
    <x v="1"/>
    <n v="4"/>
    <x v="0"/>
    <d v="2023-03-23T00:00:00"/>
    <n v="0"/>
    <n v="1633"/>
    <n v="-0.54"/>
    <s v="Normal"/>
    <n v="2023"/>
    <s v="March"/>
  </r>
  <r>
    <n v="2752"/>
    <n v="443"/>
    <x v="4"/>
    <x v="2"/>
    <x v="2"/>
    <d v="2022-03-01T00:00:00"/>
    <x v="307"/>
    <n v="7247"/>
    <n v="2627"/>
    <n v="4620"/>
    <x v="0"/>
    <n v="8"/>
    <x v="1"/>
    <d v="2022-11-13T00:00:00"/>
    <n v="1"/>
    <n v="1634"/>
    <n v="0.64"/>
    <s v="Normal"/>
    <n v="2022"/>
    <s v="November"/>
  </r>
  <r>
    <n v="2754"/>
    <n v="284"/>
    <x v="2"/>
    <x v="2"/>
    <x v="2"/>
    <d v="2022-11-23T00:00:00"/>
    <x v="367"/>
    <n v="4330"/>
    <n v="4012.75"/>
    <n v="4920"/>
    <x v="2"/>
    <n v="2"/>
    <x v="0"/>
    <d v="2023-02-14T00:00:00"/>
    <n v="1"/>
    <n v="1635"/>
    <n v="1.1399999999999999"/>
    <s v="Outlier"/>
    <n v="2023"/>
    <s v="February"/>
  </r>
  <r>
    <n v="2755"/>
    <n v="458"/>
    <x v="4"/>
    <x v="3"/>
    <x v="1"/>
    <d v="2022-05-10T00:00:00"/>
    <x v="16"/>
    <n v="2410"/>
    <n v="4012.75"/>
    <n v="3127"/>
    <x v="2"/>
    <n v="5"/>
    <x v="0"/>
    <d v="2022-11-03T00:00:00"/>
    <n v="1"/>
    <n v="1636"/>
    <n v="1.3"/>
    <s v="Outlier"/>
    <n v="2022"/>
    <s v="November"/>
  </r>
  <r>
    <n v="2756"/>
    <n v="246"/>
    <x v="2"/>
    <x v="2"/>
    <x v="1"/>
    <d v="2022-03-30T00:00:00"/>
    <x v="42"/>
    <n v="2735"/>
    <n v="7379"/>
    <n v="-4644"/>
    <x v="1"/>
    <n v="11"/>
    <x v="1"/>
    <d v="2023-03-05T00:00:00"/>
    <n v="1"/>
    <n v="1637"/>
    <n v="-1.7"/>
    <s v="Outlier"/>
    <n v="2023"/>
    <s v="March"/>
  </r>
  <r>
    <n v="2757"/>
    <n v="249"/>
    <x v="4"/>
    <x v="3"/>
    <x v="0"/>
    <d v="2022-06-22T00:00:00"/>
    <x v="680"/>
    <n v="7498"/>
    <n v="3755"/>
    <n v="3743"/>
    <x v="1"/>
    <n v="7"/>
    <x v="1"/>
    <d v="2023-01-26T00:00:00"/>
    <n v="0"/>
    <n v="1638"/>
    <n v="0.5"/>
    <s v="Normal"/>
    <n v="2023"/>
    <s v="January"/>
  </r>
  <r>
    <n v="2759"/>
    <n v="173"/>
    <x v="4"/>
    <x v="2"/>
    <x v="1"/>
    <d v="2022-07-20T00:00:00"/>
    <x v="257"/>
    <n v="8433"/>
    <n v="4205"/>
    <n v="4228"/>
    <x v="2"/>
    <n v="13"/>
    <x v="1"/>
    <d v="2023-09-11T00:00:00"/>
    <n v="1"/>
    <n v="1639"/>
    <n v="0.5"/>
    <s v="Normal"/>
    <n v="2023"/>
    <s v="September"/>
  </r>
  <r>
    <n v="2760"/>
    <n v="271"/>
    <x v="0"/>
    <x v="2"/>
    <x v="2"/>
    <d v="2022-07-25T00:00:00"/>
    <x v="163"/>
    <n v="4967.93"/>
    <n v="7431"/>
    <n v="-7875"/>
    <x v="2"/>
    <n v="11"/>
    <x v="1"/>
    <d v="2023-07-05T00:00:00"/>
    <n v="1"/>
    <n v="1640"/>
    <n v="-1.59"/>
    <s v="Outlier"/>
    <n v="2023"/>
    <s v="July"/>
  </r>
  <r>
    <n v="2761"/>
    <n v="434"/>
    <x v="0"/>
    <x v="3"/>
    <x v="1"/>
    <d v="2022-04-11T00:00:00"/>
    <x v="355"/>
    <n v="4967.93"/>
    <n v="7504"/>
    <n v="-8736"/>
    <x v="1"/>
    <n v="1"/>
    <x v="0"/>
    <d v="2022-06-04T00:00:00"/>
    <n v="1"/>
    <n v="1641"/>
    <n v="-1.76"/>
    <s v="Outlier"/>
    <n v="2022"/>
    <s v="June"/>
  </r>
  <r>
    <n v="2762"/>
    <n v="444"/>
    <x v="0"/>
    <x v="2"/>
    <x v="1"/>
    <d v="2022-03-21T00:00:00"/>
    <x v="118"/>
    <n v="4967.93"/>
    <n v="83"/>
    <n v="-1746"/>
    <x v="0"/>
    <n v="5"/>
    <x v="0"/>
    <d v="2022-09-13T00:00:00"/>
    <n v="0"/>
    <n v="1642"/>
    <n v="-0.35"/>
    <s v="Normal"/>
    <n v="2022"/>
    <s v="September"/>
  </r>
  <r>
    <n v="2763"/>
    <n v="241"/>
    <x v="3"/>
    <x v="0"/>
    <x v="0"/>
    <d v="2022-06-27T00:00:00"/>
    <x v="172"/>
    <n v="5696"/>
    <n v="4703"/>
    <n v="993"/>
    <x v="1"/>
    <n v="7"/>
    <x v="1"/>
    <d v="2023-02-26T00:00:00"/>
    <n v="0"/>
    <n v="1643"/>
    <n v="0.17"/>
    <s v="Normal"/>
    <n v="2023"/>
    <s v="February"/>
  </r>
  <r>
    <n v="2764"/>
    <n v="400"/>
    <x v="1"/>
    <x v="2"/>
    <x v="1"/>
    <d v="2022-12-15T00:00:00"/>
    <x v="681"/>
    <n v="3687"/>
    <n v="4515"/>
    <n v="-828"/>
    <x v="0"/>
    <n v="17"/>
    <x v="1"/>
    <d v="2024-06-07T00:00:00"/>
    <n v="1"/>
    <n v="1644"/>
    <n v="-0.22"/>
    <s v="Normal"/>
    <n v="2024"/>
    <s v="June"/>
  </r>
  <r>
    <n v="2769"/>
    <n v="308"/>
    <x v="3"/>
    <x v="0"/>
    <x v="0"/>
    <d v="2022-11-26T00:00:00"/>
    <x v="682"/>
    <n v="2998"/>
    <n v="7045"/>
    <n v="-4047"/>
    <x v="1"/>
    <n v="19"/>
    <x v="1"/>
    <d v="2024-06-29T00:00:00"/>
    <n v="1"/>
    <n v="1645"/>
    <n v="-1.35"/>
    <s v="Outlier"/>
    <n v="2024"/>
    <s v="June"/>
  </r>
  <r>
    <n v="2770"/>
    <n v="220"/>
    <x v="1"/>
    <x v="0"/>
    <x v="1"/>
    <d v="2022-02-11T00:00:00"/>
    <x v="402"/>
    <n v="2903"/>
    <n v="6178"/>
    <n v="-3275"/>
    <x v="2"/>
    <n v="13"/>
    <x v="1"/>
    <d v="2023-04-07T00:00:00"/>
    <n v="0"/>
    <n v="1646"/>
    <n v="-1.1299999999999999"/>
    <s v="Outlier"/>
    <n v="2023"/>
    <s v="April"/>
  </r>
  <r>
    <n v="2771"/>
    <n v="188"/>
    <x v="1"/>
    <x v="3"/>
    <x v="2"/>
    <d v="2022-04-09T00:00:00"/>
    <x v="197"/>
    <n v="1765"/>
    <n v="2321"/>
    <n v="-556"/>
    <x v="1"/>
    <n v="8"/>
    <x v="1"/>
    <d v="2022-12-10T00:00:00"/>
    <n v="1"/>
    <n v="1647"/>
    <n v="-0.32"/>
    <s v="Normal"/>
    <n v="2022"/>
    <s v="December"/>
  </r>
  <r>
    <n v="2773"/>
    <n v="340"/>
    <x v="2"/>
    <x v="0"/>
    <x v="1"/>
    <d v="2022-05-25T00:00:00"/>
    <x v="464"/>
    <n v="4967.93"/>
    <n v="580"/>
    <n v="-2258"/>
    <x v="2"/>
    <n v="9"/>
    <x v="1"/>
    <d v="2023-03-09T00:00:00"/>
    <n v="1"/>
    <n v="1648"/>
    <n v="-0.45"/>
    <s v="Normal"/>
    <n v="2023"/>
    <s v="March"/>
  </r>
  <r>
    <n v="2775"/>
    <n v="319"/>
    <x v="3"/>
    <x v="1"/>
    <x v="0"/>
    <d v="2022-08-26T00:00:00"/>
    <x v="174"/>
    <n v="7061"/>
    <n v="4012.75"/>
    <n v="7186"/>
    <x v="2"/>
    <n v="2"/>
    <x v="0"/>
    <d v="2022-11-19T00:00:00"/>
    <n v="0"/>
    <n v="1649"/>
    <n v="1.02"/>
    <s v="Outlier"/>
    <n v="2022"/>
    <s v="November"/>
  </r>
  <r>
    <n v="2776"/>
    <n v="362"/>
    <x v="2"/>
    <x v="1"/>
    <x v="1"/>
    <d v="2022-02-08T00:00:00"/>
    <x v="683"/>
    <n v="4463"/>
    <n v="1883"/>
    <n v="2580"/>
    <x v="1"/>
    <n v="3"/>
    <x v="0"/>
    <d v="2022-06-05T00:00:00"/>
    <n v="0"/>
    <n v="1650"/>
    <n v="0.57999999999999996"/>
    <s v="Normal"/>
    <n v="2022"/>
    <s v="June"/>
  </r>
  <r>
    <n v="2779"/>
    <n v="425"/>
    <x v="0"/>
    <x v="1"/>
    <x v="2"/>
    <d v="2022-10-31T00:00:00"/>
    <x v="684"/>
    <n v="4967.93"/>
    <n v="7397"/>
    <n v="-8463"/>
    <x v="2"/>
    <n v="19"/>
    <x v="1"/>
    <d v="2024-06-14T00:00:00"/>
    <n v="1"/>
    <n v="1651"/>
    <n v="-1.7"/>
    <s v="Outlier"/>
    <n v="2024"/>
    <s v="June"/>
  </r>
  <r>
    <n v="2781"/>
    <n v="264"/>
    <x v="3"/>
    <x v="1"/>
    <x v="1"/>
    <d v="2022-01-02T00:00:00"/>
    <x v="685"/>
    <n v="4967.93"/>
    <n v="7996"/>
    <n v="-8351"/>
    <x v="2"/>
    <n v="6"/>
    <x v="2"/>
    <d v="2022-07-14T00:00:00"/>
    <n v="1"/>
    <n v="1652"/>
    <n v="-1.68"/>
    <s v="Outlier"/>
    <n v="2022"/>
    <s v="July"/>
  </r>
  <r>
    <n v="2782"/>
    <n v="419"/>
    <x v="3"/>
    <x v="3"/>
    <x v="1"/>
    <d v="2022-09-26T00:00:00"/>
    <x v="335"/>
    <n v="2925"/>
    <n v="4131"/>
    <n v="-1206"/>
    <x v="2"/>
    <n v="10"/>
    <x v="1"/>
    <d v="2023-08-18T00:00:00"/>
    <n v="1"/>
    <n v="1653"/>
    <n v="-0.41"/>
    <s v="Normal"/>
    <n v="2023"/>
    <s v="August"/>
  </r>
  <r>
    <n v="2784"/>
    <n v="242"/>
    <x v="1"/>
    <x v="0"/>
    <x v="2"/>
    <d v="2022-11-16T00:00:00"/>
    <x v="567"/>
    <n v="6983"/>
    <n v="907"/>
    <n v="6076"/>
    <x v="2"/>
    <n v="1"/>
    <x v="0"/>
    <d v="2023-01-08T00:00:00"/>
    <n v="0"/>
    <n v="1654"/>
    <n v="0.87"/>
    <s v="Normal"/>
    <n v="2023"/>
    <s v="January"/>
  </r>
  <r>
    <n v="2789"/>
    <n v="128"/>
    <x v="4"/>
    <x v="2"/>
    <x v="2"/>
    <d v="2022-10-01T00:00:00"/>
    <x v="171"/>
    <n v="2179"/>
    <n v="2336"/>
    <n v="-157"/>
    <x v="1"/>
    <n v="18"/>
    <x v="1"/>
    <d v="2024-04-03T00:00:00"/>
    <n v="1"/>
    <n v="1655"/>
    <n v="-7.0000000000000007E-2"/>
    <s v="Normal"/>
    <n v="2024"/>
    <s v="April"/>
  </r>
  <r>
    <n v="2790"/>
    <n v="342"/>
    <x v="4"/>
    <x v="3"/>
    <x v="0"/>
    <d v="2022-03-20T00:00:00"/>
    <x v="686"/>
    <n v="8638"/>
    <n v="2142"/>
    <n v="6496"/>
    <x v="0"/>
    <n v="10"/>
    <x v="1"/>
    <d v="2023-02-10T00:00:00"/>
    <n v="1"/>
    <n v="1656"/>
    <n v="0.75"/>
    <s v="Normal"/>
    <n v="2023"/>
    <s v="February"/>
  </r>
  <r>
    <n v="2792"/>
    <n v="262"/>
    <x v="1"/>
    <x v="2"/>
    <x v="2"/>
    <d v="2022-03-08T00:00:00"/>
    <x v="132"/>
    <n v="2450"/>
    <n v="5424"/>
    <n v="577.01"/>
    <x v="2"/>
    <n v="7"/>
    <x v="1"/>
    <d v="2022-11-02T00:00:00"/>
    <n v="1"/>
    <n v="1657"/>
    <n v="0.24"/>
    <s v="Normal"/>
    <n v="2022"/>
    <s v="November"/>
  </r>
  <r>
    <n v="2793"/>
    <n v="209"/>
    <x v="2"/>
    <x v="3"/>
    <x v="2"/>
    <d v="2022-08-09T00:00:00"/>
    <x v="61"/>
    <n v="4967.93"/>
    <n v="4012.75"/>
    <n v="-483"/>
    <x v="1"/>
    <n v="17"/>
    <x v="1"/>
    <d v="2024-01-14T00:00:00"/>
    <n v="0"/>
    <n v="1658"/>
    <n v="-0.1"/>
    <s v="Normal"/>
    <n v="2024"/>
    <s v="January"/>
  </r>
  <r>
    <n v="2795"/>
    <n v="169"/>
    <x v="4"/>
    <x v="3"/>
    <x v="2"/>
    <d v="2022-06-18T00:00:00"/>
    <x v="687"/>
    <n v="8382"/>
    <n v="5401"/>
    <n v="2981"/>
    <x v="2"/>
    <n v="18"/>
    <x v="1"/>
    <d v="2024-01-11T00:00:00"/>
    <n v="1"/>
    <n v="1659"/>
    <n v="0.36"/>
    <s v="Normal"/>
    <n v="2024"/>
    <s v="January"/>
  </r>
  <r>
    <n v="2796"/>
    <n v="297"/>
    <x v="3"/>
    <x v="2"/>
    <x v="0"/>
    <d v="2022-01-14T00:00:00"/>
    <x v="373"/>
    <n v="5899"/>
    <n v="4012.75"/>
    <n v="6293"/>
    <x v="0"/>
    <n v="3"/>
    <x v="0"/>
    <d v="2022-04-27T00:00:00"/>
    <n v="0"/>
    <n v="1660"/>
    <n v="1.07"/>
    <s v="Outlier"/>
    <n v="2022"/>
    <s v="April"/>
  </r>
  <r>
    <n v="2798"/>
    <n v="490"/>
    <x v="4"/>
    <x v="1"/>
    <x v="0"/>
    <d v="2022-01-31T00:00:00"/>
    <x v="157"/>
    <n v="3582"/>
    <n v="1348"/>
    <n v="2234"/>
    <x v="2"/>
    <n v="5"/>
    <x v="0"/>
    <d v="2022-07-27T00:00:00"/>
    <n v="1"/>
    <n v="1661"/>
    <n v="0.62"/>
    <s v="Normal"/>
    <n v="2022"/>
    <s v="July"/>
  </r>
  <r>
    <n v="2799"/>
    <n v="269"/>
    <x v="2"/>
    <x v="0"/>
    <x v="0"/>
    <d v="2022-05-02T00:00:00"/>
    <x v="337"/>
    <n v="8399"/>
    <n v="291"/>
    <n v="8108"/>
    <x v="0"/>
    <n v="18"/>
    <x v="1"/>
    <d v="2023-11-03T00:00:00"/>
    <n v="0"/>
    <n v="1662"/>
    <n v="0.97"/>
    <s v="Normal"/>
    <n v="2023"/>
    <s v="November"/>
  </r>
  <r>
    <n v="2800"/>
    <n v="262"/>
    <x v="2"/>
    <x v="1"/>
    <x v="1"/>
    <d v="2022-05-24T00:00:00"/>
    <x v="142"/>
    <n v="2830"/>
    <n v="5391"/>
    <n v="-2561"/>
    <x v="0"/>
    <n v="7"/>
    <x v="1"/>
    <d v="2023-01-22T00:00:00"/>
    <n v="0"/>
    <n v="1663"/>
    <n v="-0.9"/>
    <s v="Normal"/>
    <n v="2023"/>
    <s v="January"/>
  </r>
  <r>
    <n v="2803"/>
    <n v="324"/>
    <x v="4"/>
    <x v="3"/>
    <x v="1"/>
    <d v="2022-03-29T00:00:00"/>
    <x v="508"/>
    <n v="5689"/>
    <n v="1264"/>
    <n v="4425"/>
    <x v="1"/>
    <n v="17"/>
    <x v="1"/>
    <d v="2023-08-30T00:00:00"/>
    <n v="0"/>
    <n v="1664"/>
    <n v="0.78"/>
    <s v="Normal"/>
    <n v="2023"/>
    <s v="August"/>
  </r>
  <r>
    <n v="2804"/>
    <n v="402"/>
    <x v="3"/>
    <x v="0"/>
    <x v="0"/>
    <d v="2022-08-29T00:00:00"/>
    <x v="77"/>
    <n v="3445"/>
    <n v="2559"/>
    <n v="886"/>
    <x v="1"/>
    <n v="17"/>
    <x v="1"/>
    <d v="2024-02-16T00:00:00"/>
    <n v="1"/>
    <n v="1665"/>
    <n v="0.26"/>
    <s v="Normal"/>
    <n v="2024"/>
    <s v="February"/>
  </r>
  <r>
    <n v="2805"/>
    <n v="484"/>
    <x v="0"/>
    <x v="2"/>
    <x v="2"/>
    <d v="2022-12-15T00:00:00"/>
    <x v="553"/>
    <n v="4967.93"/>
    <n v="690"/>
    <n v="-1742"/>
    <x v="2"/>
    <n v="1"/>
    <x v="0"/>
    <d v="2023-01-30T00:00:00"/>
    <n v="1"/>
    <n v="1666"/>
    <n v="-0.35"/>
    <s v="Normal"/>
    <n v="2023"/>
    <s v="January"/>
  </r>
  <r>
    <n v="2806"/>
    <n v="450"/>
    <x v="4"/>
    <x v="0"/>
    <x v="0"/>
    <d v="2022-11-14T00:00:00"/>
    <x v="599"/>
    <n v="4751"/>
    <n v="4261"/>
    <n v="490"/>
    <x v="1"/>
    <n v="16"/>
    <x v="1"/>
    <d v="2024-03-30T00:00:00"/>
    <n v="0"/>
    <n v="1667"/>
    <n v="0.1"/>
    <s v="Normal"/>
    <n v="2024"/>
    <s v="March"/>
  </r>
  <r>
    <n v="2807"/>
    <n v="266"/>
    <x v="1"/>
    <x v="1"/>
    <x v="2"/>
    <d v="2022-04-11T00:00:00"/>
    <x v="540"/>
    <n v="9222"/>
    <n v="4917"/>
    <n v="4305"/>
    <x v="0"/>
    <n v="15"/>
    <x v="1"/>
    <d v="2023-08-09T00:00:00"/>
    <n v="0"/>
    <n v="1668"/>
    <n v="0.47"/>
    <s v="Normal"/>
    <n v="2023"/>
    <s v="August"/>
  </r>
  <r>
    <n v="2809"/>
    <n v="404"/>
    <x v="2"/>
    <x v="2"/>
    <x v="2"/>
    <d v="2022-12-22T00:00:00"/>
    <x v="381"/>
    <n v="7486"/>
    <n v="319"/>
    <n v="577.01"/>
    <x v="2"/>
    <n v="18"/>
    <x v="1"/>
    <d v="2024-07-19T00:00:00"/>
    <n v="1"/>
    <n v="1669"/>
    <n v="0.08"/>
    <s v="Normal"/>
    <n v="2024"/>
    <s v="July"/>
  </r>
  <r>
    <n v="2810"/>
    <n v="214"/>
    <x v="2"/>
    <x v="0"/>
    <x v="0"/>
    <d v="2022-08-28T00:00:00"/>
    <x v="678"/>
    <n v="3597"/>
    <n v="3440"/>
    <n v="157"/>
    <x v="1"/>
    <n v="14"/>
    <x v="1"/>
    <d v="2023-11-13T00:00:00"/>
    <n v="1"/>
    <n v="1670"/>
    <n v="0.04"/>
    <s v="Normal"/>
    <n v="2023"/>
    <s v="November"/>
  </r>
  <r>
    <n v="2811"/>
    <n v="449"/>
    <x v="3"/>
    <x v="2"/>
    <x v="2"/>
    <d v="2022-04-14T00:00:00"/>
    <x v="688"/>
    <n v="6471"/>
    <n v="5088"/>
    <n v="1383"/>
    <x v="0"/>
    <n v="14"/>
    <x v="1"/>
    <d v="2023-07-08T00:00:00"/>
    <n v="1"/>
    <n v="1671"/>
    <n v="0.21"/>
    <s v="Normal"/>
    <n v="2023"/>
    <s v="July"/>
  </r>
  <r>
    <n v="2812"/>
    <n v="435"/>
    <x v="2"/>
    <x v="3"/>
    <x v="0"/>
    <d v="2022-05-06T00:00:00"/>
    <x v="113"/>
    <n v="9385"/>
    <n v="1433"/>
    <n v="7952"/>
    <x v="1"/>
    <n v="15"/>
    <x v="1"/>
    <d v="2023-08-15T00:00:00"/>
    <n v="0"/>
    <n v="1672"/>
    <n v="0.85"/>
    <s v="Normal"/>
    <n v="2023"/>
    <s v="August"/>
  </r>
  <r>
    <n v="2816"/>
    <n v="163"/>
    <x v="4"/>
    <x v="3"/>
    <x v="0"/>
    <d v="2022-08-07T00:00:00"/>
    <x v="689"/>
    <n v="583"/>
    <n v="4012.75"/>
    <n v="1022"/>
    <x v="0"/>
    <n v="16"/>
    <x v="1"/>
    <d v="2023-12-18T00:00:00"/>
    <n v="0"/>
    <n v="1673"/>
    <n v="1.75"/>
    <s v="Outlier"/>
    <n v="2023"/>
    <s v="December"/>
  </r>
  <r>
    <n v="2820"/>
    <n v="429"/>
    <x v="2"/>
    <x v="2"/>
    <x v="1"/>
    <d v="2022-09-29T00:00:00"/>
    <x v="690"/>
    <n v="4967.93"/>
    <n v="6989"/>
    <n v="-7376"/>
    <x v="1"/>
    <n v="19"/>
    <x v="1"/>
    <d v="2024-04-29T00:00:00"/>
    <n v="1"/>
    <n v="1674"/>
    <n v="-1.48"/>
    <s v="Outlier"/>
    <n v="2024"/>
    <s v="April"/>
  </r>
  <r>
    <n v="2821"/>
    <n v="386"/>
    <x v="0"/>
    <x v="1"/>
    <x v="0"/>
    <d v="2022-03-03T00:00:00"/>
    <x v="549"/>
    <n v="5031"/>
    <n v="6233"/>
    <n v="-1202"/>
    <x v="1"/>
    <n v="8"/>
    <x v="1"/>
    <d v="2022-11-09T00:00:00"/>
    <n v="0"/>
    <n v="1675"/>
    <n v="-0.24"/>
    <s v="Normal"/>
    <n v="2022"/>
    <s v="November"/>
  </r>
  <r>
    <n v="2822"/>
    <n v="284"/>
    <x v="2"/>
    <x v="2"/>
    <x v="2"/>
    <d v="2022-03-10T00:00:00"/>
    <x v="83"/>
    <n v="1683"/>
    <n v="1280"/>
    <n v="403"/>
    <x v="1"/>
    <n v="14"/>
    <x v="1"/>
    <d v="2023-06-06T00:00:00"/>
    <n v="0"/>
    <n v="1676"/>
    <n v="0.24"/>
    <s v="Normal"/>
    <n v="2023"/>
    <s v="June"/>
  </r>
  <r>
    <n v="2823"/>
    <n v="279"/>
    <x v="2"/>
    <x v="2"/>
    <x v="2"/>
    <d v="2022-10-07T00:00:00"/>
    <x v="319"/>
    <n v="1011"/>
    <n v="6090"/>
    <n v="-5079"/>
    <x v="1"/>
    <n v="18"/>
    <x v="1"/>
    <d v="2024-04-12T00:00:00"/>
    <n v="1"/>
    <n v="1677"/>
    <n v="-5.0199999999999996"/>
    <s v="Outlier"/>
    <n v="2024"/>
    <s v="April"/>
  </r>
  <r>
    <n v="2824"/>
    <n v="107"/>
    <x v="1"/>
    <x v="3"/>
    <x v="0"/>
    <d v="2022-12-31T00:00:00"/>
    <x v="84"/>
    <n v="1722"/>
    <n v="711"/>
    <n v="1011"/>
    <x v="1"/>
    <n v="5"/>
    <x v="0"/>
    <d v="2023-06-10T00:00:00"/>
    <n v="1"/>
    <n v="1678"/>
    <n v="0.59"/>
    <s v="Normal"/>
    <n v="2023"/>
    <s v="June"/>
  </r>
  <r>
    <n v="2825"/>
    <n v="408"/>
    <x v="3"/>
    <x v="3"/>
    <x v="0"/>
    <d v="2022-03-19T00:00:00"/>
    <x v="257"/>
    <n v="5378"/>
    <n v="6363"/>
    <n v="-985"/>
    <x v="1"/>
    <n v="17"/>
    <x v="1"/>
    <d v="2023-09-11T00:00:00"/>
    <n v="1"/>
    <n v="1679"/>
    <n v="-0.18"/>
    <s v="Normal"/>
    <n v="2023"/>
    <s v="September"/>
  </r>
  <r>
    <n v="2827"/>
    <n v="467"/>
    <x v="3"/>
    <x v="0"/>
    <x v="2"/>
    <d v="2022-12-23T00:00:00"/>
    <x v="680"/>
    <n v="4967.93"/>
    <n v="7949"/>
    <n v="-8071"/>
    <x v="0"/>
    <n v="1"/>
    <x v="0"/>
    <d v="2023-01-26T00:00:00"/>
    <n v="1"/>
    <n v="1680"/>
    <n v="-1.62"/>
    <s v="Outlier"/>
    <n v="2023"/>
    <s v="January"/>
  </r>
  <r>
    <n v="2829"/>
    <n v="215"/>
    <x v="4"/>
    <x v="0"/>
    <x v="2"/>
    <d v="2022-12-23T00:00:00"/>
    <x v="367"/>
    <n v="2579"/>
    <n v="6990"/>
    <n v="-4411"/>
    <x v="1"/>
    <n v="1"/>
    <x v="0"/>
    <d v="2023-02-14T00:00:00"/>
    <n v="0"/>
    <n v="1681"/>
    <n v="-1.71"/>
    <s v="Outlier"/>
    <n v="2023"/>
    <s v="February"/>
  </r>
  <r>
    <n v="2832"/>
    <n v="106"/>
    <x v="4"/>
    <x v="3"/>
    <x v="0"/>
    <d v="2022-02-26T00:00:00"/>
    <x v="691"/>
    <n v="2627"/>
    <n v="3149"/>
    <n v="-522"/>
    <x v="0"/>
    <n v="2"/>
    <x v="0"/>
    <d v="2022-05-07T00:00:00"/>
    <n v="1"/>
    <n v="1682"/>
    <n v="-0.2"/>
    <s v="Normal"/>
    <n v="2022"/>
    <s v="May"/>
  </r>
  <r>
    <n v="2835"/>
    <n v="179"/>
    <x v="4"/>
    <x v="3"/>
    <x v="0"/>
    <d v="2022-01-10T00:00:00"/>
    <x v="151"/>
    <n v="1300"/>
    <n v="900"/>
    <n v="400"/>
    <x v="1"/>
    <n v="7"/>
    <x v="1"/>
    <d v="2022-08-10T00:00:00"/>
    <n v="0"/>
    <n v="1683"/>
    <n v="0.31"/>
    <s v="Normal"/>
    <n v="2022"/>
    <s v="August"/>
  </r>
  <r>
    <n v="2837"/>
    <n v="323"/>
    <x v="0"/>
    <x v="3"/>
    <x v="1"/>
    <d v="2022-03-18T00:00:00"/>
    <x v="555"/>
    <n v="7887"/>
    <n v="4012.75"/>
    <n v="8728"/>
    <x v="0"/>
    <n v="8"/>
    <x v="1"/>
    <d v="2022-12-16T00:00:00"/>
    <n v="1"/>
    <n v="1684"/>
    <n v="1.1100000000000001"/>
    <s v="Outlier"/>
    <n v="2022"/>
    <s v="December"/>
  </r>
  <r>
    <n v="2839"/>
    <n v="232"/>
    <x v="4"/>
    <x v="0"/>
    <x v="0"/>
    <d v="2022-02-04T00:00:00"/>
    <x v="456"/>
    <n v="4443"/>
    <n v="4288"/>
    <n v="155"/>
    <x v="2"/>
    <n v="16"/>
    <x v="1"/>
    <d v="2023-06-16T00:00:00"/>
    <n v="0"/>
    <n v="1685"/>
    <n v="0.03"/>
    <s v="Normal"/>
    <n v="2023"/>
    <s v="June"/>
  </r>
  <r>
    <n v="2840"/>
    <n v="428"/>
    <x v="4"/>
    <x v="2"/>
    <x v="1"/>
    <d v="2022-01-07T00:00:00"/>
    <x v="656"/>
    <n v="7326"/>
    <n v="4012.75"/>
    <n v="7823"/>
    <x v="1"/>
    <n v="11"/>
    <x v="1"/>
    <d v="2022-12-12T00:00:00"/>
    <n v="0"/>
    <n v="1686"/>
    <n v="1.07"/>
    <s v="Outlier"/>
    <n v="2022"/>
    <s v="December"/>
  </r>
  <r>
    <n v="2841"/>
    <n v="350"/>
    <x v="3"/>
    <x v="1"/>
    <x v="0"/>
    <d v="2022-12-27T00:00:00"/>
    <x v="8"/>
    <n v="9904"/>
    <n v="4269"/>
    <n v="5635"/>
    <x v="1"/>
    <n v="16"/>
    <x v="1"/>
    <d v="2024-05-13T00:00:00"/>
    <n v="1"/>
    <n v="1687"/>
    <n v="0.56999999999999995"/>
    <s v="Normal"/>
    <n v="2024"/>
    <s v="May"/>
  </r>
  <r>
    <n v="2843"/>
    <n v="128"/>
    <x v="2"/>
    <x v="1"/>
    <x v="0"/>
    <d v="2022-11-05T00:00:00"/>
    <x v="364"/>
    <n v="1269"/>
    <n v="2780"/>
    <n v="-1511"/>
    <x v="1"/>
    <n v="3"/>
    <x v="0"/>
    <d v="2023-02-21T00:00:00"/>
    <n v="0"/>
    <n v="1688"/>
    <n v="-1.19"/>
    <s v="Outlier"/>
    <n v="2023"/>
    <s v="February"/>
  </r>
  <r>
    <n v="2844"/>
    <n v="119"/>
    <x v="1"/>
    <x v="0"/>
    <x v="0"/>
    <d v="2022-03-17T00:00:00"/>
    <x v="105"/>
    <n v="4967.93"/>
    <n v="3954"/>
    <n v="-5950"/>
    <x v="1"/>
    <n v="8"/>
    <x v="1"/>
    <d v="2022-12-05T00:00:00"/>
    <n v="1"/>
    <n v="1689"/>
    <n v="-1.2"/>
    <s v="Outlier"/>
    <n v="2022"/>
    <s v="December"/>
  </r>
  <r>
    <n v="2845"/>
    <n v="406"/>
    <x v="2"/>
    <x v="3"/>
    <x v="0"/>
    <d v="2022-01-15T00:00:00"/>
    <x v="92"/>
    <n v="480"/>
    <n v="4857"/>
    <n v="577.01"/>
    <x v="0"/>
    <n v="12"/>
    <x v="1"/>
    <d v="2023-01-23T00:00:00"/>
    <n v="0"/>
    <n v="1690"/>
    <n v="1.2"/>
    <s v="Outlier"/>
    <n v="2023"/>
    <s v="January"/>
  </r>
  <r>
    <n v="2846"/>
    <n v="333"/>
    <x v="4"/>
    <x v="3"/>
    <x v="1"/>
    <d v="2022-11-12T00:00:00"/>
    <x v="579"/>
    <n v="2685"/>
    <n v="4942"/>
    <n v="-2257"/>
    <x v="1"/>
    <n v="15"/>
    <x v="1"/>
    <d v="2024-02-13T00:00:00"/>
    <n v="1"/>
    <n v="1691"/>
    <n v="-0.84"/>
    <s v="Normal"/>
    <n v="2024"/>
    <s v="February"/>
  </r>
  <r>
    <n v="2847"/>
    <n v="103"/>
    <x v="0"/>
    <x v="2"/>
    <x v="1"/>
    <d v="2022-03-11T00:00:00"/>
    <x v="692"/>
    <n v="5676"/>
    <n v="3168"/>
    <n v="2508"/>
    <x v="2"/>
    <n v="1"/>
    <x v="0"/>
    <d v="2022-04-12T00:00:00"/>
    <n v="1"/>
    <n v="1692"/>
    <n v="0.44"/>
    <s v="Normal"/>
    <n v="2022"/>
    <s v="April"/>
  </r>
  <r>
    <n v="2848"/>
    <n v="281"/>
    <x v="4"/>
    <x v="0"/>
    <x v="2"/>
    <d v="2022-11-19T00:00:00"/>
    <x v="241"/>
    <n v="2483"/>
    <n v="7108"/>
    <n v="-4625"/>
    <x v="1"/>
    <n v="1"/>
    <x v="0"/>
    <d v="2023-01-16T00:00:00"/>
    <n v="1"/>
    <n v="1693"/>
    <n v="-1.86"/>
    <s v="Outlier"/>
    <n v="2023"/>
    <s v="January"/>
  </r>
  <r>
    <n v="2849"/>
    <n v="374"/>
    <x v="4"/>
    <x v="2"/>
    <x v="0"/>
    <d v="2022-07-01T00:00:00"/>
    <x v="226"/>
    <n v="9087"/>
    <n v="7904"/>
    <n v="1183"/>
    <x v="1"/>
    <n v="2"/>
    <x v="0"/>
    <d v="2022-09-03T00:00:00"/>
    <n v="0"/>
    <n v="1694"/>
    <n v="0.13"/>
    <s v="Normal"/>
    <n v="2022"/>
    <s v="September"/>
  </r>
  <r>
    <n v="2850"/>
    <n v="428"/>
    <x v="1"/>
    <x v="1"/>
    <x v="0"/>
    <d v="2022-02-11T00:00:00"/>
    <x v="197"/>
    <n v="1262"/>
    <n v="6120"/>
    <n v="-4858"/>
    <x v="2"/>
    <n v="9"/>
    <x v="1"/>
    <d v="2022-12-10T00:00:00"/>
    <n v="1"/>
    <n v="1695"/>
    <n v="-3.85"/>
    <s v="Outlier"/>
    <n v="2022"/>
    <s v="December"/>
  </r>
  <r>
    <n v="2852"/>
    <n v="105"/>
    <x v="4"/>
    <x v="0"/>
    <x v="2"/>
    <d v="2022-08-17T00:00:00"/>
    <x v="110"/>
    <n v="7494"/>
    <n v="4954"/>
    <n v="2540"/>
    <x v="1"/>
    <n v="2"/>
    <x v="0"/>
    <d v="2022-10-31T00:00:00"/>
    <n v="1"/>
    <n v="1696"/>
    <n v="0.34"/>
    <s v="Normal"/>
    <n v="2022"/>
    <s v="October"/>
  </r>
  <r>
    <n v="2853"/>
    <n v="112"/>
    <x v="3"/>
    <x v="3"/>
    <x v="2"/>
    <d v="2022-12-22T00:00:00"/>
    <x v="168"/>
    <n v="5087"/>
    <n v="3326"/>
    <n v="1761"/>
    <x v="0"/>
    <n v="15"/>
    <x v="1"/>
    <d v="2024-04-01T00:00:00"/>
    <n v="0"/>
    <n v="1697"/>
    <n v="0.35"/>
    <s v="Normal"/>
    <n v="2024"/>
    <s v="April"/>
  </r>
  <r>
    <n v="2854"/>
    <n v="492"/>
    <x v="1"/>
    <x v="2"/>
    <x v="0"/>
    <d v="2022-10-30T00:00:00"/>
    <x v="44"/>
    <n v="4878"/>
    <n v="4012.75"/>
    <n v="5476"/>
    <x v="1"/>
    <n v="3"/>
    <x v="0"/>
    <d v="2023-02-08T00:00:00"/>
    <n v="1"/>
    <n v="1698"/>
    <n v="1.1200000000000001"/>
    <s v="Outlier"/>
    <n v="2023"/>
    <s v="February"/>
  </r>
  <r>
    <n v="2856"/>
    <n v="202"/>
    <x v="3"/>
    <x v="1"/>
    <x v="0"/>
    <d v="2022-12-11T00:00:00"/>
    <x v="547"/>
    <n v="3460"/>
    <n v="1798"/>
    <n v="1662"/>
    <x v="2"/>
    <n v="12"/>
    <x v="1"/>
    <d v="2023-12-27T00:00:00"/>
    <n v="1"/>
    <n v="1699"/>
    <n v="0.48"/>
    <s v="Normal"/>
    <n v="2023"/>
    <s v="December"/>
  </r>
  <r>
    <n v="2858"/>
    <n v="182"/>
    <x v="4"/>
    <x v="0"/>
    <x v="1"/>
    <d v="2022-04-03T00:00:00"/>
    <x v="492"/>
    <n v="4968"/>
    <n v="1222"/>
    <n v="3746"/>
    <x v="0"/>
    <n v="14"/>
    <x v="1"/>
    <d v="2023-06-04T00:00:00"/>
    <n v="0"/>
    <n v="1700"/>
    <n v="0.75"/>
    <s v="Normal"/>
    <n v="2023"/>
    <s v="June"/>
  </r>
  <r>
    <n v="2861"/>
    <n v="172"/>
    <x v="2"/>
    <x v="1"/>
    <x v="1"/>
    <d v="2022-05-12T00:00:00"/>
    <x v="693"/>
    <n v="5808"/>
    <n v="7709"/>
    <n v="577.01"/>
    <x v="2"/>
    <n v="13"/>
    <x v="1"/>
    <d v="2023-06-18T00:00:00"/>
    <n v="1"/>
    <n v="1701"/>
    <n v="0.1"/>
    <s v="Normal"/>
    <n v="2023"/>
    <s v="June"/>
  </r>
  <r>
    <n v="2862"/>
    <n v="125"/>
    <x v="0"/>
    <x v="3"/>
    <x v="1"/>
    <d v="2022-05-11T00:00:00"/>
    <x v="186"/>
    <n v="4967.93"/>
    <n v="4903"/>
    <n v="-6216"/>
    <x v="1"/>
    <n v="10"/>
    <x v="1"/>
    <d v="2023-04-03T00:00:00"/>
    <n v="1"/>
    <n v="1702"/>
    <n v="-1.25"/>
    <s v="Outlier"/>
    <n v="2023"/>
    <s v="April"/>
  </r>
  <r>
    <n v="2863"/>
    <n v="479"/>
    <x v="4"/>
    <x v="1"/>
    <x v="2"/>
    <d v="2022-12-28T00:00:00"/>
    <x v="694"/>
    <n v="5133"/>
    <n v="573"/>
    <n v="4560"/>
    <x v="1"/>
    <n v="18"/>
    <x v="1"/>
    <d v="2024-07-20T00:00:00"/>
    <n v="0"/>
    <n v="1703"/>
    <n v="0.89"/>
    <s v="Normal"/>
    <n v="2024"/>
    <s v="July"/>
  </r>
  <r>
    <n v="2865"/>
    <n v="411"/>
    <x v="4"/>
    <x v="3"/>
    <x v="2"/>
    <d v="2022-02-18T00:00:00"/>
    <x v="229"/>
    <n v="2798"/>
    <n v="4012.75"/>
    <n v="577.01"/>
    <x v="1"/>
    <n v="19"/>
    <x v="1"/>
    <d v="2023-09-26T00:00:00"/>
    <n v="1"/>
    <n v="1704"/>
    <n v="0.21"/>
    <s v="Normal"/>
    <n v="2023"/>
    <s v="September"/>
  </r>
  <r>
    <n v="2866"/>
    <n v="236"/>
    <x v="4"/>
    <x v="1"/>
    <x v="1"/>
    <d v="2022-12-24T00:00:00"/>
    <x v="674"/>
    <n v="9948"/>
    <n v="4012"/>
    <n v="5936"/>
    <x v="0"/>
    <n v="18"/>
    <x v="1"/>
    <d v="2024-06-24T00:00:00"/>
    <n v="1"/>
    <n v="1705"/>
    <n v="0.6"/>
    <s v="Normal"/>
    <n v="2024"/>
    <s v="June"/>
  </r>
  <r>
    <n v="2867"/>
    <n v="444"/>
    <x v="4"/>
    <x v="2"/>
    <x v="2"/>
    <d v="2022-10-14T00:00:00"/>
    <x v="224"/>
    <n v="4100"/>
    <n v="1290"/>
    <n v="2810"/>
    <x v="0"/>
    <n v="2"/>
    <x v="0"/>
    <d v="2022-12-24T00:00:00"/>
    <n v="0"/>
    <n v="1706"/>
    <n v="0.69"/>
    <s v="Normal"/>
    <n v="2022"/>
    <s v="December"/>
  </r>
  <r>
    <n v="2868"/>
    <n v="396"/>
    <x v="1"/>
    <x v="1"/>
    <x v="2"/>
    <d v="2022-05-02T00:00:00"/>
    <x v="153"/>
    <n v="8005"/>
    <n v="5230"/>
    <n v="2775"/>
    <x v="0"/>
    <n v="11"/>
    <x v="1"/>
    <d v="2023-04-22T00:00:00"/>
    <n v="1"/>
    <n v="1707"/>
    <n v="0.35"/>
    <s v="Normal"/>
    <n v="2023"/>
    <s v="April"/>
  </r>
  <r>
    <n v="2869"/>
    <n v="394"/>
    <x v="1"/>
    <x v="2"/>
    <x v="0"/>
    <d v="2022-06-23T00:00:00"/>
    <x v="371"/>
    <n v="4967.93"/>
    <n v="2716"/>
    <n v="-3600"/>
    <x v="0"/>
    <n v="19"/>
    <x v="1"/>
    <d v="2024-01-27T00:00:00"/>
    <n v="1"/>
    <n v="1708"/>
    <n v="-0.72"/>
    <s v="Normal"/>
    <n v="2024"/>
    <s v="January"/>
  </r>
  <r>
    <n v="2870"/>
    <n v="328"/>
    <x v="2"/>
    <x v="3"/>
    <x v="1"/>
    <d v="2022-11-14T00:00:00"/>
    <x v="506"/>
    <n v="8557"/>
    <n v="7254"/>
    <n v="1303"/>
    <x v="0"/>
    <n v="10"/>
    <x v="1"/>
    <d v="2023-10-13T00:00:00"/>
    <n v="1"/>
    <n v="1709"/>
    <n v="0.15"/>
    <s v="Normal"/>
    <n v="2023"/>
    <s v="October"/>
  </r>
  <r>
    <n v="2872"/>
    <n v="163"/>
    <x v="2"/>
    <x v="2"/>
    <x v="0"/>
    <d v="2022-06-01T00:00:00"/>
    <x v="223"/>
    <n v="4533"/>
    <n v="4012.75"/>
    <n v="4945"/>
    <x v="0"/>
    <n v="14"/>
    <x v="1"/>
    <d v="2023-08-23T00:00:00"/>
    <n v="1"/>
    <n v="1710"/>
    <n v="1.0900000000000001"/>
    <s v="Outlier"/>
    <n v="2023"/>
    <s v="August"/>
  </r>
  <r>
    <n v="2873"/>
    <n v="342"/>
    <x v="3"/>
    <x v="3"/>
    <x v="2"/>
    <d v="2022-10-08T00:00:00"/>
    <x v="619"/>
    <n v="3708"/>
    <n v="1703"/>
    <n v="577.01"/>
    <x v="1"/>
    <n v="13"/>
    <x v="1"/>
    <d v="2023-11-18T00:00:00"/>
    <n v="0"/>
    <n v="1711"/>
    <n v="0.16"/>
    <s v="Normal"/>
    <n v="2023"/>
    <s v="November"/>
  </r>
  <r>
    <n v="2874"/>
    <n v="450"/>
    <x v="2"/>
    <x v="3"/>
    <x v="2"/>
    <d v="2022-04-25T00:00:00"/>
    <x v="269"/>
    <n v="5559"/>
    <n v="7412"/>
    <n v="-1853"/>
    <x v="1"/>
    <n v="15"/>
    <x v="1"/>
    <d v="2023-08-02T00:00:00"/>
    <n v="1"/>
    <n v="1712"/>
    <n v="-0.33"/>
    <s v="Normal"/>
    <n v="2023"/>
    <s v="August"/>
  </r>
  <r>
    <n v="2875"/>
    <n v="348"/>
    <x v="1"/>
    <x v="3"/>
    <x v="1"/>
    <d v="2022-08-29T00:00:00"/>
    <x v="527"/>
    <n v="6284"/>
    <n v="3191"/>
    <n v="3093"/>
    <x v="1"/>
    <n v="1"/>
    <x v="0"/>
    <d v="2022-10-25T00:00:00"/>
    <n v="0"/>
    <n v="1713"/>
    <n v="0.49"/>
    <s v="Normal"/>
    <n v="2022"/>
    <s v="October"/>
  </r>
  <r>
    <n v="2877"/>
    <n v="347"/>
    <x v="0"/>
    <x v="3"/>
    <x v="1"/>
    <d v="2022-03-17T00:00:00"/>
    <x v="207"/>
    <n v="2857"/>
    <n v="1208"/>
    <n v="1649"/>
    <x v="1"/>
    <n v="7"/>
    <x v="1"/>
    <d v="2022-10-17T00:00:00"/>
    <n v="0"/>
    <n v="1714"/>
    <n v="0.57999999999999996"/>
    <s v="Normal"/>
    <n v="2022"/>
    <s v="October"/>
  </r>
  <r>
    <n v="2878"/>
    <n v="103"/>
    <x v="3"/>
    <x v="2"/>
    <x v="0"/>
    <d v="2022-07-03T00:00:00"/>
    <x v="46"/>
    <n v="8136"/>
    <n v="590"/>
    <n v="7546"/>
    <x v="1"/>
    <n v="14"/>
    <x v="1"/>
    <d v="2023-09-19T00:00:00"/>
    <n v="1"/>
    <n v="1715"/>
    <n v="0.93"/>
    <s v="Normal"/>
    <n v="2023"/>
    <s v="September"/>
  </r>
  <r>
    <n v="2880"/>
    <n v="117"/>
    <x v="1"/>
    <x v="3"/>
    <x v="0"/>
    <d v="2022-06-30T00:00:00"/>
    <x v="210"/>
    <n v="8790"/>
    <n v="2547"/>
    <n v="6243"/>
    <x v="0"/>
    <n v="14"/>
    <x v="1"/>
    <d v="2023-09-12T00:00:00"/>
    <n v="0"/>
    <n v="1716"/>
    <n v="0.71"/>
    <s v="Normal"/>
    <n v="2023"/>
    <s v="September"/>
  </r>
  <r>
    <n v="2883"/>
    <n v="289"/>
    <x v="3"/>
    <x v="0"/>
    <x v="2"/>
    <d v="2022-01-29T00:00:00"/>
    <x v="335"/>
    <n v="8640"/>
    <n v="1515"/>
    <n v="7125"/>
    <x v="2"/>
    <n v="18"/>
    <x v="1"/>
    <d v="2023-08-18T00:00:00"/>
    <n v="0"/>
    <n v="1717"/>
    <n v="0.82"/>
    <s v="Normal"/>
    <n v="2023"/>
    <s v="August"/>
  </r>
  <r>
    <n v="2884"/>
    <n v="287"/>
    <x v="3"/>
    <x v="0"/>
    <x v="1"/>
    <d v="2022-10-21T00:00:00"/>
    <x v="624"/>
    <n v="8522"/>
    <n v="5601"/>
    <n v="2921"/>
    <x v="1"/>
    <n v="15"/>
    <x v="1"/>
    <d v="2024-02-12T00:00:00"/>
    <n v="0"/>
    <n v="1718"/>
    <n v="0.34"/>
    <s v="Normal"/>
    <n v="2024"/>
    <s v="February"/>
  </r>
  <r>
    <n v="2885"/>
    <n v="454"/>
    <x v="3"/>
    <x v="3"/>
    <x v="1"/>
    <d v="2022-05-28T00:00:00"/>
    <x v="328"/>
    <n v="3363"/>
    <n v="4678"/>
    <n v="-1315"/>
    <x v="2"/>
    <n v="13"/>
    <x v="1"/>
    <d v="2023-07-07T00:00:00"/>
    <n v="0"/>
    <n v="1719"/>
    <n v="-0.39"/>
    <s v="Normal"/>
    <n v="2023"/>
    <s v="July"/>
  </r>
  <r>
    <n v="2886"/>
    <n v="133"/>
    <x v="1"/>
    <x v="3"/>
    <x v="1"/>
    <d v="2022-11-15T00:00:00"/>
    <x v="359"/>
    <n v="1622"/>
    <n v="4785"/>
    <n v="577.01"/>
    <x v="2"/>
    <n v="17"/>
    <x v="1"/>
    <d v="2024-04-17T00:00:00"/>
    <n v="1"/>
    <n v="1720"/>
    <n v="0.36"/>
    <s v="Normal"/>
    <n v="2024"/>
    <s v="April"/>
  </r>
  <r>
    <n v="2887"/>
    <n v="211"/>
    <x v="2"/>
    <x v="0"/>
    <x v="1"/>
    <d v="2022-10-05T00:00:00"/>
    <x v="259"/>
    <n v="9586"/>
    <n v="1178"/>
    <n v="8408"/>
    <x v="0"/>
    <n v="16"/>
    <x v="1"/>
    <d v="2024-02-20T00:00:00"/>
    <n v="1"/>
    <n v="1721"/>
    <n v="0.88"/>
    <s v="Normal"/>
    <n v="2024"/>
    <s v="February"/>
  </r>
  <r>
    <n v="2889"/>
    <n v="172"/>
    <x v="1"/>
    <x v="1"/>
    <x v="1"/>
    <d v="2022-03-07T00:00:00"/>
    <x v="695"/>
    <n v="7898"/>
    <n v="1158"/>
    <n v="6740"/>
    <x v="1"/>
    <n v="1"/>
    <x v="0"/>
    <d v="2022-05-01T00:00:00"/>
    <n v="1"/>
    <n v="1722"/>
    <n v="0.85"/>
    <s v="Normal"/>
    <n v="2022"/>
    <s v="May"/>
  </r>
  <r>
    <n v="2891"/>
    <n v="370"/>
    <x v="4"/>
    <x v="1"/>
    <x v="2"/>
    <d v="2022-12-12T00:00:00"/>
    <x v="316"/>
    <n v="4967.93"/>
    <n v="4276"/>
    <n v="-5486"/>
    <x v="1"/>
    <n v="11"/>
    <x v="1"/>
    <d v="2023-11-21T00:00:00"/>
    <n v="0"/>
    <n v="1723"/>
    <n v="-1.1000000000000001"/>
    <s v="Outlier"/>
    <n v="2023"/>
    <s v="November"/>
  </r>
  <r>
    <n v="2897"/>
    <n v="373"/>
    <x v="0"/>
    <x v="2"/>
    <x v="1"/>
    <d v="2022-06-20T00:00:00"/>
    <x v="328"/>
    <n v="4857"/>
    <n v="5352"/>
    <n v="-495"/>
    <x v="1"/>
    <n v="12"/>
    <x v="1"/>
    <d v="2023-07-07T00:00:00"/>
    <n v="1"/>
    <n v="1724"/>
    <n v="-0.1"/>
    <s v="Normal"/>
    <n v="2023"/>
    <s v="July"/>
  </r>
  <r>
    <n v="2901"/>
    <n v="452"/>
    <x v="4"/>
    <x v="1"/>
    <x v="1"/>
    <d v="2022-05-17T00:00:00"/>
    <x v="673"/>
    <n v="6124"/>
    <n v="5743"/>
    <n v="381"/>
    <x v="1"/>
    <n v="16"/>
    <x v="1"/>
    <d v="2023-10-14T00:00:00"/>
    <n v="0"/>
    <n v="1725"/>
    <n v="0.06"/>
    <s v="Normal"/>
    <n v="2023"/>
    <s v="October"/>
  </r>
  <r>
    <n v="2903"/>
    <n v="489"/>
    <x v="3"/>
    <x v="2"/>
    <x v="1"/>
    <d v="2022-10-20T00:00:00"/>
    <x v="200"/>
    <n v="3501"/>
    <n v="3862"/>
    <n v="-361"/>
    <x v="0"/>
    <n v="13"/>
    <x v="1"/>
    <d v="2023-12-09T00:00:00"/>
    <n v="0"/>
    <n v="1726"/>
    <n v="-0.1"/>
    <s v="Normal"/>
    <n v="2023"/>
    <s v="December"/>
  </r>
  <r>
    <n v="2905"/>
    <n v="380"/>
    <x v="0"/>
    <x v="2"/>
    <x v="2"/>
    <d v="2022-10-29T00:00:00"/>
    <x v="309"/>
    <n v="2759"/>
    <n v="6754"/>
    <n v="577.01"/>
    <x v="2"/>
    <n v="5"/>
    <x v="0"/>
    <d v="2023-04-19T00:00:00"/>
    <n v="0"/>
    <n v="1727"/>
    <n v="0.21"/>
    <s v="Normal"/>
    <n v="2023"/>
    <s v="April"/>
  </r>
  <r>
    <n v="2907"/>
    <n v="196"/>
    <x v="1"/>
    <x v="3"/>
    <x v="0"/>
    <d v="2022-03-23T00:00:00"/>
    <x v="192"/>
    <n v="9464"/>
    <n v="4823"/>
    <n v="4641"/>
    <x v="1"/>
    <n v="9"/>
    <x v="1"/>
    <d v="2023-01-06T00:00:00"/>
    <n v="1"/>
    <n v="1728"/>
    <n v="0.49"/>
    <s v="Normal"/>
    <n v="2023"/>
    <s v="January"/>
  </r>
  <r>
    <n v="2910"/>
    <n v="433"/>
    <x v="1"/>
    <x v="0"/>
    <x v="0"/>
    <d v="2022-12-17T00:00:00"/>
    <x v="281"/>
    <n v="4967.93"/>
    <n v="2062"/>
    <n v="-3074"/>
    <x v="2"/>
    <n v="18"/>
    <x v="1"/>
    <d v="2024-06-17T00:00:00"/>
    <n v="1"/>
    <n v="1729"/>
    <n v="-0.62"/>
    <s v="Normal"/>
    <n v="2024"/>
    <s v="June"/>
  </r>
  <r>
    <n v="2911"/>
    <n v="219"/>
    <x v="0"/>
    <x v="3"/>
    <x v="2"/>
    <d v="2022-09-01T00:00:00"/>
    <x v="136"/>
    <n v="7531"/>
    <n v="4012.75"/>
    <n v="7859"/>
    <x v="1"/>
    <n v="11"/>
    <x v="1"/>
    <d v="2023-08-11T00:00:00"/>
    <n v="1"/>
    <n v="1730"/>
    <n v="1.04"/>
    <s v="Outlier"/>
    <n v="2023"/>
    <s v="August"/>
  </r>
  <r>
    <n v="2912"/>
    <n v="347"/>
    <x v="1"/>
    <x v="1"/>
    <x v="1"/>
    <d v="2022-09-06T00:00:00"/>
    <x v="553"/>
    <n v="9488"/>
    <n v="1759"/>
    <n v="7729"/>
    <x v="1"/>
    <n v="4"/>
    <x v="0"/>
    <d v="2023-01-30T00:00:00"/>
    <n v="0"/>
    <n v="1731"/>
    <n v="0.81"/>
    <s v="Normal"/>
    <n v="2023"/>
    <s v="January"/>
  </r>
  <r>
    <n v="2913"/>
    <n v="441"/>
    <x v="1"/>
    <x v="1"/>
    <x v="1"/>
    <d v="2022-06-28T00:00:00"/>
    <x v="189"/>
    <n v="8517"/>
    <n v="5901"/>
    <n v="2616"/>
    <x v="1"/>
    <n v="9"/>
    <x v="1"/>
    <d v="2023-04-04T00:00:00"/>
    <n v="1"/>
    <n v="1732"/>
    <n v="0.31"/>
    <s v="Normal"/>
    <n v="2023"/>
    <s v="April"/>
  </r>
  <r>
    <n v="2916"/>
    <n v="431"/>
    <x v="3"/>
    <x v="0"/>
    <x v="2"/>
    <d v="2022-11-03T00:00:00"/>
    <x v="127"/>
    <n v="8345"/>
    <n v="4639"/>
    <n v="3706"/>
    <x v="2"/>
    <n v="16"/>
    <x v="1"/>
    <d v="2024-03-07T00:00:00"/>
    <n v="0"/>
    <n v="1733"/>
    <n v="0.44"/>
    <s v="Normal"/>
    <n v="2024"/>
    <s v="March"/>
  </r>
  <r>
    <n v="2918"/>
    <n v="485"/>
    <x v="4"/>
    <x v="3"/>
    <x v="2"/>
    <d v="2022-11-07T00:00:00"/>
    <x v="277"/>
    <n v="1369"/>
    <n v="7848"/>
    <n v="577.01"/>
    <x v="2"/>
    <n v="11"/>
    <x v="1"/>
    <d v="2023-10-09T00:00:00"/>
    <n v="0"/>
    <n v="1734"/>
    <n v="0.42"/>
    <s v="Normal"/>
    <n v="2023"/>
    <s v="October"/>
  </r>
  <r>
    <n v="2919"/>
    <n v="281"/>
    <x v="3"/>
    <x v="0"/>
    <x v="1"/>
    <d v="2022-11-29T00:00:00"/>
    <x v="302"/>
    <n v="3604"/>
    <n v="423"/>
    <n v="3181"/>
    <x v="1"/>
    <n v="15"/>
    <x v="1"/>
    <d v="2024-03-12T00:00:00"/>
    <n v="0"/>
    <n v="1735"/>
    <n v="0.88"/>
    <s v="Normal"/>
    <n v="2024"/>
    <s v="March"/>
  </r>
  <r>
    <n v="2920"/>
    <n v="248"/>
    <x v="4"/>
    <x v="1"/>
    <x v="1"/>
    <d v="2022-12-24T00:00:00"/>
    <x v="235"/>
    <n v="4967.93"/>
    <n v="6245"/>
    <n v="-7137"/>
    <x v="1"/>
    <n v="1"/>
    <x v="0"/>
    <d v="2023-02-15T00:00:00"/>
    <n v="1"/>
    <n v="1736"/>
    <n v="-1.44"/>
    <s v="Outlier"/>
    <n v="2023"/>
    <s v="February"/>
  </r>
  <r>
    <n v="2922"/>
    <n v="477"/>
    <x v="0"/>
    <x v="1"/>
    <x v="2"/>
    <d v="2022-12-28T00:00:00"/>
    <x v="340"/>
    <n v="1009"/>
    <n v="4737"/>
    <n v="577.01"/>
    <x v="0"/>
    <n v="2"/>
    <x v="0"/>
    <d v="2023-03-03T00:00:00"/>
    <n v="1"/>
    <n v="1737"/>
    <n v="0.56999999999999995"/>
    <s v="Normal"/>
    <n v="2023"/>
    <s v="March"/>
  </r>
  <r>
    <n v="2923"/>
    <n v="368"/>
    <x v="4"/>
    <x v="3"/>
    <x v="2"/>
    <d v="2022-05-02T00:00:00"/>
    <x v="591"/>
    <n v="2859"/>
    <n v="552"/>
    <n v="2307"/>
    <x v="2"/>
    <n v="7"/>
    <x v="1"/>
    <d v="2022-12-13T00:00:00"/>
    <n v="0"/>
    <n v="1738"/>
    <n v="0.81"/>
    <s v="Normal"/>
    <n v="2022"/>
    <s v="December"/>
  </r>
  <r>
    <n v="2925"/>
    <n v="489"/>
    <x v="3"/>
    <x v="3"/>
    <x v="1"/>
    <d v="2022-09-21T00:00:00"/>
    <x v="491"/>
    <n v="4967.93"/>
    <n v="7084"/>
    <n v="-9018"/>
    <x v="2"/>
    <n v="14"/>
    <x v="1"/>
    <d v="2023-12-08T00:00:00"/>
    <n v="0"/>
    <n v="1739"/>
    <n v="-1.82"/>
    <s v="Outlier"/>
    <n v="2023"/>
    <s v="December"/>
  </r>
  <r>
    <n v="2927"/>
    <n v="343"/>
    <x v="4"/>
    <x v="0"/>
    <x v="2"/>
    <d v="2022-06-01T00:00:00"/>
    <x v="615"/>
    <n v="5001"/>
    <n v="4446"/>
    <n v="555"/>
    <x v="1"/>
    <n v="1"/>
    <x v="0"/>
    <d v="2022-07-09T00:00:00"/>
    <n v="0"/>
    <n v="1740"/>
    <n v="0.11"/>
    <s v="Normal"/>
    <n v="2022"/>
    <s v="July"/>
  </r>
  <r>
    <n v="2928"/>
    <n v="359"/>
    <x v="4"/>
    <x v="0"/>
    <x v="1"/>
    <d v="2022-06-09T00:00:00"/>
    <x v="49"/>
    <n v="2278"/>
    <n v="7179"/>
    <n v="-4901"/>
    <x v="1"/>
    <n v="15"/>
    <x v="1"/>
    <d v="2023-09-14T00:00:00"/>
    <n v="1"/>
    <n v="1741"/>
    <n v="-2.15"/>
    <s v="Outlier"/>
    <n v="2023"/>
    <s v="September"/>
  </r>
  <r>
    <n v="2929"/>
    <n v="151"/>
    <x v="4"/>
    <x v="0"/>
    <x v="1"/>
    <d v="2022-03-12T00:00:00"/>
    <x v="7"/>
    <n v="4967.93"/>
    <n v="1915"/>
    <n v="-3361"/>
    <x v="1"/>
    <n v="11"/>
    <x v="1"/>
    <d v="2023-03-04T00:00:00"/>
    <n v="1"/>
    <n v="1742"/>
    <n v="-0.68"/>
    <s v="Normal"/>
    <n v="2023"/>
    <s v="March"/>
  </r>
  <r>
    <n v="2931"/>
    <n v="349"/>
    <x v="3"/>
    <x v="0"/>
    <x v="2"/>
    <d v="2022-06-29T00:00:00"/>
    <x v="509"/>
    <n v="9082"/>
    <n v="7460"/>
    <n v="1622"/>
    <x v="1"/>
    <n v="3"/>
    <x v="0"/>
    <d v="2022-10-23T00:00:00"/>
    <n v="1"/>
    <n v="1743"/>
    <n v="0.18"/>
    <s v="Normal"/>
    <n v="2022"/>
    <s v="October"/>
  </r>
  <r>
    <n v="2932"/>
    <n v="293"/>
    <x v="1"/>
    <x v="1"/>
    <x v="1"/>
    <d v="2022-08-20T00:00:00"/>
    <x v="499"/>
    <n v="4967.93"/>
    <n v="1440"/>
    <n v="-1459"/>
    <x v="1"/>
    <n v="2"/>
    <x v="0"/>
    <d v="2022-10-20T00:00:00"/>
    <n v="0"/>
    <n v="1744"/>
    <n v="-0.28999999999999998"/>
    <s v="Normal"/>
    <n v="2022"/>
    <s v="October"/>
  </r>
  <r>
    <n v="2935"/>
    <n v="369"/>
    <x v="2"/>
    <x v="3"/>
    <x v="1"/>
    <d v="2022-03-18T00:00:00"/>
    <x v="696"/>
    <n v="2743"/>
    <n v="4012.75"/>
    <n v="3552"/>
    <x v="1"/>
    <n v="7"/>
    <x v="1"/>
    <d v="2022-11-16T00:00:00"/>
    <n v="1"/>
    <n v="1745"/>
    <n v="1.29"/>
    <s v="Outlier"/>
    <n v="2022"/>
    <s v="November"/>
  </r>
  <r>
    <n v="2936"/>
    <n v="129"/>
    <x v="4"/>
    <x v="3"/>
    <x v="1"/>
    <d v="2022-02-24T00:00:00"/>
    <x v="697"/>
    <n v="921"/>
    <n v="760"/>
    <n v="161"/>
    <x v="0"/>
    <n v="6"/>
    <x v="2"/>
    <d v="2022-09-19T00:00:00"/>
    <n v="1"/>
    <n v="1746"/>
    <n v="0.17"/>
    <s v="Normal"/>
    <n v="2022"/>
    <s v="September"/>
  </r>
  <r>
    <n v="2937"/>
    <n v="255"/>
    <x v="2"/>
    <x v="2"/>
    <x v="0"/>
    <d v="2022-09-09T00:00:00"/>
    <x v="698"/>
    <n v="4967.93"/>
    <n v="3685"/>
    <n v="577.01"/>
    <x v="0"/>
    <n v="15"/>
    <x v="1"/>
    <d v="2024-01-03T00:00:00"/>
    <n v="0"/>
    <n v="1747"/>
    <n v="0.12"/>
    <s v="Normal"/>
    <n v="2024"/>
    <s v="January"/>
  </r>
  <r>
    <n v="2939"/>
    <n v="446"/>
    <x v="3"/>
    <x v="0"/>
    <x v="1"/>
    <d v="2022-07-10T00:00:00"/>
    <x v="323"/>
    <n v="6613"/>
    <n v="3596"/>
    <n v="3017"/>
    <x v="0"/>
    <n v="13"/>
    <x v="1"/>
    <d v="2023-09-03T00:00:00"/>
    <n v="1"/>
    <n v="1748"/>
    <n v="0.46"/>
    <s v="Normal"/>
    <n v="2023"/>
    <s v="September"/>
  </r>
  <r>
    <n v="2941"/>
    <n v="151"/>
    <x v="0"/>
    <x v="2"/>
    <x v="0"/>
    <d v="2022-05-23T00:00:00"/>
    <x v="52"/>
    <n v="4967.93"/>
    <n v="4012.75"/>
    <n v="-300"/>
    <x v="2"/>
    <n v="16"/>
    <x v="1"/>
    <d v="2023-10-04T00:00:00"/>
    <n v="0"/>
    <n v="1749"/>
    <n v="-0.06"/>
    <s v="Normal"/>
    <n v="2023"/>
    <s v="October"/>
  </r>
  <r>
    <n v="2943"/>
    <n v="309"/>
    <x v="2"/>
    <x v="3"/>
    <x v="2"/>
    <d v="2022-09-06T00:00:00"/>
    <x v="699"/>
    <n v="5859"/>
    <n v="6077"/>
    <n v="-218"/>
    <x v="1"/>
    <n v="2"/>
    <x v="0"/>
    <d v="2022-11-07T00:00:00"/>
    <n v="1"/>
    <n v="1750"/>
    <n v="-0.04"/>
    <s v="Normal"/>
    <n v="2022"/>
    <s v="November"/>
  </r>
  <r>
    <n v="2944"/>
    <n v="363"/>
    <x v="3"/>
    <x v="3"/>
    <x v="2"/>
    <d v="2022-02-25T00:00:00"/>
    <x v="324"/>
    <n v="1395"/>
    <n v="7652"/>
    <n v="-6257"/>
    <x v="2"/>
    <n v="2"/>
    <x v="0"/>
    <d v="2022-05-11T00:00:00"/>
    <n v="1"/>
    <n v="1751"/>
    <n v="-4.49"/>
    <s v="Outlier"/>
    <n v="2022"/>
    <s v="May"/>
  </r>
  <r>
    <n v="2948"/>
    <n v="347"/>
    <x v="2"/>
    <x v="3"/>
    <x v="0"/>
    <d v="2022-09-17T00:00:00"/>
    <x v="331"/>
    <n v="4967.93"/>
    <n v="4012.75"/>
    <n v="368"/>
    <x v="2"/>
    <n v="16"/>
    <x v="1"/>
    <d v="2024-01-31T00:00:00"/>
    <n v="1"/>
    <n v="1752"/>
    <n v="7.0000000000000007E-2"/>
    <s v="Normal"/>
    <n v="2024"/>
    <s v="January"/>
  </r>
  <r>
    <n v="2949"/>
    <n v="452"/>
    <x v="3"/>
    <x v="3"/>
    <x v="0"/>
    <d v="2022-06-19T00:00:00"/>
    <x v="260"/>
    <n v="7476"/>
    <n v="4012.75"/>
    <n v="8158"/>
    <x v="1"/>
    <n v="12"/>
    <x v="1"/>
    <d v="2023-07-11T00:00:00"/>
    <n v="1"/>
    <n v="1753"/>
    <n v="1.0900000000000001"/>
    <s v="Outlier"/>
    <n v="2023"/>
    <s v="July"/>
  </r>
  <r>
    <n v="2951"/>
    <n v="281"/>
    <x v="1"/>
    <x v="2"/>
    <x v="1"/>
    <d v="2022-07-28T00:00:00"/>
    <x v="422"/>
    <n v="2842"/>
    <n v="4012"/>
    <n v="-1170"/>
    <x v="1"/>
    <n v="17"/>
    <x v="1"/>
    <d v="2024-01-10T00:00:00"/>
    <n v="1"/>
    <n v="1754"/>
    <n v="-0.41"/>
    <s v="Normal"/>
    <n v="2024"/>
    <s v="January"/>
  </r>
  <r>
    <n v="2953"/>
    <n v="447"/>
    <x v="4"/>
    <x v="2"/>
    <x v="1"/>
    <d v="2022-06-24T00:00:00"/>
    <x v="436"/>
    <n v="9539"/>
    <n v="354"/>
    <n v="9185"/>
    <x v="1"/>
    <n v="10"/>
    <x v="1"/>
    <d v="2023-05-12T00:00:00"/>
    <n v="0"/>
    <n v="1755"/>
    <n v="0.96"/>
    <s v="Normal"/>
    <n v="2023"/>
    <s v="May"/>
  </r>
  <r>
    <n v="2955"/>
    <n v="411"/>
    <x v="3"/>
    <x v="2"/>
    <x v="2"/>
    <d v="2022-01-10T00:00:00"/>
    <x v="99"/>
    <n v="4967.93"/>
    <n v="7037"/>
    <n v="-7550"/>
    <x v="1"/>
    <n v="13"/>
    <x v="1"/>
    <d v="2023-02-23T00:00:00"/>
    <n v="1"/>
    <n v="1756"/>
    <n v="-1.52"/>
    <s v="Outlier"/>
    <n v="2023"/>
    <s v="February"/>
  </r>
  <r>
    <n v="2956"/>
    <n v="347"/>
    <x v="4"/>
    <x v="0"/>
    <x v="1"/>
    <d v="2022-09-03T00:00:00"/>
    <x v="273"/>
    <n v="1989"/>
    <n v="7459"/>
    <n v="577.01"/>
    <x v="1"/>
    <n v="8"/>
    <x v="1"/>
    <d v="2023-05-03T00:00:00"/>
    <n v="0"/>
    <n v="1757"/>
    <n v="0.28999999999999998"/>
    <s v="Normal"/>
    <n v="2023"/>
    <s v="May"/>
  </r>
  <r>
    <n v="2958"/>
    <n v="306"/>
    <x v="3"/>
    <x v="0"/>
    <x v="2"/>
    <d v="2022-09-04T00:00:00"/>
    <x v="332"/>
    <n v="2766"/>
    <n v="4012.75"/>
    <n v="3078"/>
    <x v="1"/>
    <n v="3"/>
    <x v="0"/>
    <d v="2022-12-25T00:00:00"/>
    <n v="1"/>
    <n v="1758"/>
    <n v="1.1100000000000001"/>
    <s v="Outlier"/>
    <n v="2022"/>
    <s v="December"/>
  </r>
  <r>
    <n v="2960"/>
    <n v="364"/>
    <x v="4"/>
    <x v="1"/>
    <x v="2"/>
    <d v="2022-12-16T00:00:00"/>
    <x v="664"/>
    <n v="9230"/>
    <n v="3591"/>
    <n v="5639"/>
    <x v="1"/>
    <n v="18"/>
    <x v="1"/>
    <d v="2024-06-27T00:00:00"/>
    <n v="1"/>
    <n v="1759"/>
    <n v="0.61"/>
    <s v="Normal"/>
    <n v="2024"/>
    <s v="June"/>
  </r>
  <r>
    <n v="2961"/>
    <n v="315"/>
    <x v="0"/>
    <x v="3"/>
    <x v="0"/>
    <d v="2022-02-25T00:00:00"/>
    <x v="434"/>
    <n v="3668"/>
    <n v="3468"/>
    <n v="200"/>
    <x v="1"/>
    <n v="5"/>
    <x v="0"/>
    <d v="2022-07-30T00:00:00"/>
    <n v="0"/>
    <n v="1760"/>
    <n v="0.05"/>
    <s v="Normal"/>
    <n v="2022"/>
    <s v="July"/>
  </r>
  <r>
    <n v="2963"/>
    <n v="414"/>
    <x v="3"/>
    <x v="1"/>
    <x v="0"/>
    <d v="2022-02-09T00:00:00"/>
    <x v="138"/>
    <n v="5672"/>
    <n v="6170"/>
    <n v="-498"/>
    <x v="1"/>
    <n v="8"/>
    <x v="1"/>
    <d v="2022-10-11T00:00:00"/>
    <n v="1"/>
    <n v="1761"/>
    <n v="-0.09"/>
    <s v="Normal"/>
    <n v="2022"/>
    <s v="October"/>
  </r>
  <r>
    <n v="2964"/>
    <n v="422"/>
    <x v="2"/>
    <x v="3"/>
    <x v="2"/>
    <d v="2022-08-09T00:00:00"/>
    <x v="371"/>
    <n v="5114"/>
    <n v="3372"/>
    <n v="1742"/>
    <x v="1"/>
    <n v="17"/>
    <x v="1"/>
    <d v="2024-01-27T00:00:00"/>
    <n v="1"/>
    <n v="1762"/>
    <n v="0.34"/>
    <s v="Normal"/>
    <n v="2024"/>
    <s v="January"/>
  </r>
  <r>
    <n v="2969"/>
    <n v="217"/>
    <x v="4"/>
    <x v="0"/>
    <x v="1"/>
    <d v="2022-04-01T00:00:00"/>
    <x v="669"/>
    <n v="3560"/>
    <n v="4054"/>
    <n v="-494"/>
    <x v="0"/>
    <n v="6"/>
    <x v="2"/>
    <d v="2022-10-16T00:00:00"/>
    <n v="0"/>
    <n v="1763"/>
    <n v="-0.14000000000000001"/>
    <s v="Normal"/>
    <n v="2022"/>
    <s v="October"/>
  </r>
  <r>
    <n v="2972"/>
    <n v="120"/>
    <x v="0"/>
    <x v="1"/>
    <x v="2"/>
    <d v="2022-06-23T00:00:00"/>
    <x v="647"/>
    <n v="2760"/>
    <n v="4778"/>
    <n v="-2018"/>
    <x v="1"/>
    <n v="18"/>
    <x v="1"/>
    <d v="2024-01-09T00:00:00"/>
    <n v="1"/>
    <n v="1764"/>
    <n v="-0.73"/>
    <s v="Normal"/>
    <n v="2024"/>
    <s v="January"/>
  </r>
  <r>
    <n v="2973"/>
    <n v="104"/>
    <x v="4"/>
    <x v="3"/>
    <x v="0"/>
    <d v="2022-04-28T00:00:00"/>
    <x v="499"/>
    <n v="4967.93"/>
    <n v="6238"/>
    <n v="-6902"/>
    <x v="2"/>
    <n v="5"/>
    <x v="0"/>
    <d v="2022-10-20T00:00:00"/>
    <n v="1"/>
    <n v="1765"/>
    <n v="-1.39"/>
    <s v="Outlier"/>
    <n v="2022"/>
    <s v="October"/>
  </r>
  <r>
    <n v="2974"/>
    <n v="452"/>
    <x v="2"/>
    <x v="2"/>
    <x v="0"/>
    <d v="2022-06-08T00:00:00"/>
    <x v="554"/>
    <n v="2482"/>
    <n v="2153"/>
    <n v="329"/>
    <x v="1"/>
    <n v="5"/>
    <x v="0"/>
    <d v="2022-11-18T00:00:00"/>
    <n v="0"/>
    <n v="1766"/>
    <n v="0.13"/>
    <s v="Normal"/>
    <n v="2022"/>
    <s v="November"/>
  </r>
  <r>
    <n v="2977"/>
    <n v="191"/>
    <x v="4"/>
    <x v="2"/>
    <x v="2"/>
    <d v="2022-11-10T00:00:00"/>
    <x v="266"/>
    <n v="6581"/>
    <n v="97"/>
    <n v="6484"/>
    <x v="1"/>
    <n v="11"/>
    <x v="1"/>
    <d v="2023-11-09T00:00:00"/>
    <n v="1"/>
    <n v="1767"/>
    <n v="0.99"/>
    <s v="Normal"/>
    <n v="2023"/>
    <s v="November"/>
  </r>
  <r>
    <n v="2978"/>
    <n v="313"/>
    <x v="3"/>
    <x v="3"/>
    <x v="0"/>
    <d v="2022-11-19T00:00:00"/>
    <x v="583"/>
    <n v="8045"/>
    <n v="4366"/>
    <n v="577.01"/>
    <x v="1"/>
    <n v="11"/>
    <x v="1"/>
    <d v="2023-10-30T00:00:00"/>
    <n v="0"/>
    <n v="1768"/>
    <n v="7.0000000000000007E-2"/>
    <s v="Normal"/>
    <n v="2023"/>
    <s v="October"/>
  </r>
  <r>
    <n v="2979"/>
    <n v="388"/>
    <x v="1"/>
    <x v="1"/>
    <x v="2"/>
    <d v="2022-08-19T00:00:00"/>
    <x v="80"/>
    <n v="7996"/>
    <n v="4012.75"/>
    <n v="8761"/>
    <x v="1"/>
    <n v="4"/>
    <x v="0"/>
    <d v="2023-01-12T00:00:00"/>
    <n v="1"/>
    <n v="1769"/>
    <n v="1.1000000000000001"/>
    <s v="Outlier"/>
    <n v="2023"/>
    <s v="January"/>
  </r>
  <r>
    <n v="2983"/>
    <n v="261"/>
    <x v="0"/>
    <x v="2"/>
    <x v="2"/>
    <d v="2022-03-29T00:00:00"/>
    <x v="111"/>
    <n v="3159"/>
    <n v="7597"/>
    <n v="-4438"/>
    <x v="1"/>
    <n v="19"/>
    <x v="1"/>
    <d v="2023-11-16T00:00:00"/>
    <n v="0"/>
    <n v="1770"/>
    <n v="-1.4"/>
    <s v="Outlier"/>
    <n v="2023"/>
    <s v="November"/>
  </r>
  <r>
    <n v="2985"/>
    <n v="194"/>
    <x v="2"/>
    <x v="0"/>
    <x v="2"/>
    <d v="2022-09-21T00:00:00"/>
    <x v="220"/>
    <n v="4967.93"/>
    <n v="884"/>
    <n v="-1463"/>
    <x v="2"/>
    <n v="6"/>
    <x v="2"/>
    <d v="2023-03-29T00:00:00"/>
    <n v="0"/>
    <n v="1771"/>
    <n v="-0.28999999999999998"/>
    <s v="Normal"/>
    <n v="2023"/>
    <s v="March"/>
  </r>
  <r>
    <n v="2986"/>
    <n v="376"/>
    <x v="2"/>
    <x v="3"/>
    <x v="1"/>
    <d v="2022-06-06T00:00:00"/>
    <x v="700"/>
    <n v="3227"/>
    <n v="7267"/>
    <n v="-4040"/>
    <x v="0"/>
    <n v="1"/>
    <x v="0"/>
    <d v="2022-07-06T00:00:00"/>
    <n v="0"/>
    <n v="1772"/>
    <n v="-1.25"/>
    <s v="Outlier"/>
    <n v="2022"/>
    <s v="July"/>
  </r>
  <r>
    <n v="2987"/>
    <n v="461"/>
    <x v="2"/>
    <x v="0"/>
    <x v="2"/>
    <d v="2022-10-31T00:00:00"/>
    <x v="117"/>
    <n v="3063"/>
    <n v="7726"/>
    <n v="-4663"/>
    <x v="0"/>
    <n v="19"/>
    <x v="1"/>
    <d v="2024-06-21T00:00:00"/>
    <n v="0"/>
    <n v="1773"/>
    <n v="-1.52"/>
    <s v="Outlier"/>
    <n v="2024"/>
    <s v="June"/>
  </r>
  <r>
    <n v="2988"/>
    <n v="125"/>
    <x v="2"/>
    <x v="1"/>
    <x v="2"/>
    <d v="2022-06-04T00:00:00"/>
    <x v="306"/>
    <n v="1004"/>
    <n v="3352"/>
    <n v="-2348"/>
    <x v="1"/>
    <n v="5"/>
    <x v="0"/>
    <d v="2022-11-25T00:00:00"/>
    <n v="1"/>
    <n v="1774"/>
    <n v="-2.34"/>
    <s v="Outlier"/>
    <n v="2022"/>
    <s v="November"/>
  </r>
  <r>
    <n v="2989"/>
    <n v="116"/>
    <x v="3"/>
    <x v="1"/>
    <x v="1"/>
    <d v="2022-06-19T00:00:00"/>
    <x v="701"/>
    <n v="152"/>
    <n v="736"/>
    <n v="-584"/>
    <x v="1"/>
    <n v="2"/>
    <x v="0"/>
    <d v="2022-08-31T00:00:00"/>
    <n v="0"/>
    <n v="1775"/>
    <n v="-3.84"/>
    <s v="Outlier"/>
    <n v="2022"/>
    <s v="August"/>
  </r>
  <r>
    <n v="2990"/>
    <n v="436"/>
    <x v="2"/>
    <x v="3"/>
    <x v="2"/>
    <d v="2022-02-03T00:00:00"/>
    <x v="702"/>
    <n v="4967.93"/>
    <n v="4012.75"/>
    <n v="-106"/>
    <x v="1"/>
    <n v="2"/>
    <x v="0"/>
    <d v="2022-04-20T00:00:00"/>
    <n v="1"/>
    <n v="1776"/>
    <n v="-0.02"/>
    <s v="Normal"/>
    <n v="2022"/>
    <s v="April"/>
  </r>
  <r>
    <n v="2991"/>
    <n v="459"/>
    <x v="0"/>
    <x v="3"/>
    <x v="0"/>
    <d v="2022-11-16T00:00:00"/>
    <x v="597"/>
    <n v="7831"/>
    <n v="4477"/>
    <n v="3354"/>
    <x v="1"/>
    <n v="12"/>
    <x v="1"/>
    <d v="2023-11-30T00:00:00"/>
    <n v="0"/>
    <n v="1777"/>
    <n v="0.43"/>
    <s v="Normal"/>
    <n v="2023"/>
    <s v="November"/>
  </r>
  <r>
    <n v="2992"/>
    <n v="379"/>
    <x v="0"/>
    <x v="1"/>
    <x v="1"/>
    <d v="2022-06-10T00:00:00"/>
    <x v="703"/>
    <n v="6644"/>
    <n v="7479"/>
    <n v="577.01"/>
    <x v="1"/>
    <n v="19"/>
    <x v="1"/>
    <d v="2024-01-29T00:00:00"/>
    <n v="0"/>
    <n v="1778"/>
    <n v="0.09"/>
    <s v="Normal"/>
    <n v="2024"/>
    <s v="January"/>
  </r>
  <r>
    <n v="2996"/>
    <n v="465"/>
    <x v="0"/>
    <x v="0"/>
    <x v="2"/>
    <d v="2022-10-29T00:00:00"/>
    <x v="194"/>
    <n v="5944"/>
    <n v="6046"/>
    <n v="-102"/>
    <x v="0"/>
    <n v="16"/>
    <x v="1"/>
    <d v="2024-03-21T00:00:00"/>
    <n v="1"/>
    <n v="1779"/>
    <n v="-0.02"/>
    <s v="Normal"/>
    <n v="2024"/>
    <s v="March"/>
  </r>
  <r>
    <n v="2997"/>
    <n v="481"/>
    <x v="4"/>
    <x v="2"/>
    <x v="1"/>
    <d v="2022-10-14T00:00:00"/>
    <x v="260"/>
    <n v="4121"/>
    <n v="6185"/>
    <n v="-2064"/>
    <x v="0"/>
    <n v="8"/>
    <x v="1"/>
    <d v="2023-07-11T00:00:00"/>
    <n v="1"/>
    <n v="1780"/>
    <n v="-0.5"/>
    <s v="Normal"/>
    <n v="2023"/>
    <s v="July"/>
  </r>
  <r>
    <n v="2998"/>
    <n v="370"/>
    <x v="0"/>
    <x v="2"/>
    <x v="2"/>
    <d v="2022-05-25T00:00:00"/>
    <x v="178"/>
    <n v="2422"/>
    <n v="5372"/>
    <n v="-2950"/>
    <x v="1"/>
    <n v="2"/>
    <x v="0"/>
    <d v="2022-08-12T00:00:00"/>
    <n v="0"/>
    <n v="1781"/>
    <n v="-1.22"/>
    <s v="Outlier"/>
    <n v="2022"/>
    <s v="August"/>
  </r>
  <r>
    <n v="3001"/>
    <n v="366"/>
    <x v="3"/>
    <x v="1"/>
    <x v="0"/>
    <d v="2022-06-21T00:00:00"/>
    <x v="136"/>
    <n v="4967.93"/>
    <n v="7492"/>
    <n v="-9161"/>
    <x v="1"/>
    <n v="13"/>
    <x v="1"/>
    <d v="2023-08-11T00:00:00"/>
    <n v="1"/>
    <n v="1782"/>
    <n v="-1.84"/>
    <s v="Outlier"/>
    <n v="2023"/>
    <s v="August"/>
  </r>
  <r>
    <n v="3005"/>
    <n v="367"/>
    <x v="1"/>
    <x v="3"/>
    <x v="1"/>
    <d v="2022-06-06T00:00:00"/>
    <x v="207"/>
    <n v="2459"/>
    <n v="5335"/>
    <n v="-2876"/>
    <x v="2"/>
    <n v="4"/>
    <x v="0"/>
    <d v="2022-10-17T00:00:00"/>
    <n v="1"/>
    <n v="1783"/>
    <n v="-1.17"/>
    <s v="Outlier"/>
    <n v="2022"/>
    <s v="October"/>
  </r>
  <r>
    <n v="3007"/>
    <n v="121"/>
    <x v="4"/>
    <x v="2"/>
    <x v="2"/>
    <d v="2022-07-19T00:00:00"/>
    <x v="417"/>
    <n v="1621"/>
    <n v="4931"/>
    <n v="-3310"/>
    <x v="1"/>
    <n v="2"/>
    <x v="0"/>
    <d v="2022-10-08T00:00:00"/>
    <n v="1"/>
    <n v="1784"/>
    <n v="-2.04"/>
    <s v="Outlier"/>
    <n v="2022"/>
    <s v="October"/>
  </r>
  <r>
    <n v="3008"/>
    <n v="248"/>
    <x v="2"/>
    <x v="0"/>
    <x v="2"/>
    <d v="2022-08-30T00:00:00"/>
    <x v="704"/>
    <n v="3848"/>
    <n v="480"/>
    <n v="3368"/>
    <x v="0"/>
    <n v="2"/>
    <x v="0"/>
    <d v="2022-11-15T00:00:00"/>
    <n v="1"/>
    <n v="1785"/>
    <n v="0.88"/>
    <s v="Normal"/>
    <n v="2022"/>
    <s v="November"/>
  </r>
  <r>
    <n v="3009"/>
    <n v="405"/>
    <x v="3"/>
    <x v="1"/>
    <x v="0"/>
    <d v="2022-11-07T00:00:00"/>
    <x v="705"/>
    <n v="9541"/>
    <n v="6216"/>
    <n v="3325"/>
    <x v="1"/>
    <n v="16"/>
    <x v="1"/>
    <d v="2024-03-20T00:00:00"/>
    <n v="1"/>
    <n v="1786"/>
    <n v="0.35"/>
    <s v="Normal"/>
    <n v="2024"/>
    <s v="March"/>
  </r>
  <r>
    <n v="3012"/>
    <n v="236"/>
    <x v="3"/>
    <x v="2"/>
    <x v="0"/>
    <d v="2022-12-29T00:00:00"/>
    <x v="584"/>
    <n v="8182"/>
    <n v="173"/>
    <n v="8009"/>
    <x v="1"/>
    <n v="17"/>
    <x v="1"/>
    <d v="2024-05-30T00:00:00"/>
    <n v="1"/>
    <n v="1787"/>
    <n v="0.98"/>
    <s v="Normal"/>
    <n v="2024"/>
    <s v="May"/>
  </r>
  <r>
    <n v="3014"/>
    <n v="454"/>
    <x v="2"/>
    <x v="0"/>
    <x v="0"/>
    <d v="2022-10-02T00:00:00"/>
    <x v="133"/>
    <n v="165"/>
    <n v="2081"/>
    <n v="-1916"/>
    <x v="2"/>
    <n v="4"/>
    <x v="0"/>
    <d v="2023-02-12T00:00:00"/>
    <n v="0"/>
    <n v="1788"/>
    <n v="-11.61"/>
    <s v="Outlier"/>
    <n v="2023"/>
    <s v="February"/>
  </r>
  <r>
    <n v="3015"/>
    <n v="240"/>
    <x v="0"/>
    <x v="0"/>
    <x v="0"/>
    <d v="2022-10-29T00:00:00"/>
    <x v="673"/>
    <n v="5091"/>
    <n v="2352"/>
    <n v="577.01"/>
    <x v="1"/>
    <n v="11"/>
    <x v="1"/>
    <d v="2023-10-14T00:00:00"/>
    <n v="0"/>
    <n v="1789"/>
    <n v="0.11"/>
    <s v="Normal"/>
    <n v="2023"/>
    <s v="October"/>
  </r>
  <r>
    <n v="3018"/>
    <n v="120"/>
    <x v="1"/>
    <x v="0"/>
    <x v="1"/>
    <d v="2022-09-05T00:00:00"/>
    <x v="521"/>
    <n v="1632"/>
    <n v="3126"/>
    <n v="-1494"/>
    <x v="1"/>
    <n v="2"/>
    <x v="0"/>
    <d v="2022-11-11T00:00:00"/>
    <n v="0"/>
    <n v="1790"/>
    <n v="-0.92"/>
    <s v="Normal"/>
    <n v="2022"/>
    <s v="November"/>
  </r>
  <r>
    <n v="3022"/>
    <n v="180"/>
    <x v="1"/>
    <x v="1"/>
    <x v="2"/>
    <d v="2022-01-05T00:00:00"/>
    <x v="633"/>
    <n v="6717"/>
    <n v="151"/>
    <n v="6566"/>
    <x v="1"/>
    <n v="8"/>
    <x v="1"/>
    <d v="2022-09-16T00:00:00"/>
    <n v="1"/>
    <n v="1791"/>
    <n v="0.98"/>
    <s v="Normal"/>
    <n v="2022"/>
    <s v="September"/>
  </r>
  <r>
    <n v="3023"/>
    <n v="294"/>
    <x v="4"/>
    <x v="3"/>
    <x v="1"/>
    <d v="2022-06-05T00:00:00"/>
    <x v="280"/>
    <n v="9239"/>
    <n v="1339"/>
    <n v="7900"/>
    <x v="1"/>
    <n v="15"/>
    <x v="1"/>
    <d v="2023-09-06T00:00:00"/>
    <n v="0"/>
    <n v="1792"/>
    <n v="0.86"/>
    <s v="Normal"/>
    <n v="2023"/>
    <s v="September"/>
  </r>
  <r>
    <n v="3026"/>
    <n v="390"/>
    <x v="3"/>
    <x v="3"/>
    <x v="0"/>
    <d v="2022-03-06T00:00:00"/>
    <x v="416"/>
    <n v="8065"/>
    <n v="4012.75"/>
    <n v="8438"/>
    <x v="2"/>
    <n v="17"/>
    <x v="1"/>
    <d v="2023-09-04T00:00:00"/>
    <n v="0"/>
    <n v="1793"/>
    <n v="1.05"/>
    <s v="Outlier"/>
    <n v="2023"/>
    <s v="September"/>
  </r>
  <r>
    <n v="3029"/>
    <n v="108"/>
    <x v="4"/>
    <x v="1"/>
    <x v="0"/>
    <d v="2022-05-17T00:00:00"/>
    <x v="454"/>
    <n v="9547"/>
    <n v="211"/>
    <n v="9336"/>
    <x v="1"/>
    <n v="15"/>
    <x v="1"/>
    <d v="2023-09-05T00:00:00"/>
    <n v="0"/>
    <n v="1794"/>
    <n v="0.98"/>
    <s v="Normal"/>
    <n v="2023"/>
    <s v="September"/>
  </r>
  <r>
    <n v="3032"/>
    <n v="490"/>
    <x v="3"/>
    <x v="2"/>
    <x v="1"/>
    <d v="2022-10-28T00:00:00"/>
    <x v="706"/>
    <n v="5380"/>
    <n v="3042"/>
    <n v="2338"/>
    <x v="0"/>
    <n v="13"/>
    <x v="1"/>
    <d v="2023-12-03T00:00:00"/>
    <n v="1"/>
    <n v="1795"/>
    <n v="0.43"/>
    <s v="Normal"/>
    <n v="2023"/>
    <s v="December"/>
  </r>
  <r>
    <n v="3033"/>
    <n v="450"/>
    <x v="0"/>
    <x v="3"/>
    <x v="0"/>
    <d v="2022-02-24T00:00:00"/>
    <x v="78"/>
    <n v="9968"/>
    <n v="2487"/>
    <n v="7481"/>
    <x v="1"/>
    <n v="4"/>
    <x v="0"/>
    <d v="2022-07-13T00:00:00"/>
    <n v="1"/>
    <n v="1796"/>
    <n v="0.75"/>
    <s v="Normal"/>
    <n v="2022"/>
    <s v="July"/>
  </r>
  <r>
    <n v="3034"/>
    <n v="258"/>
    <x v="2"/>
    <x v="0"/>
    <x v="1"/>
    <d v="2022-09-09T00:00:00"/>
    <x v="173"/>
    <n v="4969"/>
    <n v="1571"/>
    <n v="3398"/>
    <x v="1"/>
    <n v="3"/>
    <x v="0"/>
    <d v="2023-01-04T00:00:00"/>
    <n v="1"/>
    <n v="1797"/>
    <n v="0.68"/>
    <s v="Normal"/>
    <n v="2023"/>
    <s v="January"/>
  </r>
  <r>
    <n v="3035"/>
    <n v="458"/>
    <x v="4"/>
    <x v="1"/>
    <x v="2"/>
    <d v="2022-04-22T00:00:00"/>
    <x v="138"/>
    <n v="5048"/>
    <n v="4829"/>
    <n v="219"/>
    <x v="0"/>
    <n v="5"/>
    <x v="0"/>
    <d v="2022-10-11T00:00:00"/>
    <n v="1"/>
    <n v="1798"/>
    <n v="0.04"/>
    <s v="Normal"/>
    <n v="2022"/>
    <s v="October"/>
  </r>
  <r>
    <n v="3036"/>
    <n v="288"/>
    <x v="1"/>
    <x v="1"/>
    <x v="1"/>
    <d v="2022-08-01T00:00:00"/>
    <x v="703"/>
    <n v="3228"/>
    <n v="4012.75"/>
    <n v="3931"/>
    <x v="1"/>
    <n v="17"/>
    <x v="1"/>
    <d v="2024-01-29T00:00:00"/>
    <n v="1"/>
    <n v="1799"/>
    <n v="1.22"/>
    <s v="Outlier"/>
    <n v="2024"/>
    <s v="January"/>
  </r>
  <r>
    <n v="3037"/>
    <n v="408"/>
    <x v="0"/>
    <x v="2"/>
    <x v="0"/>
    <d v="2022-10-28T00:00:00"/>
    <x v="707"/>
    <n v="7244"/>
    <n v="6950"/>
    <n v="294"/>
    <x v="2"/>
    <n v="16"/>
    <x v="1"/>
    <d v="2024-03-02T00:00:00"/>
    <n v="0"/>
    <n v="1800"/>
    <n v="0.04"/>
    <s v="Normal"/>
    <n v="2024"/>
    <s v="March"/>
  </r>
  <r>
    <n v="3038"/>
    <n v="213"/>
    <x v="2"/>
    <x v="0"/>
    <x v="2"/>
    <d v="2022-11-07T00:00:00"/>
    <x v="581"/>
    <n v="4967.93"/>
    <n v="7883"/>
    <n v="-9639"/>
    <x v="1"/>
    <n v="8"/>
    <x v="1"/>
    <d v="2023-07-27T00:00:00"/>
    <n v="0"/>
    <n v="1801"/>
    <n v="-1.94"/>
    <s v="Outlier"/>
    <n v="2023"/>
    <s v="July"/>
  </r>
  <r>
    <n v="3039"/>
    <n v="152"/>
    <x v="2"/>
    <x v="2"/>
    <x v="0"/>
    <d v="2022-09-15T00:00:00"/>
    <x v="338"/>
    <n v="9500"/>
    <n v="2991"/>
    <n v="6509"/>
    <x v="1"/>
    <n v="13"/>
    <x v="1"/>
    <d v="2023-10-24T00:00:00"/>
    <n v="1"/>
    <n v="1802"/>
    <n v="0.69"/>
    <s v="Normal"/>
    <n v="2023"/>
    <s v="October"/>
  </r>
  <r>
    <n v="3041"/>
    <n v="206"/>
    <x v="3"/>
    <x v="3"/>
    <x v="2"/>
    <d v="2022-08-19T00:00:00"/>
    <x v="132"/>
    <n v="1208"/>
    <n v="4988"/>
    <n v="-3780"/>
    <x v="0"/>
    <n v="2"/>
    <x v="0"/>
    <d v="2022-11-02T00:00:00"/>
    <n v="0"/>
    <n v="1803"/>
    <n v="-3.13"/>
    <s v="Outlier"/>
    <n v="2022"/>
    <s v="November"/>
  </r>
  <r>
    <n v="3042"/>
    <n v="442"/>
    <x v="4"/>
    <x v="1"/>
    <x v="1"/>
    <d v="2022-02-05T00:00:00"/>
    <x v="580"/>
    <n v="9032"/>
    <n v="2105"/>
    <n v="6927"/>
    <x v="0"/>
    <n v="4"/>
    <x v="0"/>
    <d v="2022-06-25T00:00:00"/>
    <n v="0"/>
    <n v="1804"/>
    <n v="0.77"/>
    <s v="Normal"/>
    <n v="2022"/>
    <s v="June"/>
  </r>
  <r>
    <n v="3046"/>
    <n v="460"/>
    <x v="3"/>
    <x v="2"/>
    <x v="1"/>
    <d v="2022-06-12T00:00:00"/>
    <x v="66"/>
    <n v="4517"/>
    <n v="5873"/>
    <n v="-1356"/>
    <x v="1"/>
    <n v="12"/>
    <x v="1"/>
    <d v="2023-07-04T00:00:00"/>
    <n v="0"/>
    <n v="1805"/>
    <n v="-0.3"/>
    <s v="Normal"/>
    <n v="2023"/>
    <s v="July"/>
  </r>
  <r>
    <n v="3050"/>
    <n v="265"/>
    <x v="2"/>
    <x v="1"/>
    <x v="1"/>
    <d v="2022-02-18T00:00:00"/>
    <x v="163"/>
    <n v="741"/>
    <n v="3877"/>
    <n v="-3136"/>
    <x v="0"/>
    <n v="16"/>
    <x v="1"/>
    <d v="2023-07-05T00:00:00"/>
    <n v="1"/>
    <n v="1806"/>
    <n v="-4.2300000000000004"/>
    <s v="Outlier"/>
    <n v="2023"/>
    <s v="July"/>
  </r>
  <r>
    <n v="3052"/>
    <n v="422"/>
    <x v="1"/>
    <x v="3"/>
    <x v="1"/>
    <d v="2022-10-31T00:00:00"/>
    <x v="558"/>
    <n v="6250"/>
    <n v="1291"/>
    <n v="4959"/>
    <x v="0"/>
    <n v="9"/>
    <x v="1"/>
    <d v="2023-08-04T00:00:00"/>
    <n v="1"/>
    <n v="1807"/>
    <n v="0.79"/>
    <s v="Normal"/>
    <n v="2023"/>
    <s v="August"/>
  </r>
  <r>
    <n v="3055"/>
    <n v="364"/>
    <x v="3"/>
    <x v="3"/>
    <x v="2"/>
    <d v="2022-06-26T00:00:00"/>
    <x v="336"/>
    <n v="4312"/>
    <n v="589"/>
    <n v="3723"/>
    <x v="1"/>
    <n v="3"/>
    <x v="0"/>
    <d v="2022-09-29T00:00:00"/>
    <n v="1"/>
    <n v="1808"/>
    <n v="0.86"/>
    <s v="Normal"/>
    <n v="2022"/>
    <s v="September"/>
  </r>
  <r>
    <n v="3058"/>
    <n v="187"/>
    <x v="2"/>
    <x v="0"/>
    <x v="0"/>
    <d v="2022-07-04T00:00:00"/>
    <x v="506"/>
    <n v="6216"/>
    <n v="6446"/>
    <n v="-230"/>
    <x v="2"/>
    <n v="15"/>
    <x v="1"/>
    <d v="2023-10-13T00:00:00"/>
    <n v="0"/>
    <n v="1809"/>
    <n v="-0.04"/>
    <s v="Normal"/>
    <n v="2023"/>
    <s v="October"/>
  </r>
  <r>
    <n v="3059"/>
    <n v="457"/>
    <x v="2"/>
    <x v="3"/>
    <x v="2"/>
    <d v="2022-04-08T00:00:00"/>
    <x v="680"/>
    <n v="9893"/>
    <n v="3807"/>
    <n v="6086"/>
    <x v="1"/>
    <n v="9"/>
    <x v="1"/>
    <d v="2023-01-26T00:00:00"/>
    <n v="1"/>
    <n v="1810"/>
    <n v="0.62"/>
    <s v="Normal"/>
    <n v="2023"/>
    <s v="January"/>
  </r>
  <r>
    <n v="3060"/>
    <n v="491"/>
    <x v="1"/>
    <x v="2"/>
    <x v="2"/>
    <d v="2022-11-25T00:00:00"/>
    <x v="708"/>
    <n v="9660"/>
    <n v="2367"/>
    <n v="7293"/>
    <x v="0"/>
    <n v="17"/>
    <x v="1"/>
    <d v="2024-05-23T00:00:00"/>
    <n v="0"/>
    <n v="1811"/>
    <n v="0.75"/>
    <s v="Normal"/>
    <n v="2024"/>
    <s v="May"/>
  </r>
  <r>
    <n v="3061"/>
    <n v="451"/>
    <x v="1"/>
    <x v="2"/>
    <x v="1"/>
    <d v="2022-03-21T00:00:00"/>
    <x v="87"/>
    <n v="715"/>
    <n v="2040"/>
    <n v="-1325"/>
    <x v="1"/>
    <n v="19"/>
    <x v="1"/>
    <d v="2023-11-01T00:00:00"/>
    <n v="1"/>
    <n v="1812"/>
    <n v="-1.85"/>
    <s v="Outlier"/>
    <n v="2023"/>
    <s v="November"/>
  </r>
  <r>
    <n v="3062"/>
    <n v="255"/>
    <x v="4"/>
    <x v="1"/>
    <x v="1"/>
    <d v="2022-09-12T00:00:00"/>
    <x v="247"/>
    <n v="2762"/>
    <n v="3427"/>
    <n v="-665"/>
    <x v="2"/>
    <n v="14"/>
    <x v="1"/>
    <d v="2023-12-11T00:00:00"/>
    <n v="1"/>
    <n v="1813"/>
    <n v="-0.24"/>
    <s v="Normal"/>
    <n v="2023"/>
    <s v="December"/>
  </r>
  <r>
    <n v="3063"/>
    <n v="330"/>
    <x v="2"/>
    <x v="3"/>
    <x v="2"/>
    <d v="2022-03-04T00:00:00"/>
    <x v="124"/>
    <n v="8699"/>
    <n v="2213"/>
    <n v="6486"/>
    <x v="1"/>
    <n v="13"/>
    <x v="1"/>
    <d v="2023-04-13T00:00:00"/>
    <n v="1"/>
    <n v="1814"/>
    <n v="0.75"/>
    <s v="Normal"/>
    <n v="2023"/>
    <s v="April"/>
  </r>
  <r>
    <n v="3064"/>
    <n v="250"/>
    <x v="1"/>
    <x v="3"/>
    <x v="1"/>
    <d v="2022-04-16T00:00:00"/>
    <x v="299"/>
    <n v="4967.93"/>
    <n v="7033"/>
    <n v="-7736"/>
    <x v="2"/>
    <n v="6"/>
    <x v="2"/>
    <d v="2022-10-18T00:00:00"/>
    <n v="1"/>
    <n v="1815"/>
    <n v="-1.56"/>
    <s v="Outlier"/>
    <n v="2022"/>
    <s v="October"/>
  </r>
  <r>
    <n v="3066"/>
    <n v="399"/>
    <x v="0"/>
    <x v="2"/>
    <x v="1"/>
    <d v="2022-08-03T00:00:00"/>
    <x v="244"/>
    <n v="7590"/>
    <n v="3943"/>
    <n v="3647"/>
    <x v="0"/>
    <n v="4"/>
    <x v="0"/>
    <d v="2022-12-26T00:00:00"/>
    <n v="0"/>
    <n v="1816"/>
    <n v="0.48"/>
    <s v="Normal"/>
    <n v="2022"/>
    <s v="December"/>
  </r>
  <r>
    <n v="3069"/>
    <n v="458"/>
    <x v="0"/>
    <x v="1"/>
    <x v="0"/>
    <d v="2022-11-29T00:00:00"/>
    <x v="681"/>
    <n v="6533"/>
    <n v="4722"/>
    <n v="577.01"/>
    <x v="0"/>
    <n v="18"/>
    <x v="1"/>
    <d v="2024-06-07T00:00:00"/>
    <n v="0"/>
    <n v="1817"/>
    <n v="0.09"/>
    <s v="Normal"/>
    <n v="2024"/>
    <s v="June"/>
  </r>
  <r>
    <n v="3070"/>
    <n v="432"/>
    <x v="2"/>
    <x v="1"/>
    <x v="0"/>
    <d v="2022-04-17T00:00:00"/>
    <x v="98"/>
    <n v="9874"/>
    <n v="4012.75"/>
    <n v="10215"/>
    <x v="2"/>
    <n v="11"/>
    <x v="1"/>
    <d v="2023-04-16T00:00:00"/>
    <n v="1"/>
    <n v="1818"/>
    <n v="1.03"/>
    <s v="Outlier"/>
    <n v="2023"/>
    <s v="April"/>
  </r>
  <r>
    <n v="3071"/>
    <n v="123"/>
    <x v="1"/>
    <x v="0"/>
    <x v="2"/>
    <d v="2022-11-05T00:00:00"/>
    <x v="249"/>
    <n v="2294"/>
    <n v="3424"/>
    <n v="577.01"/>
    <x v="1"/>
    <n v="17"/>
    <x v="1"/>
    <d v="2024-04-06T00:00:00"/>
    <n v="0"/>
    <n v="1819"/>
    <n v="0.25"/>
    <s v="Normal"/>
    <n v="2024"/>
    <s v="April"/>
  </r>
  <r>
    <n v="3072"/>
    <n v="106"/>
    <x v="4"/>
    <x v="2"/>
    <x v="2"/>
    <d v="2022-01-17T00:00:00"/>
    <x v="672"/>
    <n v="278"/>
    <n v="524"/>
    <n v="-246"/>
    <x v="2"/>
    <n v="7"/>
    <x v="1"/>
    <d v="2022-08-25T00:00:00"/>
    <n v="0"/>
    <n v="1820"/>
    <n v="-0.88"/>
    <s v="Normal"/>
    <n v="2022"/>
    <s v="August"/>
  </r>
  <r>
    <n v="3073"/>
    <n v="315"/>
    <x v="1"/>
    <x v="2"/>
    <x v="2"/>
    <d v="2022-03-17T00:00:00"/>
    <x v="14"/>
    <n v="4756"/>
    <n v="3509"/>
    <n v="1247"/>
    <x v="2"/>
    <n v="17"/>
    <x v="1"/>
    <d v="2023-08-21T00:00:00"/>
    <n v="0"/>
    <n v="1821"/>
    <n v="0.26"/>
    <s v="Normal"/>
    <n v="2023"/>
    <s v="August"/>
  </r>
  <r>
    <n v="3076"/>
    <n v="357"/>
    <x v="4"/>
    <x v="2"/>
    <x v="2"/>
    <d v="2022-01-24T00:00:00"/>
    <x v="709"/>
    <n v="4967.93"/>
    <n v="7651"/>
    <n v="-9470"/>
    <x v="1"/>
    <n v="11"/>
    <x v="1"/>
    <d v="2022-12-31T00:00:00"/>
    <n v="1"/>
    <n v="1822"/>
    <n v="-1.91"/>
    <s v="Outlier"/>
    <n v="2022"/>
    <s v="December"/>
  </r>
  <r>
    <n v="3077"/>
    <n v="349"/>
    <x v="1"/>
    <x v="3"/>
    <x v="0"/>
    <d v="2022-08-01T00:00:00"/>
    <x v="487"/>
    <n v="1350"/>
    <n v="4012.75"/>
    <n v="2151"/>
    <x v="1"/>
    <n v="16"/>
    <x v="1"/>
    <d v="2023-12-14T00:00:00"/>
    <n v="1"/>
    <n v="1823"/>
    <n v="1.59"/>
    <s v="Outlier"/>
    <n v="2023"/>
    <s v="December"/>
  </r>
  <r>
    <n v="3078"/>
    <n v="123"/>
    <x v="1"/>
    <x v="1"/>
    <x v="2"/>
    <d v="2022-04-09T00:00:00"/>
    <x v="244"/>
    <n v="7235"/>
    <n v="4012.75"/>
    <n v="8052"/>
    <x v="1"/>
    <n v="8"/>
    <x v="1"/>
    <d v="2022-12-26T00:00:00"/>
    <n v="0"/>
    <n v="1824"/>
    <n v="1.1100000000000001"/>
    <s v="Outlier"/>
    <n v="2022"/>
    <s v="December"/>
  </r>
  <r>
    <n v="3079"/>
    <n v="307"/>
    <x v="2"/>
    <x v="1"/>
    <x v="1"/>
    <d v="2022-04-22T00:00:00"/>
    <x v="154"/>
    <n v="6636"/>
    <n v="5734"/>
    <n v="902"/>
    <x v="0"/>
    <n v="14"/>
    <x v="1"/>
    <d v="2023-06-24T00:00:00"/>
    <n v="0"/>
    <n v="1825"/>
    <n v="0.14000000000000001"/>
    <s v="Normal"/>
    <n v="2023"/>
    <s v="June"/>
  </r>
  <r>
    <n v="3080"/>
    <n v="496"/>
    <x v="1"/>
    <x v="3"/>
    <x v="1"/>
    <d v="2022-01-09T00:00:00"/>
    <x v="521"/>
    <n v="4967.93"/>
    <n v="5879"/>
    <n v="-7051"/>
    <x v="0"/>
    <n v="10"/>
    <x v="1"/>
    <d v="2022-11-11T00:00:00"/>
    <n v="0"/>
    <n v="1826"/>
    <n v="-1.42"/>
    <s v="Outlier"/>
    <n v="2022"/>
    <s v="November"/>
  </r>
  <r>
    <n v="3081"/>
    <n v="304"/>
    <x v="2"/>
    <x v="2"/>
    <x v="1"/>
    <d v="2022-04-20T00:00:00"/>
    <x v="353"/>
    <n v="7002"/>
    <n v="1249"/>
    <n v="5753"/>
    <x v="1"/>
    <n v="5"/>
    <x v="0"/>
    <d v="2022-10-12T00:00:00"/>
    <n v="1"/>
    <n v="1827"/>
    <n v="0.82"/>
    <s v="Normal"/>
    <n v="2022"/>
    <s v="October"/>
  </r>
  <r>
    <n v="3082"/>
    <n v="365"/>
    <x v="2"/>
    <x v="0"/>
    <x v="1"/>
    <d v="2022-11-12T00:00:00"/>
    <x v="209"/>
    <n v="8853"/>
    <n v="2120"/>
    <n v="6733"/>
    <x v="1"/>
    <n v="6"/>
    <x v="2"/>
    <d v="2023-05-23T00:00:00"/>
    <n v="1"/>
    <n v="1828"/>
    <n v="0.76"/>
    <s v="Normal"/>
    <n v="2023"/>
    <s v="May"/>
  </r>
  <r>
    <n v="3085"/>
    <n v="404"/>
    <x v="1"/>
    <x v="2"/>
    <x v="1"/>
    <d v="2022-01-06T00:00:00"/>
    <x v="166"/>
    <n v="4563"/>
    <n v="7612"/>
    <n v="-3049"/>
    <x v="1"/>
    <n v="6"/>
    <x v="2"/>
    <d v="2022-07-15T00:00:00"/>
    <n v="1"/>
    <n v="1829"/>
    <n v="-0.67"/>
    <s v="Normal"/>
    <n v="2022"/>
    <s v="July"/>
  </r>
  <r>
    <n v="3088"/>
    <n v="196"/>
    <x v="0"/>
    <x v="0"/>
    <x v="1"/>
    <d v="2022-06-13T00:00:00"/>
    <x v="427"/>
    <n v="4888"/>
    <n v="7738"/>
    <n v="-2850"/>
    <x v="1"/>
    <n v="8"/>
    <x v="1"/>
    <d v="2023-03-08T00:00:00"/>
    <n v="1"/>
    <n v="1830"/>
    <n v="-0.57999999999999996"/>
    <s v="Normal"/>
    <n v="2023"/>
    <s v="March"/>
  </r>
  <r>
    <n v="3090"/>
    <n v="247"/>
    <x v="4"/>
    <x v="3"/>
    <x v="0"/>
    <d v="2022-09-30T00:00:00"/>
    <x v="376"/>
    <n v="19"/>
    <n v="2813"/>
    <n v="-2794"/>
    <x v="0"/>
    <n v="1"/>
    <x v="0"/>
    <d v="2022-11-04T00:00:00"/>
    <n v="0"/>
    <n v="1831"/>
    <n v="-147.05000000000001"/>
    <s v="Outlier"/>
    <n v="2022"/>
    <s v="November"/>
  </r>
  <r>
    <n v="3093"/>
    <n v="369"/>
    <x v="0"/>
    <x v="0"/>
    <x v="1"/>
    <d v="2022-01-28T00:00:00"/>
    <x v="231"/>
    <n v="6294"/>
    <n v="7435"/>
    <n v="-1141"/>
    <x v="2"/>
    <n v="11"/>
    <x v="1"/>
    <d v="2023-01-24T00:00:00"/>
    <n v="0"/>
    <n v="1832"/>
    <n v="-0.18"/>
    <s v="Normal"/>
    <n v="2023"/>
    <s v="January"/>
  </r>
  <r>
    <n v="3094"/>
    <n v="313"/>
    <x v="4"/>
    <x v="1"/>
    <x v="2"/>
    <d v="2022-07-12T00:00:00"/>
    <x v="710"/>
    <n v="817"/>
    <n v="6507"/>
    <n v="577.01"/>
    <x v="1"/>
    <n v="6"/>
    <x v="2"/>
    <d v="2023-02-06T00:00:00"/>
    <n v="1"/>
    <n v="1833"/>
    <n v="0.71"/>
    <s v="Normal"/>
    <n v="2023"/>
    <s v="February"/>
  </r>
  <r>
    <n v="3095"/>
    <n v="101"/>
    <x v="3"/>
    <x v="2"/>
    <x v="2"/>
    <d v="2022-06-16T00:00:00"/>
    <x v="701"/>
    <n v="4927"/>
    <n v="4604"/>
    <n v="323"/>
    <x v="0"/>
    <n v="2"/>
    <x v="0"/>
    <d v="2022-08-31T00:00:00"/>
    <n v="0"/>
    <n v="1834"/>
    <n v="7.0000000000000007E-2"/>
    <s v="Normal"/>
    <n v="2022"/>
    <s v="August"/>
  </r>
  <r>
    <n v="3096"/>
    <n v="334"/>
    <x v="3"/>
    <x v="1"/>
    <x v="0"/>
    <d v="2022-01-29T00:00:00"/>
    <x v="174"/>
    <n v="5316"/>
    <n v="7084"/>
    <n v="-1768"/>
    <x v="1"/>
    <n v="9"/>
    <x v="1"/>
    <d v="2022-11-19T00:00:00"/>
    <n v="1"/>
    <n v="1835"/>
    <n v="-0.33"/>
    <s v="Normal"/>
    <n v="2022"/>
    <s v="November"/>
  </r>
  <r>
    <n v="3097"/>
    <n v="472"/>
    <x v="2"/>
    <x v="0"/>
    <x v="1"/>
    <d v="2022-05-11T00:00:00"/>
    <x v="228"/>
    <n v="7463"/>
    <n v="4012.75"/>
    <n v="8074"/>
    <x v="0"/>
    <n v="3"/>
    <x v="0"/>
    <d v="2022-09-08T00:00:00"/>
    <n v="0"/>
    <n v="1836"/>
    <n v="1.08"/>
    <s v="Outlier"/>
    <n v="2022"/>
    <s v="September"/>
  </r>
  <r>
    <n v="3099"/>
    <n v="167"/>
    <x v="2"/>
    <x v="3"/>
    <x v="2"/>
    <d v="2022-11-24T00:00:00"/>
    <x v="130"/>
    <n v="5244"/>
    <n v="4012.75"/>
    <n v="577.01"/>
    <x v="2"/>
    <n v="4"/>
    <x v="0"/>
    <d v="2023-03-28T00:00:00"/>
    <n v="1"/>
    <n v="1837"/>
    <n v="0.11"/>
    <s v="Normal"/>
    <n v="2023"/>
    <s v="March"/>
  </r>
  <r>
    <n v="3100"/>
    <n v="154"/>
    <x v="4"/>
    <x v="3"/>
    <x v="2"/>
    <d v="2022-07-01T00:00:00"/>
    <x v="24"/>
    <n v="4967.93"/>
    <n v="5163"/>
    <n v="-7123"/>
    <x v="0"/>
    <n v="11"/>
    <x v="1"/>
    <d v="2023-06-14T00:00:00"/>
    <n v="0"/>
    <n v="1838"/>
    <n v="-1.43"/>
    <s v="Outlier"/>
    <n v="2023"/>
    <s v="June"/>
  </r>
  <r>
    <n v="3101"/>
    <n v="327"/>
    <x v="2"/>
    <x v="2"/>
    <x v="1"/>
    <d v="2022-06-05T00:00:00"/>
    <x v="23"/>
    <n v="9021"/>
    <n v="710"/>
    <n v="8311"/>
    <x v="1"/>
    <n v="2"/>
    <x v="0"/>
    <d v="2022-08-27T00:00:00"/>
    <n v="0"/>
    <n v="1839"/>
    <n v="0.92"/>
    <s v="Normal"/>
    <n v="2022"/>
    <s v="August"/>
  </r>
  <r>
    <n v="3102"/>
    <n v="250"/>
    <x v="1"/>
    <x v="2"/>
    <x v="1"/>
    <d v="2022-01-10T00:00:00"/>
    <x v="541"/>
    <n v="1630"/>
    <n v="805"/>
    <n v="825"/>
    <x v="1"/>
    <n v="9"/>
    <x v="1"/>
    <d v="2022-11-06T00:00:00"/>
    <n v="0"/>
    <n v="1840"/>
    <n v="0.51"/>
    <s v="Normal"/>
    <n v="2022"/>
    <s v="November"/>
  </r>
  <r>
    <n v="3103"/>
    <n v="310"/>
    <x v="3"/>
    <x v="0"/>
    <x v="1"/>
    <d v="2022-12-01T00:00:00"/>
    <x v="711"/>
    <n v="2288"/>
    <n v="4012.75"/>
    <n v="3068"/>
    <x v="1"/>
    <n v="14"/>
    <x v="1"/>
    <d v="2024-02-07T00:00:00"/>
    <n v="1"/>
    <n v="1841"/>
    <n v="1.34"/>
    <s v="Outlier"/>
    <n v="2024"/>
    <s v="February"/>
  </r>
  <r>
    <n v="3104"/>
    <n v="397"/>
    <x v="3"/>
    <x v="3"/>
    <x v="0"/>
    <d v="2022-06-28T00:00:00"/>
    <x v="524"/>
    <n v="4967.93"/>
    <n v="5964"/>
    <n v="-7625"/>
    <x v="1"/>
    <n v="6"/>
    <x v="2"/>
    <d v="2022-12-30T00:00:00"/>
    <n v="0"/>
    <n v="1842"/>
    <n v="-1.53"/>
    <s v="Outlier"/>
    <n v="2022"/>
    <s v="December"/>
  </r>
  <r>
    <n v="3105"/>
    <n v="407"/>
    <x v="3"/>
    <x v="0"/>
    <x v="0"/>
    <d v="2022-10-13T00:00:00"/>
    <x v="153"/>
    <n v="5279"/>
    <n v="2712"/>
    <n v="2567"/>
    <x v="1"/>
    <n v="6"/>
    <x v="2"/>
    <d v="2023-04-22T00:00:00"/>
    <n v="0"/>
    <n v="1843"/>
    <n v="0.49"/>
    <s v="Normal"/>
    <n v="2023"/>
    <s v="April"/>
  </r>
  <r>
    <n v="3106"/>
    <n v="275"/>
    <x v="3"/>
    <x v="1"/>
    <x v="2"/>
    <d v="2022-04-20T00:00:00"/>
    <x v="510"/>
    <n v="1747"/>
    <n v="1068"/>
    <n v="679"/>
    <x v="1"/>
    <n v="17"/>
    <x v="1"/>
    <d v="2023-10-11T00:00:00"/>
    <n v="1"/>
    <n v="1844"/>
    <n v="0.39"/>
    <s v="Normal"/>
    <n v="2023"/>
    <s v="October"/>
  </r>
  <r>
    <n v="3109"/>
    <n v="381"/>
    <x v="0"/>
    <x v="3"/>
    <x v="2"/>
    <d v="2022-09-02T00:00:00"/>
    <x v="577"/>
    <n v="3753"/>
    <n v="1914"/>
    <n v="1839"/>
    <x v="2"/>
    <n v="19"/>
    <x v="1"/>
    <d v="2024-04-13T00:00:00"/>
    <n v="1"/>
    <n v="1845"/>
    <n v="0.49"/>
    <s v="Normal"/>
    <n v="2024"/>
    <s v="April"/>
  </r>
  <r>
    <n v="3111"/>
    <n v="246"/>
    <x v="3"/>
    <x v="1"/>
    <x v="1"/>
    <d v="2022-07-06T00:00:00"/>
    <x v="33"/>
    <n v="4967.93"/>
    <n v="3538"/>
    <n v="-5141"/>
    <x v="2"/>
    <n v="10"/>
    <x v="1"/>
    <d v="2023-05-21T00:00:00"/>
    <n v="0"/>
    <n v="1846"/>
    <n v="-1.03"/>
    <s v="Outlier"/>
    <n v="2023"/>
    <s v="May"/>
  </r>
  <r>
    <n v="3113"/>
    <n v="191"/>
    <x v="4"/>
    <x v="1"/>
    <x v="2"/>
    <d v="2022-05-04T00:00:00"/>
    <x v="712"/>
    <n v="7342"/>
    <n v="7603"/>
    <n v="-261"/>
    <x v="0"/>
    <n v="3"/>
    <x v="0"/>
    <d v="2022-08-05T00:00:00"/>
    <n v="0"/>
    <n v="1847"/>
    <n v="-0.04"/>
    <s v="Normal"/>
    <n v="2022"/>
    <s v="August"/>
  </r>
  <r>
    <n v="3114"/>
    <n v="190"/>
    <x v="0"/>
    <x v="3"/>
    <x v="0"/>
    <d v="2022-12-08T00:00:00"/>
    <x v="6"/>
    <n v="2268"/>
    <n v="1225"/>
    <n v="1043"/>
    <x v="0"/>
    <n v="7"/>
    <x v="1"/>
    <d v="2023-08-06T00:00:00"/>
    <n v="0"/>
    <n v="1848"/>
    <n v="0.46"/>
    <s v="Normal"/>
    <n v="2023"/>
    <s v="August"/>
  </r>
  <r>
    <n v="3115"/>
    <n v="316"/>
    <x v="0"/>
    <x v="2"/>
    <x v="1"/>
    <d v="2022-05-22T00:00:00"/>
    <x v="325"/>
    <n v="3050"/>
    <n v="7149"/>
    <n v="-4099"/>
    <x v="1"/>
    <n v="2"/>
    <x v="0"/>
    <d v="2022-08-08T00:00:00"/>
    <n v="1"/>
    <n v="1849"/>
    <n v="-1.34"/>
    <s v="Outlier"/>
    <n v="2022"/>
    <s v="August"/>
  </r>
  <r>
    <n v="3119"/>
    <n v="411"/>
    <x v="2"/>
    <x v="2"/>
    <x v="0"/>
    <d v="2022-03-25T00:00:00"/>
    <x v="427"/>
    <n v="7419"/>
    <n v="5911"/>
    <n v="1508"/>
    <x v="0"/>
    <n v="11"/>
    <x v="1"/>
    <d v="2023-03-08T00:00:00"/>
    <n v="1"/>
    <n v="1850"/>
    <n v="0.2"/>
    <s v="Normal"/>
    <n v="2023"/>
    <s v="March"/>
  </r>
  <r>
    <n v="3122"/>
    <n v="465"/>
    <x v="1"/>
    <x v="0"/>
    <x v="1"/>
    <d v="2022-01-23T00:00:00"/>
    <x v="612"/>
    <n v="4276"/>
    <n v="5813"/>
    <n v="-1537"/>
    <x v="0"/>
    <n v="10"/>
    <x v="1"/>
    <d v="2022-12-11T00:00:00"/>
    <n v="1"/>
    <n v="1851"/>
    <n v="-0.36"/>
    <s v="Normal"/>
    <n v="2022"/>
    <s v="December"/>
  </r>
  <r>
    <n v="3123"/>
    <n v="314"/>
    <x v="3"/>
    <x v="0"/>
    <x v="2"/>
    <d v="2022-05-11T00:00:00"/>
    <x v="415"/>
    <n v="4967.93"/>
    <n v="4012.75"/>
    <n v="-599"/>
    <x v="2"/>
    <n v="16"/>
    <x v="1"/>
    <d v="2023-10-07T00:00:00"/>
    <n v="1"/>
    <n v="1852"/>
    <n v="-0.12"/>
    <s v="Normal"/>
    <n v="2023"/>
    <s v="October"/>
  </r>
  <r>
    <n v="3124"/>
    <n v="287"/>
    <x v="2"/>
    <x v="0"/>
    <x v="1"/>
    <d v="2022-04-15T00:00:00"/>
    <x v="455"/>
    <n v="6521"/>
    <n v="17"/>
    <n v="6504"/>
    <x v="1"/>
    <n v="9"/>
    <x v="1"/>
    <d v="2023-01-21T00:00:00"/>
    <n v="1"/>
    <n v="1853"/>
    <n v="1"/>
    <s v="Normal"/>
    <n v="2023"/>
    <s v="January"/>
  </r>
  <r>
    <n v="3125"/>
    <n v="116"/>
    <x v="3"/>
    <x v="1"/>
    <x v="0"/>
    <d v="2022-01-05T00:00:00"/>
    <x v="713"/>
    <n v="7609"/>
    <n v="4012.75"/>
    <n v="8414"/>
    <x v="1"/>
    <n v="7"/>
    <x v="1"/>
    <d v="2022-08-18T00:00:00"/>
    <n v="0"/>
    <n v="1854"/>
    <n v="1.1100000000000001"/>
    <s v="Outlier"/>
    <n v="2022"/>
    <s v="August"/>
  </r>
  <r>
    <n v="3126"/>
    <n v="246"/>
    <x v="1"/>
    <x v="0"/>
    <x v="1"/>
    <d v="2022-02-03T00:00:00"/>
    <x v="714"/>
    <n v="3748"/>
    <n v="7130"/>
    <n v="-3382"/>
    <x v="0"/>
    <n v="5"/>
    <x v="0"/>
    <d v="2022-07-04T00:00:00"/>
    <n v="0"/>
    <n v="1855"/>
    <n v="-0.9"/>
    <s v="Normal"/>
    <n v="2022"/>
    <s v="July"/>
  </r>
  <r>
    <n v="3127"/>
    <n v="239"/>
    <x v="4"/>
    <x v="2"/>
    <x v="2"/>
    <d v="2022-07-12T00:00:00"/>
    <x v="43"/>
    <n v="5301"/>
    <n v="2505"/>
    <n v="2796"/>
    <x v="2"/>
    <n v="13"/>
    <x v="1"/>
    <d v="2023-09-01T00:00:00"/>
    <n v="0"/>
    <n v="1856"/>
    <n v="0.53"/>
    <s v="Normal"/>
    <n v="2023"/>
    <s v="September"/>
  </r>
  <r>
    <n v="3128"/>
    <n v="466"/>
    <x v="2"/>
    <x v="0"/>
    <x v="2"/>
    <d v="2022-03-12T00:00:00"/>
    <x v="715"/>
    <n v="1532"/>
    <n v="4012.75"/>
    <n v="577.01"/>
    <x v="1"/>
    <n v="8"/>
    <x v="1"/>
    <d v="2022-11-20T00:00:00"/>
    <n v="0"/>
    <n v="1857"/>
    <n v="0.38"/>
    <s v="Normal"/>
    <n v="2022"/>
    <s v="November"/>
  </r>
  <r>
    <n v="3129"/>
    <n v="260"/>
    <x v="3"/>
    <x v="2"/>
    <x v="0"/>
    <d v="2022-07-05T00:00:00"/>
    <x v="107"/>
    <n v="4967.93"/>
    <n v="5054"/>
    <n v="-6680"/>
    <x v="1"/>
    <n v="2"/>
    <x v="0"/>
    <d v="2022-10-03T00:00:00"/>
    <n v="1"/>
    <n v="1858"/>
    <n v="-1.34"/>
    <s v="Outlier"/>
    <n v="2022"/>
    <s v="October"/>
  </r>
  <r>
    <n v="3131"/>
    <n v="336"/>
    <x v="3"/>
    <x v="2"/>
    <x v="0"/>
    <d v="2022-05-09T00:00:00"/>
    <x v="352"/>
    <n v="8405"/>
    <n v="4012.75"/>
    <n v="8930"/>
    <x v="0"/>
    <n v="1"/>
    <x v="0"/>
    <d v="2022-07-07T00:00:00"/>
    <n v="1"/>
    <n v="1859"/>
    <n v="1.06"/>
    <s v="Outlier"/>
    <n v="2022"/>
    <s v="July"/>
  </r>
  <r>
    <n v="3134"/>
    <n v="317"/>
    <x v="4"/>
    <x v="3"/>
    <x v="0"/>
    <d v="2022-07-20T00:00:00"/>
    <x v="51"/>
    <n v="6467"/>
    <n v="2175"/>
    <n v="4292"/>
    <x v="2"/>
    <n v="16"/>
    <x v="1"/>
    <d v="2023-12-17T00:00:00"/>
    <n v="0"/>
    <n v="1860"/>
    <n v="0.66"/>
    <s v="Normal"/>
    <n v="2023"/>
    <s v="December"/>
  </r>
  <r>
    <n v="3135"/>
    <n v="275"/>
    <x v="0"/>
    <x v="0"/>
    <x v="1"/>
    <d v="2022-11-14T00:00:00"/>
    <x v="613"/>
    <n v="4711"/>
    <n v="772"/>
    <n v="3939"/>
    <x v="2"/>
    <n v="10"/>
    <x v="1"/>
    <d v="2023-10-06T00:00:00"/>
    <n v="0"/>
    <n v="1861"/>
    <n v="0.84"/>
    <s v="Normal"/>
    <n v="2023"/>
    <s v="October"/>
  </r>
  <r>
    <n v="3137"/>
    <n v="227"/>
    <x v="0"/>
    <x v="3"/>
    <x v="1"/>
    <d v="2022-06-16T00:00:00"/>
    <x v="716"/>
    <n v="7810"/>
    <n v="4012.75"/>
    <n v="8803"/>
    <x v="1"/>
    <n v="1"/>
    <x v="0"/>
    <d v="2022-07-31T00:00:00"/>
    <n v="0"/>
    <n v="1862"/>
    <n v="1.1299999999999999"/>
    <s v="Outlier"/>
    <n v="2022"/>
    <s v="July"/>
  </r>
  <r>
    <n v="3139"/>
    <n v="128"/>
    <x v="2"/>
    <x v="3"/>
    <x v="1"/>
    <d v="2022-11-08T00:00:00"/>
    <x v="74"/>
    <n v="4967.93"/>
    <n v="5041"/>
    <n v="-5829"/>
    <x v="0"/>
    <n v="13"/>
    <x v="1"/>
    <d v="2024-01-04T00:00:00"/>
    <n v="1"/>
    <n v="1863"/>
    <n v="-1.17"/>
    <s v="Outlier"/>
    <n v="2024"/>
    <s v="January"/>
  </r>
  <r>
    <n v="3140"/>
    <n v="174"/>
    <x v="2"/>
    <x v="1"/>
    <x v="1"/>
    <d v="2022-01-30T00:00:00"/>
    <x v="44"/>
    <n v="5518"/>
    <n v="5544"/>
    <n v="-26"/>
    <x v="2"/>
    <n v="12"/>
    <x v="1"/>
    <d v="2023-02-08T00:00:00"/>
    <n v="0"/>
    <n v="1864"/>
    <n v="0"/>
    <s v="Normal"/>
    <n v="2023"/>
    <s v="February"/>
  </r>
  <r>
    <n v="3141"/>
    <n v="255"/>
    <x v="3"/>
    <x v="0"/>
    <x v="2"/>
    <d v="2022-11-18T00:00:00"/>
    <x v="455"/>
    <n v="4967.93"/>
    <n v="205"/>
    <n v="-2098"/>
    <x v="2"/>
    <n v="2"/>
    <x v="0"/>
    <d v="2023-01-21T00:00:00"/>
    <n v="1"/>
    <n v="1865"/>
    <n v="-0.42"/>
    <s v="Normal"/>
    <n v="2023"/>
    <s v="January"/>
  </r>
  <r>
    <n v="3142"/>
    <n v="114"/>
    <x v="3"/>
    <x v="2"/>
    <x v="2"/>
    <d v="2022-03-09T00:00:00"/>
    <x v="400"/>
    <n v="4369"/>
    <n v="838"/>
    <n v="3531"/>
    <x v="0"/>
    <n v="6"/>
    <x v="2"/>
    <d v="2022-09-14T00:00:00"/>
    <n v="1"/>
    <n v="1866"/>
    <n v="0.81"/>
    <s v="Normal"/>
    <n v="2022"/>
    <s v="September"/>
  </r>
  <r>
    <n v="3143"/>
    <n v="441"/>
    <x v="1"/>
    <x v="1"/>
    <x v="2"/>
    <d v="2022-07-15T00:00:00"/>
    <x v="356"/>
    <n v="9539"/>
    <n v="632"/>
    <n v="8907"/>
    <x v="0"/>
    <n v="5"/>
    <x v="0"/>
    <d v="2022-12-23T00:00:00"/>
    <n v="1"/>
    <n v="1867"/>
    <n v="0.93"/>
    <s v="Normal"/>
    <n v="2022"/>
    <s v="December"/>
  </r>
  <r>
    <n v="3144"/>
    <n v="158"/>
    <x v="2"/>
    <x v="0"/>
    <x v="0"/>
    <d v="2022-08-13T00:00:00"/>
    <x v="689"/>
    <n v="1877"/>
    <n v="6107"/>
    <n v="-4230"/>
    <x v="2"/>
    <n v="16"/>
    <x v="1"/>
    <d v="2023-12-18T00:00:00"/>
    <n v="1"/>
    <n v="1868"/>
    <n v="-2.25"/>
    <s v="Outlier"/>
    <n v="2023"/>
    <s v="December"/>
  </r>
  <r>
    <n v="3145"/>
    <n v="220"/>
    <x v="2"/>
    <x v="2"/>
    <x v="0"/>
    <d v="2022-01-31T00:00:00"/>
    <x v="28"/>
    <n v="8662"/>
    <n v="6470"/>
    <n v="577.01"/>
    <x v="0"/>
    <n v="11"/>
    <x v="1"/>
    <d v="2023-01-27T00:00:00"/>
    <n v="1"/>
    <n v="1869"/>
    <n v="7.0000000000000007E-2"/>
    <s v="Normal"/>
    <n v="2023"/>
    <s v="January"/>
  </r>
  <r>
    <n v="3146"/>
    <n v="268"/>
    <x v="2"/>
    <x v="1"/>
    <x v="1"/>
    <d v="2022-04-09T00:00:00"/>
    <x v="158"/>
    <n v="6420"/>
    <n v="4205"/>
    <n v="2215"/>
    <x v="1"/>
    <n v="13"/>
    <x v="1"/>
    <d v="2023-05-09T00:00:00"/>
    <n v="0"/>
    <n v="1870"/>
    <n v="0.35"/>
    <s v="Normal"/>
    <n v="2023"/>
    <s v="May"/>
  </r>
  <r>
    <n v="3147"/>
    <n v="372"/>
    <x v="4"/>
    <x v="2"/>
    <x v="1"/>
    <d v="2022-11-23T00:00:00"/>
    <x v="717"/>
    <n v="5575"/>
    <n v="5000"/>
    <n v="575"/>
    <x v="2"/>
    <n v="13"/>
    <x v="1"/>
    <d v="2023-12-24T00:00:00"/>
    <n v="0"/>
    <n v="1871"/>
    <n v="0.1"/>
    <s v="Normal"/>
    <n v="2023"/>
    <s v="December"/>
  </r>
  <r>
    <n v="3148"/>
    <n v="396"/>
    <x v="1"/>
    <x v="1"/>
    <x v="0"/>
    <d v="2022-11-07T00:00:00"/>
    <x v="128"/>
    <n v="3593"/>
    <n v="7387"/>
    <n v="-3794"/>
    <x v="1"/>
    <n v="15"/>
    <x v="1"/>
    <d v="2024-02-21T00:00:00"/>
    <n v="0"/>
    <n v="1872"/>
    <n v="-1.06"/>
    <s v="Outlier"/>
    <n v="2024"/>
    <s v="February"/>
  </r>
  <r>
    <n v="3150"/>
    <n v="301"/>
    <x v="1"/>
    <x v="2"/>
    <x v="2"/>
    <d v="2022-03-22T00:00:00"/>
    <x v="347"/>
    <n v="709"/>
    <n v="4537"/>
    <n v="577.01"/>
    <x v="1"/>
    <n v="2"/>
    <x v="0"/>
    <d v="2022-06-01T00:00:00"/>
    <n v="0"/>
    <n v="1873"/>
    <n v="0.81"/>
    <s v="Normal"/>
    <n v="2022"/>
    <s v="June"/>
  </r>
  <r>
    <n v="3151"/>
    <n v="265"/>
    <x v="0"/>
    <x v="3"/>
    <x v="1"/>
    <d v="2022-02-07T00:00:00"/>
    <x v="90"/>
    <n v="2050"/>
    <n v="4012.75"/>
    <n v="2372"/>
    <x v="2"/>
    <n v="10"/>
    <x v="1"/>
    <d v="2022-12-18T00:00:00"/>
    <n v="0"/>
    <n v="1874"/>
    <n v="1.1599999999999999"/>
    <s v="Outlier"/>
    <n v="2022"/>
    <s v="December"/>
  </r>
  <r>
    <n v="3152"/>
    <n v="288"/>
    <x v="1"/>
    <x v="3"/>
    <x v="0"/>
    <d v="2022-11-13T00:00:00"/>
    <x v="342"/>
    <n v="1773"/>
    <n v="7040"/>
    <n v="-5267"/>
    <x v="1"/>
    <n v="11"/>
    <x v="1"/>
    <d v="2023-10-18T00:00:00"/>
    <n v="1"/>
    <n v="1875"/>
    <n v="-2.97"/>
    <s v="Outlier"/>
    <n v="2023"/>
    <s v="October"/>
  </r>
  <r>
    <n v="3153"/>
    <n v="328"/>
    <x v="3"/>
    <x v="0"/>
    <x v="1"/>
    <d v="2022-12-14T00:00:00"/>
    <x v="568"/>
    <n v="2798"/>
    <n v="1064"/>
    <n v="1734"/>
    <x v="2"/>
    <n v="15"/>
    <x v="1"/>
    <d v="2024-03-18T00:00:00"/>
    <n v="1"/>
    <n v="1876"/>
    <n v="0.62"/>
    <s v="Normal"/>
    <n v="2024"/>
    <s v="March"/>
  </r>
  <r>
    <n v="3154"/>
    <n v="130"/>
    <x v="0"/>
    <x v="1"/>
    <x v="0"/>
    <d v="2022-03-29T00:00:00"/>
    <x v="16"/>
    <n v="968"/>
    <n v="4012.75"/>
    <n v="1065"/>
    <x v="1"/>
    <n v="7"/>
    <x v="1"/>
    <d v="2022-11-03T00:00:00"/>
    <n v="0"/>
    <n v="1877"/>
    <n v="1.1000000000000001"/>
    <s v="Outlier"/>
    <n v="2022"/>
    <s v="November"/>
  </r>
  <r>
    <n v="3155"/>
    <n v="390"/>
    <x v="2"/>
    <x v="1"/>
    <x v="0"/>
    <d v="2022-05-10T00:00:00"/>
    <x v="167"/>
    <n v="9031"/>
    <n v="7362"/>
    <n v="1669"/>
    <x v="1"/>
    <n v="6"/>
    <x v="2"/>
    <d v="2022-12-03T00:00:00"/>
    <n v="1"/>
    <n v="1878"/>
    <n v="0.18"/>
    <s v="Normal"/>
    <n v="2022"/>
    <s v="December"/>
  </r>
  <r>
    <n v="3156"/>
    <n v="466"/>
    <x v="4"/>
    <x v="3"/>
    <x v="2"/>
    <d v="2022-07-29T00:00:00"/>
    <x v="427"/>
    <n v="3214"/>
    <n v="304"/>
    <n v="577.01"/>
    <x v="0"/>
    <n v="7"/>
    <x v="1"/>
    <d v="2023-03-08T00:00:00"/>
    <n v="1"/>
    <n v="1879"/>
    <n v="0.18"/>
    <s v="Normal"/>
    <n v="2023"/>
    <s v="March"/>
  </r>
  <r>
    <n v="3158"/>
    <n v="415"/>
    <x v="0"/>
    <x v="1"/>
    <x v="0"/>
    <d v="2022-05-20T00:00:00"/>
    <x v="116"/>
    <n v="982"/>
    <n v="7606"/>
    <n v="-6624"/>
    <x v="1"/>
    <n v="13"/>
    <x v="1"/>
    <d v="2023-06-27T00:00:00"/>
    <n v="0"/>
    <n v="1880"/>
    <n v="-6.75"/>
    <s v="Outlier"/>
    <n v="2023"/>
    <s v="June"/>
  </r>
  <r>
    <n v="3162"/>
    <n v="331"/>
    <x v="0"/>
    <x v="1"/>
    <x v="2"/>
    <d v="2023-01-01T00:00:00"/>
    <x v="718"/>
    <n v="4967.93"/>
    <n v="4432"/>
    <n v="-5073"/>
    <x v="2"/>
    <n v="11"/>
    <x v="1"/>
    <d v="2023-12-28T00:00:00"/>
    <n v="0"/>
    <n v="1881"/>
    <n v="-1.02"/>
    <s v="Outlier"/>
    <n v="2023"/>
    <s v="December"/>
  </r>
  <r>
    <n v="3163"/>
    <n v="107"/>
    <x v="3"/>
    <x v="1"/>
    <x v="2"/>
    <d v="2022-07-13T00:00:00"/>
    <x v="719"/>
    <n v="4967.93"/>
    <n v="3114"/>
    <n v="-3752"/>
    <x v="0"/>
    <n v="18"/>
    <x v="1"/>
    <d v="2024-01-23T00:00:00"/>
    <n v="0"/>
    <n v="1882"/>
    <n v="-0.76"/>
    <s v="Normal"/>
    <n v="2024"/>
    <s v="January"/>
  </r>
  <r>
    <n v="3166"/>
    <n v="278"/>
    <x v="2"/>
    <x v="1"/>
    <x v="0"/>
    <d v="2022-04-06T00:00:00"/>
    <x v="344"/>
    <n v="8667"/>
    <n v="5291"/>
    <n v="3376"/>
    <x v="0"/>
    <n v="13"/>
    <x v="1"/>
    <d v="2023-05-22T00:00:00"/>
    <n v="1"/>
    <n v="1883"/>
    <n v="0.39"/>
    <s v="Normal"/>
    <n v="2023"/>
    <s v="May"/>
  </r>
  <r>
    <n v="3167"/>
    <n v="362"/>
    <x v="4"/>
    <x v="2"/>
    <x v="1"/>
    <d v="2022-12-02T00:00:00"/>
    <x v="270"/>
    <n v="3514"/>
    <n v="4729"/>
    <n v="-1215"/>
    <x v="2"/>
    <n v="9"/>
    <x v="1"/>
    <d v="2023-09-09T00:00:00"/>
    <n v="1"/>
    <n v="1884"/>
    <n v="-0.35"/>
    <s v="Normal"/>
    <n v="2023"/>
    <s v="September"/>
  </r>
  <r>
    <n v="3169"/>
    <n v="470"/>
    <x v="3"/>
    <x v="0"/>
    <x v="0"/>
    <d v="2022-12-30T00:00:00"/>
    <x v="254"/>
    <n v="6727"/>
    <n v="5614"/>
    <n v="577.01"/>
    <x v="1"/>
    <n v="6"/>
    <x v="2"/>
    <d v="2023-07-06T00:00:00"/>
    <n v="1"/>
    <n v="1885"/>
    <n v="0.09"/>
    <s v="Normal"/>
    <n v="2023"/>
    <s v="July"/>
  </r>
  <r>
    <n v="3170"/>
    <n v="439"/>
    <x v="1"/>
    <x v="2"/>
    <x v="1"/>
    <d v="2022-01-21T00:00:00"/>
    <x v="590"/>
    <n v="1051"/>
    <n v="4012.75"/>
    <n v="1331"/>
    <x v="1"/>
    <n v="13"/>
    <x v="1"/>
    <d v="2023-02-28T00:00:00"/>
    <n v="0"/>
    <n v="1886"/>
    <n v="1.27"/>
    <s v="Outlier"/>
    <n v="2023"/>
    <s v="February"/>
  </r>
  <r>
    <n v="3171"/>
    <n v="365"/>
    <x v="0"/>
    <x v="1"/>
    <x v="1"/>
    <d v="2022-03-17T00:00:00"/>
    <x v="98"/>
    <n v="1931"/>
    <n v="485"/>
    <n v="1446"/>
    <x v="1"/>
    <n v="12"/>
    <x v="1"/>
    <d v="2023-04-16T00:00:00"/>
    <n v="1"/>
    <n v="1887"/>
    <n v="0.75"/>
    <s v="Normal"/>
    <n v="2023"/>
    <s v="April"/>
  </r>
  <r>
    <n v="3172"/>
    <n v="466"/>
    <x v="2"/>
    <x v="0"/>
    <x v="1"/>
    <d v="2022-04-19T00:00:00"/>
    <x v="198"/>
    <n v="8030"/>
    <n v="4432"/>
    <n v="3598"/>
    <x v="0"/>
    <n v="8"/>
    <x v="1"/>
    <d v="2023-01-18T00:00:00"/>
    <n v="0"/>
    <n v="1888"/>
    <n v="0.45"/>
    <s v="Normal"/>
    <n v="2023"/>
    <s v="January"/>
  </r>
  <r>
    <n v="3176"/>
    <n v="203"/>
    <x v="1"/>
    <x v="2"/>
    <x v="0"/>
    <d v="2022-07-15T00:00:00"/>
    <x v="29"/>
    <n v="568"/>
    <n v="4833"/>
    <n v="577.01"/>
    <x v="1"/>
    <n v="6"/>
    <x v="2"/>
    <d v="2023-02-02T00:00:00"/>
    <n v="1"/>
    <n v="1889"/>
    <n v="1.02"/>
    <s v="Outlier"/>
    <n v="2023"/>
    <s v="February"/>
  </r>
  <r>
    <n v="3177"/>
    <n v="465"/>
    <x v="1"/>
    <x v="1"/>
    <x v="1"/>
    <d v="2022-05-09T00:00:00"/>
    <x v="113"/>
    <n v="9770"/>
    <n v="961"/>
    <n v="8809"/>
    <x v="1"/>
    <n v="15"/>
    <x v="1"/>
    <d v="2023-08-15T00:00:00"/>
    <n v="0"/>
    <n v="1890"/>
    <n v="0.9"/>
    <s v="Normal"/>
    <n v="2023"/>
    <s v="August"/>
  </r>
  <r>
    <n v="3180"/>
    <n v="236"/>
    <x v="2"/>
    <x v="1"/>
    <x v="0"/>
    <d v="2022-02-28T00:00:00"/>
    <x v="720"/>
    <n v="1969"/>
    <n v="2918"/>
    <n v="-949"/>
    <x v="2"/>
    <n v="1"/>
    <x v="0"/>
    <d v="2022-04-16T00:00:00"/>
    <n v="1"/>
    <n v="1891"/>
    <n v="-0.48"/>
    <s v="Normal"/>
    <n v="2022"/>
    <s v="April"/>
  </r>
  <r>
    <n v="3181"/>
    <n v="472"/>
    <x v="4"/>
    <x v="3"/>
    <x v="2"/>
    <d v="2022-12-23T00:00:00"/>
    <x v="445"/>
    <n v="8573"/>
    <n v="601"/>
    <n v="7972"/>
    <x v="2"/>
    <n v="10"/>
    <x v="1"/>
    <d v="2023-11-12T00:00:00"/>
    <n v="1"/>
    <n v="1892"/>
    <n v="0.93"/>
    <s v="Normal"/>
    <n v="2023"/>
    <s v="November"/>
  </r>
  <r>
    <n v="3183"/>
    <n v="259"/>
    <x v="3"/>
    <x v="2"/>
    <x v="2"/>
    <d v="2022-06-29T00:00:00"/>
    <x v="89"/>
    <n v="3605"/>
    <n v="4307"/>
    <n v="-702"/>
    <x v="0"/>
    <n v="8"/>
    <x v="1"/>
    <d v="2023-03-12T00:00:00"/>
    <n v="1"/>
    <n v="1893"/>
    <n v="-0.19"/>
    <s v="Normal"/>
    <n v="2023"/>
    <s v="March"/>
  </r>
  <r>
    <n v="3184"/>
    <n v="153"/>
    <x v="0"/>
    <x v="3"/>
    <x v="1"/>
    <d v="2022-01-27T00:00:00"/>
    <x v="387"/>
    <n v="8348"/>
    <n v="1818"/>
    <n v="6530"/>
    <x v="2"/>
    <n v="4"/>
    <x v="0"/>
    <d v="2022-06-17T00:00:00"/>
    <n v="0"/>
    <n v="1894"/>
    <n v="0.78"/>
    <s v="Normal"/>
    <n v="2022"/>
    <s v="June"/>
  </r>
  <r>
    <n v="3186"/>
    <n v="101"/>
    <x v="4"/>
    <x v="0"/>
    <x v="1"/>
    <d v="2022-04-22T00:00:00"/>
    <x v="721"/>
    <n v="6416"/>
    <n v="5532"/>
    <n v="884"/>
    <x v="1"/>
    <n v="17"/>
    <x v="1"/>
    <d v="2023-10-16T00:00:00"/>
    <n v="1"/>
    <n v="1895"/>
    <n v="0.14000000000000001"/>
    <s v="Normal"/>
    <n v="2023"/>
    <s v="October"/>
  </r>
  <r>
    <n v="3187"/>
    <n v="419"/>
    <x v="0"/>
    <x v="2"/>
    <x v="1"/>
    <d v="2022-05-04T00:00:00"/>
    <x v="454"/>
    <n v="4967.93"/>
    <n v="54"/>
    <n v="-90"/>
    <x v="1"/>
    <n v="16"/>
    <x v="1"/>
    <d v="2023-09-05T00:00:00"/>
    <n v="1"/>
    <n v="1896"/>
    <n v="-0.02"/>
    <s v="Normal"/>
    <n v="2023"/>
    <s v="September"/>
  </r>
  <r>
    <n v="3188"/>
    <n v="306"/>
    <x v="0"/>
    <x v="1"/>
    <x v="0"/>
    <d v="2022-04-15T00:00:00"/>
    <x v="541"/>
    <n v="8931"/>
    <n v="3581"/>
    <n v="5350"/>
    <x v="0"/>
    <n v="6"/>
    <x v="2"/>
    <d v="2022-11-06T00:00:00"/>
    <n v="0"/>
    <n v="1897"/>
    <n v="0.6"/>
    <s v="Normal"/>
    <n v="2022"/>
    <s v="November"/>
  </r>
  <r>
    <n v="3194"/>
    <n v="492"/>
    <x v="2"/>
    <x v="3"/>
    <x v="2"/>
    <d v="2022-11-04T00:00:00"/>
    <x v="224"/>
    <n v="2848"/>
    <n v="4085"/>
    <n v="-1237"/>
    <x v="1"/>
    <n v="1"/>
    <x v="0"/>
    <d v="2022-12-24T00:00:00"/>
    <n v="1"/>
    <n v="1898"/>
    <n v="-0.43"/>
    <s v="Normal"/>
    <n v="2022"/>
    <s v="December"/>
  </r>
  <r>
    <n v="3195"/>
    <n v="282"/>
    <x v="3"/>
    <x v="2"/>
    <x v="1"/>
    <d v="2022-08-06T00:00:00"/>
    <x v="51"/>
    <n v="4967.93"/>
    <n v="960"/>
    <n v="-2764"/>
    <x v="1"/>
    <n v="16"/>
    <x v="1"/>
    <d v="2023-12-17T00:00:00"/>
    <n v="0"/>
    <n v="1899"/>
    <n v="-0.56000000000000005"/>
    <s v="Normal"/>
    <n v="2023"/>
    <s v="December"/>
  </r>
  <r>
    <n v="3196"/>
    <n v="260"/>
    <x v="3"/>
    <x v="1"/>
    <x v="1"/>
    <d v="2022-03-28T00:00:00"/>
    <x v="722"/>
    <n v="239"/>
    <n v="5440"/>
    <n v="-5201"/>
    <x v="0"/>
    <n v="18"/>
    <x v="1"/>
    <d v="2023-10-19T00:00:00"/>
    <n v="1"/>
    <n v="1900"/>
    <n v="-21.76"/>
    <s v="Outlier"/>
    <n v="2023"/>
    <s v="October"/>
  </r>
  <r>
    <n v="3198"/>
    <n v="474"/>
    <x v="3"/>
    <x v="3"/>
    <x v="2"/>
    <d v="2022-12-24T00:00:00"/>
    <x v="561"/>
    <n v="8120"/>
    <n v="4012.75"/>
    <n v="8767"/>
    <x v="0"/>
    <n v="19"/>
    <x v="1"/>
    <d v="2024-08-01T00:00:00"/>
    <n v="0"/>
    <n v="1901"/>
    <n v="1.08"/>
    <s v="Outlier"/>
    <n v="2024"/>
    <s v="August"/>
  </r>
  <r>
    <n v="3202"/>
    <n v="221"/>
    <x v="4"/>
    <x v="1"/>
    <x v="1"/>
    <d v="2022-03-28T00:00:00"/>
    <x v="403"/>
    <n v="4967.93"/>
    <n v="237"/>
    <n v="-2125"/>
    <x v="2"/>
    <n v="6"/>
    <x v="2"/>
    <d v="2022-10-26T00:00:00"/>
    <n v="1"/>
    <n v="1902"/>
    <n v="-0.43"/>
    <s v="Normal"/>
    <n v="2022"/>
    <s v="October"/>
  </r>
  <r>
    <n v="3205"/>
    <n v="487"/>
    <x v="4"/>
    <x v="0"/>
    <x v="2"/>
    <d v="2022-06-26T00:00:00"/>
    <x v="216"/>
    <n v="8435"/>
    <n v="2194"/>
    <n v="6241"/>
    <x v="0"/>
    <n v="12"/>
    <x v="1"/>
    <d v="2023-07-10T00:00:00"/>
    <n v="0"/>
    <n v="1903"/>
    <n v="0.74"/>
    <s v="Normal"/>
    <n v="2023"/>
    <s v="July"/>
  </r>
  <r>
    <n v="3206"/>
    <n v="454"/>
    <x v="0"/>
    <x v="1"/>
    <x v="1"/>
    <d v="2022-07-07T00:00:00"/>
    <x v="246"/>
    <n v="5937"/>
    <n v="4487"/>
    <n v="1450"/>
    <x v="1"/>
    <n v="2"/>
    <x v="0"/>
    <d v="2022-10-05T00:00:00"/>
    <n v="0"/>
    <n v="1904"/>
    <n v="0.24"/>
    <s v="Normal"/>
    <n v="2022"/>
    <s v="October"/>
  </r>
  <r>
    <n v="3208"/>
    <n v="179"/>
    <x v="0"/>
    <x v="1"/>
    <x v="2"/>
    <d v="2022-06-01T00:00:00"/>
    <x v="284"/>
    <n v="8953"/>
    <n v="1427"/>
    <n v="7526"/>
    <x v="0"/>
    <n v="9"/>
    <x v="1"/>
    <d v="2023-03-02T00:00:00"/>
    <n v="0"/>
    <n v="1905"/>
    <n v="0.84"/>
    <s v="Normal"/>
    <n v="2023"/>
    <s v="March"/>
  </r>
  <r>
    <n v="3210"/>
    <n v="235"/>
    <x v="3"/>
    <x v="0"/>
    <x v="0"/>
    <d v="2022-03-17T00:00:00"/>
    <x v="529"/>
    <n v="2186"/>
    <n v="4528"/>
    <n v="-2342"/>
    <x v="2"/>
    <n v="2"/>
    <x v="0"/>
    <d v="2022-06-02T00:00:00"/>
    <n v="1"/>
    <n v="1906"/>
    <n v="-1.07"/>
    <s v="Outlier"/>
    <n v="2022"/>
    <s v="June"/>
  </r>
  <r>
    <n v="3211"/>
    <n v="339"/>
    <x v="2"/>
    <x v="1"/>
    <x v="1"/>
    <d v="2022-01-30T00:00:00"/>
    <x v="723"/>
    <n v="3970"/>
    <n v="7673"/>
    <n v="-3703"/>
    <x v="0"/>
    <n v="16"/>
    <x v="1"/>
    <d v="2023-05-30T00:00:00"/>
    <n v="1"/>
    <n v="1907"/>
    <n v="-0.93"/>
    <s v="Normal"/>
    <n v="2023"/>
    <s v="May"/>
  </r>
  <r>
    <n v="3212"/>
    <n v="428"/>
    <x v="4"/>
    <x v="0"/>
    <x v="0"/>
    <d v="2022-02-10T00:00:00"/>
    <x v="724"/>
    <n v="2656"/>
    <n v="2274"/>
    <n v="382"/>
    <x v="1"/>
    <n v="1"/>
    <x v="0"/>
    <d v="2022-03-31T00:00:00"/>
    <n v="1"/>
    <n v="1908"/>
    <n v="0.14000000000000001"/>
    <s v="Normal"/>
    <n v="2022"/>
    <s v="March"/>
  </r>
  <r>
    <n v="3215"/>
    <n v="261"/>
    <x v="1"/>
    <x v="1"/>
    <x v="1"/>
    <d v="2022-08-13T00:00:00"/>
    <x v="504"/>
    <n v="3281"/>
    <n v="4012.75"/>
    <n v="3612"/>
    <x v="1"/>
    <n v="6"/>
    <x v="2"/>
    <d v="2023-02-18T00:00:00"/>
    <n v="1"/>
    <n v="1909"/>
    <n v="1.1000000000000001"/>
    <s v="Outlier"/>
    <n v="2023"/>
    <s v="February"/>
  </r>
  <r>
    <n v="3217"/>
    <n v="282"/>
    <x v="3"/>
    <x v="0"/>
    <x v="0"/>
    <d v="2022-11-29T00:00:00"/>
    <x v="69"/>
    <n v="4967.93"/>
    <n v="4932"/>
    <n v="-5255"/>
    <x v="0"/>
    <n v="7"/>
    <x v="1"/>
    <d v="2023-07-18T00:00:00"/>
    <n v="1"/>
    <n v="1910"/>
    <n v="-1.06"/>
    <s v="Outlier"/>
    <n v="2023"/>
    <s v="July"/>
  </r>
  <r>
    <n v="3219"/>
    <n v="144"/>
    <x v="0"/>
    <x v="3"/>
    <x v="2"/>
    <d v="2022-12-31T00:00:00"/>
    <x v="647"/>
    <n v="2720"/>
    <n v="7763"/>
    <n v="-5043"/>
    <x v="0"/>
    <n v="12"/>
    <x v="1"/>
    <d v="2024-01-09T00:00:00"/>
    <n v="1"/>
    <n v="1911"/>
    <n v="-1.85"/>
    <s v="Outlier"/>
    <n v="2024"/>
    <s v="January"/>
  </r>
  <r>
    <n v="3221"/>
    <n v="165"/>
    <x v="2"/>
    <x v="1"/>
    <x v="1"/>
    <d v="2022-10-21T00:00:00"/>
    <x v="122"/>
    <n v="2688"/>
    <n v="3279"/>
    <n v="577.01"/>
    <x v="1"/>
    <n v="14"/>
    <x v="1"/>
    <d v="2023-12-21T00:00:00"/>
    <n v="1"/>
    <n v="1912"/>
    <n v="0.21"/>
    <s v="Normal"/>
    <n v="2023"/>
    <s v="December"/>
  </r>
  <r>
    <n v="3222"/>
    <n v="396"/>
    <x v="0"/>
    <x v="0"/>
    <x v="1"/>
    <d v="2022-03-08T00:00:00"/>
    <x v="198"/>
    <n v="2404"/>
    <n v="3801"/>
    <n v="-1397"/>
    <x v="0"/>
    <n v="10"/>
    <x v="1"/>
    <d v="2023-01-18T00:00:00"/>
    <n v="1"/>
    <n v="1913"/>
    <n v="-0.57999999999999996"/>
    <s v="Normal"/>
    <n v="2023"/>
    <s v="January"/>
  </r>
  <r>
    <n v="3228"/>
    <n v="430"/>
    <x v="0"/>
    <x v="1"/>
    <x v="0"/>
    <d v="2022-06-15T00:00:00"/>
    <x v="474"/>
    <n v="4342"/>
    <n v="7306"/>
    <n v="-2964"/>
    <x v="1"/>
    <n v="8"/>
    <x v="1"/>
    <d v="2023-03-14T00:00:00"/>
    <n v="0"/>
    <n v="1914"/>
    <n v="-0.68"/>
    <s v="Normal"/>
    <n v="2023"/>
    <s v="March"/>
  </r>
  <r>
    <n v="3229"/>
    <n v="114"/>
    <x v="2"/>
    <x v="2"/>
    <x v="0"/>
    <d v="2022-12-18T00:00:00"/>
    <x v="681"/>
    <n v="8119"/>
    <n v="2776"/>
    <n v="5343"/>
    <x v="1"/>
    <n v="17"/>
    <x v="1"/>
    <d v="2024-06-07T00:00:00"/>
    <n v="1"/>
    <n v="1915"/>
    <n v="0.66"/>
    <s v="Normal"/>
    <n v="2024"/>
    <s v="June"/>
  </r>
  <r>
    <n v="3231"/>
    <n v="351"/>
    <x v="1"/>
    <x v="3"/>
    <x v="0"/>
    <d v="2022-03-01T00:00:00"/>
    <x v="612"/>
    <n v="5017"/>
    <n v="6097"/>
    <n v="-1080"/>
    <x v="1"/>
    <n v="9"/>
    <x v="1"/>
    <d v="2022-12-11T00:00:00"/>
    <n v="1"/>
    <n v="1916"/>
    <n v="-0.22"/>
    <s v="Normal"/>
    <n v="2022"/>
    <s v="December"/>
  </r>
  <r>
    <n v="3232"/>
    <n v="413"/>
    <x v="2"/>
    <x v="1"/>
    <x v="1"/>
    <d v="2022-10-23T00:00:00"/>
    <x v="129"/>
    <n v="4967.93"/>
    <n v="1866"/>
    <n v="-2860"/>
    <x v="2"/>
    <n v="7"/>
    <x v="1"/>
    <d v="2023-06-02T00:00:00"/>
    <n v="0"/>
    <n v="1917"/>
    <n v="-0.57999999999999996"/>
    <s v="Normal"/>
    <n v="2023"/>
    <s v="June"/>
  </r>
  <r>
    <n v="3234"/>
    <n v="213"/>
    <x v="1"/>
    <x v="2"/>
    <x v="1"/>
    <d v="2022-12-18T00:00:00"/>
    <x v="722"/>
    <n v="5289"/>
    <n v="7732"/>
    <n v="577.01"/>
    <x v="1"/>
    <n v="10"/>
    <x v="1"/>
    <d v="2023-10-19T00:00:00"/>
    <n v="0"/>
    <n v="1918"/>
    <n v="0.11"/>
    <s v="Normal"/>
    <n v="2023"/>
    <s v="October"/>
  </r>
  <r>
    <n v="3235"/>
    <n v="145"/>
    <x v="2"/>
    <x v="1"/>
    <x v="2"/>
    <d v="2022-03-15T00:00:00"/>
    <x v="725"/>
    <n v="4150"/>
    <n v="544"/>
    <n v="3606"/>
    <x v="1"/>
    <n v="2"/>
    <x v="0"/>
    <d v="2022-06-13T00:00:00"/>
    <n v="1"/>
    <n v="1919"/>
    <n v="0.87"/>
    <s v="Normal"/>
    <n v="2022"/>
    <s v="June"/>
  </r>
  <r>
    <n v="3237"/>
    <n v="210"/>
    <x v="3"/>
    <x v="3"/>
    <x v="2"/>
    <d v="2022-12-21T00:00:00"/>
    <x v="726"/>
    <n v="5620"/>
    <n v="7321"/>
    <n v="-1701"/>
    <x v="2"/>
    <n v="15"/>
    <x v="1"/>
    <d v="2024-03-26T00:00:00"/>
    <n v="0"/>
    <n v="1920"/>
    <n v="-0.3"/>
    <s v="Normal"/>
    <n v="2024"/>
    <s v="March"/>
  </r>
  <r>
    <n v="3238"/>
    <n v="143"/>
    <x v="1"/>
    <x v="1"/>
    <x v="0"/>
    <d v="2022-07-02T00:00:00"/>
    <x v="338"/>
    <n v="4967.93"/>
    <n v="2640"/>
    <n v="577.01"/>
    <x v="1"/>
    <n v="15"/>
    <x v="1"/>
    <d v="2023-10-24T00:00:00"/>
    <n v="1"/>
    <n v="1921"/>
    <n v="0.12"/>
    <s v="Normal"/>
    <n v="2023"/>
    <s v="October"/>
  </r>
  <r>
    <n v="3240"/>
    <n v="188"/>
    <x v="0"/>
    <x v="2"/>
    <x v="0"/>
    <d v="2022-11-30T00:00:00"/>
    <x v="319"/>
    <n v="7836"/>
    <n v="582"/>
    <n v="7254"/>
    <x v="2"/>
    <n v="16"/>
    <x v="1"/>
    <d v="2024-04-12T00:00:00"/>
    <n v="1"/>
    <n v="1922"/>
    <n v="0.93"/>
    <s v="Normal"/>
    <n v="2024"/>
    <s v="April"/>
  </r>
  <r>
    <n v="3242"/>
    <n v="161"/>
    <x v="2"/>
    <x v="1"/>
    <x v="2"/>
    <d v="2022-03-13T00:00:00"/>
    <x v="114"/>
    <n v="793"/>
    <n v="2436"/>
    <n v="-1643"/>
    <x v="0"/>
    <n v="7"/>
    <x v="1"/>
    <d v="2022-10-21T00:00:00"/>
    <n v="1"/>
    <n v="1923"/>
    <n v="-2.0699999999999998"/>
    <s v="Outlier"/>
    <n v="2022"/>
    <s v="October"/>
  </r>
  <r>
    <n v="3249"/>
    <n v="214"/>
    <x v="0"/>
    <x v="0"/>
    <x v="1"/>
    <d v="2022-04-18T00:00:00"/>
    <x v="474"/>
    <n v="4967.93"/>
    <n v="6685"/>
    <n v="-8541"/>
    <x v="1"/>
    <n v="10"/>
    <x v="1"/>
    <d v="2023-03-14T00:00:00"/>
    <n v="1"/>
    <n v="1924"/>
    <n v="-1.72"/>
    <s v="Outlier"/>
    <n v="2023"/>
    <s v="March"/>
  </r>
  <r>
    <n v="3251"/>
    <n v="136"/>
    <x v="4"/>
    <x v="2"/>
    <x v="2"/>
    <d v="2022-06-24T00:00:00"/>
    <x v="608"/>
    <n v="9082"/>
    <n v="7067"/>
    <n v="2015"/>
    <x v="1"/>
    <n v="9"/>
    <x v="1"/>
    <d v="2023-04-06T00:00:00"/>
    <n v="0"/>
    <n v="1925"/>
    <n v="0.22"/>
    <s v="Normal"/>
    <n v="2023"/>
    <s v="April"/>
  </r>
  <r>
    <n v="3253"/>
    <n v="176"/>
    <x v="3"/>
    <x v="0"/>
    <x v="1"/>
    <d v="2022-12-03T00:00:00"/>
    <x v="727"/>
    <n v="3253"/>
    <n v="3716"/>
    <n v="-463"/>
    <x v="0"/>
    <n v="16"/>
    <x v="1"/>
    <d v="2024-04-04T00:00:00"/>
    <n v="0"/>
    <n v="1926"/>
    <n v="-0.14000000000000001"/>
    <s v="Normal"/>
    <n v="2024"/>
    <s v="April"/>
  </r>
  <r>
    <n v="3254"/>
    <n v="355"/>
    <x v="4"/>
    <x v="3"/>
    <x v="0"/>
    <d v="2022-09-03T00:00:00"/>
    <x v="629"/>
    <n v="4967.93"/>
    <n v="2833"/>
    <n v="-3016"/>
    <x v="0"/>
    <n v="12"/>
    <x v="1"/>
    <d v="2023-09-22T00:00:00"/>
    <n v="0"/>
    <n v="1927"/>
    <n v="-0.61"/>
    <s v="Normal"/>
    <n v="2023"/>
    <s v="September"/>
  </r>
  <r>
    <n v="3256"/>
    <n v="314"/>
    <x v="2"/>
    <x v="2"/>
    <x v="0"/>
    <d v="2022-05-09T00:00:00"/>
    <x v="635"/>
    <n v="3130"/>
    <n v="5779"/>
    <n v="-2649"/>
    <x v="0"/>
    <n v="6"/>
    <x v="2"/>
    <d v="2022-12-06T00:00:00"/>
    <n v="1"/>
    <n v="1928"/>
    <n v="-0.85"/>
    <s v="Normal"/>
    <n v="2022"/>
    <s v="December"/>
  </r>
  <r>
    <n v="3257"/>
    <n v="356"/>
    <x v="4"/>
    <x v="3"/>
    <x v="2"/>
    <d v="2022-08-31T00:00:00"/>
    <x v="382"/>
    <n v="5608"/>
    <n v="2580"/>
    <n v="3028"/>
    <x v="1"/>
    <n v="16"/>
    <x v="1"/>
    <d v="2024-01-19T00:00:00"/>
    <n v="0"/>
    <n v="1929"/>
    <n v="0.54"/>
    <s v="Normal"/>
    <n v="2024"/>
    <s v="January"/>
  </r>
  <r>
    <n v="3258"/>
    <n v="383"/>
    <x v="3"/>
    <x v="2"/>
    <x v="2"/>
    <d v="2022-11-26T00:00:00"/>
    <x v="177"/>
    <n v="5121"/>
    <n v="5685"/>
    <n v="-564"/>
    <x v="0"/>
    <n v="7"/>
    <x v="1"/>
    <d v="2023-07-20T00:00:00"/>
    <n v="0"/>
    <n v="1930"/>
    <n v="-0.11"/>
    <s v="Normal"/>
    <n v="2023"/>
    <s v="July"/>
  </r>
  <r>
    <n v="3259"/>
    <n v="421"/>
    <x v="3"/>
    <x v="1"/>
    <x v="1"/>
    <d v="2022-04-23T00:00:00"/>
    <x v="683"/>
    <n v="8695"/>
    <n v="4315"/>
    <n v="4380"/>
    <x v="1"/>
    <n v="1"/>
    <x v="0"/>
    <d v="2022-06-05T00:00:00"/>
    <n v="1"/>
    <n v="1931"/>
    <n v="0.5"/>
    <s v="Normal"/>
    <n v="2022"/>
    <s v="June"/>
  </r>
  <r>
    <n v="3262"/>
    <n v="207"/>
    <x v="3"/>
    <x v="2"/>
    <x v="1"/>
    <d v="2022-06-07T00:00:00"/>
    <x v="570"/>
    <n v="2054"/>
    <n v="6236"/>
    <n v="-4182"/>
    <x v="1"/>
    <n v="18"/>
    <x v="1"/>
    <d v="2023-12-20T00:00:00"/>
    <n v="1"/>
    <n v="1932"/>
    <n v="-2.04"/>
    <s v="Outlier"/>
    <n v="2023"/>
    <s v="December"/>
  </r>
  <r>
    <n v="3265"/>
    <n v="171"/>
    <x v="3"/>
    <x v="1"/>
    <x v="0"/>
    <d v="2022-08-03T00:00:00"/>
    <x v="728"/>
    <n v="8853"/>
    <n v="2860"/>
    <n v="5993"/>
    <x v="1"/>
    <n v="9"/>
    <x v="1"/>
    <d v="2023-05-04T00:00:00"/>
    <n v="0"/>
    <n v="1933"/>
    <n v="0.68"/>
    <s v="Normal"/>
    <n v="2023"/>
    <s v="May"/>
  </r>
  <r>
    <n v="3266"/>
    <n v="207"/>
    <x v="2"/>
    <x v="2"/>
    <x v="2"/>
    <d v="2022-06-20T00:00:00"/>
    <x v="353"/>
    <n v="5064"/>
    <n v="4473"/>
    <n v="591"/>
    <x v="0"/>
    <n v="3"/>
    <x v="0"/>
    <d v="2022-10-12T00:00:00"/>
    <n v="1"/>
    <n v="1934"/>
    <n v="0.12"/>
    <s v="Normal"/>
    <n v="2022"/>
    <s v="October"/>
  </r>
  <r>
    <n v="3267"/>
    <n v="232"/>
    <x v="0"/>
    <x v="1"/>
    <x v="1"/>
    <d v="2022-05-22T00:00:00"/>
    <x v="170"/>
    <n v="4967.93"/>
    <n v="1105"/>
    <n v="-2576"/>
    <x v="2"/>
    <n v="16"/>
    <x v="1"/>
    <d v="2023-10-21T00:00:00"/>
    <n v="0"/>
    <n v="1935"/>
    <n v="-0.52"/>
    <s v="Normal"/>
    <n v="2023"/>
    <s v="October"/>
  </r>
  <r>
    <n v="3269"/>
    <n v="324"/>
    <x v="3"/>
    <x v="3"/>
    <x v="2"/>
    <d v="2022-02-26T00:00:00"/>
    <x v="340"/>
    <n v="84"/>
    <n v="6846"/>
    <n v="-6762"/>
    <x v="2"/>
    <n v="12"/>
    <x v="1"/>
    <d v="2023-03-03T00:00:00"/>
    <n v="0"/>
    <n v="1936"/>
    <n v="-80.5"/>
    <s v="Outlier"/>
    <n v="2023"/>
    <s v="March"/>
  </r>
  <r>
    <n v="3270"/>
    <n v="213"/>
    <x v="0"/>
    <x v="1"/>
    <x v="2"/>
    <d v="2022-05-31T00:00:00"/>
    <x v="729"/>
    <n v="9557"/>
    <n v="877"/>
    <n v="8680"/>
    <x v="2"/>
    <n v="5"/>
    <x v="0"/>
    <d v="2022-11-26T00:00:00"/>
    <n v="1"/>
    <n v="1937"/>
    <n v="0.91"/>
    <s v="Normal"/>
    <n v="2022"/>
    <s v="November"/>
  </r>
  <r>
    <n v="3271"/>
    <n v="181"/>
    <x v="2"/>
    <x v="2"/>
    <x v="1"/>
    <d v="2022-06-25T00:00:00"/>
    <x v="718"/>
    <n v="5134"/>
    <n v="2522"/>
    <n v="2612"/>
    <x v="1"/>
    <n v="18"/>
    <x v="1"/>
    <d v="2023-12-28T00:00:00"/>
    <n v="0"/>
    <n v="1938"/>
    <n v="0.51"/>
    <s v="Normal"/>
    <n v="2023"/>
    <s v="December"/>
  </r>
  <r>
    <n v="3272"/>
    <n v="216"/>
    <x v="4"/>
    <x v="2"/>
    <x v="2"/>
    <d v="2022-04-08T00:00:00"/>
    <x v="329"/>
    <n v="9764"/>
    <n v="2942"/>
    <n v="6822"/>
    <x v="1"/>
    <n v="13"/>
    <x v="1"/>
    <d v="2023-06-05T00:00:00"/>
    <n v="1"/>
    <n v="1939"/>
    <n v="0.7"/>
    <s v="Normal"/>
    <n v="2023"/>
    <s v="June"/>
  </r>
  <r>
    <n v="3273"/>
    <n v="386"/>
    <x v="0"/>
    <x v="2"/>
    <x v="0"/>
    <d v="2022-07-13T00:00:00"/>
    <x v="15"/>
    <n v="8722"/>
    <n v="3384"/>
    <n v="5338"/>
    <x v="0"/>
    <n v="8"/>
    <x v="1"/>
    <d v="2023-04-11T00:00:00"/>
    <n v="1"/>
    <n v="1940"/>
    <n v="0.61"/>
    <s v="Normal"/>
    <n v="2023"/>
    <s v="April"/>
  </r>
  <r>
    <n v="3274"/>
    <n v="471"/>
    <x v="2"/>
    <x v="2"/>
    <x v="1"/>
    <d v="2022-01-20T00:00:00"/>
    <x v="730"/>
    <n v="4313"/>
    <n v="6469"/>
    <n v="-2156"/>
    <x v="0"/>
    <n v="2"/>
    <x v="0"/>
    <d v="2022-03-23T00:00:00"/>
    <n v="0"/>
    <n v="1941"/>
    <n v="-0.5"/>
    <s v="Normal"/>
    <n v="2022"/>
    <s v="March"/>
  </r>
  <r>
    <n v="3275"/>
    <n v="174"/>
    <x v="3"/>
    <x v="0"/>
    <x v="2"/>
    <d v="2022-05-21T00:00:00"/>
    <x v="555"/>
    <n v="4967.93"/>
    <n v="7876"/>
    <n v="-8330"/>
    <x v="1"/>
    <n v="6"/>
    <x v="2"/>
    <d v="2022-12-16T00:00:00"/>
    <n v="0"/>
    <n v="1942"/>
    <n v="-1.68"/>
    <s v="Outlier"/>
    <n v="2022"/>
    <s v="December"/>
  </r>
  <r>
    <n v="3276"/>
    <n v="362"/>
    <x v="1"/>
    <x v="1"/>
    <x v="0"/>
    <d v="2022-06-28T00:00:00"/>
    <x v="58"/>
    <n v="6327"/>
    <n v="4012.75"/>
    <n v="6604"/>
    <x v="2"/>
    <n v="9"/>
    <x v="1"/>
    <d v="2023-04-02T00:00:00"/>
    <n v="1"/>
    <n v="1943"/>
    <n v="1.04"/>
    <s v="Outlier"/>
    <n v="2023"/>
    <s v="April"/>
  </r>
  <r>
    <n v="3277"/>
    <n v="143"/>
    <x v="1"/>
    <x v="3"/>
    <x v="1"/>
    <d v="2022-02-28T00:00:00"/>
    <x v="611"/>
    <n v="2837"/>
    <n v="6490"/>
    <n v="-3653"/>
    <x v="2"/>
    <n v="14"/>
    <x v="1"/>
    <d v="2023-05-26T00:00:00"/>
    <n v="0"/>
    <n v="1944"/>
    <n v="-1.29"/>
    <s v="Outlier"/>
    <n v="2023"/>
    <s v="May"/>
  </r>
  <r>
    <n v="3278"/>
    <n v="360"/>
    <x v="2"/>
    <x v="0"/>
    <x v="2"/>
    <d v="2022-01-20T00:00:00"/>
    <x v="680"/>
    <n v="4967.93"/>
    <n v="4012.75"/>
    <n v="-904"/>
    <x v="0"/>
    <n v="12"/>
    <x v="1"/>
    <d v="2023-01-26T00:00:00"/>
    <n v="0"/>
    <n v="1945"/>
    <n v="-0.18"/>
    <s v="Normal"/>
    <n v="2023"/>
    <s v="January"/>
  </r>
  <r>
    <n v="3279"/>
    <n v="489"/>
    <x v="3"/>
    <x v="1"/>
    <x v="2"/>
    <d v="2022-02-04T00:00:00"/>
    <x v="501"/>
    <n v="4967.93"/>
    <n v="2292"/>
    <n v="-3029"/>
    <x v="0"/>
    <n v="4"/>
    <x v="0"/>
    <d v="2022-06-21T00:00:00"/>
    <n v="0"/>
    <n v="1946"/>
    <n v="-0.61"/>
    <s v="Normal"/>
    <n v="2022"/>
    <s v="June"/>
  </r>
  <r>
    <n v="3282"/>
    <n v="465"/>
    <x v="3"/>
    <x v="3"/>
    <x v="0"/>
    <d v="2022-09-03T00:00:00"/>
    <x v="541"/>
    <n v="1492"/>
    <n v="3526"/>
    <n v="-2034"/>
    <x v="0"/>
    <n v="2"/>
    <x v="0"/>
    <d v="2022-11-06T00:00:00"/>
    <n v="1"/>
    <n v="1947"/>
    <n v="-1.36"/>
    <s v="Outlier"/>
    <n v="2022"/>
    <s v="November"/>
  </r>
  <r>
    <n v="3288"/>
    <n v="302"/>
    <x v="2"/>
    <x v="0"/>
    <x v="0"/>
    <d v="2022-03-23T00:00:00"/>
    <x v="377"/>
    <n v="9493"/>
    <n v="4012.75"/>
    <n v="10140"/>
    <x v="0"/>
    <n v="12"/>
    <x v="1"/>
    <d v="2023-04-14T00:00:00"/>
    <n v="0"/>
    <n v="1948"/>
    <n v="1.07"/>
    <s v="Outlier"/>
    <n v="2023"/>
    <s v="April"/>
  </r>
  <r>
    <n v="3290"/>
    <n v="304"/>
    <x v="2"/>
    <x v="0"/>
    <x v="0"/>
    <d v="2022-11-18T00:00:00"/>
    <x v="196"/>
    <n v="4967.93"/>
    <n v="129"/>
    <n v="-1940"/>
    <x v="2"/>
    <n v="10"/>
    <x v="1"/>
    <d v="2023-09-20T00:00:00"/>
    <n v="0"/>
    <n v="1949"/>
    <n v="-0.39"/>
    <s v="Normal"/>
    <n v="2023"/>
    <s v="September"/>
  </r>
  <r>
    <n v="3291"/>
    <n v="260"/>
    <x v="2"/>
    <x v="0"/>
    <x v="1"/>
    <d v="2022-12-10T00:00:00"/>
    <x v="731"/>
    <n v="4363"/>
    <n v="4112"/>
    <n v="251"/>
    <x v="1"/>
    <n v="5"/>
    <x v="0"/>
    <d v="2023-05-24T00:00:00"/>
    <n v="1"/>
    <n v="1950"/>
    <n v="0.06"/>
    <s v="Normal"/>
    <n v="2023"/>
    <s v="May"/>
  </r>
  <r>
    <n v="3292"/>
    <n v="161"/>
    <x v="1"/>
    <x v="3"/>
    <x v="0"/>
    <d v="2022-01-02T00:00:00"/>
    <x v="396"/>
    <n v="4967.93"/>
    <n v="4011"/>
    <n v="577.01"/>
    <x v="1"/>
    <n v="11"/>
    <x v="1"/>
    <d v="2022-12-04T00:00:00"/>
    <n v="0"/>
    <n v="1951"/>
    <n v="0.12"/>
    <s v="Normal"/>
    <n v="2022"/>
    <s v="December"/>
  </r>
  <r>
    <n v="3294"/>
    <n v="117"/>
    <x v="2"/>
    <x v="0"/>
    <x v="2"/>
    <d v="2022-07-26T00:00:00"/>
    <x v="302"/>
    <n v="2117"/>
    <n v="7355"/>
    <n v="577.01"/>
    <x v="1"/>
    <n v="19"/>
    <x v="1"/>
    <d v="2024-03-12T00:00:00"/>
    <n v="0"/>
    <n v="1952"/>
    <n v="0.27"/>
    <s v="Normal"/>
    <n v="2024"/>
    <s v="March"/>
  </r>
  <r>
    <n v="3295"/>
    <n v="387"/>
    <x v="1"/>
    <x v="1"/>
    <x v="2"/>
    <d v="2022-05-30T00:00:00"/>
    <x v="17"/>
    <n v="2363"/>
    <n v="3058"/>
    <n v="-695"/>
    <x v="1"/>
    <n v="2"/>
    <x v="0"/>
    <d v="2022-08-09T00:00:00"/>
    <n v="1"/>
    <n v="1953"/>
    <n v="-0.28999999999999998"/>
    <s v="Normal"/>
    <n v="2022"/>
    <s v="August"/>
  </r>
  <r>
    <n v="3296"/>
    <n v="368"/>
    <x v="3"/>
    <x v="1"/>
    <x v="1"/>
    <d v="2022-05-07T00:00:00"/>
    <x v="531"/>
    <n v="7772"/>
    <n v="4523"/>
    <n v="3249"/>
    <x v="0"/>
    <n v="4"/>
    <x v="0"/>
    <d v="2022-10-01T00:00:00"/>
    <n v="1"/>
    <n v="1954"/>
    <n v="0.42"/>
    <s v="Normal"/>
    <n v="2022"/>
    <s v="October"/>
  </r>
  <r>
    <n v="3297"/>
    <n v="434"/>
    <x v="1"/>
    <x v="2"/>
    <x v="1"/>
    <d v="2022-11-14T00:00:00"/>
    <x v="319"/>
    <n v="4967.93"/>
    <n v="4012.75"/>
    <n v="577.01"/>
    <x v="1"/>
    <n v="16"/>
    <x v="1"/>
    <d v="2024-04-12T00:00:00"/>
    <n v="0"/>
    <n v="1955"/>
    <n v="0.12"/>
    <s v="Normal"/>
    <n v="2024"/>
    <s v="April"/>
  </r>
  <r>
    <n v="3298"/>
    <n v="499"/>
    <x v="2"/>
    <x v="1"/>
    <x v="0"/>
    <d v="2022-07-12T00:00:00"/>
    <x v="503"/>
    <n v="4970"/>
    <n v="3644"/>
    <n v="1326"/>
    <x v="2"/>
    <n v="9"/>
    <x v="1"/>
    <d v="2023-05-07T00:00:00"/>
    <n v="0"/>
    <n v="1956"/>
    <n v="0.27"/>
    <s v="Normal"/>
    <n v="2023"/>
    <s v="May"/>
  </r>
  <r>
    <n v="3299"/>
    <n v="271"/>
    <x v="2"/>
    <x v="2"/>
    <x v="1"/>
    <d v="2022-12-25T00:00:00"/>
    <x v="62"/>
    <n v="4528"/>
    <n v="5212"/>
    <n v="577.01"/>
    <x v="1"/>
    <n v="1"/>
    <x v="0"/>
    <d v="2023-02-07T00:00:00"/>
    <n v="1"/>
    <n v="1957"/>
    <n v="0.13"/>
    <s v="Normal"/>
    <n v="2023"/>
    <s v="February"/>
  </r>
  <r>
    <n v="3300"/>
    <n v="482"/>
    <x v="1"/>
    <x v="0"/>
    <x v="1"/>
    <d v="2022-08-13T00:00:00"/>
    <x v="521"/>
    <n v="9047"/>
    <n v="5225"/>
    <n v="3822"/>
    <x v="0"/>
    <n v="2"/>
    <x v="0"/>
    <d v="2022-11-11T00:00:00"/>
    <n v="0"/>
    <n v="1958"/>
    <n v="0.42"/>
    <s v="Normal"/>
    <n v="2022"/>
    <s v="November"/>
  </r>
  <r>
    <n v="3303"/>
    <n v="389"/>
    <x v="4"/>
    <x v="1"/>
    <x v="2"/>
    <d v="2022-12-27T00:00:00"/>
    <x v="732"/>
    <n v="3725"/>
    <n v="38"/>
    <n v="3687"/>
    <x v="2"/>
    <n v="7"/>
    <x v="1"/>
    <d v="2023-08-20T00:00:00"/>
    <n v="1"/>
    <n v="1959"/>
    <n v="0.99"/>
    <s v="Normal"/>
    <n v="2023"/>
    <s v="August"/>
  </r>
  <r>
    <n v="3304"/>
    <n v="218"/>
    <x v="1"/>
    <x v="2"/>
    <x v="0"/>
    <d v="2022-04-09T00:00:00"/>
    <x v="337"/>
    <n v="832"/>
    <n v="4359"/>
    <n v="-3527"/>
    <x v="2"/>
    <n v="18"/>
    <x v="1"/>
    <d v="2023-11-03T00:00:00"/>
    <n v="1"/>
    <n v="1960"/>
    <n v="-4.24"/>
    <s v="Outlier"/>
    <n v="2023"/>
    <s v="November"/>
  </r>
  <r>
    <n v="3306"/>
    <n v="331"/>
    <x v="2"/>
    <x v="3"/>
    <x v="0"/>
    <d v="2022-11-14T00:00:00"/>
    <x v="215"/>
    <n v="2741"/>
    <n v="3813"/>
    <n v="-1072"/>
    <x v="1"/>
    <n v="9"/>
    <x v="1"/>
    <d v="2023-08-22T00:00:00"/>
    <n v="0"/>
    <n v="1961"/>
    <n v="-0.39"/>
    <s v="Normal"/>
    <n v="2023"/>
    <s v="August"/>
  </r>
  <r>
    <n v="3307"/>
    <n v="448"/>
    <x v="1"/>
    <x v="2"/>
    <x v="0"/>
    <d v="2022-12-25T00:00:00"/>
    <x v="58"/>
    <n v="4967.93"/>
    <n v="4295"/>
    <n v="-5878"/>
    <x v="1"/>
    <n v="3"/>
    <x v="0"/>
    <d v="2023-04-02T00:00:00"/>
    <n v="0"/>
    <n v="1962"/>
    <n v="-1.18"/>
    <s v="Outlier"/>
    <n v="2023"/>
    <s v="April"/>
  </r>
  <r>
    <n v="3309"/>
    <n v="285"/>
    <x v="2"/>
    <x v="3"/>
    <x v="0"/>
    <d v="2022-09-25T00:00:00"/>
    <x v="111"/>
    <n v="4967.93"/>
    <n v="6978"/>
    <n v="-8048"/>
    <x v="1"/>
    <n v="13"/>
    <x v="1"/>
    <d v="2023-11-16T00:00:00"/>
    <n v="0"/>
    <n v="1963"/>
    <n v="-1.62"/>
    <s v="Outlier"/>
    <n v="2023"/>
    <s v="November"/>
  </r>
  <r>
    <n v="3310"/>
    <n v="437"/>
    <x v="0"/>
    <x v="0"/>
    <x v="2"/>
    <d v="2022-02-06T00:00:00"/>
    <x v="467"/>
    <n v="9773"/>
    <n v="7405"/>
    <n v="2368"/>
    <x v="1"/>
    <n v="10"/>
    <x v="1"/>
    <d v="2022-12-28T00:00:00"/>
    <n v="0"/>
    <n v="1964"/>
    <n v="0.24"/>
    <s v="Normal"/>
    <n v="2022"/>
    <s v="December"/>
  </r>
  <r>
    <n v="3311"/>
    <n v="242"/>
    <x v="1"/>
    <x v="2"/>
    <x v="0"/>
    <d v="2022-08-25T00:00:00"/>
    <x v="384"/>
    <n v="7972"/>
    <n v="3015"/>
    <n v="577.01"/>
    <x v="1"/>
    <n v="15"/>
    <x v="1"/>
    <d v="2023-11-28T00:00:00"/>
    <n v="0"/>
    <n v="1965"/>
    <n v="7.0000000000000007E-2"/>
    <s v="Normal"/>
    <n v="2023"/>
    <s v="November"/>
  </r>
  <r>
    <n v="3313"/>
    <n v="470"/>
    <x v="3"/>
    <x v="0"/>
    <x v="1"/>
    <d v="2022-07-09T00:00:00"/>
    <x v="29"/>
    <n v="6895"/>
    <n v="1546"/>
    <n v="5349"/>
    <x v="1"/>
    <n v="6"/>
    <x v="2"/>
    <d v="2023-02-02T00:00:00"/>
    <n v="0"/>
    <n v="1966"/>
    <n v="0.78"/>
    <s v="Normal"/>
    <n v="2023"/>
    <s v="February"/>
  </r>
  <r>
    <n v="3317"/>
    <n v="278"/>
    <x v="2"/>
    <x v="0"/>
    <x v="1"/>
    <d v="2022-06-14T00:00:00"/>
    <x v="230"/>
    <n v="9538"/>
    <n v="6333"/>
    <n v="3205"/>
    <x v="1"/>
    <n v="6"/>
    <x v="2"/>
    <d v="2023-01-07T00:00:00"/>
    <n v="1"/>
    <n v="1967"/>
    <n v="0.34"/>
    <s v="Normal"/>
    <n v="2023"/>
    <s v="January"/>
  </r>
  <r>
    <n v="3318"/>
    <n v="258"/>
    <x v="3"/>
    <x v="3"/>
    <x v="1"/>
    <d v="2022-04-28T00:00:00"/>
    <x v="353"/>
    <n v="9327"/>
    <n v="7560"/>
    <n v="1767"/>
    <x v="1"/>
    <n v="5"/>
    <x v="0"/>
    <d v="2022-10-12T00:00:00"/>
    <n v="0"/>
    <n v="1968"/>
    <n v="0.19"/>
    <s v="Normal"/>
    <n v="2022"/>
    <s v="October"/>
  </r>
  <r>
    <n v="3319"/>
    <n v="473"/>
    <x v="1"/>
    <x v="1"/>
    <x v="2"/>
    <d v="2022-01-19T00:00:00"/>
    <x v="733"/>
    <n v="7004"/>
    <n v="4012.75"/>
    <n v="7148"/>
    <x v="2"/>
    <n v="1"/>
    <x v="0"/>
    <d v="2022-03-06T00:00:00"/>
    <n v="0"/>
    <n v="1969"/>
    <n v="1.02"/>
    <s v="Outlier"/>
    <n v="2022"/>
    <s v="March"/>
  </r>
  <r>
    <n v="3320"/>
    <n v="330"/>
    <x v="0"/>
    <x v="0"/>
    <x v="1"/>
    <d v="2022-03-22T00:00:00"/>
    <x v="235"/>
    <n v="9635"/>
    <n v="4879"/>
    <n v="4756"/>
    <x v="1"/>
    <n v="10"/>
    <x v="1"/>
    <d v="2023-02-15T00:00:00"/>
    <n v="1"/>
    <n v="1970"/>
    <n v="0.49"/>
    <s v="Normal"/>
    <n v="2023"/>
    <s v="February"/>
  </r>
  <r>
    <n v="3323"/>
    <n v="262"/>
    <x v="4"/>
    <x v="0"/>
    <x v="2"/>
    <d v="2022-12-21T00:00:00"/>
    <x v="464"/>
    <n v="3893"/>
    <n v="6888"/>
    <n v="-2995"/>
    <x v="2"/>
    <n v="2"/>
    <x v="0"/>
    <d v="2023-03-09T00:00:00"/>
    <n v="0"/>
    <n v="1971"/>
    <n v="-0.77"/>
    <s v="Normal"/>
    <n v="2023"/>
    <s v="March"/>
  </r>
  <r>
    <n v="3325"/>
    <n v="416"/>
    <x v="1"/>
    <x v="2"/>
    <x v="2"/>
    <d v="2022-04-13T00:00:00"/>
    <x v="196"/>
    <n v="7769"/>
    <n v="4012.75"/>
    <n v="8506"/>
    <x v="1"/>
    <n v="17"/>
    <x v="1"/>
    <d v="2023-09-20T00:00:00"/>
    <n v="1"/>
    <n v="1972"/>
    <n v="1.0900000000000001"/>
    <s v="Outlier"/>
    <n v="2023"/>
    <s v="September"/>
  </r>
  <r>
    <n v="3326"/>
    <n v="122"/>
    <x v="1"/>
    <x v="1"/>
    <x v="0"/>
    <d v="2022-12-01T00:00:00"/>
    <x v="243"/>
    <n v="1994"/>
    <n v="4012.75"/>
    <n v="2178"/>
    <x v="0"/>
    <n v="12"/>
    <x v="1"/>
    <d v="2023-12-30T00:00:00"/>
    <n v="1"/>
    <n v="1973"/>
    <n v="1.0900000000000001"/>
    <s v="Outlier"/>
    <n v="2023"/>
    <s v="December"/>
  </r>
  <r>
    <n v="3327"/>
    <n v="112"/>
    <x v="2"/>
    <x v="0"/>
    <x v="2"/>
    <d v="2022-12-24T00:00:00"/>
    <x v="399"/>
    <n v="7598"/>
    <n v="4291"/>
    <n v="3307"/>
    <x v="2"/>
    <n v="17"/>
    <x v="1"/>
    <d v="2024-06-02T00:00:00"/>
    <n v="1"/>
    <n v="1974"/>
    <n v="0.44"/>
    <s v="Normal"/>
    <n v="2024"/>
    <s v="June"/>
  </r>
  <r>
    <n v="3330"/>
    <n v="391"/>
    <x v="0"/>
    <x v="3"/>
    <x v="2"/>
    <d v="2022-05-20T00:00:00"/>
    <x v="230"/>
    <n v="7034"/>
    <n v="1119"/>
    <n v="5915"/>
    <x v="0"/>
    <n v="7"/>
    <x v="1"/>
    <d v="2023-01-07T00:00:00"/>
    <n v="1"/>
    <n v="1975"/>
    <n v="0.84"/>
    <s v="Normal"/>
    <n v="2023"/>
    <s v="January"/>
  </r>
  <r>
    <n v="3331"/>
    <n v="214"/>
    <x v="4"/>
    <x v="0"/>
    <x v="2"/>
    <d v="2022-05-30T00:00:00"/>
    <x v="6"/>
    <n v="4967.93"/>
    <n v="2485"/>
    <n v="-3510"/>
    <x v="1"/>
    <n v="14"/>
    <x v="1"/>
    <d v="2023-08-06T00:00:00"/>
    <n v="0"/>
    <n v="1976"/>
    <n v="-0.71"/>
    <s v="Normal"/>
    <n v="2023"/>
    <s v="August"/>
  </r>
  <r>
    <n v="3332"/>
    <n v="295"/>
    <x v="1"/>
    <x v="2"/>
    <x v="1"/>
    <d v="2022-06-28T00:00:00"/>
    <x v="264"/>
    <n v="4967.93"/>
    <n v="6969"/>
    <n v="-7732"/>
    <x v="2"/>
    <n v="14"/>
    <x v="1"/>
    <d v="2023-09-17T00:00:00"/>
    <n v="1"/>
    <n v="1977"/>
    <n v="-1.56"/>
    <s v="Outlier"/>
    <n v="2023"/>
    <s v="September"/>
  </r>
  <r>
    <n v="3335"/>
    <n v="231"/>
    <x v="1"/>
    <x v="3"/>
    <x v="2"/>
    <d v="2022-05-17T00:00:00"/>
    <x v="71"/>
    <n v="4967.93"/>
    <n v="6830"/>
    <n v="-7690"/>
    <x v="2"/>
    <n v="14"/>
    <x v="1"/>
    <d v="2023-07-31T00:00:00"/>
    <n v="1"/>
    <n v="1978"/>
    <n v="-1.55"/>
    <s v="Outlier"/>
    <n v="2023"/>
    <s v="July"/>
  </r>
  <r>
    <n v="3337"/>
    <n v="396"/>
    <x v="4"/>
    <x v="3"/>
    <x v="1"/>
    <d v="2022-04-12T00:00:00"/>
    <x v="353"/>
    <n v="6122"/>
    <n v="7852"/>
    <n v="-1730"/>
    <x v="1"/>
    <n v="6"/>
    <x v="2"/>
    <d v="2022-10-12T00:00:00"/>
    <n v="0"/>
    <n v="1979"/>
    <n v="-0.28000000000000003"/>
    <s v="Normal"/>
    <n v="2022"/>
    <s v="October"/>
  </r>
  <r>
    <n v="3340"/>
    <n v="334"/>
    <x v="2"/>
    <x v="0"/>
    <x v="1"/>
    <d v="2022-01-26T00:00:00"/>
    <x v="451"/>
    <n v="470"/>
    <n v="4727"/>
    <n v="-4257"/>
    <x v="0"/>
    <n v="18"/>
    <x v="1"/>
    <d v="2023-08-13T00:00:00"/>
    <n v="1"/>
    <n v="1980"/>
    <n v="-9.06"/>
    <s v="Outlier"/>
    <n v="2023"/>
    <s v="August"/>
  </r>
  <r>
    <n v="3341"/>
    <n v="466"/>
    <x v="0"/>
    <x v="2"/>
    <x v="0"/>
    <d v="2022-11-22T00:00:00"/>
    <x v="249"/>
    <n v="4967.93"/>
    <n v="7912"/>
    <n v="-7942"/>
    <x v="1"/>
    <n v="16"/>
    <x v="1"/>
    <d v="2024-04-06T00:00:00"/>
    <n v="0"/>
    <n v="1981"/>
    <n v="-1.6"/>
    <s v="Outlier"/>
    <n v="2024"/>
    <s v="April"/>
  </r>
  <r>
    <n v="3342"/>
    <n v="258"/>
    <x v="3"/>
    <x v="1"/>
    <x v="0"/>
    <d v="2022-01-22T00:00:00"/>
    <x v="289"/>
    <n v="4967.93"/>
    <n v="3477"/>
    <n v="-4737"/>
    <x v="0"/>
    <n v="4"/>
    <x v="0"/>
    <d v="2022-06-03T00:00:00"/>
    <n v="1"/>
    <n v="1982"/>
    <n v="-0.95"/>
    <s v="Normal"/>
    <n v="2022"/>
    <s v="June"/>
  </r>
  <r>
    <n v="3346"/>
    <n v="165"/>
    <x v="1"/>
    <x v="1"/>
    <x v="2"/>
    <d v="2022-07-06T00:00:00"/>
    <x v="710"/>
    <n v="4727"/>
    <n v="2226"/>
    <n v="2501"/>
    <x v="1"/>
    <n v="7"/>
    <x v="1"/>
    <d v="2023-02-06T00:00:00"/>
    <n v="1"/>
    <n v="1983"/>
    <n v="0.53"/>
    <s v="Normal"/>
    <n v="2023"/>
    <s v="February"/>
  </r>
  <r>
    <n v="3348"/>
    <n v="426"/>
    <x v="2"/>
    <x v="1"/>
    <x v="2"/>
    <d v="2022-01-29T00:00:00"/>
    <x v="634"/>
    <n v="1895"/>
    <n v="1243"/>
    <n v="652"/>
    <x v="1"/>
    <n v="1"/>
    <x v="0"/>
    <d v="2022-03-10T00:00:00"/>
    <n v="0"/>
    <n v="1984"/>
    <n v="0.34"/>
    <s v="Normal"/>
    <n v="2022"/>
    <s v="March"/>
  </r>
  <r>
    <n v="3351"/>
    <n v="205"/>
    <x v="1"/>
    <x v="1"/>
    <x v="2"/>
    <d v="2022-07-28T00:00:00"/>
    <x v="546"/>
    <n v="3573"/>
    <n v="3164"/>
    <n v="577.01"/>
    <x v="0"/>
    <n v="11"/>
    <x v="1"/>
    <d v="2023-06-29T00:00:00"/>
    <n v="0"/>
    <n v="1985"/>
    <n v="0.16"/>
    <s v="Normal"/>
    <n v="2023"/>
    <s v="June"/>
  </r>
  <r>
    <n v="3353"/>
    <n v="281"/>
    <x v="0"/>
    <x v="2"/>
    <x v="2"/>
    <d v="2022-02-07T00:00:00"/>
    <x v="734"/>
    <n v="4967.93"/>
    <n v="7088"/>
    <n v="-7466"/>
    <x v="0"/>
    <n v="12"/>
    <x v="1"/>
    <d v="2023-03-06T00:00:00"/>
    <n v="1"/>
    <n v="1986"/>
    <n v="-1.5"/>
    <s v="Outlier"/>
    <n v="2023"/>
    <s v="March"/>
  </r>
  <r>
    <n v="3354"/>
    <n v="436"/>
    <x v="3"/>
    <x v="1"/>
    <x v="0"/>
    <d v="2022-12-08T00:00:00"/>
    <x v="379"/>
    <n v="7075"/>
    <n v="1668"/>
    <n v="5407"/>
    <x v="1"/>
    <n v="6"/>
    <x v="2"/>
    <d v="2023-06-21T00:00:00"/>
    <n v="0"/>
    <n v="1987"/>
    <n v="0.76"/>
    <s v="Normal"/>
    <n v="2023"/>
    <s v="June"/>
  </r>
  <r>
    <n v="3355"/>
    <n v="405"/>
    <x v="3"/>
    <x v="3"/>
    <x v="2"/>
    <d v="2022-09-26T00:00:00"/>
    <x v="624"/>
    <n v="7524"/>
    <n v="2064"/>
    <n v="5460"/>
    <x v="2"/>
    <n v="16"/>
    <x v="1"/>
    <d v="2024-02-12T00:00:00"/>
    <n v="1"/>
    <n v="1988"/>
    <n v="0.73"/>
    <s v="Normal"/>
    <n v="2024"/>
    <s v="February"/>
  </r>
  <r>
    <n v="3358"/>
    <n v="342"/>
    <x v="4"/>
    <x v="0"/>
    <x v="1"/>
    <d v="2022-09-18T00:00:00"/>
    <x v="735"/>
    <n v="4967.93"/>
    <n v="5811"/>
    <n v="-6892"/>
    <x v="1"/>
    <n v="17"/>
    <x v="1"/>
    <d v="2024-03-08T00:00:00"/>
    <n v="0"/>
    <n v="1989"/>
    <n v="-1.39"/>
    <s v="Outlier"/>
    <n v="2024"/>
    <s v="March"/>
  </r>
  <r>
    <n v="3360"/>
    <n v="379"/>
    <x v="4"/>
    <x v="0"/>
    <x v="2"/>
    <d v="2022-02-22T00:00:00"/>
    <x v="603"/>
    <n v="2252"/>
    <n v="4012.75"/>
    <n v="3172"/>
    <x v="1"/>
    <n v="18"/>
    <x v="1"/>
    <d v="2023-08-25T00:00:00"/>
    <n v="0"/>
    <n v="1990"/>
    <n v="1.41"/>
    <s v="Outlier"/>
    <n v="2023"/>
    <s v="August"/>
  </r>
  <r>
    <n v="3362"/>
    <n v="212"/>
    <x v="1"/>
    <x v="3"/>
    <x v="2"/>
    <d v="2022-08-06T00:00:00"/>
    <x v="114"/>
    <n v="3555"/>
    <n v="5972"/>
    <n v="-2417"/>
    <x v="1"/>
    <n v="2"/>
    <x v="0"/>
    <d v="2022-10-21T00:00:00"/>
    <n v="0"/>
    <n v="1991"/>
    <n v="-0.68"/>
    <s v="Normal"/>
    <n v="2022"/>
    <s v="October"/>
  </r>
  <r>
    <n v="3364"/>
    <n v="378"/>
    <x v="0"/>
    <x v="3"/>
    <x v="2"/>
    <d v="2022-06-15T00:00:00"/>
    <x v="230"/>
    <n v="760"/>
    <n v="2315"/>
    <n v="-1555"/>
    <x v="1"/>
    <n v="6"/>
    <x v="2"/>
    <d v="2023-01-07T00:00:00"/>
    <n v="0"/>
    <n v="1992"/>
    <n v="-2.0499999999999998"/>
    <s v="Outlier"/>
    <n v="2023"/>
    <s v="January"/>
  </r>
  <r>
    <n v="3365"/>
    <n v="326"/>
    <x v="1"/>
    <x v="2"/>
    <x v="0"/>
    <d v="2022-06-30T00:00:00"/>
    <x v="34"/>
    <n v="3132"/>
    <n v="2965"/>
    <n v="167"/>
    <x v="0"/>
    <n v="3"/>
    <x v="0"/>
    <d v="2022-10-14T00:00:00"/>
    <n v="0"/>
    <n v="1993"/>
    <n v="0.05"/>
    <s v="Normal"/>
    <n v="2022"/>
    <s v="October"/>
  </r>
  <r>
    <n v="3367"/>
    <n v="138"/>
    <x v="4"/>
    <x v="1"/>
    <x v="1"/>
    <d v="2022-05-23T00:00:00"/>
    <x v="254"/>
    <n v="4249"/>
    <n v="439"/>
    <n v="577.01"/>
    <x v="1"/>
    <n v="13"/>
    <x v="1"/>
    <d v="2023-07-06T00:00:00"/>
    <n v="1"/>
    <n v="1994"/>
    <n v="0.14000000000000001"/>
    <s v="Normal"/>
    <n v="2023"/>
    <s v="July"/>
  </r>
  <r>
    <n v="3369"/>
    <n v="427"/>
    <x v="2"/>
    <x v="3"/>
    <x v="0"/>
    <d v="2022-11-29T00:00:00"/>
    <x v="698"/>
    <n v="7210"/>
    <n v="1224"/>
    <n v="5986"/>
    <x v="1"/>
    <n v="13"/>
    <x v="1"/>
    <d v="2024-01-03T00:00:00"/>
    <n v="1"/>
    <n v="1995"/>
    <n v="0.83"/>
    <s v="Normal"/>
    <n v="2024"/>
    <s v="January"/>
  </r>
  <r>
    <n v="3370"/>
    <n v="464"/>
    <x v="0"/>
    <x v="3"/>
    <x v="1"/>
    <d v="2022-07-25T00:00:00"/>
    <x v="436"/>
    <n v="5154"/>
    <n v="783"/>
    <n v="4371"/>
    <x v="1"/>
    <n v="9"/>
    <x v="1"/>
    <d v="2023-05-12T00:00:00"/>
    <n v="1"/>
    <n v="1996"/>
    <n v="0.85"/>
    <s v="Normal"/>
    <n v="2023"/>
    <s v="May"/>
  </r>
  <r>
    <n v="3371"/>
    <n v="358"/>
    <x v="3"/>
    <x v="2"/>
    <x v="2"/>
    <d v="2022-03-10T00:00:00"/>
    <x v="375"/>
    <n v="8307"/>
    <n v="1131"/>
    <n v="7176"/>
    <x v="1"/>
    <n v="5"/>
    <x v="0"/>
    <d v="2022-09-09T00:00:00"/>
    <n v="0"/>
    <n v="1997"/>
    <n v="0.86"/>
    <s v="Normal"/>
    <n v="2022"/>
    <s v="September"/>
  </r>
  <r>
    <n v="3372"/>
    <n v="127"/>
    <x v="0"/>
    <x v="1"/>
    <x v="0"/>
    <d v="2022-01-08T00:00:00"/>
    <x v="736"/>
    <n v="200"/>
    <n v="4781"/>
    <n v="577.01"/>
    <x v="2"/>
    <n v="3"/>
    <x v="0"/>
    <d v="2022-04-23T00:00:00"/>
    <n v="0"/>
    <n v="1998"/>
    <n v="2.89"/>
    <s v="Outlier"/>
    <n v="2022"/>
    <s v="April"/>
  </r>
  <r>
    <n v="3373"/>
    <n v="340"/>
    <x v="1"/>
    <x v="3"/>
    <x v="0"/>
    <d v="2022-08-23T00:00:00"/>
    <x v="737"/>
    <n v="9555"/>
    <n v="5321"/>
    <n v="577.01"/>
    <x v="0"/>
    <n v="5"/>
    <x v="0"/>
    <d v="2023-01-29T00:00:00"/>
    <n v="0"/>
    <n v="1999"/>
    <n v="0.06"/>
    <s v="Normal"/>
    <n v="2023"/>
    <s v="January"/>
  </r>
  <r>
    <n v="3377"/>
    <n v="301"/>
    <x v="2"/>
    <x v="0"/>
    <x v="1"/>
    <d v="2022-08-30T00:00:00"/>
    <x v="215"/>
    <n v="8728"/>
    <n v="6011"/>
    <n v="2717"/>
    <x v="1"/>
    <n v="11"/>
    <x v="1"/>
    <d v="2023-08-22T00:00:00"/>
    <n v="1"/>
    <n v="2000"/>
    <n v="0.31"/>
    <s v="Normal"/>
    <n v="2023"/>
    <s v="August"/>
  </r>
  <r>
    <n v="3379"/>
    <n v="234"/>
    <x v="0"/>
    <x v="0"/>
    <x v="2"/>
    <d v="2022-09-22T00:00:00"/>
    <x v="467"/>
    <n v="60"/>
    <n v="1057"/>
    <n v="-997"/>
    <x v="1"/>
    <n v="3"/>
    <x v="0"/>
    <d v="2022-12-28T00:00:00"/>
    <n v="0"/>
    <n v="2001"/>
    <n v="-16.62"/>
    <s v="Outlier"/>
    <n v="2022"/>
    <s v="December"/>
  </r>
  <r>
    <n v="3380"/>
    <n v="342"/>
    <x v="2"/>
    <x v="2"/>
    <x v="2"/>
    <d v="2022-03-05T00:00:00"/>
    <x v="693"/>
    <n v="382"/>
    <n v="6390"/>
    <n v="-6008"/>
    <x v="2"/>
    <n v="15"/>
    <x v="1"/>
    <d v="2023-06-18T00:00:00"/>
    <n v="1"/>
    <n v="2002"/>
    <n v="-15.73"/>
    <s v="Outlier"/>
    <n v="2023"/>
    <s v="June"/>
  </r>
  <r>
    <n v="3382"/>
    <n v="108"/>
    <x v="3"/>
    <x v="1"/>
    <x v="0"/>
    <d v="2022-02-16T00:00:00"/>
    <x v="146"/>
    <n v="5897"/>
    <n v="816"/>
    <n v="5081"/>
    <x v="0"/>
    <n v="19"/>
    <x v="1"/>
    <d v="2023-10-08T00:00:00"/>
    <n v="1"/>
    <n v="2003"/>
    <n v="0.86"/>
    <s v="Normal"/>
    <n v="2023"/>
    <s v="October"/>
  </r>
  <r>
    <n v="3383"/>
    <n v="122"/>
    <x v="0"/>
    <x v="1"/>
    <x v="0"/>
    <d v="2022-04-01T00:00:00"/>
    <x v="605"/>
    <n v="6906"/>
    <n v="5432"/>
    <n v="1474"/>
    <x v="0"/>
    <n v="18"/>
    <x v="1"/>
    <d v="2023-10-29T00:00:00"/>
    <n v="0"/>
    <n v="2004"/>
    <n v="0.21"/>
    <s v="Normal"/>
    <n v="2023"/>
    <s v="October"/>
  </r>
  <r>
    <n v="3384"/>
    <n v="379"/>
    <x v="1"/>
    <x v="2"/>
    <x v="0"/>
    <d v="2022-04-12T00:00:00"/>
    <x v="64"/>
    <n v="3816"/>
    <n v="4012.75"/>
    <n v="4575"/>
    <x v="0"/>
    <n v="10"/>
    <x v="1"/>
    <d v="2023-03-07T00:00:00"/>
    <n v="0"/>
    <n v="2005"/>
    <n v="1.2"/>
    <s v="Outlier"/>
    <n v="2023"/>
    <s v="March"/>
  </r>
  <r>
    <n v="3385"/>
    <n v="187"/>
    <x v="1"/>
    <x v="1"/>
    <x v="2"/>
    <d v="2022-08-23T00:00:00"/>
    <x v="95"/>
    <n v="4967.93"/>
    <n v="1721"/>
    <n v="-3075"/>
    <x v="0"/>
    <n v="13"/>
    <x v="1"/>
    <d v="2023-10-12T00:00:00"/>
    <n v="0"/>
    <n v="2006"/>
    <n v="-0.62"/>
    <s v="Normal"/>
    <n v="2023"/>
    <s v="October"/>
  </r>
  <r>
    <n v="3387"/>
    <n v="122"/>
    <x v="3"/>
    <x v="2"/>
    <x v="0"/>
    <d v="2022-07-25T00:00:00"/>
    <x v="427"/>
    <n v="103"/>
    <n v="5645"/>
    <n v="-5542"/>
    <x v="1"/>
    <n v="7"/>
    <x v="1"/>
    <d v="2023-03-08T00:00:00"/>
    <n v="0"/>
    <n v="2007"/>
    <n v="-53.81"/>
    <s v="Outlier"/>
    <n v="2023"/>
    <s v="March"/>
  </r>
  <r>
    <n v="3391"/>
    <n v="366"/>
    <x v="1"/>
    <x v="2"/>
    <x v="2"/>
    <d v="2022-02-20T00:00:00"/>
    <x v="229"/>
    <n v="8"/>
    <n v="1219"/>
    <n v="577.01"/>
    <x v="1"/>
    <n v="19"/>
    <x v="1"/>
    <d v="2023-09-26T00:00:00"/>
    <n v="1"/>
    <n v="2008"/>
    <n v="72.13"/>
    <s v="Outlier"/>
    <n v="2023"/>
    <s v="September"/>
  </r>
  <r>
    <n v="3393"/>
    <n v="112"/>
    <x v="2"/>
    <x v="2"/>
    <x v="2"/>
    <d v="2022-05-14T00:00:00"/>
    <x v="487"/>
    <n v="4967.93"/>
    <n v="1172"/>
    <n v="-1853"/>
    <x v="1"/>
    <n v="19"/>
    <x v="1"/>
    <d v="2023-12-14T00:00:00"/>
    <n v="1"/>
    <n v="2009"/>
    <n v="-0.37"/>
    <s v="Normal"/>
    <n v="2023"/>
    <s v="December"/>
  </r>
  <r>
    <n v="3394"/>
    <n v="430"/>
    <x v="1"/>
    <x v="3"/>
    <x v="1"/>
    <d v="2022-09-06T00:00:00"/>
    <x v="221"/>
    <n v="493"/>
    <n v="5492"/>
    <n v="-4999"/>
    <x v="2"/>
    <n v="17"/>
    <x v="1"/>
    <d v="2024-02-17T00:00:00"/>
    <n v="1"/>
    <n v="2010"/>
    <n v="-10.14"/>
    <s v="Outlier"/>
    <n v="2024"/>
    <s v="February"/>
  </r>
  <r>
    <n v="3398"/>
    <n v="498"/>
    <x v="2"/>
    <x v="2"/>
    <x v="0"/>
    <d v="2022-07-15T00:00:00"/>
    <x v="560"/>
    <n v="7176"/>
    <n v="5221"/>
    <n v="1955"/>
    <x v="1"/>
    <n v="12"/>
    <x v="1"/>
    <d v="2023-07-15T00:00:00"/>
    <n v="1"/>
    <n v="2011"/>
    <n v="0.27"/>
    <s v="Normal"/>
    <n v="2023"/>
    <s v="July"/>
  </r>
  <r>
    <n v="3399"/>
    <n v="257"/>
    <x v="2"/>
    <x v="3"/>
    <x v="0"/>
    <d v="2022-12-13T00:00:00"/>
    <x v="413"/>
    <n v="6566"/>
    <n v="1202"/>
    <n v="5364"/>
    <x v="1"/>
    <n v="7"/>
    <x v="1"/>
    <d v="2023-07-16T00:00:00"/>
    <n v="1"/>
    <n v="2012"/>
    <n v="0.82"/>
    <s v="Normal"/>
    <n v="2023"/>
    <s v="July"/>
  </r>
  <r>
    <n v="3401"/>
    <n v="315"/>
    <x v="4"/>
    <x v="0"/>
    <x v="1"/>
    <d v="2022-12-22T00:00:00"/>
    <x v="127"/>
    <n v="7316"/>
    <n v="4012.75"/>
    <n v="8185"/>
    <x v="1"/>
    <n v="14"/>
    <x v="1"/>
    <d v="2024-03-07T00:00:00"/>
    <n v="1"/>
    <n v="2013"/>
    <n v="1.1200000000000001"/>
    <s v="Outlier"/>
    <n v="2024"/>
    <s v="March"/>
  </r>
  <r>
    <n v="3402"/>
    <n v="300"/>
    <x v="0"/>
    <x v="3"/>
    <x v="2"/>
    <d v="2022-04-25T00:00:00"/>
    <x v="492"/>
    <n v="8747"/>
    <n v="4012.75"/>
    <n v="577.01"/>
    <x v="0"/>
    <n v="13"/>
    <x v="1"/>
    <d v="2023-06-04T00:00:00"/>
    <n v="0"/>
    <n v="2014"/>
    <n v="7.0000000000000007E-2"/>
    <s v="Normal"/>
    <n v="2023"/>
    <s v="June"/>
  </r>
  <r>
    <n v="3403"/>
    <n v="312"/>
    <x v="1"/>
    <x v="0"/>
    <x v="1"/>
    <d v="2022-05-28T00:00:00"/>
    <x v="575"/>
    <n v="4967.93"/>
    <n v="7475"/>
    <n v="-8902"/>
    <x v="1"/>
    <n v="19"/>
    <x v="1"/>
    <d v="2024-01-08T00:00:00"/>
    <n v="1"/>
    <n v="2015"/>
    <n v="-1.79"/>
    <s v="Outlier"/>
    <n v="2024"/>
    <s v="January"/>
  </r>
  <r>
    <n v="3404"/>
    <n v="241"/>
    <x v="0"/>
    <x v="1"/>
    <x v="1"/>
    <d v="2022-01-24T00:00:00"/>
    <x v="38"/>
    <n v="4967.93"/>
    <n v="4135"/>
    <n v="-4615"/>
    <x v="1"/>
    <n v="3"/>
    <x v="0"/>
    <d v="2022-04-25T00:00:00"/>
    <n v="0"/>
    <n v="2016"/>
    <n v="-0.93"/>
    <s v="Normal"/>
    <n v="2022"/>
    <s v="April"/>
  </r>
  <r>
    <n v="3405"/>
    <n v="201"/>
    <x v="1"/>
    <x v="0"/>
    <x v="1"/>
    <d v="2022-12-05T00:00:00"/>
    <x v="567"/>
    <n v="9571"/>
    <n v="1072"/>
    <n v="8499"/>
    <x v="2"/>
    <n v="1"/>
    <x v="0"/>
    <d v="2023-01-08T00:00:00"/>
    <n v="1"/>
    <n v="2017"/>
    <n v="0.89"/>
    <s v="Normal"/>
    <n v="2023"/>
    <s v="January"/>
  </r>
  <r>
    <n v="3406"/>
    <n v="388"/>
    <x v="3"/>
    <x v="0"/>
    <x v="1"/>
    <d v="2022-01-07T00:00:00"/>
    <x v="41"/>
    <n v="4967.93"/>
    <n v="3627"/>
    <n v="-5243"/>
    <x v="0"/>
    <n v="15"/>
    <x v="1"/>
    <d v="2023-04-28T00:00:00"/>
    <n v="1"/>
    <n v="2018"/>
    <n v="-1.06"/>
    <s v="Outlier"/>
    <n v="2023"/>
    <s v="April"/>
  </r>
  <r>
    <n v="3407"/>
    <n v="299"/>
    <x v="3"/>
    <x v="3"/>
    <x v="0"/>
    <d v="2022-11-14T00:00:00"/>
    <x v="337"/>
    <n v="4967.93"/>
    <n v="4012.75"/>
    <n v="-937"/>
    <x v="0"/>
    <n v="11"/>
    <x v="1"/>
    <d v="2023-11-03T00:00:00"/>
    <n v="1"/>
    <n v="2019"/>
    <n v="-0.19"/>
    <s v="Normal"/>
    <n v="2023"/>
    <s v="November"/>
  </r>
  <r>
    <n v="3410"/>
    <n v="489"/>
    <x v="4"/>
    <x v="1"/>
    <x v="2"/>
    <d v="2022-12-16T00:00:00"/>
    <x v="675"/>
    <n v="4617"/>
    <n v="3061"/>
    <n v="1556"/>
    <x v="0"/>
    <n v="10"/>
    <x v="1"/>
    <d v="2023-10-31T00:00:00"/>
    <n v="1"/>
    <n v="2020"/>
    <n v="0.34"/>
    <s v="Normal"/>
    <n v="2023"/>
    <s v="October"/>
  </r>
  <r>
    <n v="3411"/>
    <n v="487"/>
    <x v="1"/>
    <x v="1"/>
    <x v="0"/>
    <d v="2022-06-17T00:00:00"/>
    <x v="18"/>
    <n v="4967.93"/>
    <n v="4680"/>
    <n v="-6131"/>
    <x v="2"/>
    <n v="12"/>
    <x v="1"/>
    <d v="2023-06-17T00:00:00"/>
    <n v="0"/>
    <n v="2021"/>
    <n v="-1.23"/>
    <s v="Outlier"/>
    <n v="2023"/>
    <s v="June"/>
  </r>
  <r>
    <n v="3413"/>
    <n v="369"/>
    <x v="4"/>
    <x v="2"/>
    <x v="0"/>
    <d v="2022-10-12T00:00:00"/>
    <x v="485"/>
    <n v="4967.93"/>
    <n v="370"/>
    <n v="577.01"/>
    <x v="1"/>
    <n v="1"/>
    <x v="0"/>
    <d v="2022-12-08T00:00:00"/>
    <n v="1"/>
    <n v="2022"/>
    <n v="0.12"/>
    <s v="Normal"/>
    <n v="2022"/>
    <s v="December"/>
  </r>
  <r>
    <n v="3416"/>
    <n v="320"/>
    <x v="3"/>
    <x v="0"/>
    <x v="0"/>
    <d v="2022-05-26T00:00:00"/>
    <x v="375"/>
    <n v="9115"/>
    <n v="1814"/>
    <n v="7301"/>
    <x v="2"/>
    <n v="3"/>
    <x v="0"/>
    <d v="2022-09-09T00:00:00"/>
    <n v="1"/>
    <n v="2023"/>
    <n v="0.8"/>
    <s v="Normal"/>
    <n v="2022"/>
    <s v="September"/>
  </r>
  <r>
    <n v="3418"/>
    <n v="421"/>
    <x v="4"/>
    <x v="1"/>
    <x v="1"/>
    <d v="2022-03-17T00:00:00"/>
    <x v="450"/>
    <n v="898"/>
    <n v="5854"/>
    <n v="577.01"/>
    <x v="1"/>
    <n v="12"/>
    <x v="1"/>
    <d v="2023-03-26T00:00:00"/>
    <n v="1"/>
    <n v="2024"/>
    <n v="0.64"/>
    <s v="Normal"/>
    <n v="2023"/>
    <s v="March"/>
  </r>
  <r>
    <n v="3420"/>
    <n v="330"/>
    <x v="2"/>
    <x v="3"/>
    <x v="0"/>
    <d v="2022-05-04T00:00:00"/>
    <x v="738"/>
    <n v="8269"/>
    <n v="1275"/>
    <n v="6994"/>
    <x v="1"/>
    <n v="1"/>
    <x v="0"/>
    <d v="2022-06-23T00:00:00"/>
    <n v="1"/>
    <n v="2025"/>
    <n v="0.85"/>
    <s v="Normal"/>
    <n v="2022"/>
    <s v="June"/>
  </r>
  <r>
    <n v="3422"/>
    <n v="435"/>
    <x v="0"/>
    <x v="0"/>
    <x v="1"/>
    <d v="2022-07-29T00:00:00"/>
    <x v="382"/>
    <n v="4967.93"/>
    <n v="5554"/>
    <n v="-6066"/>
    <x v="1"/>
    <n v="17"/>
    <x v="1"/>
    <d v="2024-01-19T00:00:00"/>
    <n v="0"/>
    <n v="2026"/>
    <n v="-1.22"/>
    <s v="Outlier"/>
    <n v="2024"/>
    <s v="January"/>
  </r>
  <r>
    <n v="3426"/>
    <n v="378"/>
    <x v="4"/>
    <x v="0"/>
    <x v="1"/>
    <d v="2022-08-15T00:00:00"/>
    <x v="541"/>
    <n v="7277"/>
    <n v="755"/>
    <n v="6522"/>
    <x v="2"/>
    <n v="2"/>
    <x v="0"/>
    <d v="2022-11-06T00:00:00"/>
    <n v="0"/>
    <n v="2027"/>
    <n v="0.9"/>
    <s v="Normal"/>
    <n v="2022"/>
    <s v="November"/>
  </r>
  <r>
    <n v="3427"/>
    <n v="442"/>
    <x v="3"/>
    <x v="0"/>
    <x v="0"/>
    <d v="2022-08-26T00:00:00"/>
    <x v="709"/>
    <n v="264"/>
    <n v="2851"/>
    <n v="-2587"/>
    <x v="1"/>
    <n v="4"/>
    <x v="0"/>
    <d v="2022-12-31T00:00:00"/>
    <n v="1"/>
    <n v="2028"/>
    <n v="-9.8000000000000007"/>
    <s v="Outlier"/>
    <n v="2022"/>
    <s v="December"/>
  </r>
  <r>
    <n v="3428"/>
    <n v="497"/>
    <x v="3"/>
    <x v="3"/>
    <x v="0"/>
    <d v="2022-11-20T00:00:00"/>
    <x v="446"/>
    <n v="5568"/>
    <n v="5538"/>
    <n v="30"/>
    <x v="0"/>
    <n v="2"/>
    <x v="0"/>
    <d v="2023-02-13T00:00:00"/>
    <n v="1"/>
    <n v="2029"/>
    <n v="0.01"/>
    <s v="Normal"/>
    <n v="2023"/>
    <s v="February"/>
  </r>
  <r>
    <n v="3429"/>
    <n v="500"/>
    <x v="3"/>
    <x v="1"/>
    <x v="1"/>
    <d v="2022-02-18T00:00:00"/>
    <x v="60"/>
    <n v="4189"/>
    <n v="1452"/>
    <n v="2737"/>
    <x v="1"/>
    <n v="19"/>
    <x v="1"/>
    <d v="2023-09-28T00:00:00"/>
    <n v="0"/>
    <n v="2030"/>
    <n v="0.65"/>
    <s v="Normal"/>
    <n v="2023"/>
    <s v="September"/>
  </r>
  <r>
    <n v="3430"/>
    <n v="329"/>
    <x v="2"/>
    <x v="1"/>
    <x v="0"/>
    <d v="2022-01-11T00:00:00"/>
    <x v="522"/>
    <n v="1261"/>
    <n v="538"/>
    <n v="723"/>
    <x v="0"/>
    <n v="6"/>
    <x v="2"/>
    <d v="2022-07-16T00:00:00"/>
    <n v="1"/>
    <n v="2031"/>
    <n v="0.56999999999999995"/>
    <s v="Normal"/>
    <n v="2022"/>
    <s v="July"/>
  </r>
  <r>
    <n v="3431"/>
    <n v="138"/>
    <x v="3"/>
    <x v="3"/>
    <x v="1"/>
    <d v="2022-10-10T00:00:00"/>
    <x v="653"/>
    <n v="4967.93"/>
    <n v="6090"/>
    <n v="577.01"/>
    <x v="2"/>
    <n v="12"/>
    <x v="1"/>
    <d v="2023-11-04T00:00:00"/>
    <n v="1"/>
    <n v="2032"/>
    <n v="0.12"/>
    <s v="Normal"/>
    <n v="2023"/>
    <s v="November"/>
  </r>
  <r>
    <n v="3432"/>
    <n v="388"/>
    <x v="0"/>
    <x v="2"/>
    <x v="1"/>
    <d v="2022-10-24T00:00:00"/>
    <x v="67"/>
    <n v="8650"/>
    <n v="4012.75"/>
    <n v="8746"/>
    <x v="1"/>
    <n v="3"/>
    <x v="0"/>
    <d v="2023-02-20T00:00:00"/>
    <n v="1"/>
    <n v="2033"/>
    <n v="1.01"/>
    <s v="Outlier"/>
    <n v="2023"/>
    <s v="February"/>
  </r>
  <r>
    <n v="3434"/>
    <n v="336"/>
    <x v="1"/>
    <x v="0"/>
    <x v="0"/>
    <d v="2022-05-03T00:00:00"/>
    <x v="710"/>
    <n v="7805"/>
    <n v="3593"/>
    <n v="4212"/>
    <x v="1"/>
    <n v="9"/>
    <x v="1"/>
    <d v="2023-02-06T00:00:00"/>
    <n v="0"/>
    <n v="2034"/>
    <n v="0.54"/>
    <s v="Normal"/>
    <n v="2023"/>
    <s v="February"/>
  </r>
  <r>
    <n v="3436"/>
    <n v="260"/>
    <x v="0"/>
    <x v="2"/>
    <x v="2"/>
    <d v="2022-06-26T00:00:00"/>
    <x v="284"/>
    <n v="4967.93"/>
    <n v="3740"/>
    <n v="-4097"/>
    <x v="1"/>
    <n v="8"/>
    <x v="1"/>
    <d v="2023-03-02T00:00:00"/>
    <n v="0"/>
    <n v="2035"/>
    <n v="-0.82"/>
    <s v="Normal"/>
    <n v="2023"/>
    <s v="March"/>
  </r>
  <r>
    <n v="3437"/>
    <n v="353"/>
    <x v="2"/>
    <x v="1"/>
    <x v="0"/>
    <d v="2022-08-14T00:00:00"/>
    <x v="350"/>
    <n v="4967.93"/>
    <n v="7802"/>
    <n v="-8049"/>
    <x v="0"/>
    <n v="10"/>
    <x v="1"/>
    <d v="2023-07-09T00:00:00"/>
    <n v="0"/>
    <n v="2036"/>
    <n v="-1.62"/>
    <s v="Outlier"/>
    <n v="2023"/>
    <s v="July"/>
  </r>
  <r>
    <n v="3438"/>
    <n v="152"/>
    <x v="0"/>
    <x v="1"/>
    <x v="0"/>
    <d v="2022-11-09T00:00:00"/>
    <x v="587"/>
    <n v="7227"/>
    <n v="1775"/>
    <n v="5452"/>
    <x v="1"/>
    <n v="18"/>
    <x v="1"/>
    <d v="2024-05-12T00:00:00"/>
    <n v="1"/>
    <n v="2037"/>
    <n v="0.75"/>
    <s v="Normal"/>
    <n v="2024"/>
    <s v="May"/>
  </r>
  <r>
    <n v="3441"/>
    <n v="172"/>
    <x v="0"/>
    <x v="3"/>
    <x v="0"/>
    <d v="2022-10-27T00:00:00"/>
    <x v="427"/>
    <n v="2844"/>
    <n v="1959"/>
    <n v="885"/>
    <x v="0"/>
    <n v="4"/>
    <x v="0"/>
    <d v="2023-03-08T00:00:00"/>
    <n v="1"/>
    <n v="2038"/>
    <n v="0.31"/>
    <s v="Normal"/>
    <n v="2023"/>
    <s v="March"/>
  </r>
  <r>
    <n v="3442"/>
    <n v="405"/>
    <x v="4"/>
    <x v="3"/>
    <x v="1"/>
    <d v="2022-12-02T00:00:00"/>
    <x v="229"/>
    <n v="8461"/>
    <n v="1163"/>
    <n v="7298"/>
    <x v="1"/>
    <n v="9"/>
    <x v="1"/>
    <d v="2023-09-26T00:00:00"/>
    <n v="1"/>
    <n v="2039"/>
    <n v="0.86"/>
    <s v="Normal"/>
    <n v="2023"/>
    <s v="September"/>
  </r>
  <r>
    <n v="3443"/>
    <n v="130"/>
    <x v="0"/>
    <x v="0"/>
    <x v="1"/>
    <d v="2022-09-21T00:00:00"/>
    <x v="426"/>
    <n v="376"/>
    <n v="1848"/>
    <n v="-1472"/>
    <x v="2"/>
    <n v="3"/>
    <x v="0"/>
    <d v="2023-01-15T00:00:00"/>
    <n v="1"/>
    <n v="2040"/>
    <n v="-3.91"/>
    <s v="Outlier"/>
    <n v="2023"/>
    <s v="January"/>
  </r>
  <r>
    <n v="3445"/>
    <n v="136"/>
    <x v="1"/>
    <x v="0"/>
    <x v="2"/>
    <d v="2022-07-12T00:00:00"/>
    <x v="613"/>
    <n v="1012"/>
    <n v="6955"/>
    <n v="577.01"/>
    <x v="0"/>
    <n v="14"/>
    <x v="1"/>
    <d v="2023-10-06T00:00:00"/>
    <n v="0"/>
    <n v="2041"/>
    <n v="0.56999999999999995"/>
    <s v="Normal"/>
    <n v="2023"/>
    <s v="October"/>
  </r>
  <r>
    <n v="3447"/>
    <n v="324"/>
    <x v="2"/>
    <x v="1"/>
    <x v="1"/>
    <d v="2022-11-11T00:00:00"/>
    <x v="560"/>
    <n v="3399"/>
    <n v="2108"/>
    <n v="1291"/>
    <x v="1"/>
    <n v="8"/>
    <x v="1"/>
    <d v="2023-07-15T00:00:00"/>
    <n v="0"/>
    <n v="2042"/>
    <n v="0.38"/>
    <s v="Normal"/>
    <n v="2023"/>
    <s v="July"/>
  </r>
  <r>
    <n v="3450"/>
    <n v="357"/>
    <x v="2"/>
    <x v="0"/>
    <x v="1"/>
    <d v="2022-06-05T00:00:00"/>
    <x v="11"/>
    <n v="8735"/>
    <n v="6177"/>
    <n v="2558"/>
    <x v="1"/>
    <n v="12"/>
    <x v="1"/>
    <d v="2023-06-30T00:00:00"/>
    <n v="1"/>
    <n v="2043"/>
    <n v="0.28999999999999998"/>
    <s v="Normal"/>
    <n v="2023"/>
    <s v="June"/>
  </r>
  <r>
    <n v="3451"/>
    <n v="162"/>
    <x v="4"/>
    <x v="1"/>
    <x v="1"/>
    <d v="2022-02-08T00:00:00"/>
    <x v="244"/>
    <n v="305"/>
    <n v="1116"/>
    <n v="-811"/>
    <x v="2"/>
    <n v="10"/>
    <x v="1"/>
    <d v="2022-12-26T00:00:00"/>
    <n v="0"/>
    <n v="2044"/>
    <n v="-2.66"/>
    <s v="Outlier"/>
    <n v="2022"/>
    <s v="December"/>
  </r>
  <r>
    <n v="3452"/>
    <n v="225"/>
    <x v="1"/>
    <x v="2"/>
    <x v="2"/>
    <d v="2022-01-10T00:00:00"/>
    <x v="739"/>
    <n v="5117"/>
    <n v="5340"/>
    <n v="-223"/>
    <x v="0"/>
    <n v="2"/>
    <x v="0"/>
    <d v="2022-03-18T00:00:00"/>
    <n v="0"/>
    <n v="2045"/>
    <n v="-0.04"/>
    <s v="Normal"/>
    <n v="2022"/>
    <s v="March"/>
  </r>
  <r>
    <n v="3453"/>
    <n v="283"/>
    <x v="0"/>
    <x v="2"/>
    <x v="1"/>
    <d v="2022-11-22T00:00:00"/>
    <x v="413"/>
    <n v="771"/>
    <n v="2505"/>
    <n v="-1734"/>
    <x v="1"/>
    <n v="7"/>
    <x v="1"/>
    <d v="2023-07-16T00:00:00"/>
    <n v="1"/>
    <n v="2046"/>
    <n v="-2.25"/>
    <s v="Outlier"/>
    <n v="2023"/>
    <s v="July"/>
  </r>
  <r>
    <n v="3454"/>
    <n v="440"/>
    <x v="0"/>
    <x v="0"/>
    <x v="1"/>
    <d v="2022-09-25T00:00:00"/>
    <x v="563"/>
    <n v="3972"/>
    <n v="4832"/>
    <n v="-860"/>
    <x v="1"/>
    <n v="17"/>
    <x v="1"/>
    <d v="2024-02-29T00:00:00"/>
    <n v="0"/>
    <n v="2047"/>
    <n v="-0.22"/>
    <s v="Normal"/>
    <n v="2024"/>
    <s v="February"/>
  </r>
  <r>
    <n v="3457"/>
    <n v="288"/>
    <x v="2"/>
    <x v="2"/>
    <x v="1"/>
    <d v="2022-02-26T00:00:00"/>
    <x v="285"/>
    <n v="7490"/>
    <n v="678"/>
    <n v="6812"/>
    <x v="0"/>
    <n v="5"/>
    <x v="0"/>
    <d v="2022-08-20T00:00:00"/>
    <n v="0"/>
    <n v="2048"/>
    <n v="0.91"/>
    <s v="Normal"/>
    <n v="2022"/>
    <s v="August"/>
  </r>
  <r>
    <n v="3461"/>
    <n v="493"/>
    <x v="4"/>
    <x v="1"/>
    <x v="2"/>
    <d v="2022-01-26T00:00:00"/>
    <x v="633"/>
    <n v="3091"/>
    <n v="4012.75"/>
    <n v="3873"/>
    <x v="2"/>
    <n v="7"/>
    <x v="1"/>
    <d v="2022-09-16T00:00:00"/>
    <n v="0"/>
    <n v="2049"/>
    <n v="1.25"/>
    <s v="Outlier"/>
    <n v="2022"/>
    <s v="September"/>
  </r>
  <r>
    <n v="3463"/>
    <n v="207"/>
    <x v="1"/>
    <x v="0"/>
    <x v="0"/>
    <d v="2022-05-18T00:00:00"/>
    <x v="354"/>
    <n v="7770"/>
    <n v="5656"/>
    <n v="2114"/>
    <x v="1"/>
    <n v="6"/>
    <x v="2"/>
    <d v="2022-11-28T00:00:00"/>
    <n v="0"/>
    <n v="2050"/>
    <n v="0.27"/>
    <s v="Normal"/>
    <n v="2022"/>
    <s v="November"/>
  </r>
  <r>
    <n v="3465"/>
    <n v="228"/>
    <x v="1"/>
    <x v="3"/>
    <x v="2"/>
    <d v="2022-09-14T00:00:00"/>
    <x v="163"/>
    <n v="7089"/>
    <n v="2032"/>
    <n v="5057"/>
    <x v="1"/>
    <n v="9"/>
    <x v="1"/>
    <d v="2023-07-05T00:00:00"/>
    <n v="1"/>
    <n v="2051"/>
    <n v="0.71"/>
    <s v="Normal"/>
    <n v="2023"/>
    <s v="July"/>
  </r>
  <r>
    <n v="3466"/>
    <n v="305"/>
    <x v="0"/>
    <x v="3"/>
    <x v="2"/>
    <d v="2022-02-11T00:00:00"/>
    <x v="328"/>
    <n v="8279"/>
    <n v="4012.75"/>
    <n v="9039"/>
    <x v="1"/>
    <n v="16"/>
    <x v="1"/>
    <d v="2023-07-07T00:00:00"/>
    <n v="0"/>
    <n v="2052"/>
    <n v="1.0900000000000001"/>
    <s v="Outlier"/>
    <n v="2023"/>
    <s v="July"/>
  </r>
  <r>
    <n v="3468"/>
    <n v="199"/>
    <x v="3"/>
    <x v="2"/>
    <x v="2"/>
    <d v="2022-05-22T00:00:00"/>
    <x v="111"/>
    <n v="4914"/>
    <n v="2079"/>
    <n v="2835"/>
    <x v="2"/>
    <n v="17"/>
    <x v="1"/>
    <d v="2023-11-16T00:00:00"/>
    <n v="1"/>
    <n v="2053"/>
    <n v="0.57999999999999996"/>
    <s v="Normal"/>
    <n v="2023"/>
    <s v="November"/>
  </r>
  <r>
    <n v="3469"/>
    <n v="396"/>
    <x v="4"/>
    <x v="1"/>
    <x v="2"/>
    <d v="2022-06-30T00:00:00"/>
    <x v="58"/>
    <n v="4967.93"/>
    <n v="7866"/>
    <n v="-8531"/>
    <x v="2"/>
    <n v="9"/>
    <x v="1"/>
    <d v="2023-04-02T00:00:00"/>
    <n v="0"/>
    <n v="2054"/>
    <n v="-1.72"/>
    <s v="Outlier"/>
    <n v="2023"/>
    <s v="April"/>
  </r>
  <r>
    <n v="3470"/>
    <n v="359"/>
    <x v="1"/>
    <x v="1"/>
    <x v="2"/>
    <d v="2022-08-18T00:00:00"/>
    <x v="740"/>
    <n v="3500"/>
    <n v="7097"/>
    <n v="-3597"/>
    <x v="1"/>
    <n v="17"/>
    <x v="1"/>
    <d v="2024-02-15T00:00:00"/>
    <n v="1"/>
    <n v="2055"/>
    <n v="-1.03"/>
    <s v="Outlier"/>
    <n v="2024"/>
    <s v="February"/>
  </r>
  <r>
    <n v="3472"/>
    <n v="500"/>
    <x v="1"/>
    <x v="3"/>
    <x v="2"/>
    <d v="2022-04-02T00:00:00"/>
    <x v="728"/>
    <n v="1705"/>
    <n v="619"/>
    <n v="1086"/>
    <x v="0"/>
    <n v="13"/>
    <x v="1"/>
    <d v="2023-05-04T00:00:00"/>
    <n v="1"/>
    <n v="2056"/>
    <n v="0.64"/>
    <s v="Normal"/>
    <n v="2023"/>
    <s v="May"/>
  </r>
  <r>
    <n v="3473"/>
    <n v="421"/>
    <x v="0"/>
    <x v="1"/>
    <x v="1"/>
    <d v="2022-08-05T00:00:00"/>
    <x v="665"/>
    <n v="8941"/>
    <n v="6441"/>
    <n v="2500"/>
    <x v="0"/>
    <n v="17"/>
    <x v="1"/>
    <d v="2024-01-21T00:00:00"/>
    <n v="1"/>
    <n v="2057"/>
    <n v="0.28000000000000003"/>
    <s v="Normal"/>
    <n v="2024"/>
    <s v="January"/>
  </r>
  <r>
    <n v="3476"/>
    <n v="297"/>
    <x v="2"/>
    <x v="1"/>
    <x v="1"/>
    <d v="2022-08-18T00:00:00"/>
    <x v="601"/>
    <n v="6356"/>
    <n v="7804"/>
    <n v="-1448"/>
    <x v="1"/>
    <n v="14"/>
    <x v="1"/>
    <d v="2023-11-07T00:00:00"/>
    <n v="1"/>
    <n v="2058"/>
    <n v="-0.23"/>
    <s v="Normal"/>
    <n v="2023"/>
    <s v="November"/>
  </r>
  <r>
    <n v="3478"/>
    <n v="354"/>
    <x v="3"/>
    <x v="3"/>
    <x v="1"/>
    <d v="2022-05-10T00:00:00"/>
    <x v="218"/>
    <n v="120"/>
    <n v="3433"/>
    <n v="-3313"/>
    <x v="0"/>
    <n v="7"/>
    <x v="1"/>
    <d v="2022-12-27T00:00:00"/>
    <n v="0"/>
    <n v="2059"/>
    <n v="-27.61"/>
    <s v="Outlier"/>
    <n v="2022"/>
    <s v="December"/>
  </r>
  <r>
    <n v="3480"/>
    <n v="466"/>
    <x v="4"/>
    <x v="3"/>
    <x v="1"/>
    <d v="2022-03-18T00:00:00"/>
    <x v="389"/>
    <n v="680"/>
    <n v="1951"/>
    <n v="-1271"/>
    <x v="2"/>
    <n v="10"/>
    <x v="1"/>
    <d v="2023-01-28T00:00:00"/>
    <n v="1"/>
    <n v="2060"/>
    <n v="-1.87"/>
    <s v="Outlier"/>
    <n v="2023"/>
    <s v="January"/>
  </r>
  <r>
    <n v="3481"/>
    <n v="186"/>
    <x v="2"/>
    <x v="0"/>
    <x v="1"/>
    <d v="2022-02-27T00:00:00"/>
    <x v="184"/>
    <n v="4967.93"/>
    <n v="7193"/>
    <n v="-9167"/>
    <x v="1"/>
    <n v="13"/>
    <x v="1"/>
    <d v="2023-03-30T00:00:00"/>
    <n v="0"/>
    <n v="2061"/>
    <n v="-1.85"/>
    <s v="Outlier"/>
    <n v="2023"/>
    <s v="March"/>
  </r>
  <r>
    <n v="3482"/>
    <n v="352"/>
    <x v="0"/>
    <x v="0"/>
    <x v="0"/>
    <d v="2022-10-01T00:00:00"/>
    <x v="741"/>
    <n v="4967.93"/>
    <n v="4012.75"/>
    <n v="-442"/>
    <x v="0"/>
    <n v="13"/>
    <x v="1"/>
    <d v="2023-11-22T00:00:00"/>
    <n v="1"/>
    <n v="2062"/>
    <n v="-0.09"/>
    <s v="Normal"/>
    <n v="2023"/>
    <s v="November"/>
  </r>
  <r>
    <n v="3484"/>
    <n v="185"/>
    <x v="4"/>
    <x v="2"/>
    <x v="1"/>
    <d v="2022-06-24T00:00:00"/>
    <x v="42"/>
    <n v="4967.93"/>
    <n v="4012.75"/>
    <n v="-1264"/>
    <x v="0"/>
    <n v="8"/>
    <x v="1"/>
    <d v="2023-03-05T00:00:00"/>
    <n v="0"/>
    <n v="2063"/>
    <n v="-0.25"/>
    <s v="Normal"/>
    <n v="2023"/>
    <s v="March"/>
  </r>
  <r>
    <n v="3485"/>
    <n v="442"/>
    <x v="2"/>
    <x v="3"/>
    <x v="0"/>
    <d v="2022-08-08T00:00:00"/>
    <x v="307"/>
    <n v="4967.93"/>
    <n v="709"/>
    <n v="-1082"/>
    <x v="0"/>
    <n v="3"/>
    <x v="0"/>
    <d v="2022-11-13T00:00:00"/>
    <n v="0"/>
    <n v="2064"/>
    <n v="-0.22"/>
    <s v="Normal"/>
    <n v="2022"/>
    <s v="November"/>
  </r>
  <r>
    <n v="3486"/>
    <n v="463"/>
    <x v="1"/>
    <x v="2"/>
    <x v="0"/>
    <d v="2022-03-12T00:00:00"/>
    <x v="6"/>
    <n v="8140"/>
    <n v="4012.75"/>
    <n v="577.01"/>
    <x v="1"/>
    <n v="16"/>
    <x v="1"/>
    <d v="2023-08-06T00:00:00"/>
    <n v="0"/>
    <n v="2065"/>
    <n v="7.0000000000000007E-2"/>
    <s v="Normal"/>
    <n v="2023"/>
    <s v="August"/>
  </r>
  <r>
    <n v="3487"/>
    <n v="290"/>
    <x v="1"/>
    <x v="0"/>
    <x v="2"/>
    <d v="2022-03-29T00:00:00"/>
    <x v="442"/>
    <n v="1222"/>
    <n v="7064"/>
    <n v="-5842"/>
    <x v="1"/>
    <n v="4"/>
    <x v="0"/>
    <d v="2022-08-28T00:00:00"/>
    <n v="1"/>
    <n v="2066"/>
    <n v="-4.78"/>
    <s v="Outlier"/>
    <n v="2022"/>
    <s v="August"/>
  </r>
  <r>
    <n v="3488"/>
    <n v="411"/>
    <x v="0"/>
    <x v="0"/>
    <x v="2"/>
    <d v="2022-03-22T00:00:00"/>
    <x v="519"/>
    <n v="9889"/>
    <n v="5522"/>
    <n v="4367"/>
    <x v="2"/>
    <n v="1"/>
    <x v="0"/>
    <d v="2022-04-30T00:00:00"/>
    <n v="0"/>
    <n v="2067"/>
    <n v="0.44"/>
    <s v="Normal"/>
    <n v="2022"/>
    <s v="April"/>
  </r>
  <r>
    <n v="3489"/>
    <n v="173"/>
    <x v="1"/>
    <x v="3"/>
    <x v="0"/>
    <d v="2022-06-03T00:00:00"/>
    <x v="197"/>
    <n v="4967.93"/>
    <n v="6596"/>
    <n v="-7039"/>
    <x v="1"/>
    <n v="6"/>
    <x v="2"/>
    <d v="2022-12-10T00:00:00"/>
    <n v="0"/>
    <n v="2068"/>
    <n v="-1.42"/>
    <s v="Outlier"/>
    <n v="2022"/>
    <s v="December"/>
  </r>
  <r>
    <n v="3490"/>
    <n v="227"/>
    <x v="2"/>
    <x v="1"/>
    <x v="0"/>
    <d v="2022-08-14T00:00:00"/>
    <x v="304"/>
    <n v="8233"/>
    <n v="114"/>
    <n v="8119"/>
    <x v="2"/>
    <n v="5"/>
    <x v="0"/>
    <d v="2023-01-17T00:00:00"/>
    <n v="0"/>
    <n v="2069"/>
    <n v="0.99"/>
    <s v="Normal"/>
    <n v="2023"/>
    <s v="January"/>
  </r>
  <r>
    <n v="3494"/>
    <n v="145"/>
    <x v="2"/>
    <x v="0"/>
    <x v="0"/>
    <d v="2022-09-14T00:00:00"/>
    <x v="440"/>
    <n v="3149"/>
    <n v="5484"/>
    <n v="-2335"/>
    <x v="0"/>
    <n v="5"/>
    <x v="0"/>
    <d v="2023-02-22T00:00:00"/>
    <n v="1"/>
    <n v="2070"/>
    <n v="-0.74"/>
    <s v="Normal"/>
    <n v="2023"/>
    <s v="February"/>
  </r>
  <r>
    <n v="3495"/>
    <n v="200"/>
    <x v="4"/>
    <x v="2"/>
    <x v="0"/>
    <d v="2022-07-22T00:00:00"/>
    <x v="85"/>
    <n v="4417"/>
    <n v="4945"/>
    <n v="-528"/>
    <x v="2"/>
    <n v="8"/>
    <x v="1"/>
    <d v="2023-03-24T00:00:00"/>
    <n v="0"/>
    <n v="2071"/>
    <n v="-0.12"/>
    <s v="Normal"/>
    <n v="2023"/>
    <s v="March"/>
  </r>
  <r>
    <n v="3496"/>
    <n v="217"/>
    <x v="1"/>
    <x v="0"/>
    <x v="2"/>
    <d v="2022-08-03T00:00:00"/>
    <x v="386"/>
    <n v="4967.93"/>
    <n v="6630"/>
    <n v="-6924"/>
    <x v="0"/>
    <n v="9"/>
    <x v="1"/>
    <d v="2023-05-18T00:00:00"/>
    <n v="1"/>
    <n v="2072"/>
    <n v="-1.39"/>
    <s v="Outlier"/>
    <n v="2023"/>
    <s v="May"/>
  </r>
  <r>
    <n v="3497"/>
    <n v="253"/>
    <x v="3"/>
    <x v="2"/>
    <x v="0"/>
    <d v="2022-11-28T00:00:00"/>
    <x v="681"/>
    <n v="1321"/>
    <n v="3899"/>
    <n v="-2578"/>
    <x v="1"/>
    <n v="18"/>
    <x v="1"/>
    <d v="2024-06-07T00:00:00"/>
    <n v="1"/>
    <n v="2073"/>
    <n v="-1.95"/>
    <s v="Outlier"/>
    <n v="2024"/>
    <s v="June"/>
  </r>
  <r>
    <n v="3499"/>
    <n v="242"/>
    <x v="0"/>
    <x v="1"/>
    <x v="2"/>
    <d v="2022-08-02T00:00:00"/>
    <x v="191"/>
    <n v="2999"/>
    <n v="1598"/>
    <n v="1401"/>
    <x v="1"/>
    <n v="16"/>
    <x v="1"/>
    <d v="2023-12-07T00:00:00"/>
    <n v="1"/>
    <n v="2074"/>
    <n v="0.47"/>
    <s v="Normal"/>
    <n v="2023"/>
    <s v="December"/>
  </r>
  <r>
    <n v="3500"/>
    <n v="297"/>
    <x v="4"/>
    <x v="3"/>
    <x v="1"/>
    <d v="2022-08-08T00:00:00"/>
    <x v="603"/>
    <n v="6193"/>
    <n v="4263"/>
    <n v="1930"/>
    <x v="1"/>
    <n v="12"/>
    <x v="1"/>
    <d v="2023-08-25T00:00:00"/>
    <n v="1"/>
    <n v="2075"/>
    <n v="0.31"/>
    <s v="Normal"/>
    <n v="2023"/>
    <s v="August"/>
  </r>
  <r>
    <n v="3502"/>
    <n v="186"/>
    <x v="3"/>
    <x v="3"/>
    <x v="0"/>
    <d v="2022-09-09T00:00:00"/>
    <x v="260"/>
    <n v="1782"/>
    <n v="2377"/>
    <n v="-595"/>
    <x v="0"/>
    <n v="10"/>
    <x v="1"/>
    <d v="2023-07-11T00:00:00"/>
    <n v="1"/>
    <n v="2076"/>
    <n v="-0.33"/>
    <s v="Normal"/>
    <n v="2023"/>
    <s v="July"/>
  </r>
  <r>
    <n v="3503"/>
    <n v="438"/>
    <x v="4"/>
    <x v="0"/>
    <x v="0"/>
    <d v="2022-04-28T00:00:00"/>
    <x v="742"/>
    <n v="4848"/>
    <n v="7266"/>
    <n v="577.01"/>
    <x v="1"/>
    <n v="1"/>
    <x v="0"/>
    <d v="2022-06-08T00:00:00"/>
    <n v="0"/>
    <n v="2077"/>
    <n v="0.12"/>
    <s v="Normal"/>
    <n v="2022"/>
    <s v="June"/>
  </r>
  <r>
    <n v="3504"/>
    <n v="324"/>
    <x v="1"/>
    <x v="1"/>
    <x v="0"/>
    <d v="2022-12-02T00:00:00"/>
    <x v="505"/>
    <n v="9472"/>
    <n v="6686"/>
    <n v="577.01"/>
    <x v="2"/>
    <n v="9"/>
    <x v="1"/>
    <d v="2023-10-01T00:00:00"/>
    <n v="0"/>
    <n v="2078"/>
    <n v="0.06"/>
    <s v="Normal"/>
    <n v="2023"/>
    <s v="October"/>
  </r>
  <r>
    <n v="3506"/>
    <n v="280"/>
    <x v="0"/>
    <x v="2"/>
    <x v="0"/>
    <d v="2022-06-27T00:00:00"/>
    <x v="35"/>
    <n v="9153"/>
    <n v="3339"/>
    <n v="5814"/>
    <x v="2"/>
    <n v="16"/>
    <x v="1"/>
    <d v="2023-11-25T00:00:00"/>
    <n v="1"/>
    <n v="2079"/>
    <n v="0.64"/>
    <s v="Normal"/>
    <n v="2023"/>
    <s v="November"/>
  </r>
  <r>
    <n v="3507"/>
    <n v="331"/>
    <x v="2"/>
    <x v="0"/>
    <x v="1"/>
    <d v="2022-10-02T00:00:00"/>
    <x v="266"/>
    <n v="9957"/>
    <n v="4012.75"/>
    <n v="10383"/>
    <x v="2"/>
    <n v="13"/>
    <x v="1"/>
    <d v="2023-11-09T00:00:00"/>
    <n v="0"/>
    <n v="2080"/>
    <n v="1.04"/>
    <s v="Outlier"/>
    <n v="2023"/>
    <s v="November"/>
  </r>
  <r>
    <n v="3508"/>
    <n v="264"/>
    <x v="0"/>
    <x v="0"/>
    <x v="2"/>
    <d v="2022-10-11T00:00:00"/>
    <x v="58"/>
    <n v="9123"/>
    <n v="4383"/>
    <n v="4740"/>
    <x v="0"/>
    <n v="5"/>
    <x v="0"/>
    <d v="2023-04-02T00:00:00"/>
    <n v="1"/>
    <n v="2081"/>
    <n v="0.52"/>
    <s v="Normal"/>
    <n v="2023"/>
    <s v="April"/>
  </r>
  <r>
    <n v="3509"/>
    <n v="377"/>
    <x v="1"/>
    <x v="2"/>
    <x v="0"/>
    <d v="2022-01-10T00:00:00"/>
    <x v="324"/>
    <n v="726"/>
    <n v="4260"/>
    <n v="-3534"/>
    <x v="2"/>
    <n v="4"/>
    <x v="0"/>
    <d v="2022-05-11T00:00:00"/>
    <n v="1"/>
    <n v="2082"/>
    <n v="-4.87"/>
    <s v="Outlier"/>
    <n v="2022"/>
    <s v="May"/>
  </r>
  <r>
    <n v="3510"/>
    <n v="140"/>
    <x v="3"/>
    <x v="1"/>
    <x v="0"/>
    <d v="2022-10-17T00:00:00"/>
    <x v="465"/>
    <n v="6433"/>
    <n v="5506"/>
    <n v="927"/>
    <x v="0"/>
    <n v="3"/>
    <x v="0"/>
    <d v="2023-01-19T00:00:00"/>
    <n v="0"/>
    <n v="2083"/>
    <n v="0.14000000000000001"/>
    <s v="Normal"/>
    <n v="2023"/>
    <s v="January"/>
  </r>
  <r>
    <n v="3511"/>
    <n v="143"/>
    <x v="0"/>
    <x v="3"/>
    <x v="0"/>
    <d v="2022-08-01T00:00:00"/>
    <x v="95"/>
    <n v="1158"/>
    <n v="4012.75"/>
    <n v="1940"/>
    <x v="0"/>
    <n v="14"/>
    <x v="1"/>
    <d v="2023-10-12T00:00:00"/>
    <n v="0"/>
    <n v="2084"/>
    <n v="1.68"/>
    <s v="Outlier"/>
    <n v="2023"/>
    <s v="October"/>
  </r>
  <r>
    <n v="3512"/>
    <n v="324"/>
    <x v="0"/>
    <x v="3"/>
    <x v="1"/>
    <d v="2022-10-12T00:00:00"/>
    <x v="538"/>
    <n v="7908"/>
    <n v="6779"/>
    <n v="1129"/>
    <x v="0"/>
    <n v="12"/>
    <x v="1"/>
    <d v="2023-10-17T00:00:00"/>
    <n v="1"/>
    <n v="2085"/>
    <n v="0.14000000000000001"/>
    <s v="Normal"/>
    <n v="2023"/>
    <s v="October"/>
  </r>
  <r>
    <n v="3514"/>
    <n v="190"/>
    <x v="2"/>
    <x v="3"/>
    <x v="0"/>
    <d v="2022-01-18T00:00:00"/>
    <x v="743"/>
    <n v="4967.93"/>
    <n v="1369"/>
    <n v="-2569"/>
    <x v="0"/>
    <n v="5"/>
    <x v="0"/>
    <d v="2022-06-20T00:00:00"/>
    <n v="1"/>
    <n v="2086"/>
    <n v="-0.52"/>
    <s v="Normal"/>
    <n v="2022"/>
    <s v="June"/>
  </r>
  <r>
    <n v="3515"/>
    <n v="417"/>
    <x v="1"/>
    <x v="2"/>
    <x v="1"/>
    <d v="2022-04-18T00:00:00"/>
    <x v="349"/>
    <n v="4967.93"/>
    <n v="4012.75"/>
    <n v="577.01"/>
    <x v="1"/>
    <n v="13"/>
    <x v="1"/>
    <d v="2023-06-03T00:00:00"/>
    <n v="0"/>
    <n v="2087"/>
    <n v="0.12"/>
    <s v="Normal"/>
    <n v="2023"/>
    <s v="June"/>
  </r>
  <r>
    <n v="3517"/>
    <n v="214"/>
    <x v="1"/>
    <x v="1"/>
    <x v="1"/>
    <d v="2022-01-01T00:00:00"/>
    <x v="554"/>
    <n v="4843"/>
    <n v="4482"/>
    <n v="361"/>
    <x v="0"/>
    <n v="10"/>
    <x v="1"/>
    <d v="2022-11-18T00:00:00"/>
    <n v="1"/>
    <n v="2088"/>
    <n v="7.0000000000000007E-2"/>
    <s v="Normal"/>
    <n v="2022"/>
    <s v="November"/>
  </r>
  <r>
    <n v="3518"/>
    <n v="297"/>
    <x v="1"/>
    <x v="2"/>
    <x v="0"/>
    <d v="2022-04-28T00:00:00"/>
    <x v="28"/>
    <n v="2184"/>
    <n v="4012.75"/>
    <n v="2768"/>
    <x v="1"/>
    <n v="8"/>
    <x v="1"/>
    <d v="2023-01-27T00:00:00"/>
    <n v="1"/>
    <n v="2089"/>
    <n v="1.27"/>
    <s v="Outlier"/>
    <n v="2023"/>
    <s v="January"/>
  </r>
  <r>
    <n v="3521"/>
    <n v="160"/>
    <x v="1"/>
    <x v="1"/>
    <x v="0"/>
    <d v="2022-10-25T00:00:00"/>
    <x v="192"/>
    <n v="2878"/>
    <n v="2630"/>
    <n v="248"/>
    <x v="1"/>
    <n v="2"/>
    <x v="0"/>
    <d v="2023-01-06T00:00:00"/>
    <n v="1"/>
    <n v="2090"/>
    <n v="0.09"/>
    <s v="Normal"/>
    <n v="2023"/>
    <s v="January"/>
  </r>
  <r>
    <n v="3522"/>
    <n v="251"/>
    <x v="0"/>
    <x v="3"/>
    <x v="2"/>
    <d v="2022-03-12T00:00:00"/>
    <x v="23"/>
    <n v="2352"/>
    <n v="283"/>
    <n v="2069"/>
    <x v="2"/>
    <n v="5"/>
    <x v="0"/>
    <d v="2022-08-27T00:00:00"/>
    <n v="1"/>
    <n v="2091"/>
    <n v="0.88"/>
    <s v="Normal"/>
    <n v="2022"/>
    <s v="August"/>
  </r>
  <r>
    <n v="3524"/>
    <n v="167"/>
    <x v="3"/>
    <x v="2"/>
    <x v="2"/>
    <d v="2022-04-26T00:00:00"/>
    <x v="250"/>
    <n v="2328"/>
    <n v="7291"/>
    <n v="-4963"/>
    <x v="2"/>
    <n v="8"/>
    <x v="1"/>
    <d v="2023-01-11T00:00:00"/>
    <n v="0"/>
    <n v="2092"/>
    <n v="-2.13"/>
    <s v="Outlier"/>
    <n v="2023"/>
    <s v="January"/>
  </r>
  <r>
    <n v="3527"/>
    <n v="148"/>
    <x v="0"/>
    <x v="3"/>
    <x v="0"/>
    <d v="2022-06-04T00:00:00"/>
    <x v="508"/>
    <n v="8463"/>
    <n v="42"/>
    <n v="8421"/>
    <x v="1"/>
    <n v="14"/>
    <x v="1"/>
    <d v="2023-08-30T00:00:00"/>
    <n v="1"/>
    <n v="2093"/>
    <n v="1"/>
    <s v="Normal"/>
    <n v="2023"/>
    <s v="August"/>
  </r>
  <r>
    <n v="3528"/>
    <n v="393"/>
    <x v="3"/>
    <x v="0"/>
    <x v="2"/>
    <d v="2022-09-22T00:00:00"/>
    <x v="45"/>
    <n v="4758"/>
    <n v="4992"/>
    <n v="-234"/>
    <x v="1"/>
    <n v="3"/>
    <x v="0"/>
    <d v="2023-01-02T00:00:00"/>
    <n v="0"/>
    <n v="2094"/>
    <n v="-0.05"/>
    <s v="Normal"/>
    <n v="2023"/>
    <s v="January"/>
  </r>
  <r>
    <n v="3529"/>
    <n v="382"/>
    <x v="4"/>
    <x v="1"/>
    <x v="0"/>
    <d v="2022-10-10T00:00:00"/>
    <x v="432"/>
    <n v="5330"/>
    <n v="1068"/>
    <n v="577.01"/>
    <x v="0"/>
    <n v="16"/>
    <x v="1"/>
    <d v="2024-02-25T00:00:00"/>
    <n v="1"/>
    <n v="2095"/>
    <n v="0.11"/>
    <s v="Normal"/>
    <n v="2024"/>
    <s v="February"/>
  </r>
  <r>
    <n v="3530"/>
    <n v="266"/>
    <x v="4"/>
    <x v="3"/>
    <x v="0"/>
    <d v="2022-12-26T00:00:00"/>
    <x v="744"/>
    <n v="2768"/>
    <n v="6142"/>
    <n v="-3374"/>
    <x v="2"/>
    <n v="19"/>
    <x v="1"/>
    <d v="2024-08-11T00:00:00"/>
    <n v="1"/>
    <n v="2096"/>
    <n v="-1.22"/>
    <s v="Outlier"/>
    <n v="2024"/>
    <s v="August"/>
  </r>
  <r>
    <n v="3533"/>
    <n v="459"/>
    <x v="4"/>
    <x v="2"/>
    <x v="2"/>
    <d v="2022-07-14T00:00:00"/>
    <x v="648"/>
    <n v="4967.93"/>
    <n v="7675"/>
    <n v="577.01"/>
    <x v="1"/>
    <n v="18"/>
    <x v="1"/>
    <d v="2024-02-10T00:00:00"/>
    <n v="0"/>
    <n v="2097"/>
    <n v="0.12"/>
    <s v="Normal"/>
    <n v="2024"/>
    <s v="February"/>
  </r>
  <r>
    <n v="3534"/>
    <n v="151"/>
    <x v="3"/>
    <x v="1"/>
    <x v="0"/>
    <d v="2022-08-04T00:00:00"/>
    <x v="201"/>
    <n v="4254"/>
    <n v="4741"/>
    <n v="577.01"/>
    <x v="2"/>
    <n v="4"/>
    <x v="0"/>
    <d v="2022-12-09T00:00:00"/>
    <n v="1"/>
    <n v="2098"/>
    <n v="0.14000000000000001"/>
    <s v="Normal"/>
    <n v="2022"/>
    <s v="December"/>
  </r>
  <r>
    <n v="3539"/>
    <n v="231"/>
    <x v="3"/>
    <x v="1"/>
    <x v="0"/>
    <d v="2022-06-21T00:00:00"/>
    <x v="521"/>
    <n v="826"/>
    <n v="169"/>
    <n v="657"/>
    <x v="2"/>
    <n v="4"/>
    <x v="0"/>
    <d v="2022-11-11T00:00:00"/>
    <n v="0"/>
    <n v="2099"/>
    <n v="0.8"/>
    <s v="Normal"/>
    <n v="2022"/>
    <s v="November"/>
  </r>
  <r>
    <n v="3540"/>
    <n v="234"/>
    <x v="1"/>
    <x v="1"/>
    <x v="0"/>
    <d v="2022-04-21T00:00:00"/>
    <x v="448"/>
    <n v="2246"/>
    <n v="2820"/>
    <n v="-574"/>
    <x v="0"/>
    <n v="15"/>
    <x v="1"/>
    <d v="2023-07-21T00:00:00"/>
    <n v="0"/>
    <n v="2100"/>
    <n v="-0.26"/>
    <s v="Normal"/>
    <n v="2023"/>
    <s v="July"/>
  </r>
  <r>
    <n v="3542"/>
    <n v="329"/>
    <x v="0"/>
    <x v="3"/>
    <x v="0"/>
    <d v="2022-03-03T00:00:00"/>
    <x v="37"/>
    <n v="6858"/>
    <n v="5300"/>
    <n v="1558"/>
    <x v="1"/>
    <n v="6"/>
    <x v="2"/>
    <d v="2022-09-05T00:00:00"/>
    <n v="0"/>
    <n v="2101"/>
    <n v="0.23"/>
    <s v="Normal"/>
    <n v="2022"/>
    <s v="September"/>
  </r>
  <r>
    <n v="3543"/>
    <n v="269"/>
    <x v="1"/>
    <x v="3"/>
    <x v="2"/>
    <d v="2022-09-05T00:00:00"/>
    <x v="320"/>
    <n v="6286"/>
    <n v="3985"/>
    <n v="2301"/>
    <x v="1"/>
    <n v="3"/>
    <x v="0"/>
    <d v="2022-12-21T00:00:00"/>
    <n v="1"/>
    <n v="2102"/>
    <n v="0.37"/>
    <s v="Normal"/>
    <n v="2022"/>
    <s v="December"/>
  </r>
  <r>
    <n v="3547"/>
    <n v="186"/>
    <x v="3"/>
    <x v="2"/>
    <x v="1"/>
    <d v="2022-03-11T00:00:00"/>
    <x v="147"/>
    <n v="5425"/>
    <n v="1334"/>
    <n v="4091"/>
    <x v="2"/>
    <n v="3"/>
    <x v="0"/>
    <d v="2022-06-29T00:00:00"/>
    <n v="1"/>
    <n v="2103"/>
    <n v="0.75"/>
    <s v="Normal"/>
    <n v="2022"/>
    <s v="June"/>
  </r>
  <r>
    <n v="3548"/>
    <n v="495"/>
    <x v="2"/>
    <x v="2"/>
    <x v="1"/>
    <d v="2022-10-11T00:00:00"/>
    <x v="148"/>
    <n v="6194"/>
    <n v="4941"/>
    <n v="1253"/>
    <x v="1"/>
    <n v="13"/>
    <x v="1"/>
    <d v="2023-12-02T00:00:00"/>
    <n v="0"/>
    <n v="2104"/>
    <n v="0.2"/>
    <s v="Normal"/>
    <n v="2023"/>
    <s v="December"/>
  </r>
  <r>
    <n v="3549"/>
    <n v="364"/>
    <x v="4"/>
    <x v="3"/>
    <x v="0"/>
    <d v="2022-01-04T00:00:00"/>
    <x v="696"/>
    <n v="4967.93"/>
    <n v="3192"/>
    <n v="-4589"/>
    <x v="1"/>
    <n v="10"/>
    <x v="1"/>
    <d v="2022-11-16T00:00:00"/>
    <n v="1"/>
    <n v="2105"/>
    <n v="-0.92"/>
    <s v="Normal"/>
    <n v="2022"/>
    <s v="November"/>
  </r>
  <r>
    <n v="3552"/>
    <n v="474"/>
    <x v="4"/>
    <x v="2"/>
    <x v="0"/>
    <d v="2022-12-28T00:00:00"/>
    <x v="260"/>
    <n v="347"/>
    <n v="7908"/>
    <n v="-7561"/>
    <x v="0"/>
    <n v="6"/>
    <x v="2"/>
    <d v="2023-07-11T00:00:00"/>
    <n v="1"/>
    <n v="2106"/>
    <n v="-21.79"/>
    <s v="Outlier"/>
    <n v="2023"/>
    <s v="July"/>
  </r>
  <r>
    <n v="3553"/>
    <n v="234"/>
    <x v="0"/>
    <x v="1"/>
    <x v="0"/>
    <d v="2022-10-15T00:00:00"/>
    <x v="99"/>
    <n v="4967.93"/>
    <n v="4554"/>
    <n v="-6268"/>
    <x v="2"/>
    <n v="4"/>
    <x v="0"/>
    <d v="2023-02-23T00:00:00"/>
    <n v="1"/>
    <n v="2107"/>
    <n v="-1.26"/>
    <s v="Outlier"/>
    <n v="2023"/>
    <s v="February"/>
  </r>
  <r>
    <n v="3556"/>
    <n v="297"/>
    <x v="2"/>
    <x v="0"/>
    <x v="2"/>
    <d v="2022-03-19T00:00:00"/>
    <x v="636"/>
    <n v="8937"/>
    <n v="4660"/>
    <n v="577.01"/>
    <x v="1"/>
    <n v="2"/>
    <x v="0"/>
    <d v="2022-06-16T00:00:00"/>
    <n v="0"/>
    <n v="2108"/>
    <n v="0.06"/>
    <s v="Normal"/>
    <n v="2022"/>
    <s v="June"/>
  </r>
  <r>
    <n v="3559"/>
    <n v="292"/>
    <x v="1"/>
    <x v="0"/>
    <x v="2"/>
    <d v="2022-06-10T00:00:00"/>
    <x v="60"/>
    <n v="4887"/>
    <n v="898"/>
    <n v="3989"/>
    <x v="1"/>
    <n v="15"/>
    <x v="1"/>
    <d v="2023-09-28T00:00:00"/>
    <n v="1"/>
    <n v="2109"/>
    <n v="0.82"/>
    <s v="Normal"/>
    <n v="2023"/>
    <s v="September"/>
  </r>
  <r>
    <n v="3560"/>
    <n v="487"/>
    <x v="4"/>
    <x v="2"/>
    <x v="1"/>
    <d v="2022-10-10T00:00:00"/>
    <x v="591"/>
    <n v="4967.93"/>
    <n v="976"/>
    <n v="-2564"/>
    <x v="2"/>
    <n v="2"/>
    <x v="0"/>
    <d v="2022-12-13T00:00:00"/>
    <n v="0"/>
    <n v="2110"/>
    <n v="-0.52"/>
    <s v="Normal"/>
    <n v="2022"/>
    <s v="December"/>
  </r>
  <r>
    <n v="3562"/>
    <n v="357"/>
    <x v="2"/>
    <x v="0"/>
    <x v="2"/>
    <d v="2022-10-16T00:00:00"/>
    <x v="238"/>
    <n v="5946"/>
    <n v="6434"/>
    <n v="577.01"/>
    <x v="2"/>
    <n v="9"/>
    <x v="1"/>
    <d v="2023-07-30T00:00:00"/>
    <n v="0"/>
    <n v="2111"/>
    <n v="0.1"/>
    <s v="Normal"/>
    <n v="2023"/>
    <s v="July"/>
  </r>
  <r>
    <n v="3563"/>
    <n v="322"/>
    <x v="4"/>
    <x v="0"/>
    <x v="2"/>
    <d v="2022-12-02T00:00:00"/>
    <x v="200"/>
    <n v="4486"/>
    <n v="1932"/>
    <n v="2554"/>
    <x v="1"/>
    <n v="12"/>
    <x v="1"/>
    <d v="2023-12-09T00:00:00"/>
    <n v="0"/>
    <n v="2112"/>
    <n v="0.56999999999999995"/>
    <s v="Normal"/>
    <n v="2023"/>
    <s v="December"/>
  </r>
  <r>
    <n v="3565"/>
    <n v="312"/>
    <x v="3"/>
    <x v="2"/>
    <x v="0"/>
    <d v="2022-08-05T00:00:00"/>
    <x v="545"/>
    <n v="9631"/>
    <n v="4012.75"/>
    <n v="10524"/>
    <x v="0"/>
    <n v="4"/>
    <x v="0"/>
    <d v="2022-12-17T00:00:00"/>
    <n v="0"/>
    <n v="2113"/>
    <n v="1.0900000000000001"/>
    <s v="Outlier"/>
    <n v="2022"/>
    <s v="December"/>
  </r>
  <r>
    <n v="3570"/>
    <n v="266"/>
    <x v="3"/>
    <x v="1"/>
    <x v="1"/>
    <d v="2022-10-01T00:00:00"/>
    <x v="191"/>
    <n v="7523"/>
    <n v="2902"/>
    <n v="4621"/>
    <x v="1"/>
    <n v="14"/>
    <x v="1"/>
    <d v="2023-12-07T00:00:00"/>
    <n v="0"/>
    <n v="2114"/>
    <n v="0.61"/>
    <s v="Normal"/>
    <n v="2023"/>
    <s v="December"/>
  </r>
  <r>
    <n v="3572"/>
    <n v="338"/>
    <x v="3"/>
    <x v="0"/>
    <x v="2"/>
    <d v="2022-11-21T00:00:00"/>
    <x v="302"/>
    <n v="9469"/>
    <n v="4020"/>
    <n v="5449"/>
    <x v="0"/>
    <n v="15"/>
    <x v="1"/>
    <d v="2024-03-12T00:00:00"/>
    <n v="0"/>
    <n v="2115"/>
    <n v="0.57999999999999996"/>
    <s v="Normal"/>
    <n v="2024"/>
    <s v="March"/>
  </r>
  <r>
    <n v="3574"/>
    <n v="435"/>
    <x v="1"/>
    <x v="1"/>
    <x v="1"/>
    <d v="2022-01-14T00:00:00"/>
    <x v="417"/>
    <n v="4892"/>
    <n v="5999"/>
    <n v="-1107"/>
    <x v="2"/>
    <n v="8"/>
    <x v="1"/>
    <d v="2022-10-08T00:00:00"/>
    <n v="1"/>
    <n v="2116"/>
    <n v="-0.23"/>
    <s v="Normal"/>
    <n v="2022"/>
    <s v="October"/>
  </r>
  <r>
    <n v="3575"/>
    <n v="239"/>
    <x v="4"/>
    <x v="1"/>
    <x v="1"/>
    <d v="2022-05-03T00:00:00"/>
    <x v="88"/>
    <n v="6008"/>
    <n v="4012.75"/>
    <n v="577.01"/>
    <x v="1"/>
    <n v="13"/>
    <x v="1"/>
    <d v="2023-06-07T00:00:00"/>
    <n v="1"/>
    <n v="2117"/>
    <n v="0.1"/>
    <s v="Normal"/>
    <n v="2023"/>
    <s v="June"/>
  </r>
  <r>
    <n v="3576"/>
    <n v="137"/>
    <x v="0"/>
    <x v="2"/>
    <x v="0"/>
    <d v="2022-09-29T00:00:00"/>
    <x v="128"/>
    <n v="7522"/>
    <n v="2663"/>
    <n v="4859"/>
    <x v="0"/>
    <n v="16"/>
    <x v="1"/>
    <d v="2024-02-21T00:00:00"/>
    <n v="1"/>
    <n v="2118"/>
    <n v="0.65"/>
    <s v="Normal"/>
    <n v="2024"/>
    <s v="February"/>
  </r>
  <r>
    <n v="3577"/>
    <n v="174"/>
    <x v="3"/>
    <x v="3"/>
    <x v="2"/>
    <d v="2022-11-06T00:00:00"/>
    <x v="686"/>
    <n v="9142"/>
    <n v="3217"/>
    <n v="5925"/>
    <x v="1"/>
    <n v="3"/>
    <x v="0"/>
    <d v="2023-02-10T00:00:00"/>
    <n v="0"/>
    <n v="2119"/>
    <n v="0.65"/>
    <s v="Normal"/>
    <n v="2023"/>
    <s v="February"/>
  </r>
  <r>
    <n v="3578"/>
    <n v="241"/>
    <x v="1"/>
    <x v="1"/>
    <x v="0"/>
    <d v="2022-04-20T00:00:00"/>
    <x v="358"/>
    <n v="1395"/>
    <n v="6860"/>
    <n v="-5465"/>
    <x v="2"/>
    <n v="7"/>
    <x v="1"/>
    <d v="2022-11-30T00:00:00"/>
    <n v="1"/>
    <n v="2120"/>
    <n v="-3.92"/>
    <s v="Outlier"/>
    <n v="2022"/>
    <s v="November"/>
  </r>
  <r>
    <n v="3579"/>
    <n v="191"/>
    <x v="1"/>
    <x v="0"/>
    <x v="1"/>
    <d v="2022-11-06T00:00:00"/>
    <x v="745"/>
    <n v="5865"/>
    <n v="6112"/>
    <n v="-247"/>
    <x v="0"/>
    <n v="6"/>
    <x v="2"/>
    <d v="2023-05-20T00:00:00"/>
    <n v="0"/>
    <n v="2121"/>
    <n v="-0.04"/>
    <s v="Normal"/>
    <n v="2023"/>
    <s v="May"/>
  </r>
  <r>
    <n v="3580"/>
    <n v="163"/>
    <x v="1"/>
    <x v="0"/>
    <x v="0"/>
    <d v="2022-07-18T00:00:00"/>
    <x v="572"/>
    <n v="2290"/>
    <n v="4475"/>
    <n v="-2185"/>
    <x v="1"/>
    <n v="4"/>
    <x v="0"/>
    <d v="2022-11-21T00:00:00"/>
    <n v="0"/>
    <n v="2122"/>
    <n v="-0.95"/>
    <s v="Normal"/>
    <n v="2022"/>
    <s v="November"/>
  </r>
  <r>
    <n v="3582"/>
    <n v="475"/>
    <x v="3"/>
    <x v="0"/>
    <x v="0"/>
    <d v="2022-04-15T00:00:00"/>
    <x v="370"/>
    <n v="8956"/>
    <n v="3840"/>
    <n v="5116"/>
    <x v="2"/>
    <n v="7"/>
    <x v="1"/>
    <d v="2022-11-23T00:00:00"/>
    <n v="1"/>
    <n v="2123"/>
    <n v="0.56999999999999995"/>
    <s v="Normal"/>
    <n v="2022"/>
    <s v="November"/>
  </r>
  <r>
    <n v="3584"/>
    <n v="307"/>
    <x v="1"/>
    <x v="1"/>
    <x v="0"/>
    <d v="2022-02-25T00:00:00"/>
    <x v="695"/>
    <n v="4967.93"/>
    <n v="4985"/>
    <n v="-6670"/>
    <x v="1"/>
    <n v="2"/>
    <x v="0"/>
    <d v="2022-05-01T00:00:00"/>
    <n v="0"/>
    <n v="2124"/>
    <n v="-1.34"/>
    <s v="Outlier"/>
    <n v="2022"/>
    <s v="May"/>
  </r>
  <r>
    <n v="3586"/>
    <n v="119"/>
    <x v="0"/>
    <x v="2"/>
    <x v="1"/>
    <d v="2022-04-29T00:00:00"/>
    <x v="608"/>
    <n v="3463"/>
    <n v="3067"/>
    <n v="396"/>
    <x v="1"/>
    <n v="11"/>
    <x v="1"/>
    <d v="2023-04-06T00:00:00"/>
    <n v="0"/>
    <n v="2125"/>
    <n v="0.11"/>
    <s v="Normal"/>
    <n v="2023"/>
    <s v="April"/>
  </r>
  <r>
    <n v="3589"/>
    <n v="173"/>
    <x v="0"/>
    <x v="2"/>
    <x v="1"/>
    <d v="2022-03-11T00:00:00"/>
    <x v="746"/>
    <n v="2325"/>
    <n v="532"/>
    <n v="1793"/>
    <x v="1"/>
    <n v="4"/>
    <x v="0"/>
    <d v="2022-07-28T00:00:00"/>
    <n v="0"/>
    <n v="2126"/>
    <n v="0.77"/>
    <s v="Normal"/>
    <n v="2022"/>
    <s v="July"/>
  </r>
  <r>
    <n v="3590"/>
    <n v="397"/>
    <x v="4"/>
    <x v="1"/>
    <x v="1"/>
    <d v="2022-10-02T00:00:00"/>
    <x v="252"/>
    <n v="857"/>
    <n v="6521"/>
    <n v="-5664"/>
    <x v="1"/>
    <n v="14"/>
    <x v="1"/>
    <d v="2023-12-12T00:00:00"/>
    <n v="0"/>
    <n v="2127"/>
    <n v="-6.61"/>
    <s v="Outlier"/>
    <n v="2023"/>
    <s v="December"/>
  </r>
  <r>
    <n v="3591"/>
    <n v="432"/>
    <x v="1"/>
    <x v="1"/>
    <x v="1"/>
    <d v="2022-08-08T00:00:00"/>
    <x v="251"/>
    <n v="981"/>
    <n v="5521"/>
    <n v="-4540"/>
    <x v="2"/>
    <n v="2"/>
    <x v="0"/>
    <d v="2022-10-09T00:00:00"/>
    <n v="0"/>
    <n v="2128"/>
    <n v="-4.63"/>
    <s v="Outlier"/>
    <n v="2022"/>
    <s v="October"/>
  </r>
  <r>
    <n v="3594"/>
    <n v="128"/>
    <x v="1"/>
    <x v="2"/>
    <x v="1"/>
    <d v="2022-06-15T00:00:00"/>
    <x v="35"/>
    <n v="6549"/>
    <n v="2608"/>
    <n v="3941"/>
    <x v="2"/>
    <n v="17"/>
    <x v="1"/>
    <d v="2023-11-25T00:00:00"/>
    <n v="1"/>
    <n v="2129"/>
    <n v="0.6"/>
    <s v="Normal"/>
    <n v="2023"/>
    <s v="November"/>
  </r>
  <r>
    <n v="3595"/>
    <n v="303"/>
    <x v="3"/>
    <x v="0"/>
    <x v="2"/>
    <d v="2022-07-25T00:00:00"/>
    <x v="442"/>
    <n v="8603"/>
    <n v="1336"/>
    <n v="7267"/>
    <x v="0"/>
    <n v="1"/>
    <x v="0"/>
    <d v="2022-08-28T00:00:00"/>
    <n v="1"/>
    <n v="2130"/>
    <n v="0.84"/>
    <s v="Normal"/>
    <n v="2022"/>
    <s v="August"/>
  </r>
  <r>
    <n v="3596"/>
    <n v="380"/>
    <x v="2"/>
    <x v="1"/>
    <x v="0"/>
    <d v="2022-04-20T00:00:00"/>
    <x v="230"/>
    <n v="1928"/>
    <n v="6942"/>
    <n v="-5014"/>
    <x v="1"/>
    <n v="8"/>
    <x v="1"/>
    <d v="2023-01-07T00:00:00"/>
    <n v="1"/>
    <n v="2131"/>
    <n v="-2.6"/>
    <s v="Outlier"/>
    <n v="2023"/>
    <s v="January"/>
  </r>
  <r>
    <n v="3600"/>
    <n v="150"/>
    <x v="4"/>
    <x v="3"/>
    <x v="1"/>
    <d v="2022-03-09T00:00:00"/>
    <x v="229"/>
    <n v="5163"/>
    <n v="2029"/>
    <n v="3134"/>
    <x v="0"/>
    <n v="18"/>
    <x v="1"/>
    <d v="2023-09-26T00:00:00"/>
    <n v="0"/>
    <n v="2132"/>
    <n v="0.61"/>
    <s v="Normal"/>
    <n v="2023"/>
    <s v="September"/>
  </r>
  <r>
    <n v="3601"/>
    <n v="321"/>
    <x v="4"/>
    <x v="0"/>
    <x v="0"/>
    <d v="2022-02-12T00:00:00"/>
    <x v="260"/>
    <n v="1526"/>
    <n v="4012.75"/>
    <n v="2095"/>
    <x v="1"/>
    <n v="16"/>
    <x v="1"/>
    <d v="2023-07-11T00:00:00"/>
    <n v="0"/>
    <n v="2133"/>
    <n v="1.37"/>
    <s v="Outlier"/>
    <n v="2023"/>
    <s v="July"/>
  </r>
  <r>
    <n v="3602"/>
    <n v="292"/>
    <x v="2"/>
    <x v="2"/>
    <x v="2"/>
    <d v="2022-05-24T00:00:00"/>
    <x v="2"/>
    <n v="6359"/>
    <n v="4813"/>
    <n v="1546"/>
    <x v="0"/>
    <n v="15"/>
    <x v="1"/>
    <d v="2023-09-15T00:00:00"/>
    <n v="0"/>
    <n v="2134"/>
    <n v="0.24"/>
    <s v="Normal"/>
    <n v="2023"/>
    <s v="September"/>
  </r>
  <r>
    <n v="3603"/>
    <n v="263"/>
    <x v="0"/>
    <x v="2"/>
    <x v="0"/>
    <d v="2022-04-04T00:00:00"/>
    <x v="348"/>
    <n v="8171"/>
    <n v="5133"/>
    <n v="3038"/>
    <x v="1"/>
    <n v="14"/>
    <x v="1"/>
    <d v="2023-06-08T00:00:00"/>
    <n v="0"/>
    <n v="2135"/>
    <n v="0.37"/>
    <s v="Normal"/>
    <n v="2023"/>
    <s v="June"/>
  </r>
  <r>
    <n v="3604"/>
    <n v="420"/>
    <x v="4"/>
    <x v="0"/>
    <x v="0"/>
    <d v="2022-12-12T00:00:00"/>
    <x v="14"/>
    <n v="3739"/>
    <n v="7032"/>
    <n v="-3293"/>
    <x v="2"/>
    <n v="8"/>
    <x v="1"/>
    <d v="2023-08-21T00:00:00"/>
    <n v="1"/>
    <n v="2136"/>
    <n v="-0.88"/>
    <s v="Normal"/>
    <n v="2023"/>
    <s v="August"/>
  </r>
  <r>
    <n v="3607"/>
    <n v="193"/>
    <x v="1"/>
    <x v="0"/>
    <x v="1"/>
    <d v="2022-07-11T00:00:00"/>
    <x v="105"/>
    <n v="8311"/>
    <n v="5970"/>
    <n v="2341"/>
    <x v="1"/>
    <n v="4"/>
    <x v="0"/>
    <d v="2022-12-05T00:00:00"/>
    <n v="0"/>
    <n v="2137"/>
    <n v="0.28000000000000003"/>
    <s v="Normal"/>
    <n v="2022"/>
    <s v="December"/>
  </r>
  <r>
    <n v="3608"/>
    <n v="144"/>
    <x v="1"/>
    <x v="2"/>
    <x v="2"/>
    <d v="2022-01-26T00:00:00"/>
    <x v="364"/>
    <n v="6582"/>
    <n v="3299"/>
    <n v="3283"/>
    <x v="1"/>
    <n v="12"/>
    <x v="1"/>
    <d v="2023-02-21T00:00:00"/>
    <n v="0"/>
    <n v="2138"/>
    <n v="0.5"/>
    <s v="Normal"/>
    <n v="2023"/>
    <s v="February"/>
  </r>
  <r>
    <n v="3609"/>
    <n v="366"/>
    <x v="1"/>
    <x v="2"/>
    <x v="0"/>
    <d v="2022-04-17T00:00:00"/>
    <x v="517"/>
    <n v="5828"/>
    <n v="6492"/>
    <n v="577.01"/>
    <x v="0"/>
    <n v="4"/>
    <x v="0"/>
    <d v="2022-09-11T00:00:00"/>
    <n v="1"/>
    <n v="2139"/>
    <n v="0.1"/>
    <s v="Normal"/>
    <n v="2022"/>
    <s v="September"/>
  </r>
  <r>
    <n v="3613"/>
    <n v="461"/>
    <x v="4"/>
    <x v="0"/>
    <x v="1"/>
    <d v="2022-12-12T00:00:00"/>
    <x v="627"/>
    <n v="4091"/>
    <n v="3075"/>
    <n v="1016"/>
    <x v="0"/>
    <n v="4"/>
    <x v="0"/>
    <d v="2023-05-08T00:00:00"/>
    <n v="1"/>
    <n v="2140"/>
    <n v="0.25"/>
    <s v="Normal"/>
    <n v="2023"/>
    <s v="May"/>
  </r>
  <r>
    <n v="3614"/>
    <n v="275"/>
    <x v="2"/>
    <x v="3"/>
    <x v="1"/>
    <d v="2022-01-18T00:00:00"/>
    <x v="50"/>
    <n v="5129"/>
    <n v="3294"/>
    <n v="1835"/>
    <x v="1"/>
    <n v="19"/>
    <x v="1"/>
    <d v="2023-09-08T00:00:00"/>
    <n v="0"/>
    <n v="2141"/>
    <n v="0.36"/>
    <s v="Normal"/>
    <n v="2023"/>
    <s v="September"/>
  </r>
  <r>
    <n v="3616"/>
    <n v="212"/>
    <x v="4"/>
    <x v="1"/>
    <x v="1"/>
    <d v="2022-06-23T00:00:00"/>
    <x v="421"/>
    <n v="2643"/>
    <n v="4990"/>
    <n v="-2347"/>
    <x v="1"/>
    <n v="12"/>
    <x v="1"/>
    <d v="2023-06-25T00:00:00"/>
    <n v="0"/>
    <n v="2142"/>
    <n v="-0.89"/>
    <s v="Normal"/>
    <n v="2023"/>
    <s v="June"/>
  </r>
  <r>
    <n v="3617"/>
    <n v="183"/>
    <x v="3"/>
    <x v="1"/>
    <x v="0"/>
    <d v="2022-08-30T00:00:00"/>
    <x v="132"/>
    <n v="9635"/>
    <n v="3918"/>
    <n v="5717"/>
    <x v="1"/>
    <n v="2"/>
    <x v="0"/>
    <d v="2022-11-02T00:00:00"/>
    <n v="0"/>
    <n v="2143"/>
    <n v="0.59"/>
    <s v="Normal"/>
    <n v="2022"/>
    <s v="November"/>
  </r>
  <r>
    <n v="3619"/>
    <n v="140"/>
    <x v="1"/>
    <x v="1"/>
    <x v="2"/>
    <d v="2022-04-03T00:00:00"/>
    <x v="207"/>
    <n v="4319"/>
    <n v="4192"/>
    <n v="127"/>
    <x v="1"/>
    <n v="6"/>
    <x v="2"/>
    <d v="2022-10-17T00:00:00"/>
    <n v="0"/>
    <n v="2144"/>
    <n v="0.03"/>
    <s v="Normal"/>
    <n v="2022"/>
    <s v="October"/>
  </r>
  <r>
    <n v="3620"/>
    <n v="228"/>
    <x v="2"/>
    <x v="1"/>
    <x v="0"/>
    <d v="2022-09-13T00:00:00"/>
    <x v="419"/>
    <n v="7939"/>
    <n v="4012.75"/>
    <n v="8501"/>
    <x v="1"/>
    <n v="10"/>
    <x v="1"/>
    <d v="2023-08-08T00:00:00"/>
    <n v="1"/>
    <n v="2145"/>
    <n v="1.07"/>
    <s v="Outlier"/>
    <n v="2023"/>
    <s v="August"/>
  </r>
  <r>
    <n v="3621"/>
    <n v="169"/>
    <x v="4"/>
    <x v="0"/>
    <x v="2"/>
    <d v="2022-01-09T00:00:00"/>
    <x v="110"/>
    <n v="4967.93"/>
    <n v="3428"/>
    <n v="577.01"/>
    <x v="0"/>
    <n v="9"/>
    <x v="1"/>
    <d v="2022-10-31T00:00:00"/>
    <n v="0"/>
    <n v="2146"/>
    <n v="0.12"/>
    <s v="Normal"/>
    <n v="2022"/>
    <s v="October"/>
  </r>
  <r>
    <n v="3623"/>
    <n v="134"/>
    <x v="1"/>
    <x v="1"/>
    <x v="1"/>
    <d v="2022-12-24T00:00:00"/>
    <x v="200"/>
    <n v="1585"/>
    <n v="7210"/>
    <n v="-5625"/>
    <x v="1"/>
    <n v="11"/>
    <x v="1"/>
    <d v="2023-12-09T00:00:00"/>
    <n v="1"/>
    <n v="2147"/>
    <n v="-3.55"/>
    <s v="Outlier"/>
    <n v="2023"/>
    <s v="December"/>
  </r>
  <r>
    <n v="3624"/>
    <n v="190"/>
    <x v="2"/>
    <x v="3"/>
    <x v="0"/>
    <d v="2022-08-14T00:00:00"/>
    <x v="88"/>
    <n v="5237"/>
    <n v="3149"/>
    <n v="2088"/>
    <x v="2"/>
    <n v="9"/>
    <x v="1"/>
    <d v="2023-06-07T00:00:00"/>
    <n v="1"/>
    <n v="2148"/>
    <n v="0.4"/>
    <s v="Normal"/>
    <n v="2023"/>
    <s v="June"/>
  </r>
  <r>
    <n v="3626"/>
    <n v="404"/>
    <x v="4"/>
    <x v="2"/>
    <x v="1"/>
    <d v="2022-12-21T00:00:00"/>
    <x v="368"/>
    <n v="9768"/>
    <n v="4012.75"/>
    <n v="10402"/>
    <x v="1"/>
    <n v="17"/>
    <x v="1"/>
    <d v="2024-05-25T00:00:00"/>
    <n v="0"/>
    <n v="2149"/>
    <n v="1.06"/>
    <s v="Outlier"/>
    <n v="2024"/>
    <s v="May"/>
  </r>
  <r>
    <n v="3628"/>
    <n v="306"/>
    <x v="1"/>
    <x v="0"/>
    <x v="2"/>
    <d v="2022-08-26T00:00:00"/>
    <x v="33"/>
    <n v="99"/>
    <n v="7823"/>
    <n v="-7724"/>
    <x v="1"/>
    <n v="8"/>
    <x v="1"/>
    <d v="2023-05-21T00:00:00"/>
    <n v="1"/>
    <n v="2150"/>
    <n v="-78.02"/>
    <s v="Outlier"/>
    <n v="2023"/>
    <s v="May"/>
  </r>
  <r>
    <n v="3629"/>
    <n v="337"/>
    <x v="2"/>
    <x v="1"/>
    <x v="2"/>
    <d v="2022-05-17T00:00:00"/>
    <x v="608"/>
    <n v="9868"/>
    <n v="3413"/>
    <n v="6455"/>
    <x v="2"/>
    <n v="10"/>
    <x v="1"/>
    <d v="2023-04-06T00:00:00"/>
    <n v="1"/>
    <n v="2151"/>
    <n v="0.65"/>
    <s v="Normal"/>
    <n v="2023"/>
    <s v="April"/>
  </r>
  <r>
    <n v="3631"/>
    <n v="274"/>
    <x v="2"/>
    <x v="1"/>
    <x v="2"/>
    <d v="2022-02-11T00:00:00"/>
    <x v="667"/>
    <n v="9931"/>
    <n v="3429"/>
    <n v="577.01"/>
    <x v="1"/>
    <n v="14"/>
    <x v="1"/>
    <d v="2023-04-26T00:00:00"/>
    <n v="0"/>
    <n v="2152"/>
    <n v="0.06"/>
    <s v="Normal"/>
    <n v="2023"/>
    <s v="April"/>
  </r>
  <r>
    <n v="3632"/>
    <n v="490"/>
    <x v="4"/>
    <x v="1"/>
    <x v="1"/>
    <d v="2022-10-02T00:00:00"/>
    <x v="171"/>
    <n v="4967.93"/>
    <n v="7492"/>
    <n v="-8501"/>
    <x v="2"/>
    <n v="18"/>
    <x v="1"/>
    <d v="2024-04-03T00:00:00"/>
    <n v="0"/>
    <n v="2153"/>
    <n v="-1.71"/>
    <s v="Outlier"/>
    <n v="2024"/>
    <s v="April"/>
  </r>
  <r>
    <n v="3633"/>
    <n v="201"/>
    <x v="1"/>
    <x v="1"/>
    <x v="2"/>
    <d v="2022-07-05T00:00:00"/>
    <x v="125"/>
    <n v="7695"/>
    <n v="1282"/>
    <n v="577.01"/>
    <x v="1"/>
    <n v="15"/>
    <x v="1"/>
    <d v="2023-10-10T00:00:00"/>
    <n v="0"/>
    <n v="2154"/>
    <n v="7.0000000000000007E-2"/>
    <s v="Normal"/>
    <n v="2023"/>
    <s v="October"/>
  </r>
  <r>
    <n v="3634"/>
    <n v="342"/>
    <x v="0"/>
    <x v="3"/>
    <x v="2"/>
    <d v="2022-06-21T00:00:00"/>
    <x v="677"/>
    <n v="7919"/>
    <n v="3148"/>
    <n v="4771"/>
    <x v="0"/>
    <n v="15"/>
    <x v="1"/>
    <d v="2023-09-30T00:00:00"/>
    <n v="0"/>
    <n v="2155"/>
    <n v="0.6"/>
    <s v="Normal"/>
    <n v="2023"/>
    <s v="September"/>
  </r>
  <r>
    <n v="3635"/>
    <n v="126"/>
    <x v="1"/>
    <x v="2"/>
    <x v="1"/>
    <d v="2022-01-07T00:00:00"/>
    <x v="1"/>
    <n v="7391"/>
    <n v="2051"/>
    <n v="5340"/>
    <x v="2"/>
    <n v="4"/>
    <x v="0"/>
    <d v="2022-05-18T00:00:00"/>
    <n v="0"/>
    <n v="2156"/>
    <n v="0.72"/>
    <s v="Normal"/>
    <n v="2022"/>
    <s v="May"/>
  </r>
  <r>
    <n v="3638"/>
    <n v="416"/>
    <x v="3"/>
    <x v="3"/>
    <x v="1"/>
    <d v="2022-11-28T00:00:00"/>
    <x v="210"/>
    <n v="8664"/>
    <n v="4012.75"/>
    <n v="9266"/>
    <x v="2"/>
    <n v="9"/>
    <x v="1"/>
    <d v="2023-09-12T00:00:00"/>
    <n v="1"/>
    <n v="2157"/>
    <n v="1.07"/>
    <s v="Outlier"/>
    <n v="2023"/>
    <s v="September"/>
  </r>
  <r>
    <n v="3640"/>
    <n v="127"/>
    <x v="4"/>
    <x v="0"/>
    <x v="0"/>
    <d v="2022-02-26T00:00:00"/>
    <x v="738"/>
    <n v="5610"/>
    <n v="7846"/>
    <n v="-2236"/>
    <x v="1"/>
    <n v="3"/>
    <x v="0"/>
    <d v="2022-06-23T00:00:00"/>
    <n v="0"/>
    <n v="2158"/>
    <n v="-0.4"/>
    <s v="Normal"/>
    <n v="2022"/>
    <s v="June"/>
  </r>
  <r>
    <n v="3641"/>
    <n v="158"/>
    <x v="0"/>
    <x v="0"/>
    <x v="1"/>
    <d v="2022-10-29T00:00:00"/>
    <x v="283"/>
    <n v="2829"/>
    <n v="2752"/>
    <n v="577.01"/>
    <x v="1"/>
    <n v="5"/>
    <x v="0"/>
    <d v="2023-04-12T00:00:00"/>
    <n v="1"/>
    <n v="2159"/>
    <n v="0.2"/>
    <s v="Normal"/>
    <n v="2023"/>
    <s v="April"/>
  </r>
  <r>
    <n v="3642"/>
    <n v="450"/>
    <x v="2"/>
    <x v="1"/>
    <x v="2"/>
    <d v="2022-05-08T00:00:00"/>
    <x v="325"/>
    <n v="7987"/>
    <n v="7863"/>
    <n v="124"/>
    <x v="2"/>
    <n v="3"/>
    <x v="0"/>
    <d v="2022-08-08T00:00:00"/>
    <n v="0"/>
    <n v="2160"/>
    <n v="0.02"/>
    <s v="Normal"/>
    <n v="2022"/>
    <s v="August"/>
  </r>
  <r>
    <n v="3644"/>
    <n v="222"/>
    <x v="2"/>
    <x v="1"/>
    <x v="1"/>
    <d v="2022-01-14T00:00:00"/>
    <x v="64"/>
    <n v="8134"/>
    <n v="4012.75"/>
    <n v="8945"/>
    <x v="0"/>
    <n v="13"/>
    <x v="1"/>
    <d v="2023-03-07T00:00:00"/>
    <n v="0"/>
    <n v="2161"/>
    <n v="1.1000000000000001"/>
    <s v="Outlier"/>
    <n v="2023"/>
    <s v="March"/>
  </r>
  <r>
    <n v="3646"/>
    <n v="410"/>
    <x v="3"/>
    <x v="3"/>
    <x v="1"/>
    <d v="2022-11-29T00:00:00"/>
    <x v="268"/>
    <n v="5778"/>
    <n v="4034"/>
    <n v="1744"/>
    <x v="0"/>
    <n v="12"/>
    <x v="1"/>
    <d v="2023-12-06T00:00:00"/>
    <n v="1"/>
    <n v="2162"/>
    <n v="0.3"/>
    <s v="Normal"/>
    <n v="2023"/>
    <s v="December"/>
  </r>
  <r>
    <n v="3647"/>
    <n v="452"/>
    <x v="4"/>
    <x v="2"/>
    <x v="0"/>
    <d v="2022-03-26T00:00:00"/>
    <x v="503"/>
    <n v="8972"/>
    <n v="3628"/>
    <n v="5344"/>
    <x v="2"/>
    <n v="13"/>
    <x v="1"/>
    <d v="2023-05-07T00:00:00"/>
    <n v="1"/>
    <n v="2163"/>
    <n v="0.6"/>
    <s v="Normal"/>
    <n v="2023"/>
    <s v="May"/>
  </r>
  <r>
    <n v="3648"/>
    <n v="137"/>
    <x v="2"/>
    <x v="3"/>
    <x v="0"/>
    <d v="2022-01-23T00:00:00"/>
    <x v="554"/>
    <n v="207"/>
    <n v="925"/>
    <n v="577.01"/>
    <x v="1"/>
    <n v="9"/>
    <x v="1"/>
    <d v="2022-11-18T00:00:00"/>
    <n v="0"/>
    <n v="2164"/>
    <n v="2.79"/>
    <s v="Outlier"/>
    <n v="2022"/>
    <s v="November"/>
  </r>
  <r>
    <n v="3649"/>
    <n v="180"/>
    <x v="1"/>
    <x v="2"/>
    <x v="0"/>
    <d v="2022-05-15T00:00:00"/>
    <x v="747"/>
    <n v="6481"/>
    <n v="4012.75"/>
    <n v="6972"/>
    <x v="2"/>
    <n v="14"/>
    <x v="1"/>
    <d v="2023-07-26T00:00:00"/>
    <n v="1"/>
    <n v="2165"/>
    <n v="1.08"/>
    <s v="Outlier"/>
    <n v="2023"/>
    <s v="July"/>
  </r>
  <r>
    <n v="3652"/>
    <n v="172"/>
    <x v="1"/>
    <x v="2"/>
    <x v="0"/>
    <d v="2022-10-12T00:00:00"/>
    <x v="581"/>
    <n v="4967.93"/>
    <n v="4012.75"/>
    <n v="-147"/>
    <x v="0"/>
    <n v="9"/>
    <x v="1"/>
    <d v="2023-07-27T00:00:00"/>
    <n v="1"/>
    <n v="2166"/>
    <n v="-0.03"/>
    <s v="Normal"/>
    <n v="2023"/>
    <s v="July"/>
  </r>
  <r>
    <n v="3653"/>
    <n v="298"/>
    <x v="2"/>
    <x v="1"/>
    <x v="0"/>
    <d v="2022-04-05T00:00:00"/>
    <x v="697"/>
    <n v="7856"/>
    <n v="871"/>
    <n v="6985"/>
    <x v="0"/>
    <n v="5"/>
    <x v="0"/>
    <d v="2022-09-19T00:00:00"/>
    <n v="1"/>
    <n v="2167"/>
    <n v="0.89"/>
    <s v="Normal"/>
    <n v="2022"/>
    <s v="September"/>
  </r>
  <r>
    <n v="3655"/>
    <n v="195"/>
    <x v="1"/>
    <x v="3"/>
    <x v="1"/>
    <d v="2022-12-28T00:00:00"/>
    <x v="136"/>
    <n v="4967.93"/>
    <n v="2599"/>
    <n v="-3751"/>
    <x v="1"/>
    <n v="7"/>
    <x v="1"/>
    <d v="2023-08-11T00:00:00"/>
    <n v="0"/>
    <n v="2168"/>
    <n v="-0.76"/>
    <s v="Normal"/>
    <n v="2023"/>
    <s v="August"/>
  </r>
  <r>
    <n v="3656"/>
    <n v="465"/>
    <x v="0"/>
    <x v="3"/>
    <x v="0"/>
    <d v="2022-11-25T00:00:00"/>
    <x v="422"/>
    <n v="8205"/>
    <n v="3602"/>
    <n v="4603"/>
    <x v="1"/>
    <n v="13"/>
    <x v="1"/>
    <d v="2024-01-10T00:00:00"/>
    <n v="0"/>
    <n v="2169"/>
    <n v="0.56000000000000005"/>
    <s v="Normal"/>
    <n v="2024"/>
    <s v="January"/>
  </r>
  <r>
    <n v="3657"/>
    <n v="360"/>
    <x v="4"/>
    <x v="3"/>
    <x v="1"/>
    <d v="2022-05-20T00:00:00"/>
    <x v="349"/>
    <n v="5515"/>
    <n v="3682"/>
    <n v="1833"/>
    <x v="0"/>
    <n v="12"/>
    <x v="1"/>
    <d v="2023-06-03T00:00:00"/>
    <n v="0"/>
    <n v="2170"/>
    <n v="0.33"/>
    <s v="Normal"/>
    <n v="2023"/>
    <s v="June"/>
  </r>
  <r>
    <n v="3660"/>
    <n v="201"/>
    <x v="0"/>
    <x v="0"/>
    <x v="2"/>
    <d v="2022-06-14T00:00:00"/>
    <x v="645"/>
    <n v="1180"/>
    <n v="6654"/>
    <n v="577.01"/>
    <x v="0"/>
    <n v="3"/>
    <x v="0"/>
    <d v="2022-09-22T00:00:00"/>
    <n v="1"/>
    <n v="2171"/>
    <n v="0.49"/>
    <s v="Normal"/>
    <n v="2022"/>
    <s v="September"/>
  </r>
  <r>
    <n v="3661"/>
    <n v="287"/>
    <x v="0"/>
    <x v="2"/>
    <x v="0"/>
    <d v="2022-11-23T00:00:00"/>
    <x v="319"/>
    <n v="8711"/>
    <n v="4377"/>
    <n v="4334"/>
    <x v="2"/>
    <n v="16"/>
    <x v="1"/>
    <d v="2024-04-12T00:00:00"/>
    <n v="0"/>
    <n v="2172"/>
    <n v="0.5"/>
    <s v="Normal"/>
    <n v="2024"/>
    <s v="April"/>
  </r>
  <r>
    <n v="3662"/>
    <n v="276"/>
    <x v="2"/>
    <x v="2"/>
    <x v="1"/>
    <d v="2022-01-28T00:00:00"/>
    <x v="50"/>
    <n v="7166"/>
    <n v="4012.75"/>
    <n v="7565"/>
    <x v="1"/>
    <n v="19"/>
    <x v="1"/>
    <d v="2023-09-08T00:00:00"/>
    <n v="1"/>
    <n v="2173"/>
    <n v="1.06"/>
    <s v="Outlier"/>
    <n v="2023"/>
    <s v="September"/>
  </r>
  <r>
    <n v="3666"/>
    <n v="128"/>
    <x v="2"/>
    <x v="1"/>
    <x v="2"/>
    <d v="2022-11-15T00:00:00"/>
    <x v="567"/>
    <n v="2478"/>
    <n v="6404"/>
    <n v="-3926"/>
    <x v="2"/>
    <n v="1"/>
    <x v="0"/>
    <d v="2023-01-08T00:00:00"/>
    <n v="0"/>
    <n v="2174"/>
    <n v="-1.58"/>
    <s v="Outlier"/>
    <n v="2023"/>
    <s v="January"/>
  </r>
  <r>
    <n v="3667"/>
    <n v="374"/>
    <x v="3"/>
    <x v="3"/>
    <x v="2"/>
    <d v="2022-10-25T00:00:00"/>
    <x v="128"/>
    <n v="6871"/>
    <n v="2141"/>
    <n v="4730"/>
    <x v="1"/>
    <n v="15"/>
    <x v="1"/>
    <d v="2024-02-21T00:00:00"/>
    <n v="0"/>
    <n v="2175"/>
    <n v="0.69"/>
    <s v="Normal"/>
    <n v="2024"/>
    <s v="February"/>
  </r>
  <r>
    <n v="3668"/>
    <n v="142"/>
    <x v="2"/>
    <x v="1"/>
    <x v="1"/>
    <d v="2022-05-26T00:00:00"/>
    <x v="715"/>
    <n v="4967.93"/>
    <n v="5523"/>
    <n v="577.01"/>
    <x v="2"/>
    <n v="5"/>
    <x v="0"/>
    <d v="2022-11-20T00:00:00"/>
    <n v="0"/>
    <n v="2176"/>
    <n v="0.12"/>
    <s v="Normal"/>
    <n v="2022"/>
    <s v="November"/>
  </r>
  <r>
    <n v="3669"/>
    <n v="191"/>
    <x v="1"/>
    <x v="0"/>
    <x v="2"/>
    <d v="2022-06-26T00:00:00"/>
    <x v="722"/>
    <n v="1060"/>
    <n v="2978"/>
    <n v="-1918"/>
    <x v="1"/>
    <n v="15"/>
    <x v="1"/>
    <d v="2023-10-19T00:00:00"/>
    <n v="1"/>
    <n v="2177"/>
    <n v="-1.81"/>
    <s v="Outlier"/>
    <n v="2023"/>
    <s v="October"/>
  </r>
  <r>
    <n v="3670"/>
    <n v="274"/>
    <x v="4"/>
    <x v="1"/>
    <x v="0"/>
    <d v="2022-08-24T00:00:00"/>
    <x v="629"/>
    <n v="6676"/>
    <n v="5524"/>
    <n v="1152"/>
    <x v="0"/>
    <n v="12"/>
    <x v="1"/>
    <d v="2023-09-22T00:00:00"/>
    <n v="0"/>
    <n v="2178"/>
    <n v="0.17"/>
    <s v="Normal"/>
    <n v="2023"/>
    <s v="September"/>
  </r>
  <r>
    <n v="3671"/>
    <n v="495"/>
    <x v="2"/>
    <x v="3"/>
    <x v="0"/>
    <d v="2022-07-04T00:00:00"/>
    <x v="151"/>
    <n v="4967.93"/>
    <n v="4012.75"/>
    <n v="-1131"/>
    <x v="2"/>
    <n v="1"/>
    <x v="0"/>
    <d v="2022-08-10T00:00:00"/>
    <n v="0"/>
    <n v="2179"/>
    <n v="-0.23"/>
    <s v="Normal"/>
    <n v="2022"/>
    <s v="August"/>
  </r>
  <r>
    <n v="3673"/>
    <n v="306"/>
    <x v="4"/>
    <x v="2"/>
    <x v="1"/>
    <d v="2022-12-20T00:00:00"/>
    <x v="171"/>
    <n v="5096"/>
    <n v="5237"/>
    <n v="577.01"/>
    <x v="0"/>
    <n v="15"/>
    <x v="1"/>
    <d v="2024-04-03T00:00:00"/>
    <n v="0"/>
    <n v="2180"/>
    <n v="0.11"/>
    <s v="Normal"/>
    <n v="2024"/>
    <s v="April"/>
  </r>
  <r>
    <n v="3674"/>
    <n v="153"/>
    <x v="1"/>
    <x v="3"/>
    <x v="0"/>
    <d v="2022-06-13T00:00:00"/>
    <x v="511"/>
    <n v="8371"/>
    <n v="2989"/>
    <n v="5382"/>
    <x v="1"/>
    <n v="2"/>
    <x v="0"/>
    <d v="2022-09-01T00:00:00"/>
    <n v="1"/>
    <n v="2181"/>
    <n v="0.64"/>
    <s v="Normal"/>
    <n v="2022"/>
    <s v="September"/>
  </r>
  <r>
    <n v="3676"/>
    <n v="221"/>
    <x v="4"/>
    <x v="0"/>
    <x v="1"/>
    <d v="2022-10-28T00:00:00"/>
    <x v="670"/>
    <n v="3885"/>
    <n v="2584"/>
    <n v="577.01"/>
    <x v="2"/>
    <n v="17"/>
    <x v="1"/>
    <d v="2024-04-07T00:00:00"/>
    <n v="1"/>
    <n v="2182"/>
    <n v="0.15"/>
    <s v="Normal"/>
    <n v="2024"/>
    <s v="April"/>
  </r>
  <r>
    <n v="3677"/>
    <n v="233"/>
    <x v="4"/>
    <x v="0"/>
    <x v="0"/>
    <d v="2022-07-07T00:00:00"/>
    <x v="27"/>
    <n v="1846"/>
    <n v="919"/>
    <n v="927"/>
    <x v="2"/>
    <n v="11"/>
    <x v="1"/>
    <d v="2023-07-03T00:00:00"/>
    <n v="1"/>
    <n v="2183"/>
    <n v="0.5"/>
    <s v="Normal"/>
    <n v="2023"/>
    <s v="July"/>
  </r>
  <r>
    <n v="3678"/>
    <n v="111"/>
    <x v="1"/>
    <x v="0"/>
    <x v="1"/>
    <d v="2022-01-10T00:00:00"/>
    <x v="748"/>
    <n v="2001"/>
    <n v="941"/>
    <n v="1060"/>
    <x v="1"/>
    <n v="10"/>
    <x v="1"/>
    <d v="2022-11-10T00:00:00"/>
    <n v="1"/>
    <n v="2184"/>
    <n v="0.53"/>
    <s v="Normal"/>
    <n v="2022"/>
    <s v="November"/>
  </r>
  <r>
    <n v="3679"/>
    <n v="244"/>
    <x v="0"/>
    <x v="1"/>
    <x v="2"/>
    <d v="2022-02-11T00:00:00"/>
    <x v="304"/>
    <n v="745"/>
    <n v="3"/>
    <n v="742"/>
    <x v="1"/>
    <n v="11"/>
    <x v="1"/>
    <d v="2023-01-17T00:00:00"/>
    <n v="0"/>
    <n v="2185"/>
    <n v="1"/>
    <s v="Normal"/>
    <n v="2023"/>
    <s v="January"/>
  </r>
  <r>
    <n v="3682"/>
    <n v="119"/>
    <x v="4"/>
    <x v="1"/>
    <x v="1"/>
    <d v="2022-01-26T00:00:00"/>
    <x v="264"/>
    <n v="3885"/>
    <n v="5754"/>
    <n v="577.01"/>
    <x v="1"/>
    <n v="19"/>
    <x v="1"/>
    <d v="2023-09-17T00:00:00"/>
    <n v="0"/>
    <n v="2186"/>
    <n v="0.15"/>
    <s v="Normal"/>
    <n v="2023"/>
    <s v="September"/>
  </r>
  <r>
    <n v="3685"/>
    <n v="302"/>
    <x v="3"/>
    <x v="1"/>
    <x v="0"/>
    <d v="2022-04-22T00:00:00"/>
    <x v="170"/>
    <n v="4967.93"/>
    <n v="3138"/>
    <n v="-4273"/>
    <x v="1"/>
    <n v="17"/>
    <x v="1"/>
    <d v="2023-10-21T00:00:00"/>
    <n v="0"/>
    <n v="2187"/>
    <n v="-0.86"/>
    <s v="Normal"/>
    <n v="2023"/>
    <s v="October"/>
  </r>
  <r>
    <n v="3687"/>
    <n v="326"/>
    <x v="2"/>
    <x v="1"/>
    <x v="0"/>
    <d v="2022-11-25T00:00:00"/>
    <x v="749"/>
    <n v="1047"/>
    <n v="4484"/>
    <n v="-3437"/>
    <x v="2"/>
    <n v="18"/>
    <x v="1"/>
    <d v="2024-06-06T00:00:00"/>
    <n v="0"/>
    <n v="2188"/>
    <n v="-3.28"/>
    <s v="Outlier"/>
    <n v="2024"/>
    <s v="June"/>
  </r>
  <r>
    <n v="3689"/>
    <n v="431"/>
    <x v="1"/>
    <x v="3"/>
    <x v="1"/>
    <d v="2022-09-21T00:00:00"/>
    <x v="115"/>
    <n v="4967.93"/>
    <n v="2274"/>
    <n v="-2450"/>
    <x v="1"/>
    <n v="3"/>
    <x v="0"/>
    <d v="2023-01-01T00:00:00"/>
    <n v="0"/>
    <n v="2189"/>
    <n v="-0.49"/>
    <s v="Normal"/>
    <n v="2023"/>
    <s v="January"/>
  </r>
  <r>
    <n v="3691"/>
    <n v="227"/>
    <x v="4"/>
    <x v="1"/>
    <x v="2"/>
    <d v="2022-01-08T00:00:00"/>
    <x v="296"/>
    <n v="4967.93"/>
    <n v="926"/>
    <n v="-1438"/>
    <x v="0"/>
    <n v="7"/>
    <x v="1"/>
    <d v="2022-08-22T00:00:00"/>
    <n v="0"/>
    <n v="2190"/>
    <n v="-0.28999999999999998"/>
    <s v="Normal"/>
    <n v="2022"/>
    <s v="August"/>
  </r>
  <r>
    <n v="3692"/>
    <n v="396"/>
    <x v="0"/>
    <x v="0"/>
    <x v="1"/>
    <d v="2022-05-20T00:00:00"/>
    <x v="545"/>
    <n v="9239"/>
    <n v="1803"/>
    <n v="7436"/>
    <x v="1"/>
    <n v="6"/>
    <x v="2"/>
    <d v="2022-12-17T00:00:00"/>
    <n v="0"/>
    <n v="2191"/>
    <n v="0.8"/>
    <s v="Normal"/>
    <n v="2022"/>
    <s v="December"/>
  </r>
  <r>
    <n v="3693"/>
    <n v="134"/>
    <x v="0"/>
    <x v="1"/>
    <x v="2"/>
    <d v="2022-03-23T00:00:00"/>
    <x v="750"/>
    <n v="7483"/>
    <n v="6350"/>
    <n v="1133"/>
    <x v="2"/>
    <n v="17"/>
    <x v="1"/>
    <d v="2023-08-28T00:00:00"/>
    <n v="1"/>
    <n v="2192"/>
    <n v="0.15"/>
    <s v="Normal"/>
    <n v="2023"/>
    <s v="August"/>
  </r>
  <r>
    <n v="3694"/>
    <n v="206"/>
    <x v="1"/>
    <x v="0"/>
    <x v="2"/>
    <d v="2022-04-08T00:00:00"/>
    <x v="697"/>
    <n v="4727"/>
    <n v="7917"/>
    <n v="-3190"/>
    <x v="1"/>
    <n v="5"/>
    <x v="0"/>
    <d v="2022-09-19T00:00:00"/>
    <n v="0"/>
    <n v="2193"/>
    <n v="-0.67"/>
    <s v="Normal"/>
    <n v="2022"/>
    <s v="September"/>
  </r>
  <r>
    <n v="3696"/>
    <n v="151"/>
    <x v="0"/>
    <x v="0"/>
    <x v="1"/>
    <d v="2022-12-02T00:00:00"/>
    <x v="188"/>
    <n v="8724"/>
    <n v="4598"/>
    <n v="4126"/>
    <x v="1"/>
    <n v="4"/>
    <x v="0"/>
    <d v="2023-04-09T00:00:00"/>
    <n v="1"/>
    <n v="2194"/>
    <n v="0.47"/>
    <s v="Normal"/>
    <n v="2023"/>
    <s v="April"/>
  </r>
  <r>
    <n v="3697"/>
    <n v="367"/>
    <x v="4"/>
    <x v="0"/>
    <x v="2"/>
    <d v="2022-06-07T00:00:00"/>
    <x v="701"/>
    <n v="7308"/>
    <n v="6021"/>
    <n v="1287"/>
    <x v="0"/>
    <n v="2"/>
    <x v="0"/>
    <d v="2022-08-31T00:00:00"/>
    <n v="0"/>
    <n v="2195"/>
    <n v="0.18"/>
    <s v="Normal"/>
    <n v="2022"/>
    <s v="August"/>
  </r>
  <r>
    <n v="3698"/>
    <n v="435"/>
    <x v="0"/>
    <x v="3"/>
    <x v="0"/>
    <d v="2022-08-18T00:00:00"/>
    <x v="283"/>
    <n v="7922"/>
    <n v="4847"/>
    <n v="3075"/>
    <x v="2"/>
    <n v="7"/>
    <x v="1"/>
    <d v="2023-04-12T00:00:00"/>
    <n v="1"/>
    <n v="2196"/>
    <n v="0.39"/>
    <s v="Normal"/>
    <n v="2023"/>
    <s v="April"/>
  </r>
  <r>
    <n v="3702"/>
    <n v="492"/>
    <x v="0"/>
    <x v="0"/>
    <x v="1"/>
    <d v="2022-05-13T00:00:00"/>
    <x v="303"/>
    <n v="4669"/>
    <n v="6364"/>
    <n v="-1695"/>
    <x v="0"/>
    <n v="7"/>
    <x v="1"/>
    <d v="2022-12-20T00:00:00"/>
    <n v="0"/>
    <n v="2197"/>
    <n v="-0.36"/>
    <s v="Normal"/>
    <n v="2022"/>
    <s v="December"/>
  </r>
  <r>
    <n v="3703"/>
    <n v="197"/>
    <x v="0"/>
    <x v="3"/>
    <x v="1"/>
    <d v="2022-12-28T00:00:00"/>
    <x v="565"/>
    <n v="1079"/>
    <n v="3961"/>
    <n v="-2882"/>
    <x v="1"/>
    <n v="14"/>
    <x v="1"/>
    <d v="2024-03-15T00:00:00"/>
    <n v="0"/>
    <n v="2198"/>
    <n v="-2.67"/>
    <s v="Outlier"/>
    <n v="2024"/>
    <s v="March"/>
  </r>
  <r>
    <n v="3704"/>
    <n v="449"/>
    <x v="3"/>
    <x v="0"/>
    <x v="2"/>
    <d v="2022-06-02T00:00:00"/>
    <x v="325"/>
    <n v="636"/>
    <n v="245"/>
    <n v="391"/>
    <x v="0"/>
    <n v="2"/>
    <x v="0"/>
    <d v="2022-08-08T00:00:00"/>
    <n v="1"/>
    <n v="2199"/>
    <n v="0.61"/>
    <s v="Normal"/>
    <n v="2022"/>
    <s v="August"/>
  </r>
  <r>
    <n v="3706"/>
    <n v="439"/>
    <x v="1"/>
    <x v="3"/>
    <x v="0"/>
    <d v="2022-05-09T00:00:00"/>
    <x v="475"/>
    <n v="8324"/>
    <n v="2459"/>
    <n v="5865"/>
    <x v="1"/>
    <n v="15"/>
    <x v="1"/>
    <d v="2023-08-26T00:00:00"/>
    <n v="1"/>
    <n v="2200"/>
    <n v="0.7"/>
    <s v="Normal"/>
    <n v="2023"/>
    <s v="August"/>
  </r>
  <r>
    <n v="3707"/>
    <n v="188"/>
    <x v="3"/>
    <x v="2"/>
    <x v="1"/>
    <d v="2022-08-15T00:00:00"/>
    <x v="415"/>
    <n v="4521"/>
    <n v="575"/>
    <n v="3946"/>
    <x v="0"/>
    <n v="13"/>
    <x v="1"/>
    <d v="2023-10-07T00:00:00"/>
    <n v="0"/>
    <n v="2201"/>
    <n v="0.87"/>
    <s v="Normal"/>
    <n v="2023"/>
    <s v="October"/>
  </r>
  <r>
    <n v="3709"/>
    <n v="367"/>
    <x v="3"/>
    <x v="0"/>
    <x v="2"/>
    <d v="2022-08-26T00:00:00"/>
    <x v="193"/>
    <n v="209"/>
    <n v="1641"/>
    <n v="-1432"/>
    <x v="0"/>
    <n v="13"/>
    <x v="1"/>
    <d v="2023-10-23T00:00:00"/>
    <n v="0"/>
    <n v="2202"/>
    <n v="-6.85"/>
    <s v="Outlier"/>
    <n v="2023"/>
    <s v="October"/>
  </r>
  <r>
    <n v="3711"/>
    <n v="446"/>
    <x v="1"/>
    <x v="2"/>
    <x v="1"/>
    <d v="2022-06-18T00:00:00"/>
    <x v="233"/>
    <n v="1728"/>
    <n v="4241"/>
    <n v="-2513"/>
    <x v="0"/>
    <n v="18"/>
    <x v="1"/>
    <d v="2023-12-23T00:00:00"/>
    <n v="1"/>
    <n v="2203"/>
    <n v="-1.45"/>
    <s v="Outlier"/>
    <n v="2023"/>
    <s v="December"/>
  </r>
  <r>
    <n v="3712"/>
    <n v="301"/>
    <x v="2"/>
    <x v="0"/>
    <x v="1"/>
    <d v="2022-01-13T00:00:00"/>
    <x v="470"/>
    <n v="4967.93"/>
    <n v="3504"/>
    <n v="-4839"/>
    <x v="0"/>
    <n v="4"/>
    <x v="0"/>
    <d v="2022-05-26T00:00:00"/>
    <n v="1"/>
    <n v="2204"/>
    <n v="-0.97"/>
    <s v="Normal"/>
    <n v="2022"/>
    <s v="May"/>
  </r>
  <r>
    <n v="3714"/>
    <n v="134"/>
    <x v="3"/>
    <x v="0"/>
    <x v="2"/>
    <d v="2022-08-25T00:00:00"/>
    <x v="656"/>
    <n v="5167"/>
    <n v="5162"/>
    <n v="577.01"/>
    <x v="1"/>
    <n v="3"/>
    <x v="0"/>
    <d v="2022-12-12T00:00:00"/>
    <n v="0"/>
    <n v="2205"/>
    <n v="0.11"/>
    <s v="Normal"/>
    <n v="2022"/>
    <s v="December"/>
  </r>
  <r>
    <n v="3715"/>
    <n v="274"/>
    <x v="3"/>
    <x v="3"/>
    <x v="1"/>
    <d v="2022-04-05T00:00:00"/>
    <x v="311"/>
    <n v="50"/>
    <n v="6555"/>
    <n v="-6505"/>
    <x v="0"/>
    <n v="19"/>
    <x v="1"/>
    <d v="2023-11-14T00:00:00"/>
    <n v="0"/>
    <n v="2206"/>
    <n v="-130.1"/>
    <s v="Outlier"/>
    <n v="2023"/>
    <s v="November"/>
  </r>
  <r>
    <n v="3716"/>
    <n v="312"/>
    <x v="3"/>
    <x v="1"/>
    <x v="2"/>
    <d v="2022-03-12T00:00:00"/>
    <x v="520"/>
    <n v="6690"/>
    <n v="2574"/>
    <n v="4116"/>
    <x v="1"/>
    <n v="6"/>
    <x v="2"/>
    <d v="2022-09-28T00:00:00"/>
    <n v="0"/>
    <n v="2207"/>
    <n v="0.62"/>
    <s v="Normal"/>
    <n v="2022"/>
    <s v="September"/>
  </r>
  <r>
    <n v="3717"/>
    <n v="244"/>
    <x v="1"/>
    <x v="3"/>
    <x v="1"/>
    <d v="2022-01-07T00:00:00"/>
    <x v="751"/>
    <n v="2960"/>
    <n v="4012.75"/>
    <n v="3159"/>
    <x v="0"/>
    <n v="5"/>
    <x v="0"/>
    <d v="2022-07-02T00:00:00"/>
    <n v="1"/>
    <n v="2208"/>
    <n v="1.07"/>
    <s v="Outlier"/>
    <n v="2022"/>
    <s v="July"/>
  </r>
  <r>
    <n v="3718"/>
    <n v="403"/>
    <x v="0"/>
    <x v="3"/>
    <x v="0"/>
    <d v="2022-04-29T00:00:00"/>
    <x v="6"/>
    <n v="3129"/>
    <n v="2883"/>
    <n v="246"/>
    <x v="1"/>
    <n v="15"/>
    <x v="1"/>
    <d v="2023-08-06T00:00:00"/>
    <n v="0"/>
    <n v="2209"/>
    <n v="0.08"/>
    <s v="Normal"/>
    <n v="2023"/>
    <s v="August"/>
  </r>
  <r>
    <n v="3720"/>
    <n v="307"/>
    <x v="0"/>
    <x v="1"/>
    <x v="0"/>
    <d v="2022-05-25T00:00:00"/>
    <x v="133"/>
    <n v="3868"/>
    <n v="305"/>
    <n v="3563"/>
    <x v="1"/>
    <n v="8"/>
    <x v="1"/>
    <d v="2023-02-12T00:00:00"/>
    <n v="1"/>
    <n v="2210"/>
    <n v="0.92"/>
    <s v="Normal"/>
    <n v="2023"/>
    <s v="February"/>
  </r>
  <r>
    <n v="3723"/>
    <n v="205"/>
    <x v="4"/>
    <x v="1"/>
    <x v="2"/>
    <d v="2022-12-22T00:00:00"/>
    <x v="262"/>
    <n v="4945"/>
    <n v="5806"/>
    <n v="-861"/>
    <x v="1"/>
    <n v="5"/>
    <x v="0"/>
    <d v="2023-05-27T00:00:00"/>
    <n v="1"/>
    <n v="2211"/>
    <n v="-0.17"/>
    <s v="Normal"/>
    <n v="2023"/>
    <s v="May"/>
  </r>
  <r>
    <n v="3724"/>
    <n v="124"/>
    <x v="4"/>
    <x v="1"/>
    <x v="1"/>
    <d v="2022-05-17T00:00:00"/>
    <x v="205"/>
    <n v="4278"/>
    <n v="1908"/>
    <n v="2370"/>
    <x v="1"/>
    <n v="13"/>
    <x v="1"/>
    <d v="2023-07-14T00:00:00"/>
    <n v="1"/>
    <n v="2212"/>
    <n v="0.55000000000000004"/>
    <s v="Normal"/>
    <n v="2023"/>
    <s v="July"/>
  </r>
  <r>
    <n v="3725"/>
    <n v="305"/>
    <x v="4"/>
    <x v="0"/>
    <x v="1"/>
    <d v="2022-07-03T00:00:00"/>
    <x v="56"/>
    <n v="457"/>
    <n v="2744"/>
    <n v="-2287"/>
    <x v="1"/>
    <n v="14"/>
    <x v="1"/>
    <d v="2023-10-02T00:00:00"/>
    <n v="1"/>
    <n v="2213"/>
    <n v="-5"/>
    <s v="Outlier"/>
    <n v="2023"/>
    <s v="October"/>
  </r>
  <r>
    <n v="3726"/>
    <n v="183"/>
    <x v="4"/>
    <x v="2"/>
    <x v="0"/>
    <d v="2022-04-29T00:00:00"/>
    <x v="34"/>
    <n v="2272"/>
    <n v="2469"/>
    <n v="577.01"/>
    <x v="1"/>
    <n v="5"/>
    <x v="0"/>
    <d v="2022-10-14T00:00:00"/>
    <n v="1"/>
    <n v="2214"/>
    <n v="0.25"/>
    <s v="Normal"/>
    <n v="2022"/>
    <s v="October"/>
  </r>
  <r>
    <n v="3727"/>
    <n v="417"/>
    <x v="4"/>
    <x v="3"/>
    <x v="0"/>
    <d v="2022-06-18T00:00:00"/>
    <x v="335"/>
    <n v="5906"/>
    <n v="1723"/>
    <n v="4183"/>
    <x v="1"/>
    <n v="14"/>
    <x v="1"/>
    <d v="2023-08-18T00:00:00"/>
    <n v="1"/>
    <n v="2215"/>
    <n v="0.71"/>
    <s v="Normal"/>
    <n v="2023"/>
    <s v="August"/>
  </r>
  <r>
    <n v="3728"/>
    <n v="413"/>
    <x v="1"/>
    <x v="0"/>
    <x v="2"/>
    <d v="2022-01-27T00:00:00"/>
    <x v="519"/>
    <n v="4300"/>
    <n v="1602"/>
    <n v="2698"/>
    <x v="2"/>
    <n v="3"/>
    <x v="0"/>
    <d v="2022-04-30T00:00:00"/>
    <n v="0"/>
    <n v="2216"/>
    <n v="0.63"/>
    <s v="Normal"/>
    <n v="2022"/>
    <s v="April"/>
  </r>
  <r>
    <n v="3729"/>
    <n v="423"/>
    <x v="0"/>
    <x v="2"/>
    <x v="0"/>
    <d v="2022-02-02T00:00:00"/>
    <x v="537"/>
    <n v="3322"/>
    <n v="3528"/>
    <n v="-206"/>
    <x v="2"/>
    <n v="17"/>
    <x v="1"/>
    <d v="2023-07-28T00:00:00"/>
    <n v="0"/>
    <n v="2217"/>
    <n v="-0.06"/>
    <s v="Normal"/>
    <n v="2023"/>
    <s v="July"/>
  </r>
  <r>
    <n v="3733"/>
    <n v="245"/>
    <x v="0"/>
    <x v="1"/>
    <x v="0"/>
    <d v="2022-07-20T00:00:00"/>
    <x v="16"/>
    <n v="9846"/>
    <n v="5783"/>
    <n v="577.01"/>
    <x v="1"/>
    <n v="3"/>
    <x v="0"/>
    <d v="2022-11-03T00:00:00"/>
    <n v="0"/>
    <n v="2218"/>
    <n v="0.06"/>
    <s v="Normal"/>
    <n v="2022"/>
    <s v="November"/>
  </r>
  <r>
    <n v="3734"/>
    <n v="215"/>
    <x v="2"/>
    <x v="0"/>
    <x v="1"/>
    <d v="2022-12-29T00:00:00"/>
    <x v="471"/>
    <n v="9644"/>
    <n v="4012.75"/>
    <n v="9947"/>
    <x v="2"/>
    <n v="16"/>
    <x v="1"/>
    <d v="2024-05-01T00:00:00"/>
    <n v="0"/>
    <n v="2219"/>
    <n v="1.03"/>
    <s v="Outlier"/>
    <n v="2024"/>
    <s v="May"/>
  </r>
  <r>
    <n v="3735"/>
    <n v="154"/>
    <x v="2"/>
    <x v="3"/>
    <x v="1"/>
    <d v="2022-06-15T00:00:00"/>
    <x v="752"/>
    <n v="4967.93"/>
    <n v="4012.75"/>
    <n v="-486"/>
    <x v="2"/>
    <n v="2"/>
    <x v="0"/>
    <d v="2022-08-29T00:00:00"/>
    <n v="0"/>
    <n v="2220"/>
    <n v="-0.1"/>
    <s v="Normal"/>
    <n v="2022"/>
    <s v="August"/>
  </r>
  <r>
    <n v="3736"/>
    <n v="285"/>
    <x v="3"/>
    <x v="2"/>
    <x v="0"/>
    <d v="2022-03-08T00:00:00"/>
    <x v="136"/>
    <n v="1693"/>
    <n v="1822"/>
    <n v="-129"/>
    <x v="1"/>
    <n v="17"/>
    <x v="1"/>
    <d v="2023-08-11T00:00:00"/>
    <n v="0"/>
    <n v="2221"/>
    <n v="-0.08"/>
    <s v="Normal"/>
    <n v="2023"/>
    <s v="August"/>
  </r>
  <r>
    <n v="3737"/>
    <n v="122"/>
    <x v="4"/>
    <x v="3"/>
    <x v="2"/>
    <d v="2022-03-11T00:00:00"/>
    <x v="75"/>
    <n v="5197"/>
    <n v="4012.75"/>
    <n v="5737"/>
    <x v="1"/>
    <n v="10"/>
    <x v="1"/>
    <d v="2023-02-01T00:00:00"/>
    <n v="1"/>
    <n v="2222"/>
    <n v="1.1000000000000001"/>
    <s v="Outlier"/>
    <n v="2023"/>
    <s v="February"/>
  </r>
  <r>
    <n v="3741"/>
    <n v="464"/>
    <x v="2"/>
    <x v="0"/>
    <x v="2"/>
    <d v="2022-02-16T00:00:00"/>
    <x v="566"/>
    <n v="3540"/>
    <n v="5437"/>
    <n v="-1897"/>
    <x v="0"/>
    <n v="4"/>
    <x v="0"/>
    <d v="2022-07-08T00:00:00"/>
    <n v="0"/>
    <n v="2223"/>
    <n v="-0.54"/>
    <s v="Normal"/>
    <n v="2022"/>
    <s v="July"/>
  </r>
  <r>
    <n v="3742"/>
    <n v="212"/>
    <x v="1"/>
    <x v="1"/>
    <x v="2"/>
    <d v="2022-01-04T00:00:00"/>
    <x v="335"/>
    <n v="5035"/>
    <n v="5"/>
    <n v="5030"/>
    <x v="1"/>
    <n v="19"/>
    <x v="1"/>
    <d v="2023-08-18T00:00:00"/>
    <n v="0"/>
    <n v="2224"/>
    <n v="1"/>
    <s v="Normal"/>
    <n v="2023"/>
    <s v="August"/>
  </r>
  <r>
    <n v="3743"/>
    <n v="442"/>
    <x v="3"/>
    <x v="3"/>
    <x v="2"/>
    <d v="2022-03-18T00:00:00"/>
    <x v="527"/>
    <n v="4967.93"/>
    <n v="4315"/>
    <n v="-4576"/>
    <x v="1"/>
    <n v="7"/>
    <x v="1"/>
    <d v="2022-10-25T00:00:00"/>
    <n v="1"/>
    <n v="2225"/>
    <n v="-0.92"/>
    <s v="Normal"/>
    <n v="2022"/>
    <s v="October"/>
  </r>
  <r>
    <n v="3746"/>
    <n v="153"/>
    <x v="2"/>
    <x v="1"/>
    <x v="2"/>
    <d v="2022-08-23T00:00:00"/>
    <x v="527"/>
    <n v="1388"/>
    <n v="7409"/>
    <n v="-6021"/>
    <x v="2"/>
    <n v="2"/>
    <x v="0"/>
    <d v="2022-10-25T00:00:00"/>
    <n v="1"/>
    <n v="2226"/>
    <n v="-4.34"/>
    <s v="Outlier"/>
    <n v="2022"/>
    <s v="October"/>
  </r>
  <r>
    <n v="3749"/>
    <n v="485"/>
    <x v="2"/>
    <x v="2"/>
    <x v="2"/>
    <d v="2022-04-10T00:00:00"/>
    <x v="628"/>
    <n v="9613"/>
    <n v="1850"/>
    <n v="7763"/>
    <x v="1"/>
    <n v="16"/>
    <x v="1"/>
    <d v="2023-08-24T00:00:00"/>
    <n v="0"/>
    <n v="2227"/>
    <n v="0.81"/>
    <s v="Normal"/>
    <n v="2023"/>
    <s v="August"/>
  </r>
  <r>
    <n v="3750"/>
    <n v="113"/>
    <x v="4"/>
    <x v="0"/>
    <x v="0"/>
    <d v="2022-04-11T00:00:00"/>
    <x v="683"/>
    <n v="4967.93"/>
    <n v="1510"/>
    <n v="-2385"/>
    <x v="0"/>
    <n v="1"/>
    <x v="0"/>
    <d v="2022-06-05T00:00:00"/>
    <n v="0"/>
    <n v="2228"/>
    <n v="-0.48"/>
    <s v="Normal"/>
    <n v="2022"/>
    <s v="June"/>
  </r>
  <r>
    <n v="3751"/>
    <n v="202"/>
    <x v="0"/>
    <x v="0"/>
    <x v="2"/>
    <d v="2022-08-30T00:00:00"/>
    <x v="311"/>
    <n v="4444"/>
    <n v="5880"/>
    <n v="-1436"/>
    <x v="1"/>
    <n v="14"/>
    <x v="1"/>
    <d v="2023-11-14T00:00:00"/>
    <n v="1"/>
    <n v="2229"/>
    <n v="-0.32"/>
    <s v="Normal"/>
    <n v="2023"/>
    <s v="November"/>
  </r>
  <r>
    <n v="3752"/>
    <n v="197"/>
    <x v="1"/>
    <x v="0"/>
    <x v="0"/>
    <d v="2022-02-13T00:00:00"/>
    <x v="215"/>
    <n v="5265"/>
    <n v="4509"/>
    <n v="756"/>
    <x v="1"/>
    <n v="18"/>
    <x v="1"/>
    <d v="2023-08-22T00:00:00"/>
    <n v="0"/>
    <n v="2230"/>
    <n v="0.14000000000000001"/>
    <s v="Normal"/>
    <n v="2023"/>
    <s v="August"/>
  </r>
  <r>
    <n v="3755"/>
    <n v="182"/>
    <x v="3"/>
    <x v="3"/>
    <x v="1"/>
    <d v="2022-12-08T00:00:00"/>
    <x v="550"/>
    <n v="7799"/>
    <n v="3916"/>
    <n v="3883"/>
    <x v="1"/>
    <n v="15"/>
    <x v="1"/>
    <d v="2024-04-05T00:00:00"/>
    <n v="1"/>
    <n v="2231"/>
    <n v="0.5"/>
    <s v="Normal"/>
    <n v="2024"/>
    <s v="April"/>
  </r>
  <r>
    <n v="3756"/>
    <n v="174"/>
    <x v="2"/>
    <x v="2"/>
    <x v="1"/>
    <d v="2022-06-07T00:00:00"/>
    <x v="75"/>
    <n v="318"/>
    <n v="480"/>
    <n v="-162"/>
    <x v="1"/>
    <n v="7"/>
    <x v="1"/>
    <d v="2023-02-01T00:00:00"/>
    <n v="1"/>
    <n v="2232"/>
    <n v="-0.51"/>
    <s v="Normal"/>
    <n v="2023"/>
    <s v="February"/>
  </r>
  <r>
    <n v="3757"/>
    <n v="497"/>
    <x v="4"/>
    <x v="1"/>
    <x v="1"/>
    <d v="2022-06-29T00:00:00"/>
    <x v="304"/>
    <n v="4411"/>
    <n v="4012.75"/>
    <n v="4551"/>
    <x v="0"/>
    <n v="6"/>
    <x v="2"/>
    <d v="2023-01-17T00:00:00"/>
    <n v="0"/>
    <n v="2233"/>
    <n v="1.03"/>
    <s v="Outlier"/>
    <n v="2023"/>
    <s v="January"/>
  </r>
  <r>
    <n v="3758"/>
    <n v="332"/>
    <x v="3"/>
    <x v="3"/>
    <x v="2"/>
    <d v="2022-11-17T00:00:00"/>
    <x v="586"/>
    <n v="1743"/>
    <n v="4460"/>
    <n v="-2717"/>
    <x v="1"/>
    <n v="5"/>
    <x v="0"/>
    <d v="2023-04-21T00:00:00"/>
    <n v="0"/>
    <n v="2234"/>
    <n v="-1.56"/>
    <s v="Outlier"/>
    <n v="2023"/>
    <s v="April"/>
  </r>
  <r>
    <n v="3760"/>
    <n v="274"/>
    <x v="0"/>
    <x v="1"/>
    <x v="1"/>
    <d v="2022-04-12T00:00:00"/>
    <x v="229"/>
    <n v="4967.93"/>
    <n v="25"/>
    <n v="-1208"/>
    <x v="1"/>
    <n v="17"/>
    <x v="1"/>
    <d v="2023-09-26T00:00:00"/>
    <n v="1"/>
    <n v="2235"/>
    <n v="-0.24"/>
    <s v="Normal"/>
    <n v="2023"/>
    <s v="September"/>
  </r>
  <r>
    <n v="3761"/>
    <n v="398"/>
    <x v="4"/>
    <x v="0"/>
    <x v="1"/>
    <d v="2022-07-09T00:00:00"/>
    <x v="628"/>
    <n v="4007"/>
    <n v="2498"/>
    <n v="1509"/>
    <x v="1"/>
    <n v="13"/>
    <x v="1"/>
    <d v="2023-08-24T00:00:00"/>
    <n v="1"/>
    <n v="2236"/>
    <n v="0.38"/>
    <s v="Normal"/>
    <n v="2023"/>
    <s v="August"/>
  </r>
  <r>
    <n v="3762"/>
    <n v="269"/>
    <x v="4"/>
    <x v="1"/>
    <x v="2"/>
    <d v="2022-02-09T00:00:00"/>
    <x v="715"/>
    <n v="1347"/>
    <n v="7470"/>
    <n v="-6123"/>
    <x v="0"/>
    <n v="9"/>
    <x v="1"/>
    <d v="2022-11-20T00:00:00"/>
    <n v="0"/>
    <n v="2237"/>
    <n v="-4.55"/>
    <s v="Outlier"/>
    <n v="2022"/>
    <s v="November"/>
  </r>
  <r>
    <n v="3763"/>
    <n v="232"/>
    <x v="2"/>
    <x v="1"/>
    <x v="1"/>
    <d v="2022-08-15T00:00:00"/>
    <x v="244"/>
    <n v="8904"/>
    <n v="2245"/>
    <n v="6659"/>
    <x v="1"/>
    <n v="4"/>
    <x v="0"/>
    <d v="2022-12-26T00:00:00"/>
    <n v="1"/>
    <n v="2238"/>
    <n v="0.75"/>
    <s v="Normal"/>
    <n v="2022"/>
    <s v="December"/>
  </r>
  <r>
    <n v="3764"/>
    <n v="170"/>
    <x v="3"/>
    <x v="2"/>
    <x v="0"/>
    <d v="2022-10-24T00:00:00"/>
    <x v="98"/>
    <n v="4967.93"/>
    <n v="6095"/>
    <n v="-6424"/>
    <x v="1"/>
    <n v="5"/>
    <x v="0"/>
    <d v="2023-04-16T00:00:00"/>
    <n v="0"/>
    <n v="2239"/>
    <n v="-1.29"/>
    <s v="Outlier"/>
    <n v="2023"/>
    <s v="April"/>
  </r>
  <r>
    <n v="3765"/>
    <n v="135"/>
    <x v="3"/>
    <x v="2"/>
    <x v="2"/>
    <d v="2022-06-19T00:00:00"/>
    <x v="377"/>
    <n v="5082"/>
    <n v="1895"/>
    <n v="3187"/>
    <x v="0"/>
    <n v="9"/>
    <x v="1"/>
    <d v="2023-04-14T00:00:00"/>
    <n v="0"/>
    <n v="2240"/>
    <n v="0.63"/>
    <s v="Normal"/>
    <n v="2023"/>
    <s v="April"/>
  </r>
  <r>
    <n v="3766"/>
    <n v="239"/>
    <x v="0"/>
    <x v="3"/>
    <x v="0"/>
    <d v="2022-07-18T00:00:00"/>
    <x v="740"/>
    <n v="5620"/>
    <n v="1992"/>
    <n v="3628"/>
    <x v="1"/>
    <n v="18"/>
    <x v="1"/>
    <d v="2024-02-15T00:00:00"/>
    <n v="0"/>
    <n v="2241"/>
    <n v="0.65"/>
    <s v="Normal"/>
    <n v="2024"/>
    <s v="February"/>
  </r>
  <r>
    <n v="3767"/>
    <n v="458"/>
    <x v="4"/>
    <x v="2"/>
    <x v="0"/>
    <d v="2022-02-27T00:00:00"/>
    <x v="380"/>
    <n v="1035"/>
    <n v="4492"/>
    <n v="-3457"/>
    <x v="1"/>
    <n v="9"/>
    <x v="1"/>
    <d v="2022-12-14T00:00:00"/>
    <n v="1"/>
    <n v="2242"/>
    <n v="-3.34"/>
    <s v="Outlier"/>
    <n v="2022"/>
    <s v="December"/>
  </r>
  <r>
    <n v="3768"/>
    <n v="110"/>
    <x v="4"/>
    <x v="1"/>
    <x v="1"/>
    <d v="2022-03-11T00:00:00"/>
    <x v="470"/>
    <n v="5065"/>
    <n v="4987"/>
    <n v="78"/>
    <x v="1"/>
    <n v="2"/>
    <x v="0"/>
    <d v="2022-05-26T00:00:00"/>
    <n v="1"/>
    <n v="2243"/>
    <n v="0.02"/>
    <s v="Normal"/>
    <n v="2022"/>
    <s v="May"/>
  </r>
  <r>
    <n v="3769"/>
    <n v="335"/>
    <x v="1"/>
    <x v="3"/>
    <x v="1"/>
    <d v="2022-06-10T00:00:00"/>
    <x v="115"/>
    <n v="4967.93"/>
    <n v="4012.75"/>
    <n v="-1012"/>
    <x v="0"/>
    <n v="6"/>
    <x v="2"/>
    <d v="2023-01-01T00:00:00"/>
    <n v="1"/>
    <n v="2244"/>
    <n v="-0.2"/>
    <s v="Normal"/>
    <n v="2023"/>
    <s v="January"/>
  </r>
  <r>
    <n v="3770"/>
    <n v="404"/>
    <x v="2"/>
    <x v="3"/>
    <x v="1"/>
    <d v="2022-04-29T00:00:00"/>
    <x v="362"/>
    <n v="1724"/>
    <n v="7580"/>
    <n v="-5856"/>
    <x v="1"/>
    <n v="15"/>
    <x v="1"/>
    <d v="2023-08-19T00:00:00"/>
    <n v="0"/>
    <n v="2245"/>
    <n v="-3.4"/>
    <s v="Outlier"/>
    <n v="2023"/>
    <s v="August"/>
  </r>
  <r>
    <n v="3772"/>
    <n v="188"/>
    <x v="4"/>
    <x v="2"/>
    <x v="1"/>
    <d v="2022-08-16T00:00:00"/>
    <x v="6"/>
    <n v="4967.93"/>
    <n v="905"/>
    <n v="-1795"/>
    <x v="1"/>
    <n v="11"/>
    <x v="1"/>
    <d v="2023-08-06T00:00:00"/>
    <n v="0"/>
    <n v="2246"/>
    <n v="-0.36"/>
    <s v="Normal"/>
    <n v="2023"/>
    <s v="August"/>
  </r>
  <r>
    <n v="3773"/>
    <n v="177"/>
    <x v="2"/>
    <x v="1"/>
    <x v="1"/>
    <d v="2022-07-25T00:00:00"/>
    <x v="753"/>
    <n v="7896"/>
    <n v="2580"/>
    <n v="5316"/>
    <x v="2"/>
    <n v="18"/>
    <x v="1"/>
    <d v="2024-02-23T00:00:00"/>
    <n v="0"/>
    <n v="2247"/>
    <n v="0.67"/>
    <s v="Normal"/>
    <n v="2024"/>
    <s v="February"/>
  </r>
  <r>
    <n v="3774"/>
    <n v="361"/>
    <x v="3"/>
    <x v="2"/>
    <x v="1"/>
    <d v="2022-11-21T00:00:00"/>
    <x v="366"/>
    <n v="4967.93"/>
    <n v="6326"/>
    <n v="-8237"/>
    <x v="1"/>
    <n v="10"/>
    <x v="1"/>
    <d v="2023-09-23T00:00:00"/>
    <n v="0"/>
    <n v="2248"/>
    <n v="-1.66"/>
    <s v="Outlier"/>
    <n v="2023"/>
    <s v="September"/>
  </r>
  <r>
    <n v="3775"/>
    <n v="101"/>
    <x v="3"/>
    <x v="1"/>
    <x v="1"/>
    <d v="2022-07-02T00:00:00"/>
    <x v="4"/>
    <n v="6644"/>
    <n v="4827"/>
    <n v="1817"/>
    <x v="1"/>
    <n v="9"/>
    <x v="1"/>
    <d v="2023-04-05T00:00:00"/>
    <n v="1"/>
    <n v="2249"/>
    <n v="0.27"/>
    <s v="Normal"/>
    <n v="2023"/>
    <s v="April"/>
  </r>
  <r>
    <n v="3776"/>
    <n v="470"/>
    <x v="0"/>
    <x v="2"/>
    <x v="2"/>
    <d v="2022-12-07T00:00:00"/>
    <x v="512"/>
    <n v="324"/>
    <n v="6935"/>
    <n v="-6611"/>
    <x v="1"/>
    <n v="19"/>
    <x v="1"/>
    <d v="2024-07-28T00:00:00"/>
    <n v="1"/>
    <n v="2250"/>
    <n v="-20.399999999999999"/>
    <s v="Outlier"/>
    <n v="2024"/>
    <s v="July"/>
  </r>
  <r>
    <n v="3778"/>
    <n v="172"/>
    <x v="2"/>
    <x v="0"/>
    <x v="0"/>
    <d v="2022-01-17T00:00:00"/>
    <x v="622"/>
    <n v="7748"/>
    <n v="4012.75"/>
    <n v="8302"/>
    <x v="2"/>
    <n v="14"/>
    <x v="1"/>
    <d v="2023-03-17T00:00:00"/>
    <n v="1"/>
    <n v="2251"/>
    <n v="1.07"/>
    <s v="Outlier"/>
    <n v="2023"/>
    <s v="March"/>
  </r>
  <r>
    <n v="3779"/>
    <n v="413"/>
    <x v="2"/>
    <x v="2"/>
    <x v="0"/>
    <d v="2022-05-30T00:00:00"/>
    <x v="592"/>
    <n v="3134"/>
    <n v="1226"/>
    <n v="1908"/>
    <x v="1"/>
    <n v="17"/>
    <x v="1"/>
    <d v="2023-11-15T00:00:00"/>
    <n v="0"/>
    <n v="2252"/>
    <n v="0.61"/>
    <s v="Normal"/>
    <n v="2023"/>
    <s v="November"/>
  </r>
  <r>
    <n v="3783"/>
    <n v="367"/>
    <x v="4"/>
    <x v="1"/>
    <x v="1"/>
    <d v="2022-12-30T00:00:00"/>
    <x v="754"/>
    <n v="1394"/>
    <n v="6798"/>
    <n v="-5404"/>
    <x v="2"/>
    <n v="17"/>
    <x v="1"/>
    <d v="2024-06-13T00:00:00"/>
    <n v="0"/>
    <n v="2253"/>
    <n v="-3.88"/>
    <s v="Outlier"/>
    <n v="2024"/>
    <s v="June"/>
  </r>
  <r>
    <n v="3784"/>
    <n v="190"/>
    <x v="2"/>
    <x v="1"/>
    <x v="2"/>
    <d v="2022-07-15T00:00:00"/>
    <x v="440"/>
    <n v="9094"/>
    <n v="3891"/>
    <n v="5203"/>
    <x v="1"/>
    <n v="7"/>
    <x v="1"/>
    <d v="2023-02-22T00:00:00"/>
    <n v="1"/>
    <n v="2254"/>
    <n v="0.56999999999999995"/>
    <s v="Normal"/>
    <n v="2023"/>
    <s v="February"/>
  </r>
  <r>
    <n v="3785"/>
    <n v="139"/>
    <x v="4"/>
    <x v="3"/>
    <x v="0"/>
    <d v="2022-03-28T00:00:00"/>
    <x v="538"/>
    <n v="4702"/>
    <n v="1148"/>
    <n v="3554"/>
    <x v="1"/>
    <n v="18"/>
    <x v="1"/>
    <d v="2023-10-17T00:00:00"/>
    <n v="0"/>
    <n v="2255"/>
    <n v="0.76"/>
    <s v="Normal"/>
    <n v="2023"/>
    <s v="October"/>
  </r>
  <r>
    <n v="3786"/>
    <n v="258"/>
    <x v="3"/>
    <x v="1"/>
    <x v="1"/>
    <d v="2022-09-16T00:00:00"/>
    <x v="590"/>
    <n v="4967.93"/>
    <n v="509"/>
    <n v="-1043"/>
    <x v="1"/>
    <n v="5"/>
    <x v="0"/>
    <d v="2023-02-28T00:00:00"/>
    <n v="0"/>
    <n v="2256"/>
    <n v="-0.21"/>
    <s v="Normal"/>
    <n v="2023"/>
    <s v="February"/>
  </r>
  <r>
    <n v="3790"/>
    <n v="182"/>
    <x v="2"/>
    <x v="2"/>
    <x v="0"/>
    <d v="2022-12-02T00:00:00"/>
    <x v="60"/>
    <n v="2053"/>
    <n v="5876"/>
    <n v="-3823"/>
    <x v="0"/>
    <n v="9"/>
    <x v="1"/>
    <d v="2023-09-28T00:00:00"/>
    <n v="0"/>
    <n v="2257"/>
    <n v="-1.86"/>
    <s v="Outlier"/>
    <n v="2023"/>
    <s v="September"/>
  </r>
  <r>
    <n v="3791"/>
    <n v="114"/>
    <x v="0"/>
    <x v="1"/>
    <x v="2"/>
    <d v="2022-02-15T00:00:00"/>
    <x v="219"/>
    <n v="3551"/>
    <n v="5539"/>
    <n v="-1988"/>
    <x v="1"/>
    <n v="11"/>
    <x v="1"/>
    <d v="2023-02-05T00:00:00"/>
    <n v="0"/>
    <n v="2258"/>
    <n v="-0.56000000000000005"/>
    <s v="Normal"/>
    <n v="2023"/>
    <s v="February"/>
  </r>
  <r>
    <n v="3792"/>
    <n v="244"/>
    <x v="0"/>
    <x v="1"/>
    <x v="2"/>
    <d v="2022-04-05T00:00:00"/>
    <x v="325"/>
    <n v="5224"/>
    <n v="7480"/>
    <n v="-2256"/>
    <x v="1"/>
    <n v="4"/>
    <x v="0"/>
    <d v="2022-08-08T00:00:00"/>
    <n v="0"/>
    <n v="2259"/>
    <n v="-0.43"/>
    <s v="Normal"/>
    <n v="2022"/>
    <s v="August"/>
  </r>
  <r>
    <n v="3793"/>
    <n v="149"/>
    <x v="3"/>
    <x v="2"/>
    <x v="0"/>
    <d v="2022-08-20T00:00:00"/>
    <x v="182"/>
    <n v="9064"/>
    <n v="5713"/>
    <n v="3351"/>
    <x v="1"/>
    <n v="1"/>
    <x v="0"/>
    <d v="2022-10-04T00:00:00"/>
    <n v="0"/>
    <n v="2260"/>
    <n v="0.37"/>
    <s v="Normal"/>
    <n v="2022"/>
    <s v="October"/>
  </r>
  <r>
    <n v="3794"/>
    <n v="161"/>
    <x v="4"/>
    <x v="3"/>
    <x v="2"/>
    <d v="2022-10-17T00:00:00"/>
    <x v="172"/>
    <n v="4967.93"/>
    <n v="6788"/>
    <n v="-8599"/>
    <x v="1"/>
    <n v="4"/>
    <x v="0"/>
    <d v="2023-02-26T00:00:00"/>
    <n v="0"/>
    <n v="2261"/>
    <n v="-1.73"/>
    <s v="Outlier"/>
    <n v="2023"/>
    <s v="February"/>
  </r>
  <r>
    <n v="3796"/>
    <n v="265"/>
    <x v="4"/>
    <x v="2"/>
    <x v="0"/>
    <d v="2022-10-16T00:00:00"/>
    <x v="755"/>
    <n v="5179"/>
    <n v="5784"/>
    <n v="-605"/>
    <x v="1"/>
    <n v="18"/>
    <x v="1"/>
    <d v="2024-05-14T00:00:00"/>
    <n v="0"/>
    <n v="2262"/>
    <n v="-0.12"/>
    <s v="Normal"/>
    <n v="2024"/>
    <s v="May"/>
  </r>
  <r>
    <n v="3797"/>
    <n v="475"/>
    <x v="3"/>
    <x v="2"/>
    <x v="1"/>
    <d v="2022-01-18T00:00:00"/>
    <x v="226"/>
    <n v="4967.93"/>
    <n v="2689"/>
    <n v="-3375"/>
    <x v="2"/>
    <n v="7"/>
    <x v="1"/>
    <d v="2022-09-03T00:00:00"/>
    <n v="0"/>
    <n v="2263"/>
    <n v="-0.68"/>
    <s v="Normal"/>
    <n v="2022"/>
    <s v="September"/>
  </r>
  <r>
    <n v="3798"/>
    <n v="452"/>
    <x v="4"/>
    <x v="0"/>
    <x v="0"/>
    <d v="2022-09-24T00:00:00"/>
    <x v="524"/>
    <n v="4057"/>
    <n v="6534"/>
    <n v="-2477"/>
    <x v="1"/>
    <n v="3"/>
    <x v="0"/>
    <d v="2022-12-30T00:00:00"/>
    <n v="1"/>
    <n v="2264"/>
    <n v="-0.61"/>
    <s v="Normal"/>
    <n v="2022"/>
    <s v="December"/>
  </r>
  <r>
    <n v="3800"/>
    <n v="491"/>
    <x v="0"/>
    <x v="2"/>
    <x v="2"/>
    <d v="2022-08-01T00:00:00"/>
    <x v="600"/>
    <n v="4563"/>
    <n v="2217"/>
    <n v="2346"/>
    <x v="1"/>
    <n v="16"/>
    <x v="1"/>
    <d v="2023-12-25T00:00:00"/>
    <n v="1"/>
    <n v="2265"/>
    <n v="0.51"/>
    <s v="Normal"/>
    <n v="2023"/>
    <s v="December"/>
  </r>
  <r>
    <n v="3801"/>
    <n v="309"/>
    <x v="0"/>
    <x v="2"/>
    <x v="1"/>
    <d v="2022-04-07T00:00:00"/>
    <x v="280"/>
    <n v="4883"/>
    <n v="3992"/>
    <n v="891"/>
    <x v="1"/>
    <n v="16"/>
    <x v="1"/>
    <d v="2023-09-06T00:00:00"/>
    <n v="0"/>
    <n v="2266"/>
    <n v="0.18"/>
    <s v="Normal"/>
    <n v="2023"/>
    <s v="September"/>
  </r>
  <r>
    <n v="3802"/>
    <n v="117"/>
    <x v="3"/>
    <x v="3"/>
    <x v="1"/>
    <d v="2022-08-18T00:00:00"/>
    <x v="15"/>
    <n v="4967.93"/>
    <n v="110"/>
    <n v="577.01"/>
    <x v="1"/>
    <n v="7"/>
    <x v="1"/>
    <d v="2023-04-11T00:00:00"/>
    <n v="0"/>
    <n v="2267"/>
    <n v="0.12"/>
    <s v="Normal"/>
    <n v="2023"/>
    <s v="April"/>
  </r>
  <r>
    <n v="3803"/>
    <n v="368"/>
    <x v="0"/>
    <x v="2"/>
    <x v="0"/>
    <d v="2022-05-18T00:00:00"/>
    <x v="40"/>
    <n v="4967.93"/>
    <n v="4012.75"/>
    <n v="-24"/>
    <x v="1"/>
    <n v="13"/>
    <x v="1"/>
    <d v="2023-07-02T00:00:00"/>
    <n v="0"/>
    <n v="2268"/>
    <n v="0"/>
    <s v="Normal"/>
    <n v="2023"/>
    <s v="July"/>
  </r>
  <r>
    <n v="3804"/>
    <n v="250"/>
    <x v="2"/>
    <x v="1"/>
    <x v="0"/>
    <d v="2022-03-22T00:00:00"/>
    <x v="9"/>
    <n v="4967.93"/>
    <n v="6199"/>
    <n v="-7307"/>
    <x v="1"/>
    <n v="18"/>
    <x v="1"/>
    <d v="2023-10-15T00:00:00"/>
    <n v="0"/>
    <n v="2269"/>
    <n v="-1.47"/>
    <s v="Outlier"/>
    <n v="2023"/>
    <s v="October"/>
  </r>
  <r>
    <n v="3805"/>
    <n v="211"/>
    <x v="0"/>
    <x v="1"/>
    <x v="2"/>
    <d v="2022-12-13T00:00:00"/>
    <x v="401"/>
    <n v="5590"/>
    <n v="6917"/>
    <n v="-1327"/>
    <x v="0"/>
    <n v="10"/>
    <x v="1"/>
    <d v="2023-11-11T00:00:00"/>
    <n v="1"/>
    <n v="2270"/>
    <n v="-0.24"/>
    <s v="Normal"/>
    <n v="2023"/>
    <s v="November"/>
  </r>
  <r>
    <n v="3806"/>
    <n v="321"/>
    <x v="3"/>
    <x v="3"/>
    <x v="0"/>
    <d v="2022-07-08T00:00:00"/>
    <x v="330"/>
    <n v="7631"/>
    <n v="2094"/>
    <n v="5537"/>
    <x v="1"/>
    <n v="3"/>
    <x v="0"/>
    <d v="2022-10-29T00:00:00"/>
    <n v="1"/>
    <n v="2271"/>
    <n v="0.73"/>
    <s v="Normal"/>
    <n v="2022"/>
    <s v="October"/>
  </r>
  <r>
    <n v="3807"/>
    <n v="208"/>
    <x v="2"/>
    <x v="3"/>
    <x v="1"/>
    <d v="2022-07-10T00:00:00"/>
    <x v="675"/>
    <n v="2119"/>
    <n v="3587"/>
    <n v="-1468"/>
    <x v="0"/>
    <n v="15"/>
    <x v="1"/>
    <d v="2023-10-31T00:00:00"/>
    <n v="0"/>
    <n v="2272"/>
    <n v="-0.69"/>
    <s v="Normal"/>
    <n v="2023"/>
    <s v="October"/>
  </r>
  <r>
    <n v="3808"/>
    <n v="278"/>
    <x v="2"/>
    <x v="0"/>
    <x v="1"/>
    <d v="2022-06-29T00:00:00"/>
    <x v="650"/>
    <n v="854"/>
    <n v="2746"/>
    <n v="-1892"/>
    <x v="0"/>
    <n v="5"/>
    <x v="0"/>
    <d v="2022-12-02T00:00:00"/>
    <n v="0"/>
    <n v="2273"/>
    <n v="-2.2200000000000002"/>
    <s v="Outlier"/>
    <n v="2022"/>
    <s v="December"/>
  </r>
  <r>
    <n v="3809"/>
    <n v="381"/>
    <x v="2"/>
    <x v="3"/>
    <x v="1"/>
    <d v="2022-03-22T00:00:00"/>
    <x v="239"/>
    <n v="1141"/>
    <n v="3195"/>
    <n v="-2054"/>
    <x v="2"/>
    <n v="3"/>
    <x v="0"/>
    <d v="2022-07-03T00:00:00"/>
    <n v="0"/>
    <n v="2274"/>
    <n v="-1.8"/>
    <s v="Outlier"/>
    <n v="2022"/>
    <s v="July"/>
  </r>
  <r>
    <n v="3810"/>
    <n v="167"/>
    <x v="1"/>
    <x v="2"/>
    <x v="2"/>
    <d v="2022-05-16T00:00:00"/>
    <x v="46"/>
    <n v="6730"/>
    <n v="5098"/>
    <n v="577.01"/>
    <x v="1"/>
    <n v="16"/>
    <x v="1"/>
    <d v="2023-09-19T00:00:00"/>
    <n v="1"/>
    <n v="2275"/>
    <n v="0.09"/>
    <s v="Normal"/>
    <n v="2023"/>
    <s v="September"/>
  </r>
  <r>
    <n v="3812"/>
    <n v="336"/>
    <x v="3"/>
    <x v="0"/>
    <x v="2"/>
    <d v="2022-03-04T00:00:00"/>
    <x v="76"/>
    <n v="4967.93"/>
    <n v="4012.75"/>
    <n v="-529"/>
    <x v="2"/>
    <n v="8"/>
    <x v="1"/>
    <d v="2022-11-08T00:00:00"/>
    <n v="1"/>
    <n v="2276"/>
    <n v="-0.11"/>
    <s v="Normal"/>
    <n v="2022"/>
    <s v="November"/>
  </r>
  <r>
    <n v="3813"/>
    <n v="254"/>
    <x v="1"/>
    <x v="0"/>
    <x v="0"/>
    <d v="2022-12-20T00:00:00"/>
    <x v="547"/>
    <n v="9354"/>
    <n v="5041"/>
    <n v="4313"/>
    <x v="1"/>
    <n v="12"/>
    <x v="1"/>
    <d v="2023-12-27T00:00:00"/>
    <n v="0"/>
    <n v="2277"/>
    <n v="0.46"/>
    <s v="Normal"/>
    <n v="2023"/>
    <s v="December"/>
  </r>
  <r>
    <n v="3814"/>
    <n v="176"/>
    <x v="0"/>
    <x v="0"/>
    <x v="2"/>
    <d v="2022-11-16T00:00:00"/>
    <x v="422"/>
    <n v="5444"/>
    <n v="7834"/>
    <n v="-2390"/>
    <x v="0"/>
    <n v="13"/>
    <x v="1"/>
    <d v="2024-01-10T00:00:00"/>
    <n v="0"/>
    <n v="2278"/>
    <n v="-0.44"/>
    <s v="Normal"/>
    <n v="2024"/>
    <s v="January"/>
  </r>
  <r>
    <n v="3815"/>
    <n v="364"/>
    <x v="4"/>
    <x v="1"/>
    <x v="2"/>
    <d v="2022-03-07T00:00:00"/>
    <x v="227"/>
    <n v="9264"/>
    <n v="2739"/>
    <n v="577.01"/>
    <x v="0"/>
    <n v="6"/>
    <x v="2"/>
    <d v="2022-09-21T00:00:00"/>
    <n v="1"/>
    <n v="2279"/>
    <n v="0.06"/>
    <s v="Normal"/>
    <n v="2022"/>
    <s v="September"/>
  </r>
  <r>
    <n v="3816"/>
    <n v="117"/>
    <x v="0"/>
    <x v="3"/>
    <x v="2"/>
    <d v="2022-02-14T00:00:00"/>
    <x v="370"/>
    <n v="9188"/>
    <n v="435"/>
    <n v="8753"/>
    <x v="1"/>
    <n v="9"/>
    <x v="1"/>
    <d v="2022-11-23T00:00:00"/>
    <n v="1"/>
    <n v="2280"/>
    <n v="0.95"/>
    <s v="Normal"/>
    <n v="2022"/>
    <s v="November"/>
  </r>
  <r>
    <n v="3817"/>
    <n v="376"/>
    <x v="0"/>
    <x v="1"/>
    <x v="1"/>
    <d v="2022-01-21T00:00:00"/>
    <x v="147"/>
    <n v="2245"/>
    <n v="6560"/>
    <n v="-4315"/>
    <x v="0"/>
    <n v="5"/>
    <x v="0"/>
    <d v="2022-06-29T00:00:00"/>
    <n v="0"/>
    <n v="2281"/>
    <n v="-1.92"/>
    <s v="Outlier"/>
    <n v="2022"/>
    <s v="June"/>
  </r>
  <r>
    <n v="3819"/>
    <n v="373"/>
    <x v="3"/>
    <x v="1"/>
    <x v="1"/>
    <d v="2022-01-18T00:00:00"/>
    <x v="139"/>
    <n v="4472"/>
    <n v="5629"/>
    <n v="-1157"/>
    <x v="1"/>
    <n v="6"/>
    <x v="2"/>
    <d v="2022-08-04T00:00:00"/>
    <n v="0"/>
    <n v="2282"/>
    <n v="-0.26"/>
    <s v="Normal"/>
    <n v="2022"/>
    <s v="August"/>
  </r>
  <r>
    <n v="3820"/>
    <n v="295"/>
    <x v="0"/>
    <x v="3"/>
    <x v="0"/>
    <d v="2022-06-20T00:00:00"/>
    <x v="588"/>
    <n v="7597"/>
    <n v="788"/>
    <n v="6809"/>
    <x v="2"/>
    <n v="13"/>
    <x v="1"/>
    <d v="2023-07-23T00:00:00"/>
    <n v="0"/>
    <n v="2283"/>
    <n v="0.9"/>
    <s v="Normal"/>
    <n v="2023"/>
    <s v="July"/>
  </r>
  <r>
    <n v="3821"/>
    <n v="286"/>
    <x v="4"/>
    <x v="2"/>
    <x v="0"/>
    <d v="2022-05-06T00:00:00"/>
    <x v="497"/>
    <n v="2596"/>
    <n v="1291"/>
    <n v="1305"/>
    <x v="2"/>
    <n v="1"/>
    <x v="0"/>
    <d v="2022-07-01T00:00:00"/>
    <n v="1"/>
    <n v="2284"/>
    <n v="0.5"/>
    <s v="Normal"/>
    <n v="2022"/>
    <s v="July"/>
  </r>
  <r>
    <n v="3823"/>
    <n v="152"/>
    <x v="1"/>
    <x v="1"/>
    <x v="1"/>
    <d v="2022-12-21T00:00:00"/>
    <x v="366"/>
    <n v="9790"/>
    <n v="7633"/>
    <n v="2157"/>
    <x v="2"/>
    <n v="9"/>
    <x v="1"/>
    <d v="2023-09-23T00:00:00"/>
    <n v="0"/>
    <n v="2285"/>
    <n v="0.22"/>
    <s v="Normal"/>
    <n v="2023"/>
    <s v="September"/>
  </r>
  <r>
    <n v="3827"/>
    <n v="425"/>
    <x v="3"/>
    <x v="3"/>
    <x v="0"/>
    <d v="2022-01-16T00:00:00"/>
    <x v="175"/>
    <n v="2870"/>
    <n v="5397"/>
    <n v="-2527"/>
    <x v="1"/>
    <n v="6"/>
    <x v="2"/>
    <d v="2022-08-07T00:00:00"/>
    <n v="0"/>
    <n v="2286"/>
    <n v="-0.88"/>
    <s v="Normal"/>
    <n v="2022"/>
    <s v="August"/>
  </r>
  <r>
    <n v="3828"/>
    <n v="325"/>
    <x v="0"/>
    <x v="2"/>
    <x v="1"/>
    <d v="2022-01-04T00:00:00"/>
    <x v="235"/>
    <n v="4967.93"/>
    <n v="1991"/>
    <n v="-3744"/>
    <x v="2"/>
    <n v="13"/>
    <x v="1"/>
    <d v="2023-02-15T00:00:00"/>
    <n v="0"/>
    <n v="2287"/>
    <n v="-0.75"/>
    <s v="Normal"/>
    <n v="2023"/>
    <s v="February"/>
  </r>
  <r>
    <n v="3829"/>
    <n v="482"/>
    <x v="2"/>
    <x v="3"/>
    <x v="1"/>
    <d v="2022-12-21T00:00:00"/>
    <x v="209"/>
    <n v="4188"/>
    <n v="2822"/>
    <n v="1366"/>
    <x v="0"/>
    <n v="5"/>
    <x v="0"/>
    <d v="2023-05-23T00:00:00"/>
    <n v="1"/>
    <n v="2288"/>
    <n v="0.33"/>
    <s v="Normal"/>
    <n v="2023"/>
    <s v="May"/>
  </r>
  <r>
    <n v="3830"/>
    <n v="289"/>
    <x v="2"/>
    <x v="1"/>
    <x v="1"/>
    <d v="2022-10-01T00:00:00"/>
    <x v="741"/>
    <n v="5258"/>
    <n v="7734"/>
    <n v="-2476"/>
    <x v="2"/>
    <n v="13"/>
    <x v="1"/>
    <d v="2023-11-22T00:00:00"/>
    <n v="0"/>
    <n v="2289"/>
    <n v="-0.47"/>
    <s v="Normal"/>
    <n v="2023"/>
    <s v="November"/>
  </r>
  <r>
    <n v="3831"/>
    <n v="212"/>
    <x v="1"/>
    <x v="0"/>
    <x v="0"/>
    <d v="2022-10-17T00:00:00"/>
    <x v="389"/>
    <n v="4363"/>
    <n v="6809"/>
    <n v="-2446"/>
    <x v="0"/>
    <n v="3"/>
    <x v="0"/>
    <d v="2023-01-28T00:00:00"/>
    <n v="1"/>
    <n v="2290"/>
    <n v="-0.56000000000000005"/>
    <s v="Normal"/>
    <n v="2023"/>
    <s v="January"/>
  </r>
  <r>
    <n v="3832"/>
    <n v="249"/>
    <x v="4"/>
    <x v="2"/>
    <x v="1"/>
    <d v="2022-03-07T00:00:00"/>
    <x v="98"/>
    <n v="5444"/>
    <n v="5922"/>
    <n v="-478"/>
    <x v="0"/>
    <n v="13"/>
    <x v="1"/>
    <d v="2023-04-16T00:00:00"/>
    <n v="0"/>
    <n v="2291"/>
    <n v="-0.09"/>
    <s v="Normal"/>
    <n v="2023"/>
    <s v="April"/>
  </r>
  <r>
    <n v="3833"/>
    <n v="282"/>
    <x v="0"/>
    <x v="1"/>
    <x v="0"/>
    <d v="2022-02-07T00:00:00"/>
    <x v="418"/>
    <n v="509"/>
    <n v="1607"/>
    <n v="-1098"/>
    <x v="1"/>
    <n v="5"/>
    <x v="0"/>
    <d v="2022-07-24T00:00:00"/>
    <n v="0"/>
    <n v="2292"/>
    <n v="-2.16"/>
    <s v="Outlier"/>
    <n v="2022"/>
    <s v="July"/>
  </r>
  <r>
    <n v="3835"/>
    <n v="288"/>
    <x v="2"/>
    <x v="3"/>
    <x v="0"/>
    <d v="2022-08-10T00:00:00"/>
    <x v="737"/>
    <n v="4967.93"/>
    <n v="1635"/>
    <n v="-1683"/>
    <x v="2"/>
    <n v="5"/>
    <x v="0"/>
    <d v="2023-01-29T00:00:00"/>
    <n v="0"/>
    <n v="2293"/>
    <n v="-0.34"/>
    <s v="Normal"/>
    <n v="2023"/>
    <s v="January"/>
  </r>
  <r>
    <n v="3836"/>
    <n v="226"/>
    <x v="2"/>
    <x v="3"/>
    <x v="1"/>
    <d v="2022-12-13T00:00:00"/>
    <x v="627"/>
    <n v="4747"/>
    <n v="1335"/>
    <n v="3412"/>
    <x v="2"/>
    <n v="4"/>
    <x v="0"/>
    <d v="2023-05-08T00:00:00"/>
    <n v="1"/>
    <n v="2294"/>
    <n v="0.72"/>
    <s v="Normal"/>
    <n v="2023"/>
    <s v="May"/>
  </r>
  <r>
    <n v="3837"/>
    <n v="268"/>
    <x v="2"/>
    <x v="1"/>
    <x v="1"/>
    <d v="2022-01-18T00:00:00"/>
    <x v="85"/>
    <n v="7476"/>
    <n v="5421"/>
    <n v="2055"/>
    <x v="1"/>
    <n v="14"/>
    <x v="1"/>
    <d v="2023-03-24T00:00:00"/>
    <n v="1"/>
    <n v="2295"/>
    <n v="0.27"/>
    <s v="Normal"/>
    <n v="2023"/>
    <s v="March"/>
  </r>
  <r>
    <n v="3838"/>
    <n v="126"/>
    <x v="0"/>
    <x v="3"/>
    <x v="2"/>
    <d v="2022-03-10T00:00:00"/>
    <x v="220"/>
    <n v="2979"/>
    <n v="6968"/>
    <n v="-3989"/>
    <x v="0"/>
    <n v="12"/>
    <x v="1"/>
    <d v="2023-03-29T00:00:00"/>
    <n v="0"/>
    <n v="2296"/>
    <n v="-1.34"/>
    <s v="Outlier"/>
    <n v="2023"/>
    <s v="March"/>
  </r>
  <r>
    <n v="3839"/>
    <n v="169"/>
    <x v="4"/>
    <x v="1"/>
    <x v="0"/>
    <d v="2022-08-12T00:00:00"/>
    <x v="626"/>
    <n v="7749"/>
    <n v="239"/>
    <n v="7510"/>
    <x v="1"/>
    <n v="14"/>
    <x v="1"/>
    <d v="2023-11-05T00:00:00"/>
    <n v="1"/>
    <n v="2297"/>
    <n v="0.97"/>
    <s v="Normal"/>
    <n v="2023"/>
    <s v="November"/>
  </r>
  <r>
    <n v="3840"/>
    <n v="336"/>
    <x v="1"/>
    <x v="0"/>
    <x v="0"/>
    <d v="2022-03-05T00:00:00"/>
    <x v="669"/>
    <n v="5454"/>
    <n v="4012.75"/>
    <n v="6007"/>
    <x v="0"/>
    <n v="7"/>
    <x v="1"/>
    <d v="2022-10-16T00:00:00"/>
    <n v="0"/>
    <n v="2298"/>
    <n v="1.1000000000000001"/>
    <s v="Outlier"/>
    <n v="2022"/>
    <s v="October"/>
  </r>
  <r>
    <n v="3842"/>
    <n v="411"/>
    <x v="3"/>
    <x v="1"/>
    <x v="2"/>
    <d v="2022-07-05T00:00:00"/>
    <x v="16"/>
    <n v="312"/>
    <n v="7331"/>
    <n v="577.01"/>
    <x v="0"/>
    <n v="3"/>
    <x v="0"/>
    <d v="2022-11-03T00:00:00"/>
    <n v="0"/>
    <n v="2299"/>
    <n v="1.85"/>
    <s v="Outlier"/>
    <n v="2022"/>
    <s v="November"/>
  </r>
  <r>
    <n v="3843"/>
    <n v="500"/>
    <x v="2"/>
    <x v="0"/>
    <x v="0"/>
    <d v="2022-08-13T00:00:00"/>
    <x v="108"/>
    <n v="8749"/>
    <n v="711"/>
    <n v="8038"/>
    <x v="2"/>
    <n v="8"/>
    <x v="1"/>
    <d v="2023-04-30T00:00:00"/>
    <n v="0"/>
    <n v="2300"/>
    <n v="0.92"/>
    <s v="Normal"/>
    <n v="2023"/>
    <s v="April"/>
  </r>
  <r>
    <n v="3844"/>
    <n v="273"/>
    <x v="2"/>
    <x v="2"/>
    <x v="2"/>
    <d v="2022-02-02T00:00:00"/>
    <x v="756"/>
    <n v="2699"/>
    <n v="7477"/>
    <n v="-4778"/>
    <x v="0"/>
    <n v="18"/>
    <x v="1"/>
    <d v="2023-08-03T00:00:00"/>
    <n v="0"/>
    <n v="2301"/>
    <n v="-1.77"/>
    <s v="Outlier"/>
    <n v="2023"/>
    <s v="August"/>
  </r>
  <r>
    <n v="3846"/>
    <n v="314"/>
    <x v="0"/>
    <x v="1"/>
    <x v="0"/>
    <d v="2022-05-15T00:00:00"/>
    <x v="369"/>
    <n v="5901"/>
    <n v="4012.75"/>
    <n v="6876"/>
    <x v="2"/>
    <n v="13"/>
    <x v="1"/>
    <d v="2023-06-26T00:00:00"/>
    <n v="1"/>
    <n v="2302"/>
    <n v="1.17"/>
    <s v="Outlier"/>
    <n v="2023"/>
    <s v="June"/>
  </r>
  <r>
    <n v="3847"/>
    <n v="139"/>
    <x v="1"/>
    <x v="3"/>
    <x v="2"/>
    <d v="2022-01-06T00:00:00"/>
    <x v="303"/>
    <n v="4967.93"/>
    <n v="449"/>
    <n v="-2025"/>
    <x v="0"/>
    <n v="11"/>
    <x v="1"/>
    <d v="2022-12-20T00:00:00"/>
    <n v="0"/>
    <n v="2303"/>
    <n v="-0.41"/>
    <s v="Normal"/>
    <n v="2022"/>
    <s v="December"/>
  </r>
  <r>
    <n v="3848"/>
    <n v="205"/>
    <x v="0"/>
    <x v="3"/>
    <x v="2"/>
    <d v="2022-11-03T00:00:00"/>
    <x v="349"/>
    <n v="2316"/>
    <n v="5637"/>
    <n v="-3321"/>
    <x v="1"/>
    <n v="7"/>
    <x v="1"/>
    <d v="2023-06-03T00:00:00"/>
    <n v="0"/>
    <n v="2304"/>
    <n v="-1.43"/>
    <s v="Outlier"/>
    <n v="2023"/>
    <s v="June"/>
  </r>
  <r>
    <n v="3849"/>
    <n v="357"/>
    <x v="2"/>
    <x v="3"/>
    <x v="1"/>
    <d v="2022-08-28T00:00:00"/>
    <x v="550"/>
    <n v="7451"/>
    <n v="4372"/>
    <n v="3079"/>
    <x v="0"/>
    <n v="19"/>
    <x v="1"/>
    <d v="2024-04-05T00:00:00"/>
    <n v="1"/>
    <n v="2305"/>
    <n v="0.41"/>
    <s v="Normal"/>
    <n v="2024"/>
    <s v="April"/>
  </r>
  <r>
    <n v="3850"/>
    <n v="337"/>
    <x v="0"/>
    <x v="3"/>
    <x v="2"/>
    <d v="2022-08-05T00:00:00"/>
    <x v="472"/>
    <n v="9789"/>
    <n v="7652"/>
    <n v="2137"/>
    <x v="2"/>
    <n v="14"/>
    <x v="1"/>
    <d v="2023-10-27T00:00:00"/>
    <n v="1"/>
    <n v="2306"/>
    <n v="0.22"/>
    <s v="Normal"/>
    <n v="2023"/>
    <s v="October"/>
  </r>
  <r>
    <n v="3852"/>
    <n v="366"/>
    <x v="2"/>
    <x v="3"/>
    <x v="2"/>
    <d v="2022-09-14T00:00:00"/>
    <x v="133"/>
    <n v="4967.93"/>
    <n v="6539"/>
    <n v="-6935"/>
    <x v="1"/>
    <n v="4"/>
    <x v="0"/>
    <d v="2023-02-12T00:00:00"/>
    <n v="0"/>
    <n v="2307"/>
    <n v="-1.4"/>
    <s v="Outlier"/>
    <n v="2023"/>
    <s v="February"/>
  </r>
  <r>
    <n v="3853"/>
    <n v="308"/>
    <x v="0"/>
    <x v="3"/>
    <x v="1"/>
    <d v="2022-08-30T00:00:00"/>
    <x v="200"/>
    <n v="4392"/>
    <n v="257"/>
    <n v="4135"/>
    <x v="1"/>
    <n v="15"/>
    <x v="1"/>
    <d v="2023-12-09T00:00:00"/>
    <n v="0"/>
    <n v="2308"/>
    <n v="0.94"/>
    <s v="Normal"/>
    <n v="2023"/>
    <s v="December"/>
  </r>
  <r>
    <n v="3854"/>
    <n v="481"/>
    <x v="2"/>
    <x v="0"/>
    <x v="2"/>
    <d v="2022-10-22T00:00:00"/>
    <x v="2"/>
    <n v="757"/>
    <n v="920"/>
    <n v="-163"/>
    <x v="2"/>
    <n v="10"/>
    <x v="1"/>
    <d v="2023-09-15T00:00:00"/>
    <n v="0"/>
    <n v="2309"/>
    <n v="-0.22"/>
    <s v="Normal"/>
    <n v="2023"/>
    <s v="September"/>
  </r>
  <r>
    <n v="3855"/>
    <n v="190"/>
    <x v="4"/>
    <x v="0"/>
    <x v="2"/>
    <d v="2022-02-20T00:00:00"/>
    <x v="639"/>
    <n v="2001"/>
    <n v="5651"/>
    <n v="-3650"/>
    <x v="0"/>
    <n v="5"/>
    <x v="0"/>
    <d v="2022-08-01T00:00:00"/>
    <n v="1"/>
    <n v="2310"/>
    <n v="-1.82"/>
    <s v="Outlier"/>
    <n v="2022"/>
    <s v="August"/>
  </r>
  <r>
    <n v="3857"/>
    <n v="171"/>
    <x v="4"/>
    <x v="2"/>
    <x v="2"/>
    <d v="2022-01-25T00:00:00"/>
    <x v="503"/>
    <n v="4144"/>
    <n v="852"/>
    <n v="577.01"/>
    <x v="1"/>
    <n v="15"/>
    <x v="1"/>
    <d v="2023-05-07T00:00:00"/>
    <n v="1"/>
    <n v="2311"/>
    <n v="0.14000000000000001"/>
    <s v="Normal"/>
    <n v="2023"/>
    <s v="May"/>
  </r>
  <r>
    <n v="3859"/>
    <n v="131"/>
    <x v="4"/>
    <x v="3"/>
    <x v="1"/>
    <d v="2022-01-04T00:00:00"/>
    <x v="11"/>
    <n v="4967.93"/>
    <n v="1340"/>
    <n v="-2091"/>
    <x v="2"/>
    <n v="17"/>
    <x v="1"/>
    <d v="2023-06-30T00:00:00"/>
    <n v="0"/>
    <n v="2312"/>
    <n v="-0.42"/>
    <s v="Normal"/>
    <n v="2023"/>
    <s v="June"/>
  </r>
  <r>
    <n v="3860"/>
    <n v="387"/>
    <x v="0"/>
    <x v="2"/>
    <x v="0"/>
    <d v="2022-12-02T00:00:00"/>
    <x v="327"/>
    <n v="4967.93"/>
    <n v="1284"/>
    <n v="-2514"/>
    <x v="2"/>
    <n v="4"/>
    <x v="0"/>
    <d v="2023-04-25T00:00:00"/>
    <n v="1"/>
    <n v="2313"/>
    <n v="-0.51"/>
    <s v="Normal"/>
    <n v="2023"/>
    <s v="April"/>
  </r>
  <r>
    <n v="3861"/>
    <n v="387"/>
    <x v="4"/>
    <x v="3"/>
    <x v="0"/>
    <d v="2022-09-05T00:00:00"/>
    <x v="648"/>
    <n v="6051"/>
    <n v="4012.75"/>
    <n v="6173"/>
    <x v="0"/>
    <n v="17"/>
    <x v="1"/>
    <d v="2024-02-10T00:00:00"/>
    <n v="1"/>
    <n v="2314"/>
    <n v="1.02"/>
    <s v="Outlier"/>
    <n v="2024"/>
    <s v="February"/>
  </r>
  <r>
    <n v="3862"/>
    <n v="106"/>
    <x v="4"/>
    <x v="2"/>
    <x v="2"/>
    <d v="2022-05-23T00:00:00"/>
    <x v="102"/>
    <n v="1656"/>
    <n v="4646"/>
    <n v="-2990"/>
    <x v="1"/>
    <n v="1"/>
    <x v="0"/>
    <d v="2022-07-12T00:00:00"/>
    <n v="1"/>
    <n v="2315"/>
    <n v="-1.81"/>
    <s v="Outlier"/>
    <n v="2022"/>
    <s v="July"/>
  </r>
  <r>
    <n v="3864"/>
    <n v="310"/>
    <x v="4"/>
    <x v="3"/>
    <x v="1"/>
    <d v="2022-03-26T00:00:00"/>
    <x v="39"/>
    <n v="8115"/>
    <n v="7101"/>
    <n v="577.01"/>
    <x v="1"/>
    <n v="18"/>
    <x v="1"/>
    <d v="2023-09-27T00:00:00"/>
    <n v="1"/>
    <n v="2316"/>
    <n v="7.0000000000000007E-2"/>
    <s v="Normal"/>
    <n v="2023"/>
    <s v="September"/>
  </r>
  <r>
    <n v="3865"/>
    <n v="388"/>
    <x v="4"/>
    <x v="0"/>
    <x v="1"/>
    <d v="2022-06-05T00:00:00"/>
    <x v="537"/>
    <n v="2087"/>
    <n v="4012.75"/>
    <n v="2302"/>
    <x v="2"/>
    <n v="13"/>
    <x v="1"/>
    <d v="2023-07-28T00:00:00"/>
    <n v="0"/>
    <n v="2317"/>
    <n v="1.1000000000000001"/>
    <s v="Outlier"/>
    <n v="2023"/>
    <s v="July"/>
  </r>
  <r>
    <n v="3866"/>
    <n v="453"/>
    <x v="3"/>
    <x v="1"/>
    <x v="1"/>
    <d v="2022-11-30T00:00:00"/>
    <x v="708"/>
    <n v="8264"/>
    <n v="2155"/>
    <n v="6109"/>
    <x v="2"/>
    <n v="17"/>
    <x v="1"/>
    <d v="2024-05-23T00:00:00"/>
    <n v="1"/>
    <n v="2318"/>
    <n v="0.74"/>
    <s v="Normal"/>
    <n v="2024"/>
    <s v="May"/>
  </r>
  <r>
    <n v="3867"/>
    <n v="149"/>
    <x v="1"/>
    <x v="0"/>
    <x v="2"/>
    <d v="2022-03-08T00:00:00"/>
    <x v="269"/>
    <n v="5647"/>
    <n v="1534"/>
    <n v="4113"/>
    <x v="0"/>
    <n v="16"/>
    <x v="1"/>
    <d v="2023-08-02T00:00:00"/>
    <n v="0"/>
    <n v="2319"/>
    <n v="0.73"/>
    <s v="Normal"/>
    <n v="2023"/>
    <s v="August"/>
  </r>
  <r>
    <n v="3868"/>
    <n v="486"/>
    <x v="1"/>
    <x v="3"/>
    <x v="2"/>
    <d v="2022-02-03T00:00:00"/>
    <x v="469"/>
    <n v="1794"/>
    <n v="1308"/>
    <n v="486"/>
    <x v="1"/>
    <n v="3"/>
    <x v="0"/>
    <d v="2022-05-10T00:00:00"/>
    <n v="0"/>
    <n v="2320"/>
    <n v="0.27"/>
    <s v="Normal"/>
    <n v="2022"/>
    <s v="May"/>
  </r>
  <r>
    <n v="3872"/>
    <n v="149"/>
    <x v="3"/>
    <x v="0"/>
    <x v="1"/>
    <d v="2022-07-11T00:00:00"/>
    <x v="260"/>
    <n v="7168"/>
    <n v="451"/>
    <n v="6717"/>
    <x v="1"/>
    <n v="12"/>
    <x v="1"/>
    <d v="2023-07-11T00:00:00"/>
    <n v="1"/>
    <n v="2321"/>
    <n v="0.94"/>
    <s v="Normal"/>
    <n v="2023"/>
    <s v="July"/>
  </r>
  <r>
    <n v="3873"/>
    <n v="445"/>
    <x v="2"/>
    <x v="3"/>
    <x v="0"/>
    <d v="2022-08-30T00:00:00"/>
    <x v="757"/>
    <n v="4967.93"/>
    <n v="5872"/>
    <n v="-7672"/>
    <x v="2"/>
    <n v="6"/>
    <x v="2"/>
    <d v="2023-03-22T00:00:00"/>
    <n v="0"/>
    <n v="2322"/>
    <n v="-1.54"/>
    <s v="Outlier"/>
    <n v="2023"/>
    <s v="March"/>
  </r>
  <r>
    <n v="3874"/>
    <n v="136"/>
    <x v="4"/>
    <x v="1"/>
    <x v="1"/>
    <d v="2022-07-05T00:00:00"/>
    <x v="758"/>
    <n v="90"/>
    <n v="3234"/>
    <n v="577.01"/>
    <x v="2"/>
    <n v="1"/>
    <x v="0"/>
    <d v="2022-08-16T00:00:00"/>
    <n v="0"/>
    <n v="2323"/>
    <n v="6.41"/>
    <s v="Outlier"/>
    <n v="2022"/>
    <s v="August"/>
  </r>
  <r>
    <n v="3875"/>
    <n v="394"/>
    <x v="1"/>
    <x v="1"/>
    <x v="2"/>
    <d v="2022-05-14T00:00:00"/>
    <x v="350"/>
    <n v="1578"/>
    <n v="4183"/>
    <n v="-2605"/>
    <x v="2"/>
    <n v="13"/>
    <x v="1"/>
    <d v="2023-07-09T00:00:00"/>
    <n v="0"/>
    <n v="2324"/>
    <n v="-1.65"/>
    <s v="Outlier"/>
    <n v="2023"/>
    <s v="July"/>
  </r>
  <r>
    <n v="3877"/>
    <n v="498"/>
    <x v="0"/>
    <x v="1"/>
    <x v="0"/>
    <d v="2022-09-15T00:00:00"/>
    <x v="401"/>
    <n v="7533"/>
    <n v="6653"/>
    <n v="880"/>
    <x v="1"/>
    <n v="13"/>
    <x v="1"/>
    <d v="2023-11-11T00:00:00"/>
    <n v="1"/>
    <n v="2325"/>
    <n v="0.12"/>
    <s v="Normal"/>
    <n v="2023"/>
    <s v="November"/>
  </r>
  <r>
    <n v="3878"/>
    <n v="377"/>
    <x v="4"/>
    <x v="2"/>
    <x v="0"/>
    <d v="2022-06-23T00:00:00"/>
    <x v="579"/>
    <n v="4967.93"/>
    <n v="648"/>
    <n v="-1649"/>
    <x v="0"/>
    <n v="19"/>
    <x v="1"/>
    <d v="2024-02-13T00:00:00"/>
    <n v="0"/>
    <n v="2326"/>
    <n v="-0.33"/>
    <s v="Normal"/>
    <n v="2024"/>
    <s v="February"/>
  </r>
  <r>
    <n v="3879"/>
    <n v="194"/>
    <x v="2"/>
    <x v="0"/>
    <x v="0"/>
    <d v="2022-01-22T00:00:00"/>
    <x v="69"/>
    <n v="6262"/>
    <n v="4012.75"/>
    <n v="6794"/>
    <x v="0"/>
    <n v="17"/>
    <x v="1"/>
    <d v="2023-07-18T00:00:00"/>
    <n v="1"/>
    <n v="2327"/>
    <n v="1.08"/>
    <s v="Outlier"/>
    <n v="2023"/>
    <s v="July"/>
  </r>
  <r>
    <n v="3880"/>
    <n v="228"/>
    <x v="0"/>
    <x v="2"/>
    <x v="2"/>
    <d v="2022-11-05T00:00:00"/>
    <x v="393"/>
    <n v="5855"/>
    <n v="7106"/>
    <n v="-1251"/>
    <x v="0"/>
    <n v="15"/>
    <x v="1"/>
    <d v="2024-02-18T00:00:00"/>
    <n v="0"/>
    <n v="2328"/>
    <n v="-0.21"/>
    <s v="Normal"/>
    <n v="2024"/>
    <s v="February"/>
  </r>
  <r>
    <n v="3881"/>
    <n v="387"/>
    <x v="2"/>
    <x v="2"/>
    <x v="2"/>
    <d v="2022-11-13T00:00:00"/>
    <x v="164"/>
    <n v="4344"/>
    <n v="4637"/>
    <n v="-293"/>
    <x v="1"/>
    <n v="18"/>
    <x v="1"/>
    <d v="2024-05-27T00:00:00"/>
    <n v="0"/>
    <n v="2329"/>
    <n v="-7.0000000000000007E-2"/>
    <s v="Normal"/>
    <n v="2024"/>
    <s v="May"/>
  </r>
  <r>
    <n v="3882"/>
    <n v="157"/>
    <x v="3"/>
    <x v="1"/>
    <x v="0"/>
    <d v="2022-11-09T00:00:00"/>
    <x v="471"/>
    <n v="1450"/>
    <n v="3307"/>
    <n v="-1857"/>
    <x v="1"/>
    <n v="17"/>
    <x v="1"/>
    <d v="2024-05-01T00:00:00"/>
    <n v="1"/>
    <n v="2330"/>
    <n v="-1.28"/>
    <s v="Outlier"/>
    <n v="2024"/>
    <s v="May"/>
  </r>
  <r>
    <n v="3883"/>
    <n v="226"/>
    <x v="0"/>
    <x v="3"/>
    <x v="1"/>
    <d v="2022-09-30T00:00:00"/>
    <x v="217"/>
    <n v="6489"/>
    <n v="3401"/>
    <n v="3088"/>
    <x v="1"/>
    <n v="7"/>
    <x v="1"/>
    <d v="2023-05-17T00:00:00"/>
    <n v="0"/>
    <n v="2331"/>
    <n v="0.48"/>
    <s v="Normal"/>
    <n v="2023"/>
    <s v="May"/>
  </r>
  <r>
    <n v="3887"/>
    <n v="346"/>
    <x v="2"/>
    <x v="0"/>
    <x v="2"/>
    <d v="2022-06-08T00:00:00"/>
    <x v="56"/>
    <n v="7392"/>
    <n v="5720"/>
    <n v="577.01"/>
    <x v="1"/>
    <n v="15"/>
    <x v="1"/>
    <d v="2023-10-02T00:00:00"/>
    <n v="0"/>
    <n v="2332"/>
    <n v="0.08"/>
    <s v="Normal"/>
    <n v="2023"/>
    <s v="October"/>
  </r>
  <r>
    <n v="3888"/>
    <n v="249"/>
    <x v="0"/>
    <x v="3"/>
    <x v="0"/>
    <d v="2022-09-21T00:00:00"/>
    <x v="133"/>
    <n v="7497"/>
    <n v="364"/>
    <n v="7133"/>
    <x v="1"/>
    <n v="4"/>
    <x v="0"/>
    <d v="2023-02-12T00:00:00"/>
    <n v="0"/>
    <n v="2333"/>
    <n v="0.95"/>
    <s v="Normal"/>
    <n v="2023"/>
    <s v="February"/>
  </r>
  <r>
    <n v="3890"/>
    <n v="255"/>
    <x v="1"/>
    <x v="3"/>
    <x v="2"/>
    <d v="2022-05-18T00:00:00"/>
    <x v="75"/>
    <n v="4967.93"/>
    <n v="5413"/>
    <n v="-5959"/>
    <x v="2"/>
    <n v="8"/>
    <x v="1"/>
    <d v="2023-02-01T00:00:00"/>
    <n v="0"/>
    <n v="2334"/>
    <n v="-1.2"/>
    <s v="Outlier"/>
    <n v="2023"/>
    <s v="February"/>
  </r>
  <r>
    <n v="3894"/>
    <n v="381"/>
    <x v="2"/>
    <x v="1"/>
    <x v="0"/>
    <d v="2022-04-01T00:00:00"/>
    <x v="376"/>
    <n v="7162"/>
    <n v="7521"/>
    <n v="-359"/>
    <x v="1"/>
    <n v="7"/>
    <x v="1"/>
    <d v="2022-11-04T00:00:00"/>
    <n v="0"/>
    <n v="2335"/>
    <n v="-0.05"/>
    <s v="Normal"/>
    <n v="2022"/>
    <s v="November"/>
  </r>
  <r>
    <n v="3895"/>
    <n v="321"/>
    <x v="0"/>
    <x v="2"/>
    <x v="2"/>
    <d v="2022-09-08T00:00:00"/>
    <x v="220"/>
    <n v="3634"/>
    <n v="4012.75"/>
    <n v="4575"/>
    <x v="1"/>
    <n v="6"/>
    <x v="2"/>
    <d v="2023-03-29T00:00:00"/>
    <n v="1"/>
    <n v="2336"/>
    <n v="1.26"/>
    <s v="Outlier"/>
    <n v="2023"/>
    <s v="March"/>
  </r>
  <r>
    <n v="3898"/>
    <n v="449"/>
    <x v="0"/>
    <x v="1"/>
    <x v="1"/>
    <d v="2022-06-03T00:00:00"/>
    <x v="265"/>
    <n v="1001"/>
    <n v="4292"/>
    <n v="-3291"/>
    <x v="2"/>
    <n v="19"/>
    <x v="1"/>
    <d v="2024-01-16T00:00:00"/>
    <n v="0"/>
    <n v="2337"/>
    <n v="-3.29"/>
    <s v="Outlier"/>
    <n v="2024"/>
    <s v="January"/>
  </r>
  <r>
    <n v="3899"/>
    <n v="392"/>
    <x v="1"/>
    <x v="3"/>
    <x v="1"/>
    <d v="2022-08-11T00:00:00"/>
    <x v="549"/>
    <n v="5309"/>
    <n v="6549"/>
    <n v="-1240"/>
    <x v="1"/>
    <n v="2"/>
    <x v="0"/>
    <d v="2022-11-09T00:00:00"/>
    <n v="1"/>
    <n v="2338"/>
    <n v="-0.23"/>
    <s v="Normal"/>
    <n v="2022"/>
    <s v="November"/>
  </r>
  <r>
    <n v="3900"/>
    <n v="342"/>
    <x v="4"/>
    <x v="3"/>
    <x v="1"/>
    <d v="2022-09-05T00:00:00"/>
    <x v="759"/>
    <n v="5674"/>
    <n v="870"/>
    <n v="4804"/>
    <x v="1"/>
    <n v="1"/>
    <x v="0"/>
    <d v="2022-11-01T00:00:00"/>
    <n v="1"/>
    <n v="2339"/>
    <n v="0.85"/>
    <s v="Normal"/>
    <n v="2022"/>
    <s v="November"/>
  </r>
  <r>
    <n v="3901"/>
    <n v="174"/>
    <x v="3"/>
    <x v="1"/>
    <x v="2"/>
    <d v="2022-04-22T00:00:00"/>
    <x v="276"/>
    <n v="8114"/>
    <n v="3153"/>
    <n v="4961"/>
    <x v="1"/>
    <n v="12"/>
    <x v="1"/>
    <d v="2023-04-23T00:00:00"/>
    <n v="0"/>
    <n v="2340"/>
    <n v="0.61"/>
    <s v="Normal"/>
    <n v="2023"/>
    <s v="April"/>
  </r>
  <r>
    <n v="3902"/>
    <n v="257"/>
    <x v="3"/>
    <x v="2"/>
    <x v="2"/>
    <d v="2022-03-03T00:00:00"/>
    <x v="358"/>
    <n v="842"/>
    <n v="6571"/>
    <n v="-5729"/>
    <x v="1"/>
    <n v="8"/>
    <x v="1"/>
    <d v="2022-11-30T00:00:00"/>
    <n v="1"/>
    <n v="2341"/>
    <n v="-6.8"/>
    <s v="Outlier"/>
    <n v="2022"/>
    <s v="November"/>
  </r>
  <r>
    <n v="3903"/>
    <n v="286"/>
    <x v="0"/>
    <x v="2"/>
    <x v="2"/>
    <d v="2022-05-27T00:00:00"/>
    <x v="317"/>
    <n v="6615"/>
    <n v="7400"/>
    <n v="-785"/>
    <x v="1"/>
    <n v="5"/>
    <x v="0"/>
    <d v="2022-11-14T00:00:00"/>
    <n v="0"/>
    <n v="2342"/>
    <n v="-0.12"/>
    <s v="Normal"/>
    <n v="2022"/>
    <s v="November"/>
  </r>
  <r>
    <n v="3906"/>
    <n v="133"/>
    <x v="3"/>
    <x v="0"/>
    <x v="2"/>
    <d v="2022-02-24T00:00:00"/>
    <x v="313"/>
    <n v="7355"/>
    <n v="6595"/>
    <n v="760"/>
    <x v="0"/>
    <n v="15"/>
    <x v="1"/>
    <d v="2023-06-23T00:00:00"/>
    <n v="1"/>
    <n v="2343"/>
    <n v="0.1"/>
    <s v="Normal"/>
    <n v="2023"/>
    <s v="June"/>
  </r>
  <r>
    <n v="3907"/>
    <n v="435"/>
    <x v="1"/>
    <x v="3"/>
    <x v="1"/>
    <d v="2022-12-20T00:00:00"/>
    <x v="457"/>
    <n v="2011"/>
    <n v="6298"/>
    <n v="577.01"/>
    <x v="0"/>
    <n v="12"/>
    <x v="1"/>
    <d v="2023-12-31T00:00:00"/>
    <n v="1"/>
    <n v="2344"/>
    <n v="0.28999999999999998"/>
    <s v="Normal"/>
    <n v="2023"/>
    <s v="December"/>
  </r>
  <r>
    <n v="3913"/>
    <n v="264"/>
    <x v="2"/>
    <x v="0"/>
    <x v="1"/>
    <d v="2022-10-20T00:00:00"/>
    <x v="326"/>
    <n v="9064"/>
    <n v="3904"/>
    <n v="5160"/>
    <x v="1"/>
    <n v="19"/>
    <x v="1"/>
    <d v="2024-06-05T00:00:00"/>
    <n v="1"/>
    <n v="2345"/>
    <n v="0.56999999999999995"/>
    <s v="Normal"/>
    <n v="2024"/>
    <s v="June"/>
  </r>
  <r>
    <n v="3916"/>
    <n v="211"/>
    <x v="3"/>
    <x v="3"/>
    <x v="2"/>
    <d v="2022-06-25T00:00:00"/>
    <x v="115"/>
    <n v="5699"/>
    <n v="6690"/>
    <n v="-991"/>
    <x v="1"/>
    <n v="6"/>
    <x v="2"/>
    <d v="2023-01-01T00:00:00"/>
    <n v="0"/>
    <n v="2346"/>
    <n v="-0.17"/>
    <s v="Normal"/>
    <n v="2023"/>
    <s v="January"/>
  </r>
  <r>
    <n v="3918"/>
    <n v="358"/>
    <x v="4"/>
    <x v="1"/>
    <x v="0"/>
    <d v="2022-08-27T00:00:00"/>
    <x v="582"/>
    <n v="4885"/>
    <n v="6639"/>
    <n v="-1754"/>
    <x v="2"/>
    <n v="12"/>
    <x v="1"/>
    <d v="2023-09-07T00:00:00"/>
    <n v="1"/>
    <n v="2347"/>
    <n v="-0.36"/>
    <s v="Normal"/>
    <n v="2023"/>
    <s v="September"/>
  </r>
  <r>
    <n v="3919"/>
    <n v="287"/>
    <x v="1"/>
    <x v="0"/>
    <x v="2"/>
    <d v="2022-12-23T00:00:00"/>
    <x v="287"/>
    <n v="5423"/>
    <n v="2988"/>
    <n v="2435"/>
    <x v="0"/>
    <n v="15"/>
    <x v="1"/>
    <d v="2024-03-29T00:00:00"/>
    <n v="0"/>
    <n v="2348"/>
    <n v="0.45"/>
    <s v="Normal"/>
    <n v="2024"/>
    <s v="March"/>
  </r>
  <r>
    <n v="3921"/>
    <n v="428"/>
    <x v="2"/>
    <x v="3"/>
    <x v="0"/>
    <d v="2022-01-04T00:00:00"/>
    <x v="519"/>
    <n v="4979"/>
    <n v="4012.75"/>
    <n v="5148"/>
    <x v="1"/>
    <n v="3"/>
    <x v="0"/>
    <d v="2022-04-30T00:00:00"/>
    <n v="1"/>
    <n v="2349"/>
    <n v="1.03"/>
    <s v="Outlier"/>
    <n v="2022"/>
    <s v="April"/>
  </r>
  <r>
    <n v="3922"/>
    <n v="458"/>
    <x v="2"/>
    <x v="0"/>
    <x v="2"/>
    <d v="2022-04-11T00:00:00"/>
    <x v="263"/>
    <n v="1532"/>
    <n v="4837"/>
    <n v="-3305"/>
    <x v="1"/>
    <n v="2"/>
    <x v="0"/>
    <d v="2022-06-12T00:00:00"/>
    <n v="1"/>
    <n v="2350"/>
    <n v="-2.16"/>
    <s v="Outlier"/>
    <n v="2022"/>
    <s v="June"/>
  </r>
  <r>
    <n v="3923"/>
    <n v="500"/>
    <x v="2"/>
    <x v="3"/>
    <x v="2"/>
    <d v="2022-09-23T00:00:00"/>
    <x v="215"/>
    <n v="4967.93"/>
    <n v="4280"/>
    <n v="-4673"/>
    <x v="1"/>
    <n v="10"/>
    <x v="1"/>
    <d v="2023-08-22T00:00:00"/>
    <n v="1"/>
    <n v="2351"/>
    <n v="-0.94"/>
    <s v="Normal"/>
    <n v="2023"/>
    <s v="August"/>
  </r>
  <r>
    <n v="3924"/>
    <n v="308"/>
    <x v="0"/>
    <x v="2"/>
    <x v="0"/>
    <d v="2022-01-29T00:00:00"/>
    <x v="760"/>
    <n v="1662"/>
    <n v="1039"/>
    <n v="623"/>
    <x v="1"/>
    <n v="10"/>
    <x v="1"/>
    <d v="2022-11-29T00:00:00"/>
    <n v="0"/>
    <n v="2352"/>
    <n v="0.37"/>
    <s v="Normal"/>
    <n v="2022"/>
    <s v="November"/>
  </r>
  <r>
    <n v="3926"/>
    <n v="287"/>
    <x v="0"/>
    <x v="2"/>
    <x v="2"/>
    <d v="2022-09-19T00:00:00"/>
    <x v="132"/>
    <n v="2583"/>
    <n v="2096"/>
    <n v="487"/>
    <x v="0"/>
    <n v="1"/>
    <x v="0"/>
    <d v="2022-11-02T00:00:00"/>
    <n v="0"/>
    <n v="2353"/>
    <n v="0.19"/>
    <s v="Normal"/>
    <n v="2022"/>
    <s v="November"/>
  </r>
  <r>
    <n v="3927"/>
    <n v="149"/>
    <x v="0"/>
    <x v="0"/>
    <x v="1"/>
    <d v="2022-12-23T00:00:00"/>
    <x v="99"/>
    <n v="2825"/>
    <n v="3806"/>
    <n v="-981"/>
    <x v="1"/>
    <n v="2"/>
    <x v="0"/>
    <d v="2023-02-23T00:00:00"/>
    <n v="1"/>
    <n v="2354"/>
    <n v="-0.35"/>
    <s v="Normal"/>
    <n v="2023"/>
    <s v="February"/>
  </r>
  <r>
    <n v="3928"/>
    <n v="169"/>
    <x v="1"/>
    <x v="3"/>
    <x v="2"/>
    <d v="2022-04-15T00:00:00"/>
    <x v="461"/>
    <n v="6775"/>
    <n v="5868"/>
    <n v="907"/>
    <x v="1"/>
    <n v="15"/>
    <x v="1"/>
    <d v="2023-08-14T00:00:00"/>
    <n v="1"/>
    <n v="2355"/>
    <n v="0.13"/>
    <s v="Normal"/>
    <n v="2023"/>
    <s v="August"/>
  </r>
  <r>
    <n v="3929"/>
    <n v="381"/>
    <x v="1"/>
    <x v="2"/>
    <x v="0"/>
    <d v="2022-01-01T00:00:00"/>
    <x v="70"/>
    <n v="2472"/>
    <n v="2510"/>
    <n v="577.01"/>
    <x v="1"/>
    <n v="17"/>
    <x v="1"/>
    <d v="2023-06-22T00:00:00"/>
    <n v="0"/>
    <n v="2356"/>
    <n v="0.23"/>
    <s v="Normal"/>
    <n v="2023"/>
    <s v="June"/>
  </r>
  <r>
    <n v="3930"/>
    <n v="490"/>
    <x v="3"/>
    <x v="1"/>
    <x v="2"/>
    <d v="2022-08-24T00:00:00"/>
    <x v="426"/>
    <n v="1387"/>
    <n v="1952"/>
    <n v="-565"/>
    <x v="2"/>
    <n v="4"/>
    <x v="0"/>
    <d v="2023-01-15T00:00:00"/>
    <n v="1"/>
    <n v="2357"/>
    <n v="-0.41"/>
    <s v="Normal"/>
    <n v="2023"/>
    <s v="January"/>
  </r>
  <r>
    <n v="3932"/>
    <n v="205"/>
    <x v="0"/>
    <x v="0"/>
    <x v="0"/>
    <d v="2022-02-15T00:00:00"/>
    <x v="190"/>
    <n v="9806"/>
    <n v="5550"/>
    <n v="4256"/>
    <x v="0"/>
    <n v="5"/>
    <x v="0"/>
    <d v="2022-08-11T00:00:00"/>
    <n v="0"/>
    <n v="2358"/>
    <n v="0.43"/>
    <s v="Normal"/>
    <n v="2022"/>
    <s v="August"/>
  </r>
  <r>
    <n v="3933"/>
    <n v="141"/>
    <x v="4"/>
    <x v="0"/>
    <x v="0"/>
    <d v="2022-01-21T00:00:00"/>
    <x v="732"/>
    <n v="9768"/>
    <n v="4012.75"/>
    <n v="9851"/>
    <x v="0"/>
    <n v="18"/>
    <x v="1"/>
    <d v="2023-08-20T00:00:00"/>
    <n v="1"/>
    <n v="2359"/>
    <n v="1.01"/>
    <s v="Outlier"/>
    <n v="2023"/>
    <s v="August"/>
  </r>
  <r>
    <n v="3935"/>
    <n v="105"/>
    <x v="3"/>
    <x v="0"/>
    <x v="2"/>
    <d v="2022-05-10T00:00:00"/>
    <x v="102"/>
    <n v="5670"/>
    <n v="1262"/>
    <n v="4408"/>
    <x v="0"/>
    <n v="2"/>
    <x v="0"/>
    <d v="2022-07-12T00:00:00"/>
    <n v="1"/>
    <n v="2360"/>
    <n v="0.78"/>
    <s v="Normal"/>
    <n v="2022"/>
    <s v="July"/>
  </r>
  <r>
    <n v="3936"/>
    <n v="382"/>
    <x v="4"/>
    <x v="1"/>
    <x v="1"/>
    <d v="2022-11-07T00:00:00"/>
    <x v="54"/>
    <n v="1942"/>
    <n v="4012.75"/>
    <n v="2382"/>
    <x v="0"/>
    <n v="16"/>
    <x v="1"/>
    <d v="2024-03-22T00:00:00"/>
    <n v="0"/>
    <n v="2361"/>
    <n v="1.23"/>
    <s v="Outlier"/>
    <n v="2024"/>
    <s v="March"/>
  </r>
  <r>
    <n v="3937"/>
    <n v="167"/>
    <x v="2"/>
    <x v="0"/>
    <x v="1"/>
    <d v="2022-02-24T00:00:00"/>
    <x v="386"/>
    <n v="9670"/>
    <n v="4012.75"/>
    <n v="10655"/>
    <x v="1"/>
    <n v="14"/>
    <x v="1"/>
    <d v="2023-05-18T00:00:00"/>
    <n v="1"/>
    <n v="2362"/>
    <n v="1.1000000000000001"/>
    <s v="Outlier"/>
    <n v="2023"/>
    <s v="May"/>
  </r>
  <r>
    <n v="3938"/>
    <n v="402"/>
    <x v="4"/>
    <x v="3"/>
    <x v="2"/>
    <d v="2022-06-04T00:00:00"/>
    <x v="316"/>
    <n v="1302"/>
    <n v="4012.75"/>
    <n v="2213"/>
    <x v="0"/>
    <n v="17"/>
    <x v="1"/>
    <d v="2023-11-21T00:00:00"/>
    <n v="1"/>
    <n v="2363"/>
    <n v="1.7"/>
    <s v="Outlier"/>
    <n v="2023"/>
    <s v="November"/>
  </r>
  <r>
    <n v="3939"/>
    <n v="405"/>
    <x v="2"/>
    <x v="1"/>
    <x v="2"/>
    <d v="2022-08-26T00:00:00"/>
    <x v="87"/>
    <n v="4967.93"/>
    <n v="3443"/>
    <n v="-3627"/>
    <x v="1"/>
    <n v="14"/>
    <x v="1"/>
    <d v="2023-11-01T00:00:00"/>
    <n v="1"/>
    <n v="2364"/>
    <n v="-0.73"/>
    <s v="Normal"/>
    <n v="2023"/>
    <s v="November"/>
  </r>
  <r>
    <n v="3940"/>
    <n v="434"/>
    <x v="3"/>
    <x v="2"/>
    <x v="2"/>
    <d v="2022-03-27T00:00:00"/>
    <x v="385"/>
    <n v="979"/>
    <n v="209"/>
    <n v="770"/>
    <x v="2"/>
    <n v="13"/>
    <x v="1"/>
    <d v="2023-05-10T00:00:00"/>
    <n v="0"/>
    <n v="2365"/>
    <n v="0.79"/>
    <s v="Normal"/>
    <n v="2023"/>
    <s v="May"/>
  </r>
  <r>
    <n v="3942"/>
    <n v="154"/>
    <x v="1"/>
    <x v="2"/>
    <x v="2"/>
    <d v="2022-09-16T00:00:00"/>
    <x v="582"/>
    <n v="1426"/>
    <n v="6399"/>
    <n v="-4973"/>
    <x v="1"/>
    <n v="11"/>
    <x v="1"/>
    <d v="2023-09-07T00:00:00"/>
    <n v="1"/>
    <n v="2366"/>
    <n v="-3.49"/>
    <s v="Outlier"/>
    <n v="2023"/>
    <s v="September"/>
  </r>
  <r>
    <n v="3943"/>
    <n v="429"/>
    <x v="3"/>
    <x v="3"/>
    <x v="0"/>
    <d v="2022-06-07T00:00:00"/>
    <x v="436"/>
    <n v="2297"/>
    <n v="804"/>
    <n v="1493"/>
    <x v="1"/>
    <n v="11"/>
    <x v="1"/>
    <d v="2023-05-12T00:00:00"/>
    <n v="1"/>
    <n v="2367"/>
    <n v="0.65"/>
    <s v="Normal"/>
    <n v="2023"/>
    <s v="May"/>
  </r>
  <r>
    <n v="3945"/>
    <n v="422"/>
    <x v="1"/>
    <x v="3"/>
    <x v="2"/>
    <d v="2022-09-05T00:00:00"/>
    <x v="394"/>
    <n v="7230"/>
    <n v="3837"/>
    <n v="3393"/>
    <x v="2"/>
    <n v="2"/>
    <x v="0"/>
    <d v="2022-11-22T00:00:00"/>
    <n v="0"/>
    <n v="2368"/>
    <n v="0.47"/>
    <s v="Normal"/>
    <n v="2022"/>
    <s v="November"/>
  </r>
  <r>
    <n v="3946"/>
    <n v="218"/>
    <x v="1"/>
    <x v="0"/>
    <x v="0"/>
    <d v="2022-03-11T00:00:00"/>
    <x v="503"/>
    <n v="2358"/>
    <n v="882"/>
    <n v="1476"/>
    <x v="1"/>
    <n v="13"/>
    <x v="1"/>
    <d v="2023-05-07T00:00:00"/>
    <n v="1"/>
    <n v="2369"/>
    <n v="0.63"/>
    <s v="Normal"/>
    <n v="2023"/>
    <s v="May"/>
  </r>
  <r>
    <n v="3950"/>
    <n v="170"/>
    <x v="2"/>
    <x v="0"/>
    <x v="2"/>
    <d v="2022-12-27T00:00:00"/>
    <x v="421"/>
    <n v="7510"/>
    <n v="3905"/>
    <n v="3605"/>
    <x v="1"/>
    <n v="5"/>
    <x v="0"/>
    <d v="2023-06-25T00:00:00"/>
    <n v="0"/>
    <n v="2370"/>
    <n v="0.48"/>
    <s v="Normal"/>
    <n v="2023"/>
    <s v="June"/>
  </r>
  <r>
    <n v="3951"/>
    <n v="317"/>
    <x v="2"/>
    <x v="0"/>
    <x v="0"/>
    <d v="2022-08-13T00:00:00"/>
    <x v="124"/>
    <n v="15"/>
    <n v="3564"/>
    <n v="-3549"/>
    <x v="1"/>
    <n v="8"/>
    <x v="1"/>
    <d v="2023-04-13T00:00:00"/>
    <n v="0"/>
    <n v="2371"/>
    <n v="-236.6"/>
    <s v="Outlier"/>
    <n v="2023"/>
    <s v="April"/>
  </r>
  <r>
    <n v="3952"/>
    <n v="453"/>
    <x v="2"/>
    <x v="3"/>
    <x v="0"/>
    <d v="2022-02-27T00:00:00"/>
    <x v="761"/>
    <n v="9949"/>
    <n v="4012.75"/>
    <n v="10370"/>
    <x v="1"/>
    <n v="7"/>
    <x v="1"/>
    <d v="2022-09-30T00:00:00"/>
    <n v="1"/>
    <n v="2372"/>
    <n v="1.04"/>
    <s v="Outlier"/>
    <n v="2022"/>
    <s v="September"/>
  </r>
  <r>
    <n v="3955"/>
    <n v="158"/>
    <x v="1"/>
    <x v="1"/>
    <x v="2"/>
    <d v="2022-10-25T00:00:00"/>
    <x v="111"/>
    <n v="5737"/>
    <n v="2163"/>
    <n v="3574"/>
    <x v="2"/>
    <n v="12"/>
    <x v="1"/>
    <d v="2023-11-16T00:00:00"/>
    <n v="1"/>
    <n v="2373"/>
    <n v="0.62"/>
    <s v="Normal"/>
    <n v="2023"/>
    <s v="November"/>
  </r>
  <r>
    <n v="3956"/>
    <n v="262"/>
    <x v="3"/>
    <x v="2"/>
    <x v="1"/>
    <d v="2022-09-05T00:00:00"/>
    <x v="518"/>
    <n v="6448"/>
    <n v="4012.75"/>
    <n v="6705"/>
    <x v="2"/>
    <n v="19"/>
    <x v="1"/>
    <d v="2024-04-25T00:00:00"/>
    <n v="0"/>
    <n v="2374"/>
    <n v="1.04"/>
    <s v="Outlier"/>
    <n v="2024"/>
    <s v="April"/>
  </r>
  <r>
    <n v="3959"/>
    <n v="446"/>
    <x v="2"/>
    <x v="2"/>
    <x v="2"/>
    <d v="2022-07-14T00:00:00"/>
    <x v="375"/>
    <n v="6235"/>
    <n v="4012.75"/>
    <n v="6527"/>
    <x v="2"/>
    <n v="1"/>
    <x v="0"/>
    <d v="2022-09-09T00:00:00"/>
    <n v="1"/>
    <n v="2375"/>
    <n v="1.05"/>
    <s v="Outlier"/>
    <n v="2022"/>
    <s v="September"/>
  </r>
  <r>
    <n v="3960"/>
    <n v="377"/>
    <x v="2"/>
    <x v="2"/>
    <x v="0"/>
    <d v="2022-04-08T00:00:00"/>
    <x v="141"/>
    <n v="6082"/>
    <n v="3702"/>
    <n v="2380"/>
    <x v="2"/>
    <n v="3"/>
    <x v="0"/>
    <d v="2022-08-03T00:00:00"/>
    <n v="0"/>
    <n v="2376"/>
    <n v="0.39"/>
    <s v="Normal"/>
    <n v="2022"/>
    <s v="August"/>
  </r>
  <r>
    <n v="3961"/>
    <n v="208"/>
    <x v="0"/>
    <x v="3"/>
    <x v="2"/>
    <d v="2022-02-05T00:00:00"/>
    <x v="566"/>
    <n v="1367"/>
    <n v="115"/>
    <n v="1252"/>
    <x v="2"/>
    <n v="5"/>
    <x v="0"/>
    <d v="2022-07-08T00:00:00"/>
    <n v="0"/>
    <n v="2377"/>
    <n v="0.92"/>
    <s v="Normal"/>
    <n v="2022"/>
    <s v="July"/>
  </r>
  <r>
    <n v="3962"/>
    <n v="453"/>
    <x v="2"/>
    <x v="1"/>
    <x v="0"/>
    <d v="2022-05-04T00:00:00"/>
    <x v="239"/>
    <n v="6366"/>
    <n v="4442"/>
    <n v="1924"/>
    <x v="1"/>
    <n v="1"/>
    <x v="0"/>
    <d v="2022-07-03T00:00:00"/>
    <n v="0"/>
    <n v="2378"/>
    <n v="0.3"/>
    <s v="Normal"/>
    <n v="2022"/>
    <s v="July"/>
  </r>
  <r>
    <n v="3964"/>
    <n v="258"/>
    <x v="0"/>
    <x v="0"/>
    <x v="0"/>
    <d v="2022-07-20T00:00:00"/>
    <x v="668"/>
    <n v="6377"/>
    <n v="6054"/>
    <n v="323"/>
    <x v="1"/>
    <n v="18"/>
    <x v="1"/>
    <d v="2024-02-04T00:00:00"/>
    <n v="0"/>
    <n v="2379"/>
    <n v="0.05"/>
    <s v="Normal"/>
    <n v="2024"/>
    <s v="February"/>
  </r>
  <r>
    <n v="3965"/>
    <n v="495"/>
    <x v="1"/>
    <x v="2"/>
    <x v="1"/>
    <d v="2022-09-30T00:00:00"/>
    <x v="540"/>
    <n v="2523"/>
    <n v="5027"/>
    <n v="-2504"/>
    <x v="2"/>
    <n v="10"/>
    <x v="1"/>
    <d v="2023-08-09T00:00:00"/>
    <n v="1"/>
    <n v="2380"/>
    <n v="-0.99"/>
    <s v="Normal"/>
    <n v="2023"/>
    <s v="August"/>
  </r>
  <r>
    <n v="3966"/>
    <n v="370"/>
    <x v="1"/>
    <x v="1"/>
    <x v="2"/>
    <d v="2022-11-06T00:00:00"/>
    <x v="576"/>
    <n v="7718"/>
    <n v="4665"/>
    <n v="3053"/>
    <x v="1"/>
    <n v="18"/>
    <x v="1"/>
    <d v="2024-05-24T00:00:00"/>
    <n v="1"/>
    <n v="2381"/>
    <n v="0.4"/>
    <s v="Normal"/>
    <n v="2024"/>
    <s v="May"/>
  </r>
  <r>
    <n v="3967"/>
    <n v="484"/>
    <x v="2"/>
    <x v="3"/>
    <x v="2"/>
    <d v="2022-10-26T00:00:00"/>
    <x v="637"/>
    <n v="3832"/>
    <n v="2864"/>
    <n v="968"/>
    <x v="0"/>
    <n v="16"/>
    <x v="1"/>
    <d v="2024-03-25T00:00:00"/>
    <n v="1"/>
    <n v="2382"/>
    <n v="0.25"/>
    <s v="Normal"/>
    <n v="2024"/>
    <s v="March"/>
  </r>
  <r>
    <n v="3968"/>
    <n v="459"/>
    <x v="3"/>
    <x v="2"/>
    <x v="0"/>
    <d v="2022-11-02T00:00:00"/>
    <x v="84"/>
    <n v="5721"/>
    <n v="2166"/>
    <n v="3555"/>
    <x v="1"/>
    <n v="7"/>
    <x v="1"/>
    <d v="2023-06-10T00:00:00"/>
    <n v="1"/>
    <n v="2383"/>
    <n v="0.62"/>
    <s v="Normal"/>
    <n v="2023"/>
    <s v="June"/>
  </r>
  <r>
    <n v="3970"/>
    <n v="362"/>
    <x v="1"/>
    <x v="0"/>
    <x v="0"/>
    <d v="2022-10-04T00:00:00"/>
    <x v="183"/>
    <n v="3548"/>
    <n v="969"/>
    <n v="2579"/>
    <x v="0"/>
    <n v="18"/>
    <x v="1"/>
    <d v="2024-04-09T00:00:00"/>
    <n v="0"/>
    <n v="2384"/>
    <n v="0.73"/>
    <s v="Normal"/>
    <n v="2024"/>
    <s v="April"/>
  </r>
  <r>
    <n v="3973"/>
    <n v="437"/>
    <x v="1"/>
    <x v="2"/>
    <x v="0"/>
    <d v="2022-07-22T00:00:00"/>
    <x v="20"/>
    <n v="3825"/>
    <n v="2995"/>
    <n v="830"/>
    <x v="2"/>
    <n v="9"/>
    <x v="1"/>
    <d v="2023-05-14T00:00:00"/>
    <n v="1"/>
    <n v="2385"/>
    <n v="0.22"/>
    <s v="Normal"/>
    <n v="2023"/>
    <s v="May"/>
  </r>
  <r>
    <n v="3974"/>
    <n v="328"/>
    <x v="0"/>
    <x v="0"/>
    <x v="0"/>
    <d v="2022-03-04T00:00:00"/>
    <x v="18"/>
    <n v="5325"/>
    <n v="4006"/>
    <n v="1319"/>
    <x v="1"/>
    <n v="15"/>
    <x v="1"/>
    <d v="2023-06-17T00:00:00"/>
    <n v="0"/>
    <n v="2386"/>
    <n v="0.25"/>
    <s v="Normal"/>
    <n v="2023"/>
    <s v="June"/>
  </r>
  <r>
    <n v="3975"/>
    <n v="212"/>
    <x v="3"/>
    <x v="0"/>
    <x v="0"/>
    <d v="2022-12-26T00:00:00"/>
    <x v="665"/>
    <n v="5052"/>
    <n v="2945"/>
    <n v="2107"/>
    <x v="1"/>
    <n v="12"/>
    <x v="1"/>
    <d v="2024-01-21T00:00:00"/>
    <n v="1"/>
    <n v="2387"/>
    <n v="0.42"/>
    <s v="Normal"/>
    <n v="2024"/>
    <s v="January"/>
  </r>
  <r>
    <n v="3977"/>
    <n v="129"/>
    <x v="0"/>
    <x v="1"/>
    <x v="2"/>
    <d v="2022-06-21T00:00:00"/>
    <x v="230"/>
    <n v="1066"/>
    <n v="7145"/>
    <n v="-6079"/>
    <x v="1"/>
    <n v="6"/>
    <x v="2"/>
    <d v="2023-01-07T00:00:00"/>
    <n v="0"/>
    <n v="2388"/>
    <n v="-5.7"/>
    <s v="Outlier"/>
    <n v="2023"/>
    <s v="January"/>
  </r>
  <r>
    <n v="3978"/>
    <n v="446"/>
    <x v="1"/>
    <x v="1"/>
    <x v="0"/>
    <d v="2022-12-15T00:00:00"/>
    <x v="6"/>
    <n v="4711"/>
    <n v="6447"/>
    <n v="-1736"/>
    <x v="0"/>
    <n v="7"/>
    <x v="1"/>
    <d v="2023-08-06T00:00:00"/>
    <n v="0"/>
    <n v="2389"/>
    <n v="-0.37"/>
    <s v="Normal"/>
    <n v="2023"/>
    <s v="August"/>
  </r>
  <r>
    <n v="3982"/>
    <n v="412"/>
    <x v="2"/>
    <x v="1"/>
    <x v="0"/>
    <d v="2022-04-27T00:00:00"/>
    <x v="95"/>
    <n v="5777"/>
    <n v="451"/>
    <n v="5326"/>
    <x v="2"/>
    <n v="17"/>
    <x v="1"/>
    <d v="2023-10-12T00:00:00"/>
    <n v="1"/>
    <n v="2390"/>
    <n v="0.92"/>
    <s v="Normal"/>
    <n v="2023"/>
    <s v="October"/>
  </r>
  <r>
    <n v="3983"/>
    <n v="224"/>
    <x v="1"/>
    <x v="3"/>
    <x v="2"/>
    <d v="2022-05-31T00:00:00"/>
    <x v="454"/>
    <n v="2831"/>
    <n v="3306"/>
    <n v="-475"/>
    <x v="1"/>
    <n v="15"/>
    <x v="1"/>
    <d v="2023-09-05T00:00:00"/>
    <n v="0"/>
    <n v="2391"/>
    <n v="-0.17"/>
    <s v="Normal"/>
    <n v="2023"/>
    <s v="September"/>
  </r>
  <r>
    <n v="3984"/>
    <n v="126"/>
    <x v="4"/>
    <x v="1"/>
    <x v="1"/>
    <d v="2022-03-20T00:00:00"/>
    <x v="386"/>
    <n v="4967.93"/>
    <n v="2092"/>
    <n v="-2310"/>
    <x v="2"/>
    <n v="13"/>
    <x v="1"/>
    <d v="2023-05-18T00:00:00"/>
    <n v="0"/>
    <n v="2392"/>
    <n v="-0.46"/>
    <s v="Normal"/>
    <n v="2023"/>
    <s v="May"/>
  </r>
  <r>
    <n v="3985"/>
    <n v="350"/>
    <x v="4"/>
    <x v="1"/>
    <x v="0"/>
    <d v="2022-08-26T00:00:00"/>
    <x v="614"/>
    <n v="984"/>
    <n v="2421"/>
    <n v="-1437"/>
    <x v="2"/>
    <n v="9"/>
    <x v="1"/>
    <d v="2023-05-29T00:00:00"/>
    <n v="1"/>
    <n v="2393"/>
    <n v="-1.46"/>
    <s v="Outlier"/>
    <n v="2023"/>
    <s v="May"/>
  </r>
  <r>
    <n v="3987"/>
    <n v="282"/>
    <x v="2"/>
    <x v="0"/>
    <x v="2"/>
    <d v="2022-03-12T00:00:00"/>
    <x v="133"/>
    <n v="4967.93"/>
    <n v="7072"/>
    <n v="-9022"/>
    <x v="2"/>
    <n v="11"/>
    <x v="1"/>
    <d v="2023-02-12T00:00:00"/>
    <n v="0"/>
    <n v="2394"/>
    <n v="-1.82"/>
    <s v="Outlier"/>
    <n v="2023"/>
    <s v="February"/>
  </r>
  <r>
    <n v="3988"/>
    <n v="417"/>
    <x v="1"/>
    <x v="2"/>
    <x v="0"/>
    <d v="2022-01-07T00:00:00"/>
    <x v="762"/>
    <n v="5839"/>
    <n v="2457"/>
    <n v="3382"/>
    <x v="0"/>
    <n v="2"/>
    <x v="0"/>
    <d v="2022-03-25T00:00:00"/>
    <n v="0"/>
    <n v="2395"/>
    <n v="0.57999999999999996"/>
    <s v="Normal"/>
    <n v="2022"/>
    <s v="March"/>
  </r>
  <r>
    <n v="3991"/>
    <n v="447"/>
    <x v="2"/>
    <x v="2"/>
    <x v="0"/>
    <d v="2022-06-06T00:00:00"/>
    <x v="339"/>
    <n v="4967.93"/>
    <n v="7553"/>
    <n v="577.01"/>
    <x v="2"/>
    <n v="5"/>
    <x v="0"/>
    <d v="2022-11-12T00:00:00"/>
    <n v="1"/>
    <n v="2396"/>
    <n v="0.12"/>
    <s v="Normal"/>
    <n v="2022"/>
    <s v="November"/>
  </r>
  <r>
    <n v="3992"/>
    <n v="488"/>
    <x v="0"/>
    <x v="0"/>
    <x v="2"/>
    <d v="2022-02-14T00:00:00"/>
    <x v="763"/>
    <n v="758"/>
    <n v="1245"/>
    <n v="-487"/>
    <x v="0"/>
    <n v="3"/>
    <x v="0"/>
    <d v="2022-05-17T00:00:00"/>
    <n v="0"/>
    <n v="2397"/>
    <n v="-0.64"/>
    <s v="Normal"/>
    <n v="2022"/>
    <s v="May"/>
  </r>
  <r>
    <n v="3994"/>
    <n v="256"/>
    <x v="0"/>
    <x v="2"/>
    <x v="0"/>
    <d v="2022-10-12T00:00:00"/>
    <x v="764"/>
    <n v="2644"/>
    <n v="6603"/>
    <n v="-3959"/>
    <x v="0"/>
    <n v="14"/>
    <x v="1"/>
    <d v="2023-12-22T00:00:00"/>
    <n v="0"/>
    <n v="2398"/>
    <n v="-1.5"/>
    <s v="Outlier"/>
    <n v="2023"/>
    <s v="December"/>
  </r>
  <r>
    <n v="3995"/>
    <n v="323"/>
    <x v="0"/>
    <x v="0"/>
    <x v="1"/>
    <d v="2022-05-09T00:00:00"/>
    <x v="728"/>
    <n v="7064"/>
    <n v="6764"/>
    <n v="300"/>
    <x v="0"/>
    <n v="11"/>
    <x v="1"/>
    <d v="2023-05-04T00:00:00"/>
    <n v="0"/>
    <n v="2399"/>
    <n v="0.04"/>
    <s v="Normal"/>
    <n v="2023"/>
    <s v="May"/>
  </r>
  <r>
    <n v="3996"/>
    <n v="106"/>
    <x v="4"/>
    <x v="2"/>
    <x v="2"/>
    <d v="2022-02-24T00:00:00"/>
    <x v="418"/>
    <n v="80"/>
    <n v="77"/>
    <n v="3"/>
    <x v="1"/>
    <n v="5"/>
    <x v="0"/>
    <d v="2022-07-24T00:00:00"/>
    <n v="1"/>
    <n v="2400"/>
    <n v="0.04"/>
    <s v="Normal"/>
    <n v="2022"/>
    <s v="July"/>
  </r>
  <r>
    <n v="3997"/>
    <n v="358"/>
    <x v="4"/>
    <x v="3"/>
    <x v="0"/>
    <d v="2022-11-08T00:00:00"/>
    <x v="765"/>
    <n v="5909"/>
    <n v="2598"/>
    <n v="3311"/>
    <x v="1"/>
    <n v="17"/>
    <x v="1"/>
    <d v="2024-05-05T00:00:00"/>
    <n v="1"/>
    <n v="2401"/>
    <n v="0.56000000000000005"/>
    <s v="Normal"/>
    <n v="2024"/>
    <s v="May"/>
  </r>
  <r>
    <n v="3998"/>
    <n v="393"/>
    <x v="3"/>
    <x v="1"/>
    <x v="2"/>
    <d v="2022-06-21T00:00:00"/>
    <x v="75"/>
    <n v="4967.93"/>
    <n v="5371"/>
    <n v="-5472"/>
    <x v="1"/>
    <n v="7"/>
    <x v="1"/>
    <d v="2023-02-01T00:00:00"/>
    <n v="1"/>
    <n v="2402"/>
    <n v="-1.1000000000000001"/>
    <s v="Outlier"/>
    <n v="2023"/>
    <s v="February"/>
  </r>
  <r>
    <n v="3999"/>
    <n v="354"/>
    <x v="0"/>
    <x v="2"/>
    <x v="1"/>
    <d v="2022-05-18T00:00:00"/>
    <x v="303"/>
    <n v="6345"/>
    <n v="3054"/>
    <n v="3291"/>
    <x v="1"/>
    <n v="7"/>
    <x v="1"/>
    <d v="2022-12-20T00:00:00"/>
    <n v="0"/>
    <n v="2403"/>
    <n v="0.52"/>
    <s v="Normal"/>
    <n v="2022"/>
    <s v="December"/>
  </r>
  <r>
    <n v="4002"/>
    <n v="166"/>
    <x v="0"/>
    <x v="3"/>
    <x v="1"/>
    <d v="2022-10-22T00:00:00"/>
    <x v="92"/>
    <n v="3229"/>
    <n v="4012.75"/>
    <n v="3375"/>
    <x v="1"/>
    <n v="3"/>
    <x v="0"/>
    <d v="2023-01-23T00:00:00"/>
    <n v="0"/>
    <n v="2404"/>
    <n v="1.05"/>
    <s v="Outlier"/>
    <n v="2023"/>
    <s v="January"/>
  </r>
  <r>
    <n v="4004"/>
    <n v="409"/>
    <x v="4"/>
    <x v="0"/>
    <x v="1"/>
    <d v="2022-03-03T00:00:00"/>
    <x v="365"/>
    <n v="6351"/>
    <n v="1414"/>
    <n v="4937"/>
    <x v="2"/>
    <n v="15"/>
    <x v="1"/>
    <d v="2023-06-15T00:00:00"/>
    <n v="0"/>
    <n v="2405"/>
    <n v="0.78"/>
    <s v="Normal"/>
    <n v="2023"/>
    <s v="June"/>
  </r>
  <r>
    <n v="4005"/>
    <n v="426"/>
    <x v="4"/>
    <x v="1"/>
    <x v="0"/>
    <d v="2022-10-05T00:00:00"/>
    <x v="82"/>
    <n v="6527"/>
    <n v="5778"/>
    <n v="749"/>
    <x v="1"/>
    <n v="7"/>
    <x v="1"/>
    <d v="2023-05-28T00:00:00"/>
    <n v="1"/>
    <n v="2406"/>
    <n v="0.11"/>
    <s v="Normal"/>
    <n v="2023"/>
    <s v="May"/>
  </r>
  <r>
    <n v="4008"/>
    <n v="468"/>
    <x v="3"/>
    <x v="2"/>
    <x v="1"/>
    <d v="2022-05-13T00:00:00"/>
    <x v="348"/>
    <n v="1695"/>
    <n v="337"/>
    <n v="1358"/>
    <x v="0"/>
    <n v="12"/>
    <x v="1"/>
    <d v="2023-06-08T00:00:00"/>
    <n v="0"/>
    <n v="2407"/>
    <n v="0.8"/>
    <s v="Normal"/>
    <n v="2023"/>
    <s v="June"/>
  </r>
  <r>
    <n v="4011"/>
    <n v="394"/>
    <x v="3"/>
    <x v="0"/>
    <x v="1"/>
    <d v="2022-06-26T00:00:00"/>
    <x v="330"/>
    <n v="3037"/>
    <n v="5485"/>
    <n v="577.01"/>
    <x v="1"/>
    <n v="4"/>
    <x v="0"/>
    <d v="2022-10-29T00:00:00"/>
    <n v="0"/>
    <n v="2408"/>
    <n v="0.19"/>
    <s v="Normal"/>
    <n v="2022"/>
    <s v="October"/>
  </r>
  <r>
    <n v="4016"/>
    <n v="143"/>
    <x v="4"/>
    <x v="2"/>
    <x v="2"/>
    <d v="2022-03-11T00:00:00"/>
    <x v="188"/>
    <n v="74"/>
    <n v="7864"/>
    <n v="-7790"/>
    <x v="1"/>
    <n v="12"/>
    <x v="1"/>
    <d v="2023-04-09T00:00:00"/>
    <n v="0"/>
    <n v="2409"/>
    <n v="-105.27"/>
    <s v="Outlier"/>
    <n v="2023"/>
    <s v="April"/>
  </r>
  <r>
    <n v="4018"/>
    <n v="184"/>
    <x v="3"/>
    <x v="0"/>
    <x v="0"/>
    <d v="2022-11-12T00:00:00"/>
    <x v="706"/>
    <n v="5792"/>
    <n v="6704"/>
    <n v="-912"/>
    <x v="1"/>
    <n v="12"/>
    <x v="1"/>
    <d v="2023-12-03T00:00:00"/>
    <n v="0"/>
    <n v="2410"/>
    <n v="-0.16"/>
    <s v="Normal"/>
    <n v="2023"/>
    <s v="December"/>
  </r>
  <r>
    <n v="4019"/>
    <n v="445"/>
    <x v="4"/>
    <x v="1"/>
    <x v="1"/>
    <d v="2022-05-22T00:00:00"/>
    <x v="540"/>
    <n v="2515"/>
    <n v="7743"/>
    <n v="-5228"/>
    <x v="1"/>
    <n v="14"/>
    <x v="1"/>
    <d v="2023-08-09T00:00:00"/>
    <n v="0"/>
    <n v="2411"/>
    <n v="-2.08"/>
    <s v="Outlier"/>
    <n v="2023"/>
    <s v="August"/>
  </r>
  <r>
    <n v="4021"/>
    <n v="231"/>
    <x v="2"/>
    <x v="2"/>
    <x v="0"/>
    <d v="2022-02-03T00:00:00"/>
    <x v="351"/>
    <n v="2288"/>
    <n v="693"/>
    <n v="1595"/>
    <x v="2"/>
    <n v="13"/>
    <x v="1"/>
    <d v="2023-03-16T00:00:00"/>
    <n v="1"/>
    <n v="2412"/>
    <n v="0.7"/>
    <s v="Normal"/>
    <n v="2023"/>
    <s v="March"/>
  </r>
  <r>
    <n v="4022"/>
    <n v="391"/>
    <x v="3"/>
    <x v="2"/>
    <x v="2"/>
    <d v="2022-10-02T00:00:00"/>
    <x v="201"/>
    <n v="6773"/>
    <n v="4012.75"/>
    <n v="7285"/>
    <x v="1"/>
    <n v="2"/>
    <x v="0"/>
    <d v="2022-12-09T00:00:00"/>
    <n v="0"/>
    <n v="2413"/>
    <n v="1.08"/>
    <s v="Outlier"/>
    <n v="2022"/>
    <s v="December"/>
  </r>
  <r>
    <n v="4023"/>
    <n v="235"/>
    <x v="2"/>
    <x v="2"/>
    <x v="1"/>
    <d v="2022-03-18T00:00:00"/>
    <x v="402"/>
    <n v="7355"/>
    <n v="4012.75"/>
    <n v="7371"/>
    <x v="0"/>
    <n v="12"/>
    <x v="1"/>
    <d v="2023-04-07T00:00:00"/>
    <n v="1"/>
    <n v="2414"/>
    <n v="1"/>
    <s v="Outlier"/>
    <n v="2023"/>
    <s v="April"/>
  </r>
  <r>
    <n v="4024"/>
    <n v="296"/>
    <x v="0"/>
    <x v="3"/>
    <x v="2"/>
    <d v="2022-09-12T00:00:00"/>
    <x v="54"/>
    <n v="6760"/>
    <n v="7801"/>
    <n v="-1041"/>
    <x v="1"/>
    <n v="18"/>
    <x v="1"/>
    <d v="2024-03-22T00:00:00"/>
    <n v="1"/>
    <n v="2415"/>
    <n v="-0.15"/>
    <s v="Normal"/>
    <n v="2024"/>
    <s v="March"/>
  </r>
  <r>
    <n v="4025"/>
    <n v="463"/>
    <x v="3"/>
    <x v="1"/>
    <x v="2"/>
    <d v="2022-07-11T00:00:00"/>
    <x v="420"/>
    <n v="235"/>
    <n v="6992"/>
    <n v="-6757"/>
    <x v="2"/>
    <n v="12"/>
    <x v="1"/>
    <d v="2023-07-25T00:00:00"/>
    <n v="0"/>
    <n v="2416"/>
    <n v="-28.75"/>
    <s v="Outlier"/>
    <n v="2023"/>
    <s v="July"/>
  </r>
  <r>
    <n v="4026"/>
    <n v="339"/>
    <x v="2"/>
    <x v="3"/>
    <x v="2"/>
    <d v="2022-11-19T00:00:00"/>
    <x v="428"/>
    <n v="311"/>
    <n v="6608"/>
    <n v="-6297"/>
    <x v="1"/>
    <n v="4"/>
    <x v="0"/>
    <d v="2023-04-15T00:00:00"/>
    <n v="0"/>
    <n v="2417"/>
    <n v="-20.25"/>
    <s v="Outlier"/>
    <n v="2023"/>
    <s v="April"/>
  </r>
  <r>
    <n v="4027"/>
    <n v="196"/>
    <x v="3"/>
    <x v="1"/>
    <x v="2"/>
    <d v="2022-01-06T00:00:00"/>
    <x v="5"/>
    <n v="4967.93"/>
    <n v="2122"/>
    <n v="-3632"/>
    <x v="1"/>
    <n v="9"/>
    <x v="1"/>
    <d v="2022-10-13T00:00:00"/>
    <n v="0"/>
    <n v="2418"/>
    <n v="-0.73"/>
    <s v="Normal"/>
    <n v="2022"/>
    <s v="October"/>
  </r>
  <r>
    <n v="4028"/>
    <n v="408"/>
    <x v="0"/>
    <x v="2"/>
    <x v="2"/>
    <d v="2022-05-01T00:00:00"/>
    <x v="244"/>
    <n v="6147"/>
    <n v="6967"/>
    <n v="-820"/>
    <x v="0"/>
    <n v="7"/>
    <x v="1"/>
    <d v="2022-12-26T00:00:00"/>
    <n v="0"/>
    <n v="2419"/>
    <n v="-0.13"/>
    <s v="Normal"/>
    <n v="2022"/>
    <s v="December"/>
  </r>
  <r>
    <n v="4031"/>
    <n v="125"/>
    <x v="0"/>
    <x v="1"/>
    <x v="1"/>
    <d v="2022-01-13T00:00:00"/>
    <x v="766"/>
    <n v="4967.93"/>
    <n v="3674"/>
    <n v="-5604"/>
    <x v="0"/>
    <n v="1"/>
    <x v="0"/>
    <d v="2022-02-19T00:00:00"/>
    <n v="0"/>
    <n v="2420"/>
    <n v="-1.1299999999999999"/>
    <s v="Outlier"/>
    <n v="2022"/>
    <s v="February"/>
  </r>
  <r>
    <n v="4033"/>
    <n v="147"/>
    <x v="2"/>
    <x v="3"/>
    <x v="1"/>
    <d v="2022-11-26T00:00:00"/>
    <x v="602"/>
    <n v="6574"/>
    <n v="1329"/>
    <n v="5245"/>
    <x v="0"/>
    <n v="13"/>
    <x v="1"/>
    <d v="2024-01-20T00:00:00"/>
    <n v="0"/>
    <n v="2421"/>
    <n v="0.8"/>
    <s v="Normal"/>
    <n v="2024"/>
    <s v="January"/>
  </r>
  <r>
    <n v="4034"/>
    <n v="497"/>
    <x v="0"/>
    <x v="1"/>
    <x v="2"/>
    <d v="2022-06-03T00:00:00"/>
    <x v="114"/>
    <n v="625"/>
    <n v="4012.75"/>
    <n v="986"/>
    <x v="1"/>
    <n v="4"/>
    <x v="0"/>
    <d v="2022-10-21T00:00:00"/>
    <n v="1"/>
    <n v="2422"/>
    <n v="1.58"/>
    <s v="Outlier"/>
    <n v="2022"/>
    <s v="October"/>
  </r>
  <r>
    <n v="4036"/>
    <n v="493"/>
    <x v="0"/>
    <x v="2"/>
    <x v="1"/>
    <d v="2022-12-29T00:00:00"/>
    <x v="767"/>
    <n v="3102"/>
    <n v="6719"/>
    <n v="-3617"/>
    <x v="1"/>
    <n v="19"/>
    <x v="1"/>
    <d v="2024-08-04T00:00:00"/>
    <n v="1"/>
    <n v="2423"/>
    <n v="-1.17"/>
    <s v="Outlier"/>
    <n v="2024"/>
    <s v="August"/>
  </r>
  <r>
    <n v="4038"/>
    <n v="431"/>
    <x v="0"/>
    <x v="3"/>
    <x v="1"/>
    <d v="2022-04-17T00:00:00"/>
    <x v="310"/>
    <n v="4967.93"/>
    <n v="167"/>
    <n v="-1763"/>
    <x v="0"/>
    <n v="18"/>
    <x v="1"/>
    <d v="2023-10-28T00:00:00"/>
    <n v="0"/>
    <n v="2424"/>
    <n v="-0.35"/>
    <s v="Normal"/>
    <n v="2023"/>
    <s v="October"/>
  </r>
  <r>
    <n v="4039"/>
    <n v="211"/>
    <x v="4"/>
    <x v="1"/>
    <x v="0"/>
    <d v="2022-03-31T00:00:00"/>
    <x v="601"/>
    <n v="5458"/>
    <n v="6638"/>
    <n v="-1180"/>
    <x v="1"/>
    <n v="19"/>
    <x v="1"/>
    <d v="2023-11-07T00:00:00"/>
    <n v="0"/>
    <n v="2425"/>
    <n v="-0.22"/>
    <s v="Normal"/>
    <n v="2023"/>
    <s v="November"/>
  </r>
  <r>
    <n v="4041"/>
    <n v="187"/>
    <x v="4"/>
    <x v="3"/>
    <x v="2"/>
    <d v="2022-07-14T00:00:00"/>
    <x v="386"/>
    <n v="112"/>
    <n v="586"/>
    <n v="-474"/>
    <x v="2"/>
    <n v="10"/>
    <x v="1"/>
    <d v="2023-05-18T00:00:00"/>
    <n v="1"/>
    <n v="2426"/>
    <n v="-4.2300000000000004"/>
    <s v="Outlier"/>
    <n v="2023"/>
    <s v="May"/>
  </r>
  <r>
    <n v="4042"/>
    <n v="182"/>
    <x v="3"/>
    <x v="0"/>
    <x v="2"/>
    <d v="2022-05-23T00:00:00"/>
    <x v="406"/>
    <n v="7816"/>
    <n v="4012.75"/>
    <n v="577.01"/>
    <x v="1"/>
    <n v="11"/>
    <x v="1"/>
    <d v="2023-05-05T00:00:00"/>
    <n v="0"/>
    <n v="2427"/>
    <n v="7.0000000000000007E-2"/>
    <s v="Normal"/>
    <n v="2023"/>
    <s v="May"/>
  </r>
  <r>
    <n v="4043"/>
    <n v="242"/>
    <x v="2"/>
    <x v="0"/>
    <x v="0"/>
    <d v="2022-02-17T00:00:00"/>
    <x v="347"/>
    <n v="8614"/>
    <n v="4702"/>
    <n v="3912"/>
    <x v="1"/>
    <n v="3"/>
    <x v="0"/>
    <d v="2022-06-01T00:00:00"/>
    <n v="1"/>
    <n v="2428"/>
    <n v="0.45"/>
    <s v="Normal"/>
    <n v="2022"/>
    <s v="June"/>
  </r>
  <r>
    <n v="4044"/>
    <n v="233"/>
    <x v="2"/>
    <x v="3"/>
    <x v="0"/>
    <d v="2022-08-27T00:00:00"/>
    <x v="768"/>
    <n v="4967.93"/>
    <n v="4726"/>
    <n v="-6599"/>
    <x v="2"/>
    <n v="18"/>
    <x v="1"/>
    <d v="2024-03-16T00:00:00"/>
    <n v="1"/>
    <n v="2429"/>
    <n v="-1.33"/>
    <s v="Outlier"/>
    <n v="2024"/>
    <s v="March"/>
  </r>
  <r>
    <n v="4047"/>
    <n v="487"/>
    <x v="2"/>
    <x v="1"/>
    <x v="0"/>
    <d v="2022-01-28T00:00:00"/>
    <x v="612"/>
    <n v="5393"/>
    <n v="7577"/>
    <n v="-2184"/>
    <x v="0"/>
    <n v="10"/>
    <x v="1"/>
    <d v="2022-12-11T00:00:00"/>
    <n v="0"/>
    <n v="2430"/>
    <n v="-0.4"/>
    <s v="Normal"/>
    <n v="2022"/>
    <s v="December"/>
  </r>
  <r>
    <n v="4052"/>
    <n v="297"/>
    <x v="3"/>
    <x v="3"/>
    <x v="2"/>
    <d v="2022-12-04T00:00:00"/>
    <x v="4"/>
    <n v="4967.93"/>
    <n v="4933"/>
    <n v="577.01"/>
    <x v="1"/>
    <n v="4"/>
    <x v="0"/>
    <d v="2023-04-05T00:00:00"/>
    <n v="1"/>
    <n v="2431"/>
    <n v="0.12"/>
    <s v="Normal"/>
    <n v="2023"/>
    <s v="April"/>
  </r>
  <r>
    <n v="4053"/>
    <n v="385"/>
    <x v="3"/>
    <x v="1"/>
    <x v="1"/>
    <d v="2022-09-10T00:00:00"/>
    <x v="308"/>
    <n v="1062"/>
    <n v="3709"/>
    <n v="-2647"/>
    <x v="1"/>
    <n v="6"/>
    <x v="2"/>
    <d v="2023-03-20T00:00:00"/>
    <n v="1"/>
    <n v="2432"/>
    <n v="-2.4900000000000002"/>
    <s v="Outlier"/>
    <n v="2023"/>
    <s v="March"/>
  </r>
  <r>
    <n v="4054"/>
    <n v="483"/>
    <x v="2"/>
    <x v="3"/>
    <x v="1"/>
    <d v="2022-07-21T00:00:00"/>
    <x v="593"/>
    <n v="4677"/>
    <n v="4387"/>
    <n v="290"/>
    <x v="1"/>
    <n v="2"/>
    <x v="0"/>
    <d v="2022-10-02T00:00:00"/>
    <n v="0"/>
    <n v="2433"/>
    <n v="0.06"/>
    <s v="Normal"/>
    <n v="2022"/>
    <s v="October"/>
  </r>
  <r>
    <n v="4055"/>
    <n v="428"/>
    <x v="2"/>
    <x v="1"/>
    <x v="2"/>
    <d v="2022-02-03T00:00:00"/>
    <x v="724"/>
    <n v="4967.93"/>
    <n v="161"/>
    <n v="-1088"/>
    <x v="2"/>
    <n v="1"/>
    <x v="0"/>
    <d v="2022-03-31T00:00:00"/>
    <n v="0"/>
    <n v="2434"/>
    <n v="-0.22"/>
    <s v="Normal"/>
    <n v="2022"/>
    <s v="March"/>
  </r>
  <r>
    <n v="4057"/>
    <n v="484"/>
    <x v="3"/>
    <x v="1"/>
    <x v="2"/>
    <d v="2022-09-30T00:00:00"/>
    <x v="328"/>
    <n v="6686"/>
    <n v="5665"/>
    <n v="1021"/>
    <x v="0"/>
    <n v="9"/>
    <x v="1"/>
    <d v="2023-07-07T00:00:00"/>
    <n v="1"/>
    <n v="2435"/>
    <n v="0.15"/>
    <s v="Normal"/>
    <n v="2023"/>
    <s v="July"/>
  </r>
  <r>
    <n v="4058"/>
    <n v="409"/>
    <x v="4"/>
    <x v="1"/>
    <x v="1"/>
    <d v="2022-09-13T00:00:00"/>
    <x v="44"/>
    <n v="4273"/>
    <n v="3470"/>
    <n v="803"/>
    <x v="0"/>
    <n v="4"/>
    <x v="0"/>
    <d v="2023-02-08T00:00:00"/>
    <n v="1"/>
    <n v="2436"/>
    <n v="0.19"/>
    <s v="Normal"/>
    <n v="2023"/>
    <s v="February"/>
  </r>
  <r>
    <n v="4059"/>
    <n v="243"/>
    <x v="2"/>
    <x v="2"/>
    <x v="2"/>
    <d v="2022-01-24T00:00:00"/>
    <x v="88"/>
    <n v="4967.93"/>
    <n v="4012.75"/>
    <n v="577.01"/>
    <x v="1"/>
    <n v="16"/>
    <x v="1"/>
    <d v="2023-06-07T00:00:00"/>
    <n v="1"/>
    <n v="2437"/>
    <n v="0.12"/>
    <s v="Normal"/>
    <n v="2023"/>
    <s v="June"/>
  </r>
  <r>
    <n v="4060"/>
    <n v="173"/>
    <x v="3"/>
    <x v="0"/>
    <x v="0"/>
    <d v="2022-04-29T00:00:00"/>
    <x v="223"/>
    <n v="481"/>
    <n v="3943"/>
    <n v="577.01"/>
    <x v="2"/>
    <n v="15"/>
    <x v="1"/>
    <d v="2023-08-23T00:00:00"/>
    <n v="1"/>
    <n v="2438"/>
    <n v="1.2"/>
    <s v="Outlier"/>
    <n v="2023"/>
    <s v="August"/>
  </r>
  <r>
    <n v="4061"/>
    <n v="493"/>
    <x v="3"/>
    <x v="0"/>
    <x v="2"/>
    <d v="2022-11-13T00:00:00"/>
    <x v="191"/>
    <n v="9662"/>
    <n v="570"/>
    <n v="9092"/>
    <x v="0"/>
    <n v="12"/>
    <x v="1"/>
    <d v="2023-12-07T00:00:00"/>
    <n v="1"/>
    <n v="2439"/>
    <n v="0.94"/>
    <s v="Normal"/>
    <n v="2023"/>
    <s v="December"/>
  </r>
  <r>
    <n v="4063"/>
    <n v="175"/>
    <x v="2"/>
    <x v="2"/>
    <x v="1"/>
    <d v="2022-12-02T00:00:00"/>
    <x v="135"/>
    <n v="5187"/>
    <n v="4439"/>
    <n v="748"/>
    <x v="1"/>
    <n v="16"/>
    <x v="1"/>
    <d v="2024-04-21T00:00:00"/>
    <n v="1"/>
    <n v="2440"/>
    <n v="0.14000000000000001"/>
    <s v="Normal"/>
    <n v="2024"/>
    <s v="April"/>
  </r>
  <r>
    <n v="4064"/>
    <n v="478"/>
    <x v="3"/>
    <x v="0"/>
    <x v="1"/>
    <d v="2022-09-23T00:00:00"/>
    <x v="367"/>
    <n v="8296"/>
    <n v="4012.75"/>
    <n v="8811"/>
    <x v="1"/>
    <n v="4"/>
    <x v="0"/>
    <d v="2023-02-14T00:00:00"/>
    <n v="1"/>
    <n v="2441"/>
    <n v="1.06"/>
    <s v="Outlier"/>
    <n v="2023"/>
    <s v="February"/>
  </r>
  <r>
    <n v="4069"/>
    <n v="159"/>
    <x v="2"/>
    <x v="2"/>
    <x v="0"/>
    <d v="2022-12-31T00:00:00"/>
    <x v="411"/>
    <n v="2575"/>
    <n v="2502"/>
    <n v="73"/>
    <x v="2"/>
    <n v="13"/>
    <x v="1"/>
    <d v="2024-02-05T00:00:00"/>
    <n v="1"/>
    <n v="2442"/>
    <n v="0.03"/>
    <s v="Normal"/>
    <n v="2024"/>
    <s v="February"/>
  </r>
  <r>
    <n v="4070"/>
    <n v="312"/>
    <x v="0"/>
    <x v="1"/>
    <x v="1"/>
    <d v="2022-12-31T00:00:00"/>
    <x v="687"/>
    <n v="4981"/>
    <n v="7131"/>
    <n v="-2150"/>
    <x v="0"/>
    <n v="12"/>
    <x v="1"/>
    <d v="2024-01-11T00:00:00"/>
    <n v="0"/>
    <n v="2443"/>
    <n v="-0.43"/>
    <s v="Normal"/>
    <n v="2024"/>
    <s v="January"/>
  </r>
  <r>
    <n v="4074"/>
    <n v="297"/>
    <x v="4"/>
    <x v="1"/>
    <x v="2"/>
    <d v="2022-03-08T00:00:00"/>
    <x v="223"/>
    <n v="9143"/>
    <n v="4399"/>
    <n v="4744"/>
    <x v="2"/>
    <n v="17"/>
    <x v="1"/>
    <d v="2023-08-23T00:00:00"/>
    <n v="0"/>
    <n v="2444"/>
    <n v="0.52"/>
    <s v="Normal"/>
    <n v="2023"/>
    <s v="August"/>
  </r>
  <r>
    <n v="4075"/>
    <n v="101"/>
    <x v="2"/>
    <x v="2"/>
    <x v="0"/>
    <d v="2022-09-12T00:00:00"/>
    <x v="457"/>
    <n v="4967.93"/>
    <n v="5504"/>
    <n v="-5546"/>
    <x v="2"/>
    <n v="15"/>
    <x v="1"/>
    <d v="2023-12-31T00:00:00"/>
    <n v="0"/>
    <n v="2445"/>
    <n v="-1.1200000000000001"/>
    <s v="Outlier"/>
    <n v="2023"/>
    <s v="December"/>
  </r>
  <r>
    <n v="4077"/>
    <n v="288"/>
    <x v="0"/>
    <x v="1"/>
    <x v="0"/>
    <d v="2022-09-07T00:00:00"/>
    <x v="233"/>
    <n v="8084"/>
    <n v="7600"/>
    <n v="484"/>
    <x v="0"/>
    <n v="15"/>
    <x v="1"/>
    <d v="2023-12-23T00:00:00"/>
    <n v="1"/>
    <n v="2446"/>
    <n v="0.06"/>
    <s v="Normal"/>
    <n v="2023"/>
    <s v="December"/>
  </r>
  <r>
    <n v="4078"/>
    <n v="262"/>
    <x v="3"/>
    <x v="2"/>
    <x v="1"/>
    <d v="2022-07-06T00:00:00"/>
    <x v="253"/>
    <n v="4967.93"/>
    <n v="1679"/>
    <n v="-3229"/>
    <x v="2"/>
    <n v="18"/>
    <x v="1"/>
    <d v="2024-01-24T00:00:00"/>
    <n v="1"/>
    <n v="2447"/>
    <n v="-0.65"/>
    <s v="Normal"/>
    <n v="2024"/>
    <s v="January"/>
  </r>
  <r>
    <n v="4079"/>
    <n v="243"/>
    <x v="4"/>
    <x v="0"/>
    <x v="0"/>
    <d v="2022-06-17T00:00:00"/>
    <x v="761"/>
    <n v="5128"/>
    <n v="5128"/>
    <n v="0"/>
    <x v="0"/>
    <n v="3"/>
    <x v="0"/>
    <d v="2022-09-30T00:00:00"/>
    <n v="0"/>
    <n v="2448"/>
    <n v="0"/>
    <s v="Normal"/>
    <n v="2022"/>
    <s v="September"/>
  </r>
  <r>
    <n v="4080"/>
    <n v="250"/>
    <x v="2"/>
    <x v="3"/>
    <x v="1"/>
    <d v="2022-04-28T00:00:00"/>
    <x v="505"/>
    <n v="645"/>
    <n v="3996"/>
    <n v="-3351"/>
    <x v="0"/>
    <n v="17"/>
    <x v="1"/>
    <d v="2023-10-01T00:00:00"/>
    <n v="0"/>
    <n v="2449"/>
    <n v="-5.2"/>
    <s v="Outlier"/>
    <n v="2023"/>
    <s v="October"/>
  </r>
  <r>
    <n v="4081"/>
    <n v="207"/>
    <x v="4"/>
    <x v="3"/>
    <x v="0"/>
    <d v="2022-07-07T00:00:00"/>
    <x v="145"/>
    <n v="5457"/>
    <n v="7167"/>
    <n v="-1710"/>
    <x v="0"/>
    <n v="6"/>
    <x v="2"/>
    <d v="2023-01-09T00:00:00"/>
    <n v="0"/>
    <n v="2450"/>
    <n v="-0.31"/>
    <s v="Normal"/>
    <n v="2023"/>
    <s v="January"/>
  </r>
  <r>
    <n v="4082"/>
    <n v="439"/>
    <x v="2"/>
    <x v="2"/>
    <x v="1"/>
    <d v="2022-01-28T00:00:00"/>
    <x v="496"/>
    <n v="520"/>
    <n v="7919"/>
    <n v="-7399"/>
    <x v="2"/>
    <n v="6"/>
    <x v="2"/>
    <d v="2022-08-06T00:00:00"/>
    <n v="1"/>
    <n v="2451"/>
    <n v="-14.23"/>
    <s v="Outlier"/>
    <n v="2022"/>
    <s v="August"/>
  </r>
  <r>
    <n v="4083"/>
    <n v="175"/>
    <x v="1"/>
    <x v="3"/>
    <x v="0"/>
    <d v="2022-10-04T00:00:00"/>
    <x v="466"/>
    <n v="6872"/>
    <n v="4012.75"/>
    <n v="7299"/>
    <x v="0"/>
    <n v="19"/>
    <x v="1"/>
    <d v="2024-05-06T00:00:00"/>
    <n v="0"/>
    <n v="2452"/>
    <n v="1.06"/>
    <s v="Outlier"/>
    <n v="2024"/>
    <s v="May"/>
  </r>
  <r>
    <n v="4084"/>
    <n v="263"/>
    <x v="1"/>
    <x v="2"/>
    <x v="1"/>
    <d v="2022-10-30T00:00:00"/>
    <x v="315"/>
    <n v="2113"/>
    <n v="113"/>
    <n v="2000"/>
    <x v="0"/>
    <n v="8"/>
    <x v="1"/>
    <d v="2023-07-13T00:00:00"/>
    <n v="0"/>
    <n v="2453"/>
    <n v="0.95"/>
    <s v="Normal"/>
    <n v="2023"/>
    <s v="July"/>
  </r>
  <r>
    <n v="4085"/>
    <n v="316"/>
    <x v="4"/>
    <x v="0"/>
    <x v="2"/>
    <d v="2022-11-23T00:00:00"/>
    <x v="56"/>
    <n v="9226"/>
    <n v="4764"/>
    <n v="4462"/>
    <x v="2"/>
    <n v="10"/>
    <x v="1"/>
    <d v="2023-10-02T00:00:00"/>
    <n v="1"/>
    <n v="2454"/>
    <n v="0.48"/>
    <s v="Normal"/>
    <n v="2023"/>
    <s v="October"/>
  </r>
  <r>
    <n v="4087"/>
    <n v="123"/>
    <x v="1"/>
    <x v="0"/>
    <x v="0"/>
    <d v="2022-11-15T00:00:00"/>
    <x v="516"/>
    <n v="6086"/>
    <n v="2671"/>
    <n v="3415"/>
    <x v="1"/>
    <n v="13"/>
    <x v="1"/>
    <d v="2023-12-19T00:00:00"/>
    <n v="0"/>
    <n v="2455"/>
    <n v="0.56000000000000005"/>
    <s v="Normal"/>
    <n v="2023"/>
    <s v="December"/>
  </r>
  <r>
    <n v="4088"/>
    <n v="420"/>
    <x v="0"/>
    <x v="1"/>
    <x v="2"/>
    <d v="2022-01-07T00:00:00"/>
    <x v="340"/>
    <n v="960"/>
    <n v="2834"/>
    <n v="-1874"/>
    <x v="1"/>
    <n v="13"/>
    <x v="1"/>
    <d v="2023-03-03T00:00:00"/>
    <n v="0"/>
    <n v="2456"/>
    <n v="-1.95"/>
    <s v="Outlier"/>
    <n v="2023"/>
    <s v="March"/>
  </r>
  <r>
    <n v="4089"/>
    <n v="457"/>
    <x v="3"/>
    <x v="3"/>
    <x v="0"/>
    <d v="2022-11-03T00:00:00"/>
    <x v="303"/>
    <n v="6411"/>
    <n v="5669"/>
    <n v="742"/>
    <x v="1"/>
    <n v="1"/>
    <x v="0"/>
    <d v="2022-12-20T00:00:00"/>
    <n v="1"/>
    <n v="2457"/>
    <n v="0.12"/>
    <s v="Normal"/>
    <n v="2022"/>
    <s v="December"/>
  </r>
  <r>
    <n v="4090"/>
    <n v="466"/>
    <x v="1"/>
    <x v="2"/>
    <x v="0"/>
    <d v="2022-12-31T00:00:00"/>
    <x v="769"/>
    <n v="4967.93"/>
    <n v="4012.75"/>
    <n v="577.01"/>
    <x v="1"/>
    <n v="17"/>
    <x v="1"/>
    <d v="2024-06-23T00:00:00"/>
    <n v="1"/>
    <n v="2458"/>
    <n v="0.12"/>
    <s v="Normal"/>
    <n v="2024"/>
    <s v="June"/>
  </r>
  <r>
    <n v="4093"/>
    <n v="433"/>
    <x v="3"/>
    <x v="2"/>
    <x v="1"/>
    <d v="2022-12-16T00:00:00"/>
    <x v="209"/>
    <n v="855"/>
    <n v="7830"/>
    <n v="-6975"/>
    <x v="0"/>
    <n v="5"/>
    <x v="0"/>
    <d v="2023-05-23T00:00:00"/>
    <n v="0"/>
    <n v="2459"/>
    <n v="-8.16"/>
    <s v="Outlier"/>
    <n v="2023"/>
    <s v="May"/>
  </r>
  <r>
    <n v="4096"/>
    <n v="328"/>
    <x v="0"/>
    <x v="2"/>
    <x v="1"/>
    <d v="2022-08-31T00:00:00"/>
    <x v="510"/>
    <n v="5508"/>
    <n v="7028"/>
    <n v="-1520"/>
    <x v="1"/>
    <n v="13"/>
    <x v="1"/>
    <d v="2023-10-11T00:00:00"/>
    <n v="1"/>
    <n v="2460"/>
    <n v="-0.28000000000000003"/>
    <s v="Normal"/>
    <n v="2023"/>
    <s v="October"/>
  </r>
  <r>
    <n v="4098"/>
    <n v="388"/>
    <x v="1"/>
    <x v="1"/>
    <x v="0"/>
    <d v="2022-11-18T00:00:00"/>
    <x v="620"/>
    <n v="2146"/>
    <n v="4012.75"/>
    <n v="3103"/>
    <x v="2"/>
    <n v="15"/>
    <x v="1"/>
    <d v="2024-03-03T00:00:00"/>
    <n v="0"/>
    <n v="2461"/>
    <n v="1.45"/>
    <s v="Outlier"/>
    <n v="2024"/>
    <s v="March"/>
  </r>
  <r>
    <n v="4101"/>
    <n v="216"/>
    <x v="2"/>
    <x v="2"/>
    <x v="1"/>
    <d v="2022-07-12T00:00:00"/>
    <x v="697"/>
    <n v="2619"/>
    <n v="4012.75"/>
    <n v="2985"/>
    <x v="2"/>
    <n v="2"/>
    <x v="0"/>
    <d v="2022-09-19T00:00:00"/>
    <n v="1"/>
    <n v="2462"/>
    <n v="1.1399999999999999"/>
    <s v="Outlier"/>
    <n v="2022"/>
    <s v="September"/>
  </r>
  <r>
    <n v="4105"/>
    <n v="275"/>
    <x v="1"/>
    <x v="2"/>
    <x v="1"/>
    <d v="2022-08-06T00:00:00"/>
    <x v="160"/>
    <n v="9130"/>
    <n v="4391"/>
    <n v="577.01"/>
    <x v="1"/>
    <n v="2"/>
    <x v="0"/>
    <d v="2022-10-15T00:00:00"/>
    <n v="1"/>
    <n v="2463"/>
    <n v="0.06"/>
    <s v="Normal"/>
    <n v="2022"/>
    <s v="October"/>
  </r>
  <r>
    <n v="4106"/>
    <n v="494"/>
    <x v="3"/>
    <x v="0"/>
    <x v="2"/>
    <d v="2022-08-11T00:00:00"/>
    <x v="525"/>
    <n v="6515"/>
    <n v="5442"/>
    <n v="577.01"/>
    <x v="1"/>
    <n v="2"/>
    <x v="0"/>
    <d v="2022-10-27T00:00:00"/>
    <n v="0"/>
    <n v="2464"/>
    <n v="0.09"/>
    <s v="Normal"/>
    <n v="2022"/>
    <s v="October"/>
  </r>
  <r>
    <n v="4107"/>
    <n v="336"/>
    <x v="4"/>
    <x v="3"/>
    <x v="0"/>
    <d v="2022-02-27T00:00:00"/>
    <x v="286"/>
    <n v="5361"/>
    <n v="1270"/>
    <n v="4091"/>
    <x v="1"/>
    <n v="12"/>
    <x v="1"/>
    <d v="2023-03-15T00:00:00"/>
    <n v="1"/>
    <n v="2465"/>
    <n v="0.76"/>
    <s v="Normal"/>
    <n v="2023"/>
    <s v="March"/>
  </r>
  <r>
    <n v="4109"/>
    <n v="297"/>
    <x v="2"/>
    <x v="3"/>
    <x v="0"/>
    <d v="2022-10-25T00:00:00"/>
    <x v="183"/>
    <n v="9927"/>
    <n v="3483"/>
    <n v="6444"/>
    <x v="0"/>
    <n v="17"/>
    <x v="1"/>
    <d v="2024-04-09T00:00:00"/>
    <n v="0"/>
    <n v="2466"/>
    <n v="0.65"/>
    <s v="Normal"/>
    <n v="2024"/>
    <s v="April"/>
  </r>
  <r>
    <n v="4110"/>
    <n v="229"/>
    <x v="2"/>
    <x v="0"/>
    <x v="2"/>
    <d v="2022-07-02T00:00:00"/>
    <x v="343"/>
    <n v="2250"/>
    <n v="3245"/>
    <n v="-995"/>
    <x v="1"/>
    <n v="18"/>
    <x v="1"/>
    <d v="2024-01-25T00:00:00"/>
    <n v="1"/>
    <n v="2467"/>
    <n v="-0.44"/>
    <s v="Normal"/>
    <n v="2024"/>
    <s v="January"/>
  </r>
  <r>
    <n v="4111"/>
    <n v="116"/>
    <x v="4"/>
    <x v="3"/>
    <x v="2"/>
    <d v="2022-12-22T00:00:00"/>
    <x v="686"/>
    <n v="4252"/>
    <n v="3370"/>
    <n v="882"/>
    <x v="1"/>
    <n v="1"/>
    <x v="0"/>
    <d v="2023-02-10T00:00:00"/>
    <n v="1"/>
    <n v="2468"/>
    <n v="0.21"/>
    <s v="Normal"/>
    <n v="2023"/>
    <s v="February"/>
  </r>
  <r>
    <n v="4112"/>
    <n v="195"/>
    <x v="3"/>
    <x v="0"/>
    <x v="2"/>
    <d v="2022-04-07T00:00:00"/>
    <x v="500"/>
    <n v="354"/>
    <n v="5471"/>
    <n v="-5117"/>
    <x v="0"/>
    <n v="12"/>
    <x v="1"/>
    <d v="2023-04-18T00:00:00"/>
    <n v="1"/>
    <n v="2469"/>
    <n v="-14.45"/>
    <s v="Outlier"/>
    <n v="2023"/>
    <s v="April"/>
  </r>
  <r>
    <n v="4115"/>
    <n v="447"/>
    <x v="4"/>
    <x v="0"/>
    <x v="2"/>
    <d v="2022-05-11T00:00:00"/>
    <x v="770"/>
    <n v="4967.93"/>
    <n v="779"/>
    <n v="-1817"/>
    <x v="1"/>
    <n v="2"/>
    <x v="0"/>
    <d v="2022-07-29T00:00:00"/>
    <n v="1"/>
    <n v="2470"/>
    <n v="-0.37"/>
    <s v="Normal"/>
    <n v="2022"/>
    <s v="July"/>
  </r>
  <r>
    <n v="4117"/>
    <n v="186"/>
    <x v="0"/>
    <x v="1"/>
    <x v="1"/>
    <d v="2022-12-08T00:00:00"/>
    <x v="771"/>
    <n v="4967.93"/>
    <n v="4934"/>
    <n v="-5637"/>
    <x v="1"/>
    <n v="17"/>
    <x v="1"/>
    <d v="2024-05-08T00:00:00"/>
    <n v="0"/>
    <n v="2471"/>
    <n v="-1.1299999999999999"/>
    <s v="Outlier"/>
    <n v="2024"/>
    <s v="May"/>
  </r>
  <r>
    <n v="4118"/>
    <n v="182"/>
    <x v="1"/>
    <x v="2"/>
    <x v="1"/>
    <d v="2022-01-24T00:00:00"/>
    <x v="713"/>
    <n v="4967.93"/>
    <n v="2920"/>
    <n v="-3129"/>
    <x v="1"/>
    <n v="6"/>
    <x v="2"/>
    <d v="2022-08-18T00:00:00"/>
    <n v="0"/>
    <n v="2472"/>
    <n v="-0.63"/>
    <s v="Normal"/>
    <n v="2022"/>
    <s v="August"/>
  </r>
  <r>
    <n v="4119"/>
    <n v="218"/>
    <x v="2"/>
    <x v="2"/>
    <x v="2"/>
    <d v="2022-03-21T00:00:00"/>
    <x v="630"/>
    <n v="604"/>
    <n v="4437"/>
    <n v="577.01"/>
    <x v="1"/>
    <n v="9"/>
    <x v="1"/>
    <d v="2022-12-22T00:00:00"/>
    <n v="0"/>
    <n v="2473"/>
    <n v="0.96"/>
    <s v="Normal"/>
    <n v="2022"/>
    <s v="December"/>
  </r>
  <r>
    <n v="4121"/>
    <n v="431"/>
    <x v="1"/>
    <x v="3"/>
    <x v="0"/>
    <d v="2022-03-14T00:00:00"/>
    <x v="451"/>
    <n v="4967.93"/>
    <n v="1436"/>
    <n v="-2646"/>
    <x v="2"/>
    <n v="16"/>
    <x v="1"/>
    <d v="2023-08-13T00:00:00"/>
    <n v="0"/>
    <n v="2474"/>
    <n v="-0.53"/>
    <s v="Normal"/>
    <n v="2023"/>
    <s v="August"/>
  </r>
  <r>
    <n v="4123"/>
    <n v="198"/>
    <x v="4"/>
    <x v="0"/>
    <x v="1"/>
    <d v="2022-03-13T00:00:00"/>
    <x v="362"/>
    <n v="42"/>
    <n v="7220"/>
    <n v="-7178"/>
    <x v="0"/>
    <n v="17"/>
    <x v="1"/>
    <d v="2023-08-19T00:00:00"/>
    <n v="1"/>
    <n v="2475"/>
    <n v="-170.9"/>
    <s v="Outlier"/>
    <n v="2023"/>
    <s v="August"/>
  </r>
  <r>
    <n v="4124"/>
    <n v="132"/>
    <x v="4"/>
    <x v="1"/>
    <x v="1"/>
    <d v="2022-06-26T00:00:00"/>
    <x v="41"/>
    <n v="2725"/>
    <n v="1171"/>
    <n v="577.01"/>
    <x v="2"/>
    <n v="10"/>
    <x v="1"/>
    <d v="2023-04-28T00:00:00"/>
    <n v="0"/>
    <n v="2476"/>
    <n v="0.21"/>
    <s v="Normal"/>
    <n v="2023"/>
    <s v="April"/>
  </r>
  <r>
    <n v="4126"/>
    <n v="486"/>
    <x v="0"/>
    <x v="2"/>
    <x v="2"/>
    <d v="2022-06-24T00:00:00"/>
    <x v="672"/>
    <n v="7580"/>
    <n v="2247"/>
    <n v="5333"/>
    <x v="1"/>
    <n v="2"/>
    <x v="0"/>
    <d v="2022-08-25T00:00:00"/>
    <n v="0"/>
    <n v="2477"/>
    <n v="0.7"/>
    <s v="Normal"/>
    <n v="2022"/>
    <s v="August"/>
  </r>
  <r>
    <n v="4128"/>
    <n v="454"/>
    <x v="0"/>
    <x v="2"/>
    <x v="2"/>
    <d v="2022-03-31T00:00:00"/>
    <x v="165"/>
    <n v="4104"/>
    <n v="351"/>
    <n v="3753"/>
    <x v="0"/>
    <n v="16"/>
    <x v="1"/>
    <d v="2023-08-10T00:00:00"/>
    <n v="1"/>
    <n v="2478"/>
    <n v="0.91"/>
    <s v="Normal"/>
    <n v="2023"/>
    <s v="August"/>
  </r>
  <r>
    <n v="4129"/>
    <n v="303"/>
    <x v="4"/>
    <x v="0"/>
    <x v="0"/>
    <d v="2022-03-05T00:00:00"/>
    <x v="162"/>
    <n v="2003"/>
    <n v="2956"/>
    <n v="-953"/>
    <x v="1"/>
    <n v="16"/>
    <x v="1"/>
    <d v="2023-08-01T00:00:00"/>
    <n v="0"/>
    <n v="2479"/>
    <n v="-0.48"/>
    <s v="Normal"/>
    <n v="2023"/>
    <s v="August"/>
  </r>
  <r>
    <n v="4131"/>
    <n v="217"/>
    <x v="4"/>
    <x v="1"/>
    <x v="2"/>
    <d v="2022-12-12T00:00:00"/>
    <x v="213"/>
    <n v="368"/>
    <n v="1058"/>
    <n v="-690"/>
    <x v="1"/>
    <n v="7"/>
    <x v="1"/>
    <d v="2023-07-19T00:00:00"/>
    <n v="0"/>
    <n v="2480"/>
    <n v="-1.88"/>
    <s v="Outlier"/>
    <n v="2023"/>
    <s v="July"/>
  </r>
  <r>
    <n v="4134"/>
    <n v="176"/>
    <x v="4"/>
    <x v="2"/>
    <x v="0"/>
    <d v="2022-05-06T00:00:00"/>
    <x v="148"/>
    <n v="193"/>
    <n v="2762"/>
    <n v="-2569"/>
    <x v="1"/>
    <n v="18"/>
    <x v="1"/>
    <d v="2023-12-02T00:00:00"/>
    <n v="1"/>
    <n v="2481"/>
    <n v="-13.31"/>
    <s v="Outlier"/>
    <n v="2023"/>
    <s v="December"/>
  </r>
  <r>
    <n v="4136"/>
    <n v="236"/>
    <x v="4"/>
    <x v="0"/>
    <x v="2"/>
    <d v="2022-08-11T00:00:00"/>
    <x v="750"/>
    <n v="4952"/>
    <n v="4012.75"/>
    <n v="5647"/>
    <x v="1"/>
    <n v="12"/>
    <x v="1"/>
    <d v="2023-08-28T00:00:00"/>
    <n v="1"/>
    <n v="2482"/>
    <n v="1.1399999999999999"/>
    <s v="Outlier"/>
    <n v="2023"/>
    <s v="August"/>
  </r>
  <r>
    <n v="4139"/>
    <n v="474"/>
    <x v="4"/>
    <x v="2"/>
    <x v="2"/>
    <d v="2022-02-06T00:00:00"/>
    <x v="166"/>
    <n v="7416"/>
    <n v="6860"/>
    <n v="556"/>
    <x v="1"/>
    <n v="5"/>
    <x v="0"/>
    <d v="2022-07-15T00:00:00"/>
    <n v="0"/>
    <n v="2483"/>
    <n v="7.0000000000000007E-2"/>
    <s v="Normal"/>
    <n v="2022"/>
    <s v="July"/>
  </r>
  <r>
    <n v="4144"/>
    <n v="267"/>
    <x v="0"/>
    <x v="0"/>
    <x v="1"/>
    <d v="2022-03-25T00:00:00"/>
    <x v="695"/>
    <n v="1567"/>
    <n v="7760"/>
    <n v="-6193"/>
    <x v="1"/>
    <n v="1"/>
    <x v="0"/>
    <d v="2022-05-01T00:00:00"/>
    <n v="1"/>
    <n v="2484"/>
    <n v="-3.95"/>
    <s v="Outlier"/>
    <n v="2022"/>
    <s v="May"/>
  </r>
  <r>
    <n v="4145"/>
    <n v="416"/>
    <x v="2"/>
    <x v="3"/>
    <x v="1"/>
    <d v="2022-09-09T00:00:00"/>
    <x v="113"/>
    <n v="5585"/>
    <n v="3765"/>
    <n v="577.01"/>
    <x v="2"/>
    <n v="11"/>
    <x v="1"/>
    <d v="2023-08-15T00:00:00"/>
    <n v="0"/>
    <n v="2485"/>
    <n v="0.1"/>
    <s v="Normal"/>
    <n v="2023"/>
    <s v="August"/>
  </r>
  <r>
    <n v="4146"/>
    <n v="473"/>
    <x v="3"/>
    <x v="2"/>
    <x v="0"/>
    <d v="2022-03-22T00:00:00"/>
    <x v="519"/>
    <n v="5840"/>
    <n v="1230"/>
    <n v="4610"/>
    <x v="1"/>
    <n v="1"/>
    <x v="0"/>
    <d v="2022-04-30T00:00:00"/>
    <n v="1"/>
    <n v="2486"/>
    <n v="0.79"/>
    <s v="Normal"/>
    <n v="2022"/>
    <s v="April"/>
  </r>
  <r>
    <n v="4149"/>
    <n v="498"/>
    <x v="0"/>
    <x v="2"/>
    <x v="1"/>
    <d v="2022-11-15T00:00:00"/>
    <x v="477"/>
    <n v="7189"/>
    <n v="4012.75"/>
    <n v="8118"/>
    <x v="0"/>
    <n v="13"/>
    <x v="1"/>
    <d v="2024-01-05T00:00:00"/>
    <n v="1"/>
    <n v="2487"/>
    <n v="1.1299999999999999"/>
    <s v="Outlier"/>
    <n v="2024"/>
    <s v="January"/>
  </r>
  <r>
    <n v="4150"/>
    <n v="491"/>
    <x v="1"/>
    <x v="1"/>
    <x v="1"/>
    <d v="2022-02-23T00:00:00"/>
    <x v="257"/>
    <n v="4967.93"/>
    <n v="4012.75"/>
    <n v="577.01"/>
    <x v="0"/>
    <n v="18"/>
    <x v="1"/>
    <d v="2023-09-11T00:00:00"/>
    <n v="1"/>
    <n v="2488"/>
    <n v="0.12"/>
    <s v="Normal"/>
    <n v="2023"/>
    <s v="September"/>
  </r>
  <r>
    <n v="4152"/>
    <n v="435"/>
    <x v="0"/>
    <x v="3"/>
    <x v="0"/>
    <d v="2022-05-05T00:00:00"/>
    <x v="667"/>
    <n v="3406"/>
    <n v="7958"/>
    <n v="-4552"/>
    <x v="2"/>
    <n v="11"/>
    <x v="1"/>
    <d v="2023-04-26T00:00:00"/>
    <n v="1"/>
    <n v="2489"/>
    <n v="-1.34"/>
    <s v="Outlier"/>
    <n v="2023"/>
    <s v="April"/>
  </r>
  <r>
    <n v="4153"/>
    <n v="292"/>
    <x v="0"/>
    <x v="0"/>
    <x v="2"/>
    <d v="2022-06-21T00:00:00"/>
    <x v="142"/>
    <n v="789"/>
    <n v="2254"/>
    <n v="-1465"/>
    <x v="1"/>
    <n v="7"/>
    <x v="1"/>
    <d v="2023-01-22T00:00:00"/>
    <n v="0"/>
    <n v="2490"/>
    <n v="-1.86"/>
    <s v="Outlier"/>
    <n v="2023"/>
    <s v="January"/>
  </r>
  <r>
    <n v="4155"/>
    <n v="464"/>
    <x v="3"/>
    <x v="2"/>
    <x v="2"/>
    <d v="2022-05-22T00:00:00"/>
    <x v="247"/>
    <n v="6689"/>
    <n v="2154"/>
    <n v="4535"/>
    <x v="1"/>
    <n v="18"/>
    <x v="1"/>
    <d v="2023-12-11T00:00:00"/>
    <n v="1"/>
    <n v="2491"/>
    <n v="0.68"/>
    <s v="Normal"/>
    <n v="2023"/>
    <s v="December"/>
  </r>
  <r>
    <n v="4156"/>
    <n v="385"/>
    <x v="0"/>
    <x v="0"/>
    <x v="0"/>
    <d v="2022-10-11T00:00:00"/>
    <x v="441"/>
    <n v="4967.93"/>
    <n v="4012.75"/>
    <n v="-292"/>
    <x v="0"/>
    <n v="10"/>
    <x v="1"/>
    <d v="2023-09-02T00:00:00"/>
    <n v="0"/>
    <n v="2492"/>
    <n v="-0.06"/>
    <s v="Normal"/>
    <n v="2023"/>
    <s v="September"/>
  </r>
  <r>
    <n v="4158"/>
    <n v="294"/>
    <x v="4"/>
    <x v="2"/>
    <x v="1"/>
    <d v="2022-10-16T00:00:00"/>
    <x v="455"/>
    <n v="8267"/>
    <n v="7094"/>
    <n v="1173"/>
    <x v="1"/>
    <n v="3"/>
    <x v="0"/>
    <d v="2023-01-21T00:00:00"/>
    <n v="0"/>
    <n v="2493"/>
    <n v="0.14000000000000001"/>
    <s v="Normal"/>
    <n v="2023"/>
    <s v="January"/>
  </r>
  <r>
    <n v="4159"/>
    <n v="218"/>
    <x v="4"/>
    <x v="2"/>
    <x v="0"/>
    <d v="2022-01-19T00:00:00"/>
    <x v="652"/>
    <n v="4967.93"/>
    <n v="4012.75"/>
    <n v="38"/>
    <x v="1"/>
    <n v="3"/>
    <x v="0"/>
    <d v="2022-04-19T00:00:00"/>
    <n v="0"/>
    <n v="2494"/>
    <n v="0.01"/>
    <s v="Normal"/>
    <n v="2022"/>
    <s v="April"/>
  </r>
  <r>
    <n v="4160"/>
    <n v="382"/>
    <x v="2"/>
    <x v="0"/>
    <x v="2"/>
    <d v="2022-10-10T00:00:00"/>
    <x v="463"/>
    <n v="7629"/>
    <n v="5568"/>
    <n v="2061"/>
    <x v="1"/>
    <n v="13"/>
    <x v="1"/>
    <d v="2023-11-29T00:00:00"/>
    <n v="0"/>
    <n v="2495"/>
    <n v="0.27"/>
    <s v="Normal"/>
    <n v="2023"/>
    <s v="November"/>
  </r>
  <r>
    <n v="4161"/>
    <n v="311"/>
    <x v="2"/>
    <x v="0"/>
    <x v="2"/>
    <d v="2022-12-05T00:00:00"/>
    <x v="51"/>
    <n v="8083"/>
    <n v="4435"/>
    <n v="3648"/>
    <x v="1"/>
    <n v="12"/>
    <x v="1"/>
    <d v="2023-12-17T00:00:00"/>
    <n v="1"/>
    <n v="2496"/>
    <n v="0.45"/>
    <s v="Normal"/>
    <n v="2023"/>
    <s v="December"/>
  </r>
  <r>
    <n v="4164"/>
    <n v="171"/>
    <x v="2"/>
    <x v="1"/>
    <x v="0"/>
    <d v="2022-07-01T00:00:00"/>
    <x v="378"/>
    <n v="9440"/>
    <n v="1128"/>
    <n v="8312"/>
    <x v="0"/>
    <n v="11"/>
    <x v="1"/>
    <d v="2023-06-12T00:00:00"/>
    <n v="0"/>
    <n v="2497"/>
    <n v="0.88"/>
    <s v="Normal"/>
    <n v="2023"/>
    <s v="June"/>
  </r>
  <r>
    <n v="4166"/>
    <n v="279"/>
    <x v="0"/>
    <x v="2"/>
    <x v="2"/>
    <d v="2022-10-23T00:00:00"/>
    <x v="29"/>
    <n v="1679"/>
    <n v="4598"/>
    <n v="-2919"/>
    <x v="1"/>
    <n v="3"/>
    <x v="0"/>
    <d v="2023-02-02T00:00:00"/>
    <n v="1"/>
    <n v="2498"/>
    <n v="-1.74"/>
    <s v="Outlier"/>
    <n v="2023"/>
    <s v="February"/>
  </r>
  <r>
    <n v="4167"/>
    <n v="146"/>
    <x v="2"/>
    <x v="3"/>
    <x v="1"/>
    <d v="2022-10-12T00:00:00"/>
    <x v="145"/>
    <n v="833"/>
    <n v="6418"/>
    <n v="-5585"/>
    <x v="0"/>
    <n v="2"/>
    <x v="0"/>
    <d v="2023-01-09T00:00:00"/>
    <n v="1"/>
    <n v="2499"/>
    <n v="-6.7"/>
    <s v="Outlier"/>
    <n v="2023"/>
    <s v="January"/>
  </r>
  <r>
    <n v="4168"/>
    <n v="349"/>
    <x v="1"/>
    <x v="0"/>
    <x v="0"/>
    <d v="2022-05-06T00:00:00"/>
    <x v="426"/>
    <n v="4522"/>
    <n v="4012.75"/>
    <n v="4551"/>
    <x v="1"/>
    <n v="8"/>
    <x v="1"/>
    <d v="2023-01-15T00:00:00"/>
    <n v="0"/>
    <n v="2500"/>
    <n v="1.01"/>
    <s v="Outlier"/>
    <n v="2023"/>
    <s v="January"/>
  </r>
  <r>
    <n v="4169"/>
    <n v="399"/>
    <x v="4"/>
    <x v="1"/>
    <x v="1"/>
    <d v="2022-09-10T00:00:00"/>
    <x v="613"/>
    <n v="8368"/>
    <n v="3939"/>
    <n v="4429"/>
    <x v="2"/>
    <n v="12"/>
    <x v="1"/>
    <d v="2023-10-06T00:00:00"/>
    <n v="0"/>
    <n v="2501"/>
    <n v="0.53"/>
    <s v="Normal"/>
    <n v="2023"/>
    <s v="October"/>
  </r>
  <r>
    <n v="4172"/>
    <n v="372"/>
    <x v="4"/>
    <x v="2"/>
    <x v="2"/>
    <d v="2022-12-12T00:00:00"/>
    <x v="163"/>
    <n v="9732"/>
    <n v="196"/>
    <n v="9536"/>
    <x v="2"/>
    <n v="6"/>
    <x v="2"/>
    <d v="2023-07-05T00:00:00"/>
    <n v="1"/>
    <n v="2502"/>
    <n v="0.98"/>
    <s v="Normal"/>
    <n v="2023"/>
    <s v="July"/>
  </r>
  <r>
    <n v="4173"/>
    <n v="232"/>
    <x v="3"/>
    <x v="0"/>
    <x v="1"/>
    <d v="2022-06-20T00:00:00"/>
    <x v="318"/>
    <n v="4967.93"/>
    <n v="4789"/>
    <n v="-4924"/>
    <x v="2"/>
    <n v="13"/>
    <x v="1"/>
    <d v="2023-08-17T00:00:00"/>
    <n v="1"/>
    <n v="2503"/>
    <n v="-0.99"/>
    <s v="Normal"/>
    <n v="2023"/>
    <s v="August"/>
  </r>
  <r>
    <n v="4175"/>
    <n v="198"/>
    <x v="2"/>
    <x v="0"/>
    <x v="1"/>
    <d v="2022-09-10T00:00:00"/>
    <x v="772"/>
    <n v="8075"/>
    <n v="2061"/>
    <n v="6014"/>
    <x v="1"/>
    <n v="19"/>
    <x v="1"/>
    <d v="2024-04-16T00:00:00"/>
    <n v="1"/>
    <n v="2504"/>
    <n v="0.74"/>
    <s v="Normal"/>
    <n v="2024"/>
    <s v="April"/>
  </r>
  <r>
    <n v="4177"/>
    <n v="477"/>
    <x v="0"/>
    <x v="0"/>
    <x v="0"/>
    <d v="2022-03-17T00:00:00"/>
    <x v="303"/>
    <n v="282"/>
    <n v="6185"/>
    <n v="-5903"/>
    <x v="1"/>
    <n v="9"/>
    <x v="1"/>
    <d v="2022-12-20T00:00:00"/>
    <n v="1"/>
    <n v="2505"/>
    <n v="-20.93"/>
    <s v="Outlier"/>
    <n v="2022"/>
    <s v="December"/>
  </r>
  <r>
    <n v="4180"/>
    <n v="413"/>
    <x v="1"/>
    <x v="3"/>
    <x v="1"/>
    <d v="2022-11-15T00:00:00"/>
    <x v="232"/>
    <n v="4249"/>
    <n v="735"/>
    <n v="3514"/>
    <x v="1"/>
    <n v="5"/>
    <x v="0"/>
    <d v="2023-04-17T00:00:00"/>
    <n v="0"/>
    <n v="2506"/>
    <n v="0.83"/>
    <s v="Normal"/>
    <n v="2023"/>
    <s v="April"/>
  </r>
  <r>
    <n v="4182"/>
    <n v="149"/>
    <x v="0"/>
    <x v="2"/>
    <x v="0"/>
    <d v="2022-03-28T00:00:00"/>
    <x v="220"/>
    <n v="5729"/>
    <n v="4012.75"/>
    <n v="6006"/>
    <x v="1"/>
    <n v="12"/>
    <x v="1"/>
    <d v="2023-03-29T00:00:00"/>
    <n v="0"/>
    <n v="2507"/>
    <n v="1.05"/>
    <s v="Outlier"/>
    <n v="2023"/>
    <s v="March"/>
  </r>
  <r>
    <n v="4183"/>
    <n v="187"/>
    <x v="4"/>
    <x v="0"/>
    <x v="2"/>
    <d v="2022-06-10T00:00:00"/>
    <x v="146"/>
    <n v="6616"/>
    <n v="2724"/>
    <n v="3892"/>
    <x v="2"/>
    <n v="15"/>
    <x v="1"/>
    <d v="2023-10-08T00:00:00"/>
    <n v="1"/>
    <n v="2508"/>
    <n v="0.59"/>
    <s v="Normal"/>
    <n v="2023"/>
    <s v="October"/>
  </r>
  <r>
    <n v="4184"/>
    <n v="314"/>
    <x v="1"/>
    <x v="1"/>
    <x v="2"/>
    <d v="2022-03-17T00:00:00"/>
    <x v="546"/>
    <n v="8833"/>
    <n v="4889"/>
    <n v="3944"/>
    <x v="1"/>
    <n v="15"/>
    <x v="1"/>
    <d v="2023-06-29T00:00:00"/>
    <n v="1"/>
    <n v="2509"/>
    <n v="0.45"/>
    <s v="Normal"/>
    <n v="2023"/>
    <s v="June"/>
  </r>
  <r>
    <n v="4185"/>
    <n v="379"/>
    <x v="3"/>
    <x v="0"/>
    <x v="0"/>
    <d v="2022-12-14T00:00:00"/>
    <x v="301"/>
    <n v="1682"/>
    <n v="7941"/>
    <n v="-6259"/>
    <x v="1"/>
    <n v="8"/>
    <x v="1"/>
    <d v="2023-08-31T00:00:00"/>
    <n v="0"/>
    <n v="2510"/>
    <n v="-3.72"/>
    <s v="Outlier"/>
    <n v="2023"/>
    <s v="August"/>
  </r>
  <r>
    <n v="4186"/>
    <n v="110"/>
    <x v="1"/>
    <x v="2"/>
    <x v="0"/>
    <d v="2022-10-04T00:00:00"/>
    <x v="69"/>
    <n v="3035"/>
    <n v="6334"/>
    <n v="-3299"/>
    <x v="1"/>
    <n v="9"/>
    <x v="1"/>
    <d v="2023-07-18T00:00:00"/>
    <n v="0"/>
    <n v="2511"/>
    <n v="-1.0900000000000001"/>
    <s v="Outlier"/>
    <n v="2023"/>
    <s v="July"/>
  </r>
  <r>
    <n v="4187"/>
    <n v="108"/>
    <x v="0"/>
    <x v="0"/>
    <x v="1"/>
    <d v="2022-12-22T00:00:00"/>
    <x v="508"/>
    <n v="6232"/>
    <n v="2809"/>
    <n v="3423"/>
    <x v="0"/>
    <n v="8"/>
    <x v="1"/>
    <d v="2023-08-30T00:00:00"/>
    <n v="0"/>
    <n v="2512"/>
    <n v="0.55000000000000004"/>
    <s v="Normal"/>
    <n v="2023"/>
    <s v="August"/>
  </r>
  <r>
    <n v="4188"/>
    <n v="271"/>
    <x v="4"/>
    <x v="1"/>
    <x v="0"/>
    <d v="2022-09-08T00:00:00"/>
    <x v="320"/>
    <n v="1107"/>
    <n v="89"/>
    <n v="1018"/>
    <x v="1"/>
    <n v="3"/>
    <x v="0"/>
    <d v="2022-12-21T00:00:00"/>
    <n v="0"/>
    <n v="2513"/>
    <n v="0.92"/>
    <s v="Normal"/>
    <n v="2022"/>
    <s v="December"/>
  </r>
  <r>
    <n v="4190"/>
    <n v="474"/>
    <x v="4"/>
    <x v="0"/>
    <x v="0"/>
    <d v="2022-05-20T00:00:00"/>
    <x v="62"/>
    <n v="1936"/>
    <n v="1926"/>
    <n v="10"/>
    <x v="1"/>
    <n v="8"/>
    <x v="1"/>
    <d v="2023-02-07T00:00:00"/>
    <n v="1"/>
    <n v="2514"/>
    <n v="0.01"/>
    <s v="Normal"/>
    <n v="2023"/>
    <s v="February"/>
  </r>
  <r>
    <n v="4191"/>
    <n v="259"/>
    <x v="0"/>
    <x v="1"/>
    <x v="0"/>
    <d v="2022-10-29T00:00:00"/>
    <x v="286"/>
    <n v="4967.93"/>
    <n v="643"/>
    <n v="-2275"/>
    <x v="0"/>
    <n v="4"/>
    <x v="0"/>
    <d v="2023-03-15T00:00:00"/>
    <n v="0"/>
    <n v="2515"/>
    <n v="-0.46"/>
    <s v="Normal"/>
    <n v="2023"/>
    <s v="March"/>
  </r>
  <r>
    <n v="4193"/>
    <n v="183"/>
    <x v="4"/>
    <x v="3"/>
    <x v="1"/>
    <d v="2022-11-19T00:00:00"/>
    <x v="7"/>
    <n v="4967.93"/>
    <n v="4965"/>
    <n v="-5455"/>
    <x v="2"/>
    <n v="3"/>
    <x v="0"/>
    <d v="2023-03-04T00:00:00"/>
    <n v="1"/>
    <n v="2516"/>
    <n v="-1.1000000000000001"/>
    <s v="Outlier"/>
    <n v="2023"/>
    <s v="March"/>
  </r>
  <r>
    <n v="4195"/>
    <n v="112"/>
    <x v="4"/>
    <x v="0"/>
    <x v="1"/>
    <d v="2022-08-25T00:00:00"/>
    <x v="323"/>
    <n v="721"/>
    <n v="3401"/>
    <n v="-2680"/>
    <x v="1"/>
    <n v="12"/>
    <x v="1"/>
    <d v="2023-09-03T00:00:00"/>
    <n v="1"/>
    <n v="2517"/>
    <n v="-3.72"/>
    <s v="Outlier"/>
    <n v="2023"/>
    <s v="September"/>
  </r>
  <r>
    <n v="4199"/>
    <n v="391"/>
    <x v="1"/>
    <x v="2"/>
    <x v="2"/>
    <d v="2022-06-06T00:00:00"/>
    <x v="773"/>
    <n v="9612"/>
    <n v="958"/>
    <n v="8654"/>
    <x v="1"/>
    <n v="2"/>
    <x v="0"/>
    <d v="2022-09-04T00:00:00"/>
    <n v="1"/>
    <n v="2518"/>
    <n v="0.9"/>
    <s v="Normal"/>
    <n v="2022"/>
    <s v="September"/>
  </r>
  <r>
    <n v="4201"/>
    <n v="127"/>
    <x v="3"/>
    <x v="3"/>
    <x v="1"/>
    <d v="2022-09-04T00:00:00"/>
    <x v="156"/>
    <n v="5855"/>
    <n v="6234"/>
    <n v="-379"/>
    <x v="0"/>
    <n v="5"/>
    <x v="0"/>
    <d v="2023-02-24T00:00:00"/>
    <n v="0"/>
    <n v="2519"/>
    <n v="-0.06"/>
    <s v="Normal"/>
    <n v="2023"/>
    <s v="February"/>
  </r>
  <r>
    <n v="4203"/>
    <n v="489"/>
    <x v="0"/>
    <x v="3"/>
    <x v="2"/>
    <d v="2022-11-17T00:00:00"/>
    <x v="161"/>
    <n v="4967.93"/>
    <n v="2881"/>
    <n v="577.01"/>
    <x v="0"/>
    <n v="17"/>
    <x v="1"/>
    <d v="2024-04-18T00:00:00"/>
    <n v="0"/>
    <n v="2520"/>
    <n v="0.12"/>
    <s v="Normal"/>
    <n v="2024"/>
    <s v="April"/>
  </r>
  <r>
    <n v="4205"/>
    <n v="407"/>
    <x v="0"/>
    <x v="1"/>
    <x v="2"/>
    <d v="2022-04-29T00:00:00"/>
    <x v="250"/>
    <n v="1448"/>
    <n v="4012.75"/>
    <n v="1744"/>
    <x v="1"/>
    <n v="8"/>
    <x v="1"/>
    <d v="2023-01-11T00:00:00"/>
    <n v="0"/>
    <n v="2521"/>
    <n v="1.2"/>
    <s v="Outlier"/>
    <n v="2023"/>
    <s v="January"/>
  </r>
  <r>
    <n v="4206"/>
    <n v="298"/>
    <x v="0"/>
    <x v="3"/>
    <x v="0"/>
    <d v="2022-04-07T00:00:00"/>
    <x v="723"/>
    <n v="3533"/>
    <n v="398"/>
    <n v="3135"/>
    <x v="1"/>
    <n v="13"/>
    <x v="1"/>
    <d v="2023-05-30T00:00:00"/>
    <n v="0"/>
    <n v="2522"/>
    <n v="0.89"/>
    <s v="Normal"/>
    <n v="2023"/>
    <s v="May"/>
  </r>
  <r>
    <n v="4208"/>
    <n v="296"/>
    <x v="4"/>
    <x v="2"/>
    <x v="1"/>
    <d v="2022-12-19T00:00:00"/>
    <x v="774"/>
    <n v="4967.93"/>
    <n v="6042"/>
    <n v="-6506"/>
    <x v="1"/>
    <n v="19"/>
    <x v="1"/>
    <d v="2024-08-10T00:00:00"/>
    <n v="0"/>
    <n v="2523"/>
    <n v="-1.31"/>
    <s v="Outlier"/>
    <n v="2024"/>
    <s v="August"/>
  </r>
  <r>
    <n v="4210"/>
    <n v="259"/>
    <x v="4"/>
    <x v="3"/>
    <x v="0"/>
    <d v="2022-10-17T00:00:00"/>
    <x v="412"/>
    <n v="1763"/>
    <n v="4012.75"/>
    <n v="2754"/>
    <x v="0"/>
    <n v="16"/>
    <x v="1"/>
    <d v="2024-03-04T00:00:00"/>
    <n v="0"/>
    <n v="2524"/>
    <n v="1.56"/>
    <s v="Outlier"/>
    <n v="2024"/>
    <s v="March"/>
  </r>
  <r>
    <n v="4211"/>
    <n v="244"/>
    <x v="3"/>
    <x v="3"/>
    <x v="0"/>
    <d v="2022-04-06T00:00:00"/>
    <x v="140"/>
    <n v="4967.93"/>
    <n v="7291"/>
    <n v="-7874"/>
    <x v="0"/>
    <n v="14"/>
    <x v="1"/>
    <d v="2023-06-20T00:00:00"/>
    <n v="0"/>
    <n v="2525"/>
    <n v="-1.58"/>
    <s v="Outlier"/>
    <n v="2023"/>
    <s v="June"/>
  </r>
  <r>
    <n v="4212"/>
    <n v="266"/>
    <x v="3"/>
    <x v="3"/>
    <x v="0"/>
    <d v="2022-06-18T00:00:00"/>
    <x v="448"/>
    <n v="6509"/>
    <n v="934"/>
    <n v="5575"/>
    <x v="0"/>
    <n v="13"/>
    <x v="1"/>
    <d v="2023-07-21T00:00:00"/>
    <n v="0"/>
    <n v="2526"/>
    <n v="0.86"/>
    <s v="Normal"/>
    <n v="2023"/>
    <s v="July"/>
  </r>
  <r>
    <n v="4213"/>
    <n v="395"/>
    <x v="3"/>
    <x v="1"/>
    <x v="0"/>
    <d v="2022-12-21T00:00:00"/>
    <x v="223"/>
    <n v="4967.93"/>
    <n v="2429"/>
    <n v="-3342"/>
    <x v="0"/>
    <n v="8"/>
    <x v="1"/>
    <d v="2023-08-23T00:00:00"/>
    <n v="1"/>
    <n v="2527"/>
    <n v="-0.67"/>
    <s v="Normal"/>
    <n v="2023"/>
    <s v="August"/>
  </r>
  <r>
    <n v="4217"/>
    <n v="460"/>
    <x v="1"/>
    <x v="0"/>
    <x v="0"/>
    <d v="2022-10-04T00:00:00"/>
    <x v="775"/>
    <n v="2364"/>
    <n v="5418"/>
    <n v="-3054"/>
    <x v="1"/>
    <n v="4"/>
    <x v="0"/>
    <d v="2023-02-09T00:00:00"/>
    <n v="0"/>
    <n v="2528"/>
    <n v="-1.29"/>
    <s v="Outlier"/>
    <n v="2023"/>
    <s v="February"/>
  </r>
  <r>
    <n v="4218"/>
    <n v="107"/>
    <x v="2"/>
    <x v="2"/>
    <x v="1"/>
    <d v="2022-03-22T00:00:00"/>
    <x v="310"/>
    <n v="4967.93"/>
    <n v="4012.75"/>
    <n v="-1139"/>
    <x v="1"/>
    <n v="19"/>
    <x v="1"/>
    <d v="2023-10-28T00:00:00"/>
    <n v="1"/>
    <n v="2529"/>
    <n v="-0.23"/>
    <s v="Normal"/>
    <n v="2023"/>
    <s v="October"/>
  </r>
  <r>
    <n v="4221"/>
    <n v="213"/>
    <x v="1"/>
    <x v="2"/>
    <x v="1"/>
    <d v="2022-11-08T00:00:00"/>
    <x v="468"/>
    <n v="7586"/>
    <n v="4012.75"/>
    <n v="8081"/>
    <x v="0"/>
    <n v="16"/>
    <x v="1"/>
    <d v="2024-03-24T00:00:00"/>
    <n v="0"/>
    <n v="2530"/>
    <n v="1.07"/>
    <s v="Outlier"/>
    <n v="2024"/>
    <s v="March"/>
  </r>
  <r>
    <n v="4225"/>
    <n v="436"/>
    <x v="1"/>
    <x v="0"/>
    <x v="0"/>
    <d v="2022-03-11T00:00:00"/>
    <x v="603"/>
    <n v="2117"/>
    <n v="2078"/>
    <n v="577.01"/>
    <x v="0"/>
    <n v="17"/>
    <x v="1"/>
    <d v="2023-08-25T00:00:00"/>
    <n v="1"/>
    <n v="2531"/>
    <n v="0.27"/>
    <s v="Normal"/>
    <n v="2023"/>
    <s v="August"/>
  </r>
  <r>
    <n v="4226"/>
    <n v="238"/>
    <x v="4"/>
    <x v="2"/>
    <x v="1"/>
    <d v="2022-11-17T00:00:00"/>
    <x v="401"/>
    <n v="8405"/>
    <n v="6105"/>
    <n v="2300"/>
    <x v="1"/>
    <n v="11"/>
    <x v="1"/>
    <d v="2023-11-11T00:00:00"/>
    <n v="0"/>
    <n v="2532"/>
    <n v="0.27"/>
    <s v="Normal"/>
    <n v="2023"/>
    <s v="November"/>
  </r>
  <r>
    <n v="4233"/>
    <n v="344"/>
    <x v="4"/>
    <x v="0"/>
    <x v="1"/>
    <d v="2022-08-21T00:00:00"/>
    <x v="205"/>
    <n v="6535"/>
    <n v="4012.75"/>
    <n v="6839"/>
    <x v="1"/>
    <n v="10"/>
    <x v="1"/>
    <d v="2023-07-14T00:00:00"/>
    <n v="1"/>
    <n v="2533"/>
    <n v="1.05"/>
    <s v="Outlier"/>
    <n v="2023"/>
    <s v="July"/>
  </r>
  <r>
    <n v="4234"/>
    <n v="140"/>
    <x v="0"/>
    <x v="1"/>
    <x v="2"/>
    <d v="2022-05-06T00:00:00"/>
    <x v="212"/>
    <n v="4967.93"/>
    <n v="4012.75"/>
    <n v="-1441"/>
    <x v="1"/>
    <n v="7"/>
    <x v="1"/>
    <d v="2022-12-07T00:00:00"/>
    <n v="0"/>
    <n v="2534"/>
    <n v="-0.28999999999999998"/>
    <s v="Normal"/>
    <n v="2022"/>
    <s v="December"/>
  </r>
  <r>
    <n v="4235"/>
    <n v="146"/>
    <x v="2"/>
    <x v="3"/>
    <x v="2"/>
    <d v="2022-01-12T00:00:00"/>
    <x v="258"/>
    <n v="5734"/>
    <n v="4012.75"/>
    <n v="577.01"/>
    <x v="1"/>
    <n v="5"/>
    <x v="0"/>
    <d v="2022-06-19T00:00:00"/>
    <n v="0"/>
    <n v="2535"/>
    <n v="0.1"/>
    <s v="Normal"/>
    <n v="2022"/>
    <s v="June"/>
  </r>
  <r>
    <n v="4237"/>
    <n v="342"/>
    <x v="0"/>
    <x v="0"/>
    <x v="2"/>
    <d v="2022-09-19T00:00:00"/>
    <x v="171"/>
    <n v="85"/>
    <n v="1174"/>
    <n v="-1089"/>
    <x v="1"/>
    <n v="18"/>
    <x v="1"/>
    <d v="2024-04-03T00:00:00"/>
    <n v="1"/>
    <n v="2536"/>
    <n v="-12.81"/>
    <s v="Outlier"/>
    <n v="2024"/>
    <s v="April"/>
  </r>
  <r>
    <n v="4238"/>
    <n v="432"/>
    <x v="1"/>
    <x v="3"/>
    <x v="2"/>
    <d v="2022-02-20T00:00:00"/>
    <x v="332"/>
    <n v="197"/>
    <n v="4362"/>
    <n v="-4165"/>
    <x v="0"/>
    <n v="10"/>
    <x v="1"/>
    <d v="2022-12-25T00:00:00"/>
    <n v="0"/>
    <n v="2537"/>
    <n v="-21.14"/>
    <s v="Outlier"/>
    <n v="2022"/>
    <s v="December"/>
  </r>
  <r>
    <n v="4239"/>
    <n v="179"/>
    <x v="4"/>
    <x v="0"/>
    <x v="2"/>
    <d v="2022-08-23T00:00:00"/>
    <x v="316"/>
    <n v="5198"/>
    <n v="4486"/>
    <n v="577.01"/>
    <x v="1"/>
    <n v="14"/>
    <x v="1"/>
    <d v="2023-11-21T00:00:00"/>
    <n v="1"/>
    <n v="2538"/>
    <n v="0.11"/>
    <s v="Normal"/>
    <n v="2023"/>
    <s v="November"/>
  </r>
  <r>
    <n v="4240"/>
    <n v="336"/>
    <x v="3"/>
    <x v="2"/>
    <x v="1"/>
    <d v="2022-10-22T00:00:00"/>
    <x v="335"/>
    <n v="4774"/>
    <n v="4274"/>
    <n v="500"/>
    <x v="1"/>
    <n v="9"/>
    <x v="1"/>
    <d v="2023-08-18T00:00:00"/>
    <n v="1"/>
    <n v="2539"/>
    <n v="0.1"/>
    <s v="Normal"/>
    <n v="2023"/>
    <s v="August"/>
  </r>
  <r>
    <n v="4241"/>
    <n v="287"/>
    <x v="1"/>
    <x v="0"/>
    <x v="2"/>
    <d v="2022-06-26T00:00:00"/>
    <x v="419"/>
    <n v="9962"/>
    <n v="6349"/>
    <n v="3613"/>
    <x v="1"/>
    <n v="13"/>
    <x v="1"/>
    <d v="2023-08-08T00:00:00"/>
    <n v="1"/>
    <n v="2540"/>
    <n v="0.36"/>
    <s v="Normal"/>
    <n v="2023"/>
    <s v="August"/>
  </r>
  <r>
    <n v="4242"/>
    <n v="313"/>
    <x v="0"/>
    <x v="2"/>
    <x v="0"/>
    <d v="2022-02-21T00:00:00"/>
    <x v="100"/>
    <n v="4967.93"/>
    <n v="1164"/>
    <n v="-1619"/>
    <x v="1"/>
    <n v="7"/>
    <x v="1"/>
    <d v="2022-09-23T00:00:00"/>
    <n v="1"/>
    <n v="2541"/>
    <n v="-0.33"/>
    <s v="Normal"/>
    <n v="2022"/>
    <s v="September"/>
  </r>
  <r>
    <n v="4245"/>
    <n v="448"/>
    <x v="2"/>
    <x v="3"/>
    <x v="0"/>
    <d v="2022-10-28T00:00:00"/>
    <x v="350"/>
    <n v="8442"/>
    <n v="4012.75"/>
    <n v="8621"/>
    <x v="2"/>
    <n v="8"/>
    <x v="1"/>
    <d v="2023-07-09T00:00:00"/>
    <n v="1"/>
    <n v="2542"/>
    <n v="1.02"/>
    <s v="Outlier"/>
    <n v="2023"/>
    <s v="July"/>
  </r>
  <r>
    <n v="4248"/>
    <n v="102"/>
    <x v="1"/>
    <x v="1"/>
    <x v="1"/>
    <d v="2022-07-02T00:00:00"/>
    <x v="115"/>
    <n v="1979"/>
    <n v="3007"/>
    <n v="-1028"/>
    <x v="0"/>
    <n v="5"/>
    <x v="0"/>
    <d v="2023-01-01T00:00:00"/>
    <n v="1"/>
    <n v="2543"/>
    <n v="-0.52"/>
    <s v="Normal"/>
    <n v="2023"/>
    <s v="January"/>
  </r>
  <r>
    <n v="4250"/>
    <n v="138"/>
    <x v="2"/>
    <x v="0"/>
    <x v="1"/>
    <d v="2022-08-28T00:00:00"/>
    <x v="431"/>
    <n v="1205"/>
    <n v="5667"/>
    <n v="-4462"/>
    <x v="1"/>
    <n v="9"/>
    <x v="1"/>
    <d v="2023-06-11T00:00:00"/>
    <n v="0"/>
    <n v="2544"/>
    <n v="-3.7"/>
    <s v="Outlier"/>
    <n v="2023"/>
    <s v="June"/>
  </r>
  <r>
    <n v="4254"/>
    <n v="104"/>
    <x v="0"/>
    <x v="1"/>
    <x v="2"/>
    <d v="2022-05-27T00:00:00"/>
    <x v="770"/>
    <n v="7561"/>
    <n v="1201"/>
    <n v="6360"/>
    <x v="0"/>
    <n v="2"/>
    <x v="0"/>
    <d v="2022-07-29T00:00:00"/>
    <n v="1"/>
    <n v="2545"/>
    <n v="0.84"/>
    <s v="Normal"/>
    <n v="2022"/>
    <s v="July"/>
  </r>
  <r>
    <n v="4255"/>
    <n v="241"/>
    <x v="0"/>
    <x v="1"/>
    <x v="2"/>
    <d v="2022-08-30T00:00:00"/>
    <x v="67"/>
    <n v="4280"/>
    <n v="2640"/>
    <n v="1640"/>
    <x v="1"/>
    <n v="5"/>
    <x v="0"/>
    <d v="2023-02-20T00:00:00"/>
    <n v="0"/>
    <n v="2546"/>
    <n v="0.38"/>
    <s v="Normal"/>
    <n v="2023"/>
    <s v="February"/>
  </r>
  <r>
    <n v="4256"/>
    <n v="339"/>
    <x v="4"/>
    <x v="1"/>
    <x v="0"/>
    <d v="2022-10-17T00:00:00"/>
    <x v="492"/>
    <n v="7847"/>
    <n v="2851"/>
    <n v="4996"/>
    <x v="0"/>
    <n v="7"/>
    <x v="1"/>
    <d v="2023-06-04T00:00:00"/>
    <n v="0"/>
    <n v="2547"/>
    <n v="0.64"/>
    <s v="Normal"/>
    <n v="2023"/>
    <s v="June"/>
  </r>
  <r>
    <n v="4257"/>
    <n v="395"/>
    <x v="0"/>
    <x v="0"/>
    <x v="1"/>
    <d v="2022-08-14T00:00:00"/>
    <x v="305"/>
    <n v="4573"/>
    <n v="7812"/>
    <n v="-3239"/>
    <x v="1"/>
    <n v="5"/>
    <x v="0"/>
    <d v="2023-02-11T00:00:00"/>
    <n v="1"/>
    <n v="2548"/>
    <n v="-0.71"/>
    <s v="Normal"/>
    <n v="2023"/>
    <s v="February"/>
  </r>
  <r>
    <n v="4258"/>
    <n v="247"/>
    <x v="1"/>
    <x v="1"/>
    <x v="1"/>
    <d v="2022-10-25T00:00:00"/>
    <x v="475"/>
    <n v="1280"/>
    <n v="5181"/>
    <n v="-3901"/>
    <x v="2"/>
    <n v="10"/>
    <x v="1"/>
    <d v="2023-08-26T00:00:00"/>
    <n v="0"/>
    <n v="2549"/>
    <n v="-3.05"/>
    <s v="Outlier"/>
    <n v="2023"/>
    <s v="August"/>
  </r>
  <r>
    <n v="4259"/>
    <n v="272"/>
    <x v="2"/>
    <x v="0"/>
    <x v="1"/>
    <d v="2022-06-03T00:00:00"/>
    <x v="514"/>
    <n v="3126"/>
    <n v="5801"/>
    <n v="-2675"/>
    <x v="1"/>
    <n v="6"/>
    <x v="2"/>
    <d v="2022-12-29T00:00:00"/>
    <n v="1"/>
    <n v="2550"/>
    <n v="-0.86"/>
    <s v="Normal"/>
    <n v="2022"/>
    <s v="December"/>
  </r>
  <r>
    <n v="4261"/>
    <n v="445"/>
    <x v="3"/>
    <x v="3"/>
    <x v="1"/>
    <d v="2022-11-12T00:00:00"/>
    <x v="200"/>
    <n v="4645"/>
    <n v="1510"/>
    <n v="3135"/>
    <x v="2"/>
    <n v="12"/>
    <x v="1"/>
    <d v="2023-12-09T00:00:00"/>
    <n v="1"/>
    <n v="2551"/>
    <n v="0.67"/>
    <s v="Normal"/>
    <n v="2023"/>
    <s v="December"/>
  </r>
  <r>
    <n v="4264"/>
    <n v="424"/>
    <x v="1"/>
    <x v="3"/>
    <x v="2"/>
    <d v="2022-01-01T00:00:00"/>
    <x v="157"/>
    <n v="658"/>
    <n v="6825"/>
    <n v="-6167"/>
    <x v="2"/>
    <n v="6"/>
    <x v="2"/>
    <d v="2022-07-27T00:00:00"/>
    <n v="1"/>
    <n v="2552"/>
    <n v="-9.3699999999999992"/>
    <s v="Outlier"/>
    <n v="2022"/>
    <s v="July"/>
  </r>
  <r>
    <n v="4265"/>
    <n v="436"/>
    <x v="2"/>
    <x v="1"/>
    <x v="0"/>
    <d v="2022-01-06T00:00:00"/>
    <x v="776"/>
    <n v="2137"/>
    <n v="2518"/>
    <n v="-381"/>
    <x v="1"/>
    <n v="5"/>
    <x v="0"/>
    <d v="2022-06-24T00:00:00"/>
    <n v="1"/>
    <n v="2553"/>
    <n v="-0.18"/>
    <s v="Normal"/>
    <n v="2022"/>
    <s v="June"/>
  </r>
  <r>
    <n v="4267"/>
    <n v="273"/>
    <x v="1"/>
    <x v="3"/>
    <x v="0"/>
    <d v="2022-10-17T00:00:00"/>
    <x v="170"/>
    <n v="7451"/>
    <n v="2103"/>
    <n v="5348"/>
    <x v="0"/>
    <n v="12"/>
    <x v="1"/>
    <d v="2023-10-21T00:00:00"/>
    <n v="1"/>
    <n v="2554"/>
    <n v="0.72"/>
    <s v="Normal"/>
    <n v="2023"/>
    <s v="October"/>
  </r>
  <r>
    <n v="4269"/>
    <n v="215"/>
    <x v="0"/>
    <x v="0"/>
    <x v="0"/>
    <d v="2022-03-31T00:00:00"/>
    <x v="501"/>
    <n v="1138"/>
    <n v="7379"/>
    <n v="-6241"/>
    <x v="2"/>
    <n v="2"/>
    <x v="0"/>
    <d v="2022-06-21T00:00:00"/>
    <n v="1"/>
    <n v="2555"/>
    <n v="-5.48"/>
    <s v="Outlier"/>
    <n v="2022"/>
    <s v="June"/>
  </r>
  <r>
    <n v="4271"/>
    <n v="328"/>
    <x v="0"/>
    <x v="2"/>
    <x v="0"/>
    <d v="2022-03-26T00:00:00"/>
    <x v="83"/>
    <n v="198"/>
    <n v="3539"/>
    <n v="-3341"/>
    <x v="0"/>
    <n v="14"/>
    <x v="1"/>
    <d v="2023-06-06T00:00:00"/>
    <n v="0"/>
    <n v="2556"/>
    <n v="-16.87"/>
    <s v="Outlier"/>
    <n v="2023"/>
    <s v="June"/>
  </r>
  <r>
    <n v="4272"/>
    <n v="316"/>
    <x v="2"/>
    <x v="3"/>
    <x v="1"/>
    <d v="2022-12-14T00:00:00"/>
    <x v="767"/>
    <n v="2068"/>
    <n v="1041"/>
    <n v="1027"/>
    <x v="2"/>
    <n v="19"/>
    <x v="1"/>
    <d v="2024-08-04T00:00:00"/>
    <n v="0"/>
    <n v="2557"/>
    <n v="0.5"/>
    <s v="Normal"/>
    <n v="2024"/>
    <s v="August"/>
  </r>
  <r>
    <n v="4273"/>
    <n v="381"/>
    <x v="0"/>
    <x v="2"/>
    <x v="0"/>
    <d v="2022-02-18T00:00:00"/>
    <x v="250"/>
    <n v="6944"/>
    <n v="6495"/>
    <n v="449"/>
    <x v="1"/>
    <n v="10"/>
    <x v="1"/>
    <d v="2023-01-11T00:00:00"/>
    <n v="0"/>
    <n v="2558"/>
    <n v="0.06"/>
    <s v="Normal"/>
    <n v="2023"/>
    <s v="January"/>
  </r>
  <r>
    <n v="4274"/>
    <n v="432"/>
    <x v="1"/>
    <x v="0"/>
    <x v="0"/>
    <d v="2022-07-16T00:00:00"/>
    <x v="129"/>
    <n v="9626"/>
    <n v="4012.75"/>
    <n v="10376"/>
    <x v="0"/>
    <n v="10"/>
    <x v="1"/>
    <d v="2023-06-02T00:00:00"/>
    <n v="0"/>
    <n v="2559"/>
    <n v="1.08"/>
    <s v="Outlier"/>
    <n v="2023"/>
    <s v="June"/>
  </r>
  <r>
    <n v="4276"/>
    <n v="497"/>
    <x v="0"/>
    <x v="3"/>
    <x v="2"/>
    <d v="2022-12-18T00:00:00"/>
    <x v="679"/>
    <n v="8220"/>
    <n v="5444"/>
    <n v="2776"/>
    <x v="1"/>
    <n v="3"/>
    <x v="0"/>
    <d v="2023-03-23T00:00:00"/>
    <n v="1"/>
    <n v="2560"/>
    <n v="0.34"/>
    <s v="Normal"/>
    <n v="2023"/>
    <s v="March"/>
  </r>
  <r>
    <n v="4277"/>
    <n v="191"/>
    <x v="3"/>
    <x v="2"/>
    <x v="1"/>
    <d v="2022-03-21T00:00:00"/>
    <x v="186"/>
    <n v="338"/>
    <n v="4012.75"/>
    <n v="1205"/>
    <x v="1"/>
    <n v="12"/>
    <x v="1"/>
    <d v="2023-04-03T00:00:00"/>
    <n v="1"/>
    <n v="2561"/>
    <n v="3.57"/>
    <s v="Outlier"/>
    <n v="2023"/>
    <s v="April"/>
  </r>
  <r>
    <n v="4278"/>
    <n v="118"/>
    <x v="4"/>
    <x v="3"/>
    <x v="1"/>
    <d v="2022-09-06T00:00:00"/>
    <x v="622"/>
    <n v="2018"/>
    <n v="3905"/>
    <n v="-1887"/>
    <x v="0"/>
    <n v="6"/>
    <x v="2"/>
    <d v="2023-03-17T00:00:00"/>
    <n v="1"/>
    <n v="2562"/>
    <n v="-0.94"/>
    <s v="Normal"/>
    <n v="2023"/>
    <s v="March"/>
  </r>
  <r>
    <n v="4281"/>
    <n v="495"/>
    <x v="2"/>
    <x v="0"/>
    <x v="2"/>
    <d v="2022-01-22T00:00:00"/>
    <x v="474"/>
    <n v="2005"/>
    <n v="4390"/>
    <n v="-2385"/>
    <x v="1"/>
    <n v="13"/>
    <x v="1"/>
    <d v="2023-03-14T00:00:00"/>
    <n v="1"/>
    <n v="2563"/>
    <n v="-1.19"/>
    <s v="Outlier"/>
    <n v="2023"/>
    <s v="March"/>
  </r>
  <r>
    <n v="4282"/>
    <n v="262"/>
    <x v="0"/>
    <x v="2"/>
    <x v="0"/>
    <d v="2022-03-07T00:00:00"/>
    <x v="53"/>
    <n v="8692"/>
    <n v="6652"/>
    <n v="2040"/>
    <x v="1"/>
    <n v="4"/>
    <x v="0"/>
    <d v="2022-07-11T00:00:00"/>
    <n v="1"/>
    <n v="2564"/>
    <n v="0.23"/>
    <s v="Normal"/>
    <n v="2022"/>
    <s v="July"/>
  </r>
  <r>
    <n v="4283"/>
    <n v="105"/>
    <x v="1"/>
    <x v="2"/>
    <x v="0"/>
    <d v="2022-09-08T00:00:00"/>
    <x v="727"/>
    <n v="4811"/>
    <n v="1095"/>
    <n v="3716"/>
    <x v="2"/>
    <n v="18"/>
    <x v="1"/>
    <d v="2024-04-04T00:00:00"/>
    <n v="0"/>
    <n v="2565"/>
    <n v="0.77"/>
    <s v="Normal"/>
    <n v="2024"/>
    <s v="April"/>
  </r>
  <r>
    <n v="4284"/>
    <n v="431"/>
    <x v="0"/>
    <x v="2"/>
    <x v="0"/>
    <d v="2022-02-07T00:00:00"/>
    <x v="389"/>
    <n v="7916"/>
    <n v="2960"/>
    <n v="577.01"/>
    <x v="1"/>
    <n v="11"/>
    <x v="1"/>
    <d v="2023-01-28T00:00:00"/>
    <n v="1"/>
    <n v="2566"/>
    <n v="7.0000000000000007E-2"/>
    <s v="Normal"/>
    <n v="2023"/>
    <s v="January"/>
  </r>
  <r>
    <n v="4287"/>
    <n v="155"/>
    <x v="0"/>
    <x v="1"/>
    <x v="0"/>
    <d v="2022-08-19T00:00:00"/>
    <x v="165"/>
    <n v="4967.93"/>
    <n v="1253"/>
    <n v="-2790"/>
    <x v="0"/>
    <n v="11"/>
    <x v="1"/>
    <d v="2023-08-10T00:00:00"/>
    <n v="0"/>
    <n v="2567"/>
    <n v="-0.56000000000000005"/>
    <s v="Normal"/>
    <n v="2023"/>
    <s v="August"/>
  </r>
  <r>
    <n v="4288"/>
    <n v="282"/>
    <x v="3"/>
    <x v="0"/>
    <x v="1"/>
    <d v="2022-06-04T00:00:00"/>
    <x v="394"/>
    <n v="3711"/>
    <n v="4012.75"/>
    <n v="4080"/>
    <x v="0"/>
    <n v="5"/>
    <x v="0"/>
    <d v="2022-11-22T00:00:00"/>
    <n v="1"/>
    <n v="2568"/>
    <n v="1.1000000000000001"/>
    <s v="Outlier"/>
    <n v="2022"/>
    <s v="November"/>
  </r>
  <r>
    <n v="4290"/>
    <n v="365"/>
    <x v="1"/>
    <x v="3"/>
    <x v="0"/>
    <d v="2022-05-24T00:00:00"/>
    <x v="480"/>
    <n v="8779"/>
    <n v="3099"/>
    <n v="5680"/>
    <x v="1"/>
    <n v="19"/>
    <x v="1"/>
    <d v="2024-01-13T00:00:00"/>
    <n v="1"/>
    <n v="2569"/>
    <n v="0.65"/>
    <s v="Normal"/>
    <n v="2024"/>
    <s v="January"/>
  </r>
  <r>
    <n v="4291"/>
    <n v="212"/>
    <x v="3"/>
    <x v="0"/>
    <x v="2"/>
    <d v="2022-11-01T00:00:00"/>
    <x v="198"/>
    <n v="8944"/>
    <n v="1911"/>
    <n v="7033"/>
    <x v="1"/>
    <n v="2"/>
    <x v="0"/>
    <d v="2023-01-18T00:00:00"/>
    <n v="0"/>
    <n v="2570"/>
    <n v="0.79"/>
    <s v="Normal"/>
    <n v="2023"/>
    <s v="January"/>
  </r>
  <r>
    <n v="4292"/>
    <n v="153"/>
    <x v="3"/>
    <x v="1"/>
    <x v="0"/>
    <d v="2022-04-19T00:00:00"/>
    <x v="442"/>
    <n v="9006"/>
    <n v="6397"/>
    <n v="2609"/>
    <x v="0"/>
    <n v="4"/>
    <x v="0"/>
    <d v="2022-08-28T00:00:00"/>
    <n v="1"/>
    <n v="2571"/>
    <n v="0.28999999999999998"/>
    <s v="Normal"/>
    <n v="2022"/>
    <s v="August"/>
  </r>
  <r>
    <n v="4293"/>
    <n v="383"/>
    <x v="0"/>
    <x v="0"/>
    <x v="1"/>
    <d v="2022-03-01T00:00:00"/>
    <x v="289"/>
    <n v="5363"/>
    <n v="7568"/>
    <n v="-2205"/>
    <x v="1"/>
    <n v="3"/>
    <x v="0"/>
    <d v="2022-06-03T00:00:00"/>
    <n v="1"/>
    <n v="2572"/>
    <n v="-0.41"/>
    <s v="Normal"/>
    <n v="2022"/>
    <s v="June"/>
  </r>
  <r>
    <n v="4295"/>
    <n v="301"/>
    <x v="1"/>
    <x v="1"/>
    <x v="2"/>
    <d v="2022-02-02T00:00:00"/>
    <x v="196"/>
    <n v="312"/>
    <n v="4659"/>
    <n v="-4347"/>
    <x v="0"/>
    <n v="19"/>
    <x v="1"/>
    <d v="2023-09-20T00:00:00"/>
    <n v="1"/>
    <n v="2573"/>
    <n v="-13.93"/>
    <s v="Outlier"/>
    <n v="2023"/>
    <s v="September"/>
  </r>
  <r>
    <n v="4298"/>
    <n v="221"/>
    <x v="2"/>
    <x v="0"/>
    <x v="0"/>
    <d v="2022-10-01T00:00:00"/>
    <x v="230"/>
    <n v="7001"/>
    <n v="3254"/>
    <n v="3747"/>
    <x v="0"/>
    <n v="3"/>
    <x v="0"/>
    <d v="2023-01-07T00:00:00"/>
    <n v="0"/>
    <n v="2574"/>
    <n v="0.54"/>
    <s v="Normal"/>
    <n v="2023"/>
    <s v="January"/>
  </r>
  <r>
    <n v="4300"/>
    <n v="152"/>
    <x v="4"/>
    <x v="2"/>
    <x v="0"/>
    <d v="2022-12-27T00:00:00"/>
    <x v="777"/>
    <n v="922"/>
    <n v="2947"/>
    <n v="-2025"/>
    <x v="1"/>
    <n v="15"/>
    <x v="1"/>
    <d v="2024-04-22T00:00:00"/>
    <n v="0"/>
    <n v="2575"/>
    <n v="-2.2000000000000002"/>
    <s v="Outlier"/>
    <n v="2024"/>
    <s v="April"/>
  </r>
  <r>
    <n v="4301"/>
    <n v="126"/>
    <x v="0"/>
    <x v="2"/>
    <x v="0"/>
    <d v="2022-03-20T00:00:00"/>
    <x v="408"/>
    <n v="7607"/>
    <n v="3844"/>
    <n v="3763"/>
    <x v="1"/>
    <n v="1"/>
    <x v="0"/>
    <d v="2022-05-12T00:00:00"/>
    <n v="1"/>
    <n v="2576"/>
    <n v="0.49"/>
    <s v="Normal"/>
    <n v="2022"/>
    <s v="May"/>
  </r>
  <r>
    <n v="4302"/>
    <n v="458"/>
    <x v="1"/>
    <x v="3"/>
    <x v="0"/>
    <d v="2022-09-26T00:00:00"/>
    <x v="70"/>
    <n v="5720"/>
    <n v="4012.75"/>
    <n v="6095"/>
    <x v="2"/>
    <n v="8"/>
    <x v="1"/>
    <d v="2023-06-22T00:00:00"/>
    <n v="0"/>
    <n v="2577"/>
    <n v="1.07"/>
    <s v="Outlier"/>
    <n v="2023"/>
    <s v="June"/>
  </r>
  <r>
    <n v="4303"/>
    <n v="319"/>
    <x v="1"/>
    <x v="3"/>
    <x v="2"/>
    <d v="2022-06-19T00:00:00"/>
    <x v="108"/>
    <n v="7673"/>
    <n v="4545"/>
    <n v="3128"/>
    <x v="2"/>
    <n v="10"/>
    <x v="1"/>
    <d v="2023-04-30T00:00:00"/>
    <n v="1"/>
    <n v="2578"/>
    <n v="0.41"/>
    <s v="Normal"/>
    <n v="2023"/>
    <s v="April"/>
  </r>
  <r>
    <n v="4304"/>
    <n v="119"/>
    <x v="2"/>
    <x v="0"/>
    <x v="2"/>
    <d v="2022-12-26T00:00:00"/>
    <x v="300"/>
    <n v="8799"/>
    <n v="4749"/>
    <n v="4050"/>
    <x v="1"/>
    <n v="14"/>
    <x v="1"/>
    <d v="2024-03-10T00:00:00"/>
    <n v="0"/>
    <n v="2579"/>
    <n v="0.46"/>
    <s v="Normal"/>
    <n v="2024"/>
    <s v="March"/>
  </r>
  <r>
    <n v="4308"/>
    <n v="222"/>
    <x v="2"/>
    <x v="3"/>
    <x v="2"/>
    <d v="2022-01-28T00:00:00"/>
    <x v="394"/>
    <n v="9442"/>
    <n v="1086"/>
    <n v="8356"/>
    <x v="1"/>
    <n v="9"/>
    <x v="1"/>
    <d v="2022-11-22T00:00:00"/>
    <n v="1"/>
    <n v="2580"/>
    <n v="0.88"/>
    <s v="Normal"/>
    <n v="2022"/>
    <s v="November"/>
  </r>
  <r>
    <n v="4309"/>
    <n v="403"/>
    <x v="2"/>
    <x v="0"/>
    <x v="2"/>
    <d v="2022-09-18T00:00:00"/>
    <x v="16"/>
    <n v="4361"/>
    <n v="2998"/>
    <n v="1363"/>
    <x v="0"/>
    <n v="1"/>
    <x v="0"/>
    <d v="2022-11-03T00:00:00"/>
    <n v="0"/>
    <n v="2581"/>
    <n v="0.31"/>
    <s v="Normal"/>
    <n v="2022"/>
    <s v="November"/>
  </r>
  <r>
    <n v="4311"/>
    <n v="381"/>
    <x v="3"/>
    <x v="1"/>
    <x v="0"/>
    <d v="2022-09-04T00:00:00"/>
    <x v="654"/>
    <n v="3206"/>
    <n v="4012.75"/>
    <n v="3427"/>
    <x v="1"/>
    <n v="7"/>
    <x v="1"/>
    <d v="2023-04-10T00:00:00"/>
    <n v="1"/>
    <n v="2582"/>
    <n v="1.07"/>
    <s v="Outlier"/>
    <n v="2023"/>
    <s v="April"/>
  </r>
  <r>
    <n v="4313"/>
    <n v="287"/>
    <x v="3"/>
    <x v="0"/>
    <x v="1"/>
    <d v="2022-02-18T00:00:00"/>
    <x v="155"/>
    <n v="2576"/>
    <n v="6830"/>
    <n v="-4254"/>
    <x v="2"/>
    <n v="11"/>
    <x v="1"/>
    <d v="2023-01-25T00:00:00"/>
    <n v="1"/>
    <n v="2583"/>
    <n v="-1.65"/>
    <s v="Outlier"/>
    <n v="2023"/>
    <s v="January"/>
  </r>
  <r>
    <n v="4314"/>
    <n v="462"/>
    <x v="4"/>
    <x v="0"/>
    <x v="0"/>
    <d v="2022-09-09T00:00:00"/>
    <x v="253"/>
    <n v="4967.93"/>
    <n v="7432"/>
    <n v="-9254"/>
    <x v="1"/>
    <n v="16"/>
    <x v="1"/>
    <d v="2024-01-24T00:00:00"/>
    <n v="1"/>
    <n v="2584"/>
    <n v="-1.86"/>
    <s v="Outlier"/>
    <n v="2024"/>
    <s v="January"/>
  </r>
  <r>
    <n v="4316"/>
    <n v="111"/>
    <x v="1"/>
    <x v="3"/>
    <x v="2"/>
    <d v="2022-09-06T00:00:00"/>
    <x v="438"/>
    <n v="5857"/>
    <n v="4058"/>
    <n v="1799"/>
    <x v="2"/>
    <n v="17"/>
    <x v="1"/>
    <d v="2024-02-11T00:00:00"/>
    <n v="0"/>
    <n v="2585"/>
    <n v="0.31"/>
    <s v="Normal"/>
    <n v="2024"/>
    <s v="February"/>
  </r>
  <r>
    <n v="4317"/>
    <n v="453"/>
    <x v="4"/>
    <x v="0"/>
    <x v="1"/>
    <d v="2022-12-30T00:00:00"/>
    <x v="211"/>
    <n v="3562"/>
    <n v="7000"/>
    <n v="-3438"/>
    <x v="1"/>
    <n v="8"/>
    <x v="1"/>
    <d v="2023-09-21T00:00:00"/>
    <n v="0"/>
    <n v="2586"/>
    <n v="-0.97"/>
    <s v="Normal"/>
    <n v="2023"/>
    <s v="September"/>
  </r>
  <r>
    <n v="4318"/>
    <n v="484"/>
    <x v="2"/>
    <x v="2"/>
    <x v="0"/>
    <d v="2022-06-08T00:00:00"/>
    <x v="321"/>
    <n v="3654"/>
    <n v="1251"/>
    <n v="2403"/>
    <x v="1"/>
    <n v="6"/>
    <x v="2"/>
    <d v="2022-12-19T00:00:00"/>
    <n v="0"/>
    <n v="2587"/>
    <n v="0.66"/>
    <s v="Normal"/>
    <n v="2022"/>
    <s v="December"/>
  </r>
  <r>
    <n v="4319"/>
    <n v="471"/>
    <x v="0"/>
    <x v="2"/>
    <x v="0"/>
    <d v="2022-07-15T00:00:00"/>
    <x v="731"/>
    <n v="2515"/>
    <n v="4748"/>
    <n v="-2233"/>
    <x v="1"/>
    <n v="10"/>
    <x v="1"/>
    <d v="2023-05-24T00:00:00"/>
    <n v="0"/>
    <n v="2588"/>
    <n v="-0.89"/>
    <s v="Normal"/>
    <n v="2023"/>
    <s v="May"/>
  </r>
  <r>
    <n v="4320"/>
    <n v="495"/>
    <x v="0"/>
    <x v="0"/>
    <x v="0"/>
    <d v="2022-04-09T00:00:00"/>
    <x v="230"/>
    <n v="4967.93"/>
    <n v="41"/>
    <n v="-1297"/>
    <x v="1"/>
    <n v="8"/>
    <x v="1"/>
    <d v="2023-01-07T00:00:00"/>
    <n v="1"/>
    <n v="2589"/>
    <n v="-0.26"/>
    <s v="Normal"/>
    <n v="2023"/>
    <s v="January"/>
  </r>
  <r>
    <n v="4323"/>
    <n v="203"/>
    <x v="1"/>
    <x v="0"/>
    <x v="0"/>
    <d v="2022-08-15T00:00:00"/>
    <x v="537"/>
    <n v="165"/>
    <n v="6598"/>
    <n v="-6433"/>
    <x v="1"/>
    <n v="11"/>
    <x v="1"/>
    <d v="2023-07-28T00:00:00"/>
    <n v="0"/>
    <n v="2590"/>
    <n v="-38.99"/>
    <s v="Outlier"/>
    <n v="2023"/>
    <s v="July"/>
  </r>
  <r>
    <n v="4324"/>
    <n v="435"/>
    <x v="3"/>
    <x v="2"/>
    <x v="0"/>
    <d v="2022-07-25T00:00:00"/>
    <x v="665"/>
    <n v="9203"/>
    <n v="7875"/>
    <n v="1328"/>
    <x v="1"/>
    <n v="17"/>
    <x v="1"/>
    <d v="2024-01-21T00:00:00"/>
    <n v="0"/>
    <n v="2591"/>
    <n v="0.14000000000000001"/>
    <s v="Normal"/>
    <n v="2024"/>
    <s v="January"/>
  </r>
  <r>
    <n v="4325"/>
    <n v="192"/>
    <x v="4"/>
    <x v="3"/>
    <x v="0"/>
    <d v="2022-05-04T00:00:00"/>
    <x v="153"/>
    <n v="4967.93"/>
    <n v="295"/>
    <n v="-2184"/>
    <x v="1"/>
    <n v="11"/>
    <x v="1"/>
    <d v="2023-04-22T00:00:00"/>
    <n v="1"/>
    <n v="2592"/>
    <n v="-0.44"/>
    <s v="Normal"/>
    <n v="2023"/>
    <s v="April"/>
  </r>
  <r>
    <n v="4326"/>
    <n v="438"/>
    <x v="1"/>
    <x v="3"/>
    <x v="2"/>
    <d v="2022-06-22T00:00:00"/>
    <x v="282"/>
    <n v="985"/>
    <n v="100"/>
    <n v="885"/>
    <x v="2"/>
    <n v="4"/>
    <x v="0"/>
    <d v="2022-10-30T00:00:00"/>
    <n v="1"/>
    <n v="2593"/>
    <n v="0.9"/>
    <s v="Normal"/>
    <n v="2022"/>
    <s v="October"/>
  </r>
  <r>
    <n v="4327"/>
    <n v="180"/>
    <x v="2"/>
    <x v="1"/>
    <x v="1"/>
    <d v="2022-02-20T00:00:00"/>
    <x v="715"/>
    <n v="9485"/>
    <n v="3918"/>
    <n v="5567"/>
    <x v="2"/>
    <n v="9"/>
    <x v="1"/>
    <d v="2022-11-20T00:00:00"/>
    <n v="0"/>
    <n v="2594"/>
    <n v="0.59"/>
    <s v="Normal"/>
    <n v="2022"/>
    <s v="November"/>
  </r>
  <r>
    <n v="4328"/>
    <n v="175"/>
    <x v="0"/>
    <x v="3"/>
    <x v="2"/>
    <d v="2022-06-03T00:00:00"/>
    <x v="181"/>
    <n v="2130"/>
    <n v="4400"/>
    <n v="-2270"/>
    <x v="1"/>
    <n v="18"/>
    <x v="1"/>
    <d v="2023-12-16T00:00:00"/>
    <n v="0"/>
    <n v="2595"/>
    <n v="-1.07"/>
    <s v="Outlier"/>
    <n v="2023"/>
    <s v="December"/>
  </r>
  <r>
    <n v="4330"/>
    <n v="471"/>
    <x v="3"/>
    <x v="2"/>
    <x v="0"/>
    <d v="2022-03-31T00:00:00"/>
    <x v="59"/>
    <n v="68"/>
    <n v="3603"/>
    <n v="-3535"/>
    <x v="1"/>
    <n v="11"/>
    <x v="1"/>
    <d v="2023-03-25T00:00:00"/>
    <n v="1"/>
    <n v="2596"/>
    <n v="-51.99"/>
    <s v="Outlier"/>
    <n v="2023"/>
    <s v="March"/>
  </r>
  <r>
    <n v="4331"/>
    <n v="422"/>
    <x v="0"/>
    <x v="2"/>
    <x v="2"/>
    <d v="2022-10-29T00:00:00"/>
    <x v="515"/>
    <n v="6330"/>
    <n v="6223"/>
    <n v="107"/>
    <x v="1"/>
    <n v="4"/>
    <x v="0"/>
    <d v="2023-03-21T00:00:00"/>
    <n v="0"/>
    <n v="2597"/>
    <n v="0.02"/>
    <s v="Normal"/>
    <n v="2023"/>
    <s v="March"/>
  </r>
  <r>
    <n v="4334"/>
    <n v="477"/>
    <x v="0"/>
    <x v="3"/>
    <x v="1"/>
    <d v="2022-12-03T00:00:00"/>
    <x v="505"/>
    <n v="9944"/>
    <n v="737"/>
    <n v="9207"/>
    <x v="1"/>
    <n v="9"/>
    <x v="1"/>
    <d v="2023-10-01T00:00:00"/>
    <n v="1"/>
    <n v="2598"/>
    <n v="0.93"/>
    <s v="Normal"/>
    <n v="2023"/>
    <s v="October"/>
  </r>
  <r>
    <n v="4335"/>
    <n v="295"/>
    <x v="1"/>
    <x v="3"/>
    <x v="0"/>
    <d v="2022-09-02T00:00:00"/>
    <x v="30"/>
    <n v="4457"/>
    <n v="7776"/>
    <n v="-3319"/>
    <x v="0"/>
    <n v="4"/>
    <x v="0"/>
    <d v="2023-01-13T00:00:00"/>
    <n v="1"/>
    <n v="2599"/>
    <n v="-0.74"/>
    <s v="Normal"/>
    <n v="2023"/>
    <s v="January"/>
  </r>
  <r>
    <n v="4337"/>
    <n v="211"/>
    <x v="1"/>
    <x v="1"/>
    <x v="1"/>
    <d v="2022-08-18T00:00:00"/>
    <x v="158"/>
    <n v="5186"/>
    <n v="2802"/>
    <n v="2384"/>
    <x v="0"/>
    <n v="8"/>
    <x v="1"/>
    <d v="2023-05-09T00:00:00"/>
    <n v="1"/>
    <n v="2600"/>
    <n v="0.46"/>
    <s v="Normal"/>
    <n v="2023"/>
    <s v="May"/>
  </r>
  <r>
    <n v="4338"/>
    <n v="461"/>
    <x v="3"/>
    <x v="1"/>
    <x v="0"/>
    <d v="2022-03-28T00:00:00"/>
    <x v="778"/>
    <n v="518"/>
    <n v="6791"/>
    <n v="-6273"/>
    <x v="0"/>
    <n v="15"/>
    <x v="1"/>
    <d v="2023-07-17T00:00:00"/>
    <n v="1"/>
    <n v="2601"/>
    <n v="-12.11"/>
    <s v="Outlier"/>
    <n v="2023"/>
    <s v="July"/>
  </r>
  <r>
    <n v="4340"/>
    <n v="480"/>
    <x v="3"/>
    <x v="0"/>
    <x v="1"/>
    <d v="2022-11-05T00:00:00"/>
    <x v="70"/>
    <n v="3060"/>
    <n v="7798"/>
    <n v="-4738"/>
    <x v="2"/>
    <n v="7"/>
    <x v="1"/>
    <d v="2023-06-22T00:00:00"/>
    <n v="0"/>
    <n v="2602"/>
    <n v="-1.55"/>
    <s v="Outlier"/>
    <n v="2023"/>
    <s v="June"/>
  </r>
  <r>
    <n v="4341"/>
    <n v="102"/>
    <x v="4"/>
    <x v="2"/>
    <x v="1"/>
    <d v="2022-05-22T00:00:00"/>
    <x v="176"/>
    <n v="4967.93"/>
    <n v="6151"/>
    <n v="-7446"/>
    <x v="1"/>
    <n v="2"/>
    <x v="0"/>
    <d v="2022-08-14T00:00:00"/>
    <n v="1"/>
    <n v="2603"/>
    <n v="-1.5"/>
    <s v="Outlier"/>
    <n v="2022"/>
    <s v="August"/>
  </r>
  <r>
    <n v="4342"/>
    <n v="147"/>
    <x v="3"/>
    <x v="3"/>
    <x v="1"/>
    <d v="2022-02-22T00:00:00"/>
    <x v="16"/>
    <n v="1739"/>
    <n v="4012.75"/>
    <n v="577.01"/>
    <x v="0"/>
    <n v="8"/>
    <x v="1"/>
    <d v="2022-11-03T00:00:00"/>
    <n v="1"/>
    <n v="2604"/>
    <n v="0.33"/>
    <s v="Normal"/>
    <n v="2022"/>
    <s v="November"/>
  </r>
  <r>
    <n v="4343"/>
    <n v="419"/>
    <x v="1"/>
    <x v="1"/>
    <x v="2"/>
    <d v="2022-09-12T00:00:00"/>
    <x v="266"/>
    <n v="1544"/>
    <n v="1257"/>
    <n v="287"/>
    <x v="0"/>
    <n v="13"/>
    <x v="1"/>
    <d v="2023-11-09T00:00:00"/>
    <n v="1"/>
    <n v="2605"/>
    <n v="0.19"/>
    <s v="Normal"/>
    <n v="2023"/>
    <s v="November"/>
  </r>
  <r>
    <n v="4344"/>
    <n v="266"/>
    <x v="2"/>
    <x v="2"/>
    <x v="0"/>
    <d v="2022-09-24T00:00:00"/>
    <x v="137"/>
    <n v="9042"/>
    <n v="7110"/>
    <n v="1932"/>
    <x v="1"/>
    <n v="7"/>
    <x v="1"/>
    <d v="2023-05-19T00:00:00"/>
    <n v="0"/>
    <n v="2606"/>
    <n v="0.21"/>
    <s v="Normal"/>
    <n v="2023"/>
    <s v="May"/>
  </r>
  <r>
    <n v="4345"/>
    <n v="122"/>
    <x v="0"/>
    <x v="3"/>
    <x v="0"/>
    <d v="2022-11-23T00:00:00"/>
    <x v="64"/>
    <n v="2403"/>
    <n v="4012.75"/>
    <n v="2490"/>
    <x v="1"/>
    <n v="3"/>
    <x v="0"/>
    <d v="2023-03-07T00:00:00"/>
    <n v="1"/>
    <n v="2607"/>
    <n v="1.04"/>
    <s v="Outlier"/>
    <n v="2023"/>
    <s v="March"/>
  </r>
  <r>
    <n v="4347"/>
    <n v="333"/>
    <x v="0"/>
    <x v="0"/>
    <x v="2"/>
    <d v="2022-12-30T00:00:00"/>
    <x v="39"/>
    <n v="1613"/>
    <n v="4196"/>
    <n v="-2583"/>
    <x v="0"/>
    <n v="8"/>
    <x v="1"/>
    <d v="2023-09-27T00:00:00"/>
    <n v="0"/>
    <n v="2608"/>
    <n v="-1.6"/>
    <s v="Outlier"/>
    <n v="2023"/>
    <s v="September"/>
  </r>
  <r>
    <n v="4348"/>
    <n v="342"/>
    <x v="4"/>
    <x v="1"/>
    <x v="0"/>
    <d v="2022-12-05T00:00:00"/>
    <x v="540"/>
    <n v="5309"/>
    <n v="7826"/>
    <n v="-2517"/>
    <x v="2"/>
    <n v="8"/>
    <x v="1"/>
    <d v="2023-08-09T00:00:00"/>
    <n v="1"/>
    <n v="2609"/>
    <n v="-0.47"/>
    <s v="Normal"/>
    <n v="2023"/>
    <s v="August"/>
  </r>
  <r>
    <n v="4349"/>
    <n v="465"/>
    <x v="4"/>
    <x v="0"/>
    <x v="1"/>
    <d v="2022-03-13T00:00:00"/>
    <x v="538"/>
    <n v="587"/>
    <n v="2114"/>
    <n v="-1527"/>
    <x v="1"/>
    <n v="19"/>
    <x v="1"/>
    <d v="2023-10-17T00:00:00"/>
    <n v="1"/>
    <n v="2610"/>
    <n v="-2.6"/>
    <s v="Outlier"/>
    <n v="2023"/>
    <s v="October"/>
  </r>
  <r>
    <n v="4351"/>
    <n v="136"/>
    <x v="1"/>
    <x v="2"/>
    <x v="2"/>
    <d v="2022-09-30T00:00:00"/>
    <x v="222"/>
    <n v="4967.93"/>
    <n v="5695"/>
    <n v="-5842"/>
    <x v="1"/>
    <n v="19"/>
    <x v="1"/>
    <d v="2024-05-15T00:00:00"/>
    <n v="0"/>
    <n v="2611"/>
    <n v="-1.18"/>
    <s v="Outlier"/>
    <n v="2024"/>
    <s v="May"/>
  </r>
  <r>
    <n v="4353"/>
    <n v="211"/>
    <x v="1"/>
    <x v="2"/>
    <x v="1"/>
    <d v="2022-09-07T00:00:00"/>
    <x v="590"/>
    <n v="1693"/>
    <n v="1142"/>
    <n v="551"/>
    <x v="0"/>
    <n v="5"/>
    <x v="0"/>
    <d v="2023-02-28T00:00:00"/>
    <n v="0"/>
    <n v="2612"/>
    <n v="0.33"/>
    <s v="Normal"/>
    <n v="2023"/>
    <s v="February"/>
  </r>
  <r>
    <n v="4357"/>
    <n v="108"/>
    <x v="4"/>
    <x v="2"/>
    <x v="2"/>
    <d v="2022-10-07T00:00:00"/>
    <x v="70"/>
    <n v="1488"/>
    <n v="1700"/>
    <n v="577.01"/>
    <x v="0"/>
    <n v="8"/>
    <x v="1"/>
    <d v="2023-06-22T00:00:00"/>
    <n v="1"/>
    <n v="2613"/>
    <n v="0.39"/>
    <s v="Normal"/>
    <n v="2023"/>
    <s v="June"/>
  </r>
  <r>
    <n v="4358"/>
    <n v="258"/>
    <x v="0"/>
    <x v="0"/>
    <x v="1"/>
    <d v="2022-04-03T00:00:00"/>
    <x v="357"/>
    <n v="3138"/>
    <n v="2944"/>
    <n v="577.01"/>
    <x v="1"/>
    <n v="10"/>
    <x v="1"/>
    <d v="2023-02-25T00:00:00"/>
    <n v="1"/>
    <n v="2614"/>
    <n v="0.18"/>
    <s v="Normal"/>
    <n v="2023"/>
    <s v="February"/>
  </r>
  <r>
    <n v="4359"/>
    <n v="451"/>
    <x v="1"/>
    <x v="0"/>
    <x v="0"/>
    <d v="2022-03-17T00:00:00"/>
    <x v="778"/>
    <n v="8839"/>
    <n v="3788"/>
    <n v="5051"/>
    <x v="0"/>
    <n v="16"/>
    <x v="1"/>
    <d v="2023-07-17T00:00:00"/>
    <n v="1"/>
    <n v="2615"/>
    <n v="0.56999999999999995"/>
    <s v="Normal"/>
    <n v="2023"/>
    <s v="July"/>
  </r>
  <r>
    <n v="4361"/>
    <n v="227"/>
    <x v="2"/>
    <x v="0"/>
    <x v="0"/>
    <d v="2022-01-25T00:00:00"/>
    <x v="63"/>
    <n v="1751"/>
    <n v="2386"/>
    <n v="577.01"/>
    <x v="2"/>
    <n v="11"/>
    <x v="1"/>
    <d v="2023-01-05T00:00:00"/>
    <n v="0"/>
    <n v="2616"/>
    <n v="0.33"/>
    <s v="Normal"/>
    <n v="2023"/>
    <s v="January"/>
  </r>
  <r>
    <n v="4362"/>
    <n v="434"/>
    <x v="2"/>
    <x v="3"/>
    <x v="1"/>
    <d v="2022-06-15T00:00:00"/>
    <x v="133"/>
    <n v="5197"/>
    <n v="1383"/>
    <n v="3814"/>
    <x v="2"/>
    <n v="7"/>
    <x v="1"/>
    <d v="2023-02-12T00:00:00"/>
    <n v="1"/>
    <n v="2617"/>
    <n v="0.73"/>
    <s v="Normal"/>
    <n v="2023"/>
    <s v="February"/>
  </r>
  <r>
    <n v="4367"/>
    <n v="321"/>
    <x v="2"/>
    <x v="3"/>
    <x v="2"/>
    <d v="2022-09-08T00:00:00"/>
    <x v="574"/>
    <n v="4464"/>
    <n v="6475"/>
    <n v="-2011"/>
    <x v="2"/>
    <n v="8"/>
    <x v="1"/>
    <d v="2023-05-15T00:00:00"/>
    <n v="1"/>
    <n v="2618"/>
    <n v="-0.45"/>
    <s v="Normal"/>
    <n v="2023"/>
    <s v="May"/>
  </r>
  <r>
    <n v="4368"/>
    <n v="301"/>
    <x v="4"/>
    <x v="2"/>
    <x v="2"/>
    <d v="2022-02-07T00:00:00"/>
    <x v="192"/>
    <n v="7728"/>
    <n v="1322"/>
    <n v="577.01"/>
    <x v="2"/>
    <n v="10"/>
    <x v="1"/>
    <d v="2023-01-06T00:00:00"/>
    <n v="1"/>
    <n v="2619"/>
    <n v="7.0000000000000007E-2"/>
    <s v="Normal"/>
    <n v="2023"/>
    <s v="January"/>
  </r>
  <r>
    <n v="4369"/>
    <n v="342"/>
    <x v="4"/>
    <x v="2"/>
    <x v="1"/>
    <d v="2022-09-27T00:00:00"/>
    <x v="33"/>
    <n v="4680"/>
    <n v="746"/>
    <n v="3934"/>
    <x v="0"/>
    <n v="7"/>
    <x v="1"/>
    <d v="2023-05-21T00:00:00"/>
    <n v="1"/>
    <n v="2620"/>
    <n v="0.84"/>
    <s v="Normal"/>
    <n v="2023"/>
    <s v="May"/>
  </r>
  <r>
    <n v="4370"/>
    <n v="257"/>
    <x v="1"/>
    <x v="3"/>
    <x v="0"/>
    <d v="2022-05-03T00:00:00"/>
    <x v="308"/>
    <n v="7320"/>
    <n v="7896"/>
    <n v="-576"/>
    <x v="1"/>
    <n v="10"/>
    <x v="1"/>
    <d v="2023-03-20T00:00:00"/>
    <n v="1"/>
    <n v="2621"/>
    <n v="-0.08"/>
    <s v="Normal"/>
    <n v="2023"/>
    <s v="March"/>
  </r>
  <r>
    <n v="4372"/>
    <n v="436"/>
    <x v="4"/>
    <x v="1"/>
    <x v="0"/>
    <d v="2022-09-27T00:00:00"/>
    <x v="779"/>
    <n v="7461"/>
    <n v="3524"/>
    <n v="3937"/>
    <x v="1"/>
    <n v="13"/>
    <x v="1"/>
    <d v="2023-11-26T00:00:00"/>
    <n v="1"/>
    <n v="2622"/>
    <n v="0.53"/>
    <s v="Normal"/>
    <n v="2023"/>
    <s v="November"/>
  </r>
  <r>
    <n v="4373"/>
    <n v="253"/>
    <x v="3"/>
    <x v="3"/>
    <x v="2"/>
    <d v="2022-08-23T00:00:00"/>
    <x v="55"/>
    <n v="907"/>
    <n v="399"/>
    <n v="508"/>
    <x v="2"/>
    <n v="14"/>
    <x v="1"/>
    <d v="2023-11-06T00:00:00"/>
    <n v="1"/>
    <n v="2623"/>
    <n v="0.56000000000000005"/>
    <s v="Normal"/>
    <n v="2023"/>
    <s v="November"/>
  </r>
  <r>
    <n v="4375"/>
    <n v="147"/>
    <x v="3"/>
    <x v="3"/>
    <x v="2"/>
    <d v="2022-01-17T00:00:00"/>
    <x v="318"/>
    <n v="75"/>
    <n v="6884"/>
    <n v="-6809"/>
    <x v="0"/>
    <n v="19"/>
    <x v="1"/>
    <d v="2023-08-17T00:00:00"/>
    <n v="0"/>
    <n v="2624"/>
    <n v="-90.79"/>
    <s v="Outlier"/>
    <n v="2023"/>
    <s v="August"/>
  </r>
  <r>
    <n v="4376"/>
    <n v="199"/>
    <x v="4"/>
    <x v="0"/>
    <x v="0"/>
    <d v="2022-03-15T00:00:00"/>
    <x v="172"/>
    <n v="4284"/>
    <n v="3830"/>
    <n v="454"/>
    <x v="1"/>
    <n v="11"/>
    <x v="1"/>
    <d v="2023-02-26T00:00:00"/>
    <n v="1"/>
    <n v="2625"/>
    <n v="0.11"/>
    <s v="Normal"/>
    <n v="2023"/>
    <s v="February"/>
  </r>
  <r>
    <n v="4377"/>
    <n v="181"/>
    <x v="1"/>
    <x v="2"/>
    <x v="1"/>
    <d v="2022-04-09T00:00:00"/>
    <x v="571"/>
    <n v="6659"/>
    <n v="4395"/>
    <n v="2264"/>
    <x v="0"/>
    <n v="17"/>
    <x v="1"/>
    <d v="2023-09-18T00:00:00"/>
    <n v="0"/>
    <n v="2626"/>
    <n v="0.34"/>
    <s v="Normal"/>
    <n v="2023"/>
    <s v="September"/>
  </r>
  <r>
    <n v="4378"/>
    <n v="260"/>
    <x v="2"/>
    <x v="2"/>
    <x v="2"/>
    <d v="2022-06-22T00:00:00"/>
    <x v="520"/>
    <n v="2924"/>
    <n v="1579"/>
    <n v="1345"/>
    <x v="2"/>
    <n v="3"/>
    <x v="0"/>
    <d v="2022-09-28T00:00:00"/>
    <n v="0"/>
    <n v="2627"/>
    <n v="0.46"/>
    <s v="Normal"/>
    <n v="2022"/>
    <s v="September"/>
  </r>
  <r>
    <n v="4379"/>
    <n v="247"/>
    <x v="0"/>
    <x v="0"/>
    <x v="1"/>
    <d v="2022-04-09T00:00:00"/>
    <x v="198"/>
    <n v="4967.93"/>
    <n v="3646"/>
    <n v="-4014"/>
    <x v="0"/>
    <n v="9"/>
    <x v="1"/>
    <d v="2023-01-18T00:00:00"/>
    <n v="0"/>
    <n v="2628"/>
    <n v="-0.81"/>
    <s v="Normal"/>
    <n v="2023"/>
    <s v="January"/>
  </r>
  <r>
    <n v="4380"/>
    <n v="492"/>
    <x v="3"/>
    <x v="0"/>
    <x v="2"/>
    <d v="2022-04-27T00:00:00"/>
    <x v="741"/>
    <n v="5579"/>
    <n v="3768"/>
    <n v="1811"/>
    <x v="2"/>
    <n v="18"/>
    <x v="1"/>
    <d v="2023-11-22T00:00:00"/>
    <n v="0"/>
    <n v="2629"/>
    <n v="0.32"/>
    <s v="Normal"/>
    <n v="2023"/>
    <s v="November"/>
  </r>
  <r>
    <n v="4381"/>
    <n v="492"/>
    <x v="1"/>
    <x v="1"/>
    <x v="2"/>
    <d v="2022-07-26T00:00:00"/>
    <x v="150"/>
    <n v="4223"/>
    <n v="7904"/>
    <n v="-3681"/>
    <x v="0"/>
    <n v="15"/>
    <x v="1"/>
    <d v="2023-11-24T00:00:00"/>
    <n v="1"/>
    <n v="2630"/>
    <n v="-0.87"/>
    <s v="Normal"/>
    <n v="2023"/>
    <s v="November"/>
  </r>
  <r>
    <n v="4382"/>
    <n v="500"/>
    <x v="2"/>
    <x v="2"/>
    <x v="2"/>
    <d v="2022-11-17T00:00:00"/>
    <x v="300"/>
    <n v="555"/>
    <n v="634"/>
    <n v="-79"/>
    <x v="1"/>
    <n v="15"/>
    <x v="1"/>
    <d v="2024-03-10T00:00:00"/>
    <n v="0"/>
    <n v="2631"/>
    <n v="-0.14000000000000001"/>
    <s v="Normal"/>
    <n v="2024"/>
    <s v="March"/>
  </r>
  <r>
    <n v="4384"/>
    <n v="192"/>
    <x v="1"/>
    <x v="2"/>
    <x v="2"/>
    <d v="2022-05-30T00:00:00"/>
    <x v="210"/>
    <n v="2175"/>
    <n v="7814"/>
    <n v="-5639"/>
    <x v="2"/>
    <n v="15"/>
    <x v="1"/>
    <d v="2023-09-12T00:00:00"/>
    <n v="0"/>
    <n v="2632"/>
    <n v="-2.59"/>
    <s v="Outlier"/>
    <n v="2023"/>
    <s v="September"/>
  </r>
  <r>
    <n v="4385"/>
    <n v="185"/>
    <x v="0"/>
    <x v="0"/>
    <x v="1"/>
    <d v="2022-06-08T00:00:00"/>
    <x v="151"/>
    <n v="4986"/>
    <n v="7726"/>
    <n v="-2740"/>
    <x v="0"/>
    <n v="2"/>
    <x v="0"/>
    <d v="2022-08-10T00:00:00"/>
    <n v="1"/>
    <n v="2633"/>
    <n v="-0.55000000000000004"/>
    <s v="Normal"/>
    <n v="2022"/>
    <s v="August"/>
  </r>
  <r>
    <n v="4386"/>
    <n v="470"/>
    <x v="3"/>
    <x v="1"/>
    <x v="2"/>
    <d v="2022-11-28T00:00:00"/>
    <x v="780"/>
    <n v="4967.93"/>
    <n v="2358"/>
    <n v="-2671"/>
    <x v="1"/>
    <n v="17"/>
    <x v="1"/>
    <d v="2024-05-18T00:00:00"/>
    <n v="0"/>
    <n v="2634"/>
    <n v="-0.54"/>
    <s v="Normal"/>
    <n v="2024"/>
    <s v="May"/>
  </r>
  <r>
    <n v="4388"/>
    <n v="337"/>
    <x v="1"/>
    <x v="3"/>
    <x v="2"/>
    <d v="2022-07-15T00:00:00"/>
    <x v="553"/>
    <n v="9598"/>
    <n v="4012.75"/>
    <n v="10318"/>
    <x v="0"/>
    <n v="6"/>
    <x v="2"/>
    <d v="2023-01-30T00:00:00"/>
    <n v="0"/>
    <n v="2635"/>
    <n v="1.08"/>
    <s v="Outlier"/>
    <n v="2023"/>
    <s v="January"/>
  </r>
  <r>
    <n v="4389"/>
    <n v="369"/>
    <x v="1"/>
    <x v="0"/>
    <x v="0"/>
    <d v="2022-01-13T00:00:00"/>
    <x v="486"/>
    <n v="7643"/>
    <n v="1385"/>
    <n v="6258"/>
    <x v="2"/>
    <n v="4"/>
    <x v="0"/>
    <d v="2022-06-07T00:00:00"/>
    <n v="1"/>
    <n v="2636"/>
    <n v="0.82"/>
    <s v="Normal"/>
    <n v="2022"/>
    <s v="June"/>
  </r>
  <r>
    <n v="4390"/>
    <n v="130"/>
    <x v="1"/>
    <x v="0"/>
    <x v="1"/>
    <d v="2022-02-12T00:00:00"/>
    <x v="286"/>
    <n v="4967.93"/>
    <n v="4012.75"/>
    <n v="-231"/>
    <x v="0"/>
    <n v="13"/>
    <x v="1"/>
    <d v="2023-03-15T00:00:00"/>
    <n v="0"/>
    <n v="2637"/>
    <n v="-0.05"/>
    <s v="Normal"/>
    <n v="2023"/>
    <s v="March"/>
  </r>
  <r>
    <n v="4392"/>
    <n v="256"/>
    <x v="1"/>
    <x v="0"/>
    <x v="0"/>
    <d v="2022-04-30T00:00:00"/>
    <x v="199"/>
    <n v="2991"/>
    <n v="2845"/>
    <n v="577.01"/>
    <x v="1"/>
    <n v="16"/>
    <x v="1"/>
    <d v="2023-09-24T00:00:00"/>
    <n v="1"/>
    <n v="2638"/>
    <n v="0.19"/>
    <s v="Normal"/>
    <n v="2023"/>
    <s v="September"/>
  </r>
  <r>
    <n v="4393"/>
    <n v="102"/>
    <x v="3"/>
    <x v="3"/>
    <x v="0"/>
    <d v="2022-12-20T00:00:00"/>
    <x v="272"/>
    <n v="7186"/>
    <n v="1107"/>
    <n v="6079"/>
    <x v="1"/>
    <n v="6"/>
    <x v="2"/>
    <d v="2023-07-01T00:00:00"/>
    <n v="0"/>
    <n v="2639"/>
    <n v="0.85"/>
    <s v="Normal"/>
    <n v="2023"/>
    <s v="July"/>
  </r>
  <r>
    <n v="4395"/>
    <n v="446"/>
    <x v="3"/>
    <x v="2"/>
    <x v="0"/>
    <d v="2022-08-19T00:00:00"/>
    <x v="554"/>
    <n v="4967.93"/>
    <n v="2244"/>
    <n v="-4163"/>
    <x v="2"/>
    <n v="2"/>
    <x v="0"/>
    <d v="2022-11-18T00:00:00"/>
    <n v="0"/>
    <n v="2640"/>
    <n v="-0.84"/>
    <s v="Normal"/>
    <n v="2022"/>
    <s v="November"/>
  </r>
  <r>
    <n v="4396"/>
    <n v="165"/>
    <x v="4"/>
    <x v="1"/>
    <x v="2"/>
    <d v="2022-05-28T00:00:00"/>
    <x v="422"/>
    <n v="5600"/>
    <n v="3242"/>
    <n v="2358"/>
    <x v="1"/>
    <n v="19"/>
    <x v="1"/>
    <d v="2024-01-10T00:00:00"/>
    <n v="1"/>
    <n v="2641"/>
    <n v="0.42"/>
    <s v="Normal"/>
    <n v="2024"/>
    <s v="January"/>
  </r>
  <r>
    <n v="4397"/>
    <n v="204"/>
    <x v="4"/>
    <x v="1"/>
    <x v="1"/>
    <d v="2022-11-04T00:00:00"/>
    <x v="781"/>
    <n v="8083"/>
    <n v="4012.75"/>
    <n v="8456"/>
    <x v="0"/>
    <n v="18"/>
    <x v="1"/>
    <d v="2024-05-21T00:00:00"/>
    <n v="1"/>
    <n v="2642"/>
    <n v="1.05"/>
    <s v="Outlier"/>
    <n v="2024"/>
    <s v="May"/>
  </r>
  <r>
    <n v="4400"/>
    <n v="402"/>
    <x v="0"/>
    <x v="1"/>
    <x v="2"/>
    <d v="2022-01-26T00:00:00"/>
    <x v="66"/>
    <n v="3331"/>
    <n v="1480"/>
    <n v="1851"/>
    <x v="2"/>
    <n v="17"/>
    <x v="1"/>
    <d v="2023-07-04T00:00:00"/>
    <n v="0"/>
    <n v="2643"/>
    <n v="0.56000000000000005"/>
    <s v="Normal"/>
    <n v="2023"/>
    <s v="July"/>
  </r>
  <r>
    <n v="4401"/>
    <n v="175"/>
    <x v="3"/>
    <x v="1"/>
    <x v="1"/>
    <d v="2022-02-13T00:00:00"/>
    <x v="69"/>
    <n v="2851"/>
    <n v="2021"/>
    <n v="577.01"/>
    <x v="0"/>
    <n v="17"/>
    <x v="1"/>
    <d v="2023-07-18T00:00:00"/>
    <n v="0"/>
    <n v="2644"/>
    <n v="0.2"/>
    <s v="Normal"/>
    <n v="2023"/>
    <s v="July"/>
  </r>
  <r>
    <n v="4403"/>
    <n v="357"/>
    <x v="3"/>
    <x v="3"/>
    <x v="0"/>
    <d v="2022-06-18T00:00:00"/>
    <x v="499"/>
    <n v="3453"/>
    <n v="6066"/>
    <n v="-2613"/>
    <x v="2"/>
    <n v="4"/>
    <x v="0"/>
    <d v="2022-10-20T00:00:00"/>
    <n v="0"/>
    <n v="2645"/>
    <n v="-0.76"/>
    <s v="Normal"/>
    <n v="2022"/>
    <s v="October"/>
  </r>
  <r>
    <n v="4404"/>
    <n v="279"/>
    <x v="3"/>
    <x v="2"/>
    <x v="1"/>
    <d v="2022-07-29T00:00:00"/>
    <x v="357"/>
    <n v="2394"/>
    <n v="4213"/>
    <n v="-1819"/>
    <x v="2"/>
    <n v="6"/>
    <x v="2"/>
    <d v="2023-02-25T00:00:00"/>
    <n v="0"/>
    <n v="2646"/>
    <n v="-0.76"/>
    <s v="Normal"/>
    <n v="2023"/>
    <s v="February"/>
  </r>
  <r>
    <n v="4405"/>
    <n v="356"/>
    <x v="2"/>
    <x v="2"/>
    <x v="1"/>
    <d v="2022-11-18T00:00:00"/>
    <x v="585"/>
    <n v="3355"/>
    <n v="4012.75"/>
    <n v="3915"/>
    <x v="0"/>
    <n v="12"/>
    <x v="1"/>
    <d v="2023-11-27T00:00:00"/>
    <n v="1"/>
    <n v="2647"/>
    <n v="1.17"/>
    <s v="Outlier"/>
    <n v="2023"/>
    <s v="November"/>
  </r>
  <r>
    <n v="4408"/>
    <n v="403"/>
    <x v="1"/>
    <x v="2"/>
    <x v="0"/>
    <d v="2022-04-04T00:00:00"/>
    <x v="78"/>
    <n v="6712"/>
    <n v="6943"/>
    <n v="-231"/>
    <x v="1"/>
    <n v="3"/>
    <x v="0"/>
    <d v="2022-07-13T00:00:00"/>
    <n v="0"/>
    <n v="2648"/>
    <n v="-0.03"/>
    <s v="Normal"/>
    <n v="2022"/>
    <s v="July"/>
  </r>
  <r>
    <n v="4409"/>
    <n v="439"/>
    <x v="2"/>
    <x v="1"/>
    <x v="1"/>
    <d v="2022-03-03T00:00:00"/>
    <x v="365"/>
    <n v="1905"/>
    <n v="2218"/>
    <n v="-313"/>
    <x v="1"/>
    <n v="15"/>
    <x v="1"/>
    <d v="2023-06-15T00:00:00"/>
    <n v="0"/>
    <n v="2649"/>
    <n v="-0.16"/>
    <s v="Normal"/>
    <n v="2023"/>
    <s v="June"/>
  </r>
  <r>
    <n v="4411"/>
    <n v="191"/>
    <x v="1"/>
    <x v="1"/>
    <x v="0"/>
    <d v="2022-11-22T00:00:00"/>
    <x v="648"/>
    <n v="9869"/>
    <n v="7911"/>
    <n v="1958"/>
    <x v="1"/>
    <n v="14"/>
    <x v="1"/>
    <d v="2024-02-10T00:00:00"/>
    <n v="1"/>
    <n v="2650"/>
    <n v="0.2"/>
    <s v="Normal"/>
    <n v="2024"/>
    <s v="February"/>
  </r>
  <r>
    <n v="4413"/>
    <n v="106"/>
    <x v="3"/>
    <x v="3"/>
    <x v="2"/>
    <d v="2022-01-24T00:00:00"/>
    <x v="140"/>
    <n v="1522"/>
    <n v="6838"/>
    <n v="577.01"/>
    <x v="0"/>
    <n v="16"/>
    <x v="1"/>
    <d v="2023-06-20T00:00:00"/>
    <n v="0"/>
    <n v="2651"/>
    <n v="0.38"/>
    <s v="Normal"/>
    <n v="2023"/>
    <s v="June"/>
  </r>
  <r>
    <n v="4414"/>
    <n v="305"/>
    <x v="1"/>
    <x v="3"/>
    <x v="1"/>
    <d v="2022-02-13T00:00:00"/>
    <x v="782"/>
    <n v="5218"/>
    <n v="4041"/>
    <n v="1177"/>
    <x v="1"/>
    <n v="4"/>
    <x v="0"/>
    <d v="2022-06-22T00:00:00"/>
    <n v="0"/>
    <n v="2652"/>
    <n v="0.23"/>
    <s v="Normal"/>
    <n v="2022"/>
    <s v="June"/>
  </r>
  <r>
    <n v="4416"/>
    <n v="321"/>
    <x v="1"/>
    <x v="0"/>
    <x v="1"/>
    <d v="2022-09-17T00:00:00"/>
    <x v="563"/>
    <n v="3869"/>
    <n v="4012.75"/>
    <n v="4157"/>
    <x v="1"/>
    <n v="17"/>
    <x v="1"/>
    <d v="2024-02-29T00:00:00"/>
    <n v="0"/>
    <n v="2653"/>
    <n v="1.07"/>
    <s v="Outlier"/>
    <n v="2024"/>
    <s v="February"/>
  </r>
  <r>
    <n v="4417"/>
    <n v="459"/>
    <x v="0"/>
    <x v="3"/>
    <x v="2"/>
    <d v="2022-10-07T00:00:00"/>
    <x v="206"/>
    <n v="8965"/>
    <n v="4012.75"/>
    <n v="9267"/>
    <x v="1"/>
    <n v="9"/>
    <x v="1"/>
    <d v="2023-07-22T00:00:00"/>
    <n v="1"/>
    <n v="2654"/>
    <n v="1.03"/>
    <s v="Outlier"/>
    <n v="2023"/>
    <s v="July"/>
  </r>
  <r>
    <n v="4419"/>
    <n v="261"/>
    <x v="2"/>
    <x v="0"/>
    <x v="1"/>
    <d v="2022-04-03T00:00:00"/>
    <x v="242"/>
    <n v="3654"/>
    <n v="4012.75"/>
    <n v="4400"/>
    <x v="2"/>
    <n v="3"/>
    <x v="0"/>
    <d v="2022-07-21T00:00:00"/>
    <n v="0"/>
    <n v="2655"/>
    <n v="1.2"/>
    <s v="Outlier"/>
    <n v="2022"/>
    <s v="July"/>
  </r>
  <r>
    <n v="4420"/>
    <n v="495"/>
    <x v="0"/>
    <x v="1"/>
    <x v="1"/>
    <d v="2022-03-15T00:00:00"/>
    <x v="402"/>
    <n v="888"/>
    <n v="7464"/>
    <n v="-6576"/>
    <x v="0"/>
    <n v="12"/>
    <x v="1"/>
    <d v="2023-04-07T00:00:00"/>
    <n v="1"/>
    <n v="2656"/>
    <n v="-7.41"/>
    <s v="Outlier"/>
    <n v="2023"/>
    <s v="April"/>
  </r>
  <r>
    <n v="4421"/>
    <n v="310"/>
    <x v="3"/>
    <x v="3"/>
    <x v="0"/>
    <d v="2022-01-21T00:00:00"/>
    <x v="17"/>
    <n v="5960"/>
    <n v="5335"/>
    <n v="577.01"/>
    <x v="1"/>
    <n v="6"/>
    <x v="2"/>
    <d v="2022-08-09T00:00:00"/>
    <n v="1"/>
    <n v="2657"/>
    <n v="0.1"/>
    <s v="Normal"/>
    <n v="2022"/>
    <s v="August"/>
  </r>
  <r>
    <n v="4422"/>
    <n v="242"/>
    <x v="0"/>
    <x v="0"/>
    <x v="0"/>
    <d v="2022-06-30T00:00:00"/>
    <x v="323"/>
    <n v="4967.93"/>
    <n v="3022"/>
    <n v="-3891"/>
    <x v="1"/>
    <n v="14"/>
    <x v="1"/>
    <d v="2023-09-03T00:00:00"/>
    <n v="0"/>
    <n v="2658"/>
    <n v="-0.78"/>
    <s v="Normal"/>
    <n v="2023"/>
    <s v="September"/>
  </r>
  <r>
    <n v="4423"/>
    <n v="490"/>
    <x v="3"/>
    <x v="3"/>
    <x v="1"/>
    <d v="2022-12-10T00:00:00"/>
    <x v="573"/>
    <n v="3133"/>
    <n v="4012.75"/>
    <n v="3679"/>
    <x v="2"/>
    <n v="12"/>
    <x v="1"/>
    <d v="2023-12-29T00:00:00"/>
    <n v="0"/>
    <n v="2659"/>
    <n v="1.17"/>
    <s v="Outlier"/>
    <n v="2023"/>
    <s v="December"/>
  </r>
  <r>
    <n v="4424"/>
    <n v="308"/>
    <x v="4"/>
    <x v="2"/>
    <x v="0"/>
    <d v="2022-03-23T00:00:00"/>
    <x v="267"/>
    <n v="2984"/>
    <n v="5959"/>
    <n v="-2975"/>
    <x v="1"/>
    <n v="2"/>
    <x v="0"/>
    <d v="2022-06-10T00:00:00"/>
    <n v="0"/>
    <n v="2660"/>
    <n v="-1"/>
    <s v="Normal"/>
    <n v="2022"/>
    <s v="June"/>
  </r>
  <r>
    <n v="4427"/>
    <n v="174"/>
    <x v="3"/>
    <x v="1"/>
    <x v="0"/>
    <d v="2022-04-11T00:00:00"/>
    <x v="136"/>
    <n v="8118"/>
    <n v="6263"/>
    <n v="1855"/>
    <x v="1"/>
    <n v="16"/>
    <x v="1"/>
    <d v="2023-08-11T00:00:00"/>
    <n v="0"/>
    <n v="2661"/>
    <n v="0.23"/>
    <s v="Normal"/>
    <n v="2023"/>
    <s v="August"/>
  </r>
  <r>
    <n v="4430"/>
    <n v="301"/>
    <x v="2"/>
    <x v="0"/>
    <x v="0"/>
    <d v="2022-06-12T00:00:00"/>
    <x v="201"/>
    <n v="9168"/>
    <n v="1265"/>
    <n v="7903"/>
    <x v="2"/>
    <n v="5"/>
    <x v="0"/>
    <d v="2022-12-09T00:00:00"/>
    <n v="1"/>
    <n v="2662"/>
    <n v="0.86"/>
    <s v="Normal"/>
    <n v="2022"/>
    <s v="December"/>
  </r>
  <r>
    <n v="4431"/>
    <n v="490"/>
    <x v="4"/>
    <x v="3"/>
    <x v="2"/>
    <d v="2022-09-11T00:00:00"/>
    <x v="351"/>
    <n v="2430"/>
    <n v="5073"/>
    <n v="-2643"/>
    <x v="1"/>
    <n v="6"/>
    <x v="2"/>
    <d v="2023-03-16T00:00:00"/>
    <n v="0"/>
    <n v="2663"/>
    <n v="-1.0900000000000001"/>
    <s v="Outlier"/>
    <n v="2023"/>
    <s v="March"/>
  </r>
  <r>
    <n v="4432"/>
    <n v="288"/>
    <x v="1"/>
    <x v="3"/>
    <x v="0"/>
    <d v="2022-09-08T00:00:00"/>
    <x v="424"/>
    <n v="5641"/>
    <n v="1777"/>
    <n v="3864"/>
    <x v="1"/>
    <n v="10"/>
    <x v="1"/>
    <d v="2023-07-12T00:00:00"/>
    <n v="1"/>
    <n v="2664"/>
    <n v="0.68"/>
    <s v="Normal"/>
    <n v="2023"/>
    <s v="July"/>
  </r>
  <r>
    <n v="4433"/>
    <n v="467"/>
    <x v="4"/>
    <x v="3"/>
    <x v="2"/>
    <d v="2022-06-30T00:00:00"/>
    <x v="495"/>
    <n v="280"/>
    <n v="138"/>
    <n v="142"/>
    <x v="0"/>
    <n v="17"/>
    <x v="1"/>
    <d v="2023-12-04T00:00:00"/>
    <n v="0"/>
    <n v="2665"/>
    <n v="0.51"/>
    <s v="Normal"/>
    <n v="2023"/>
    <s v="December"/>
  </r>
  <r>
    <n v="4434"/>
    <n v="143"/>
    <x v="4"/>
    <x v="2"/>
    <x v="2"/>
    <d v="2022-10-13T00:00:00"/>
    <x v="120"/>
    <n v="2516"/>
    <n v="5594"/>
    <n v="-3078"/>
    <x v="0"/>
    <n v="4"/>
    <x v="0"/>
    <d v="2023-03-01T00:00:00"/>
    <n v="0"/>
    <n v="2666"/>
    <n v="-1.22"/>
    <s v="Outlier"/>
    <n v="2023"/>
    <s v="March"/>
  </r>
  <r>
    <n v="4435"/>
    <n v="446"/>
    <x v="0"/>
    <x v="1"/>
    <x v="0"/>
    <d v="2022-08-26T00:00:00"/>
    <x v="134"/>
    <n v="9850"/>
    <n v="6505"/>
    <n v="3345"/>
    <x v="1"/>
    <n v="2"/>
    <x v="0"/>
    <d v="2022-11-05T00:00:00"/>
    <n v="1"/>
    <n v="2667"/>
    <n v="0.34"/>
    <s v="Normal"/>
    <n v="2022"/>
    <s v="November"/>
  </r>
  <r>
    <n v="4437"/>
    <n v="382"/>
    <x v="1"/>
    <x v="2"/>
    <x v="0"/>
    <d v="2022-05-31T00:00:00"/>
    <x v="444"/>
    <n v="1669"/>
    <n v="4356"/>
    <n v="-2687"/>
    <x v="2"/>
    <n v="2"/>
    <x v="0"/>
    <d v="2022-08-30T00:00:00"/>
    <n v="0"/>
    <n v="2668"/>
    <n v="-1.61"/>
    <s v="Outlier"/>
    <n v="2022"/>
    <s v="August"/>
  </r>
  <r>
    <n v="4439"/>
    <n v="260"/>
    <x v="3"/>
    <x v="2"/>
    <x v="0"/>
    <d v="2022-07-10T00:00:00"/>
    <x v="149"/>
    <n v="9667"/>
    <n v="4154"/>
    <n v="5513"/>
    <x v="1"/>
    <n v="6"/>
    <x v="2"/>
    <d v="2023-01-31T00:00:00"/>
    <n v="1"/>
    <n v="2669"/>
    <n v="0.56999999999999995"/>
    <s v="Normal"/>
    <n v="2023"/>
    <s v="January"/>
  </r>
  <r>
    <n v="4440"/>
    <n v="312"/>
    <x v="0"/>
    <x v="0"/>
    <x v="2"/>
    <d v="2022-05-11T00:00:00"/>
    <x v="80"/>
    <n v="5441"/>
    <n v="3367"/>
    <n v="2074"/>
    <x v="2"/>
    <n v="8"/>
    <x v="1"/>
    <d v="2023-01-12T00:00:00"/>
    <n v="1"/>
    <n v="2670"/>
    <n v="0.38"/>
    <s v="Normal"/>
    <n v="2023"/>
    <s v="January"/>
  </r>
  <r>
    <n v="4441"/>
    <n v="463"/>
    <x v="1"/>
    <x v="1"/>
    <x v="1"/>
    <d v="2022-11-25T00:00:00"/>
    <x v="438"/>
    <n v="4055"/>
    <n v="2951"/>
    <n v="1104"/>
    <x v="0"/>
    <n v="14"/>
    <x v="1"/>
    <d v="2024-02-11T00:00:00"/>
    <n v="0"/>
    <n v="2671"/>
    <n v="0.27"/>
    <s v="Normal"/>
    <n v="2024"/>
    <s v="February"/>
  </r>
  <r>
    <n v="4443"/>
    <n v="405"/>
    <x v="2"/>
    <x v="2"/>
    <x v="0"/>
    <d v="2022-02-15T00:00:00"/>
    <x v="211"/>
    <n v="4228"/>
    <n v="6317"/>
    <n v="-2089"/>
    <x v="0"/>
    <n v="19"/>
    <x v="1"/>
    <d v="2023-09-21T00:00:00"/>
    <n v="0"/>
    <n v="2672"/>
    <n v="-0.49"/>
    <s v="Normal"/>
    <n v="2023"/>
    <s v="September"/>
  </r>
  <r>
    <n v="4444"/>
    <n v="241"/>
    <x v="0"/>
    <x v="1"/>
    <x v="2"/>
    <d v="2022-01-07T00:00:00"/>
    <x v="783"/>
    <n v="3734"/>
    <n v="1655"/>
    <n v="577.01"/>
    <x v="1"/>
    <n v="6"/>
    <x v="2"/>
    <d v="2022-07-22T00:00:00"/>
    <n v="0"/>
    <n v="2673"/>
    <n v="0.15"/>
    <s v="Normal"/>
    <n v="2022"/>
    <s v="July"/>
  </r>
  <r>
    <n v="4446"/>
    <n v="129"/>
    <x v="0"/>
    <x v="1"/>
    <x v="1"/>
    <d v="2022-04-22T00:00:00"/>
    <x v="784"/>
    <n v="5709"/>
    <n v="4012.75"/>
    <n v="577.01"/>
    <x v="2"/>
    <n v="1"/>
    <x v="0"/>
    <d v="2022-05-30T00:00:00"/>
    <n v="0"/>
    <n v="2674"/>
    <n v="0.1"/>
    <s v="Normal"/>
    <n v="2022"/>
    <s v="May"/>
  </r>
  <r>
    <n v="4447"/>
    <n v="401"/>
    <x v="4"/>
    <x v="1"/>
    <x v="0"/>
    <d v="2022-05-29T00:00:00"/>
    <x v="678"/>
    <n v="9402"/>
    <n v="3619"/>
    <n v="5783"/>
    <x v="1"/>
    <n v="17"/>
    <x v="1"/>
    <d v="2023-11-13T00:00:00"/>
    <n v="1"/>
    <n v="2675"/>
    <n v="0.62"/>
    <s v="Normal"/>
    <n v="2023"/>
    <s v="November"/>
  </r>
  <r>
    <n v="4448"/>
    <n v="277"/>
    <x v="2"/>
    <x v="3"/>
    <x v="1"/>
    <d v="2022-02-15T00:00:00"/>
    <x v="418"/>
    <n v="7846"/>
    <n v="5907"/>
    <n v="1939"/>
    <x v="1"/>
    <n v="5"/>
    <x v="0"/>
    <d v="2022-07-24T00:00:00"/>
    <n v="0"/>
    <n v="2676"/>
    <n v="0.25"/>
    <s v="Normal"/>
    <n v="2022"/>
    <s v="July"/>
  </r>
  <r>
    <n v="4451"/>
    <n v="217"/>
    <x v="4"/>
    <x v="2"/>
    <x v="1"/>
    <d v="2022-08-13T00:00:00"/>
    <x v="480"/>
    <n v="1017"/>
    <n v="2519"/>
    <n v="-1502"/>
    <x v="0"/>
    <n v="17"/>
    <x v="1"/>
    <d v="2024-01-13T00:00:00"/>
    <n v="1"/>
    <n v="2677"/>
    <n v="-1.48"/>
    <s v="Outlier"/>
    <n v="2024"/>
    <s v="January"/>
  </r>
  <r>
    <n v="4452"/>
    <n v="313"/>
    <x v="0"/>
    <x v="0"/>
    <x v="1"/>
    <d v="2022-11-22T00:00:00"/>
    <x v="35"/>
    <n v="7279"/>
    <n v="3339"/>
    <n v="3940"/>
    <x v="2"/>
    <n v="12"/>
    <x v="1"/>
    <d v="2023-11-25T00:00:00"/>
    <n v="0"/>
    <n v="2678"/>
    <n v="0.54"/>
    <s v="Normal"/>
    <n v="2023"/>
    <s v="November"/>
  </r>
  <r>
    <n v="4453"/>
    <n v="262"/>
    <x v="0"/>
    <x v="2"/>
    <x v="1"/>
    <d v="2022-09-24T00:00:00"/>
    <x v="218"/>
    <n v="6161"/>
    <n v="2368"/>
    <n v="3793"/>
    <x v="2"/>
    <n v="3"/>
    <x v="0"/>
    <d v="2022-12-27T00:00:00"/>
    <n v="0"/>
    <n v="2679"/>
    <n v="0.62"/>
    <s v="Normal"/>
    <n v="2022"/>
    <s v="December"/>
  </r>
  <r>
    <n v="4454"/>
    <n v="457"/>
    <x v="3"/>
    <x v="1"/>
    <x v="0"/>
    <d v="2022-09-22T00:00:00"/>
    <x v="43"/>
    <n v="6690"/>
    <n v="4517"/>
    <n v="2173"/>
    <x v="0"/>
    <n v="11"/>
    <x v="1"/>
    <d v="2023-09-01T00:00:00"/>
    <n v="1"/>
    <n v="2680"/>
    <n v="0.32"/>
    <s v="Normal"/>
    <n v="2023"/>
    <s v="September"/>
  </r>
  <r>
    <n v="4456"/>
    <n v="228"/>
    <x v="3"/>
    <x v="2"/>
    <x v="1"/>
    <d v="2022-08-28T00:00:00"/>
    <x v="30"/>
    <n v="4967.93"/>
    <n v="245"/>
    <n v="-2118"/>
    <x v="0"/>
    <n v="4"/>
    <x v="0"/>
    <d v="2023-01-13T00:00:00"/>
    <n v="1"/>
    <n v="2681"/>
    <n v="-0.43"/>
    <s v="Normal"/>
    <n v="2023"/>
    <s v="January"/>
  </r>
  <r>
    <n v="4457"/>
    <n v="321"/>
    <x v="2"/>
    <x v="2"/>
    <x v="0"/>
    <d v="2022-06-26T00:00:00"/>
    <x v="108"/>
    <n v="7969"/>
    <n v="4012.75"/>
    <n v="8929"/>
    <x v="1"/>
    <n v="10"/>
    <x v="1"/>
    <d v="2023-04-30T00:00:00"/>
    <n v="0"/>
    <n v="2682"/>
    <n v="1.1200000000000001"/>
    <s v="Outlier"/>
    <n v="2023"/>
    <s v="April"/>
  </r>
  <r>
    <n v="4458"/>
    <n v="280"/>
    <x v="2"/>
    <x v="0"/>
    <x v="2"/>
    <d v="2022-02-15T00:00:00"/>
    <x v="40"/>
    <n v="4015"/>
    <n v="2910"/>
    <n v="1105"/>
    <x v="0"/>
    <n v="16"/>
    <x v="1"/>
    <d v="2023-07-02T00:00:00"/>
    <n v="0"/>
    <n v="2683"/>
    <n v="0.28000000000000003"/>
    <s v="Normal"/>
    <n v="2023"/>
    <s v="July"/>
  </r>
  <r>
    <n v="4459"/>
    <n v="369"/>
    <x v="2"/>
    <x v="3"/>
    <x v="0"/>
    <d v="2022-08-06T00:00:00"/>
    <x v="385"/>
    <n v="4967.93"/>
    <n v="3945"/>
    <n v="-4299"/>
    <x v="1"/>
    <n v="9"/>
    <x v="1"/>
    <d v="2023-05-10T00:00:00"/>
    <n v="0"/>
    <n v="2684"/>
    <n v="-0.87"/>
    <s v="Normal"/>
    <n v="2023"/>
    <s v="May"/>
  </r>
  <r>
    <n v="4460"/>
    <n v="125"/>
    <x v="2"/>
    <x v="0"/>
    <x v="1"/>
    <d v="2022-02-05T00:00:00"/>
    <x v="280"/>
    <n v="6876"/>
    <n v="1991"/>
    <n v="577.01"/>
    <x v="2"/>
    <n v="19"/>
    <x v="1"/>
    <d v="2023-09-06T00:00:00"/>
    <n v="1"/>
    <n v="2685"/>
    <n v="0.08"/>
    <s v="Normal"/>
    <n v="2023"/>
    <s v="September"/>
  </r>
  <r>
    <n v="4461"/>
    <n v="226"/>
    <x v="4"/>
    <x v="0"/>
    <x v="2"/>
    <d v="2022-08-04T00:00:00"/>
    <x v="49"/>
    <n v="8763"/>
    <n v="7512"/>
    <n v="1251"/>
    <x v="1"/>
    <n v="13"/>
    <x v="1"/>
    <d v="2023-09-14T00:00:00"/>
    <n v="0"/>
    <n v="2686"/>
    <n v="0.14000000000000001"/>
    <s v="Normal"/>
    <n v="2023"/>
    <s v="September"/>
  </r>
  <r>
    <n v="4463"/>
    <n v="245"/>
    <x v="2"/>
    <x v="3"/>
    <x v="0"/>
    <d v="2022-10-10T00:00:00"/>
    <x v="650"/>
    <n v="8631"/>
    <n v="5519"/>
    <n v="3112"/>
    <x v="1"/>
    <n v="1"/>
    <x v="0"/>
    <d v="2022-12-02T00:00:00"/>
    <n v="0"/>
    <n v="2687"/>
    <n v="0.36"/>
    <s v="Normal"/>
    <n v="2022"/>
    <s v="December"/>
  </r>
  <r>
    <n v="4464"/>
    <n v="292"/>
    <x v="0"/>
    <x v="1"/>
    <x v="2"/>
    <d v="2022-12-04T00:00:00"/>
    <x v="534"/>
    <n v="9111"/>
    <n v="7480"/>
    <n v="1631"/>
    <x v="1"/>
    <n v="5"/>
    <x v="0"/>
    <d v="2023-05-13T00:00:00"/>
    <n v="0"/>
    <n v="2688"/>
    <n v="0.18"/>
    <s v="Normal"/>
    <n v="2023"/>
    <s v="May"/>
  </r>
  <r>
    <n v="4465"/>
    <n v="497"/>
    <x v="4"/>
    <x v="1"/>
    <x v="0"/>
    <d v="2022-02-13T00:00:00"/>
    <x v="241"/>
    <n v="6772"/>
    <n v="2608"/>
    <n v="4164"/>
    <x v="2"/>
    <n v="11"/>
    <x v="1"/>
    <d v="2023-01-16T00:00:00"/>
    <n v="1"/>
    <n v="2689"/>
    <n v="0.61"/>
    <s v="Normal"/>
    <n v="2023"/>
    <s v="January"/>
  </r>
  <r>
    <n v="4470"/>
    <n v="198"/>
    <x v="2"/>
    <x v="2"/>
    <x v="1"/>
    <d v="2022-12-08T00:00:00"/>
    <x v="328"/>
    <n v="500"/>
    <n v="5525"/>
    <n v="-5025"/>
    <x v="1"/>
    <n v="6"/>
    <x v="2"/>
    <d v="2023-07-07T00:00:00"/>
    <n v="0"/>
    <n v="2690"/>
    <n v="-10.050000000000001"/>
    <s v="Outlier"/>
    <n v="2023"/>
    <s v="July"/>
  </r>
  <r>
    <n v="4472"/>
    <n v="448"/>
    <x v="0"/>
    <x v="3"/>
    <x v="1"/>
    <d v="2022-01-11T00:00:00"/>
    <x v="766"/>
    <n v="542"/>
    <n v="4099"/>
    <n v="-3557"/>
    <x v="2"/>
    <n v="1"/>
    <x v="0"/>
    <d v="2022-02-19T00:00:00"/>
    <n v="0"/>
    <n v="2691"/>
    <n v="-6.56"/>
    <s v="Outlier"/>
    <n v="2022"/>
    <s v="February"/>
  </r>
  <r>
    <n v="4473"/>
    <n v="375"/>
    <x v="0"/>
    <x v="1"/>
    <x v="0"/>
    <d v="2022-06-04T00:00:00"/>
    <x v="591"/>
    <n v="4967.93"/>
    <n v="1476"/>
    <n v="-3279"/>
    <x v="1"/>
    <n v="6"/>
    <x v="2"/>
    <d v="2022-12-13T00:00:00"/>
    <n v="1"/>
    <n v="2692"/>
    <n v="-0.66"/>
    <s v="Normal"/>
    <n v="2022"/>
    <s v="December"/>
  </r>
  <r>
    <n v="4474"/>
    <n v="314"/>
    <x v="0"/>
    <x v="1"/>
    <x v="2"/>
    <d v="2022-11-17T00:00:00"/>
    <x v="240"/>
    <n v="9981"/>
    <n v="601"/>
    <n v="9380"/>
    <x v="2"/>
    <n v="16"/>
    <x v="1"/>
    <d v="2024-03-27T00:00:00"/>
    <n v="1"/>
    <n v="2693"/>
    <n v="0.94"/>
    <s v="Normal"/>
    <n v="2024"/>
    <s v="March"/>
  </r>
  <r>
    <n v="4478"/>
    <n v="209"/>
    <x v="0"/>
    <x v="3"/>
    <x v="2"/>
    <d v="2022-05-10T00:00:00"/>
    <x v="297"/>
    <n v="7217"/>
    <n v="7589"/>
    <n v="-372"/>
    <x v="2"/>
    <n v="10"/>
    <x v="1"/>
    <d v="2023-04-01T00:00:00"/>
    <n v="0"/>
    <n v="2694"/>
    <n v="-0.05"/>
    <s v="Normal"/>
    <n v="2023"/>
    <s v="April"/>
  </r>
  <r>
    <n v="4479"/>
    <n v="417"/>
    <x v="3"/>
    <x v="0"/>
    <x v="0"/>
    <d v="2022-10-11T00:00:00"/>
    <x v="95"/>
    <n v="340"/>
    <n v="4012.75"/>
    <n v="443"/>
    <x v="1"/>
    <n v="12"/>
    <x v="1"/>
    <d v="2023-10-12T00:00:00"/>
    <n v="0"/>
    <n v="2695"/>
    <n v="1.3"/>
    <s v="Outlier"/>
    <n v="2023"/>
    <s v="October"/>
  </r>
  <r>
    <n v="4480"/>
    <n v="421"/>
    <x v="3"/>
    <x v="1"/>
    <x v="2"/>
    <d v="2022-06-22T00:00:00"/>
    <x v="547"/>
    <n v="4967.93"/>
    <n v="3361"/>
    <n v="577.01"/>
    <x v="1"/>
    <n v="18"/>
    <x v="1"/>
    <d v="2023-12-27T00:00:00"/>
    <n v="1"/>
    <n v="2696"/>
    <n v="0.12"/>
    <s v="Normal"/>
    <n v="2023"/>
    <s v="December"/>
  </r>
  <r>
    <n v="4481"/>
    <n v="128"/>
    <x v="1"/>
    <x v="2"/>
    <x v="0"/>
    <d v="2022-09-09T00:00:00"/>
    <x v="559"/>
    <n v="4967.93"/>
    <n v="4012.75"/>
    <n v="-1638"/>
    <x v="1"/>
    <n v="15"/>
    <x v="1"/>
    <d v="2024-01-01T00:00:00"/>
    <n v="1"/>
    <n v="2697"/>
    <n v="-0.33"/>
    <s v="Normal"/>
    <n v="2024"/>
    <s v="January"/>
  </r>
  <r>
    <n v="4483"/>
    <n v="288"/>
    <x v="3"/>
    <x v="0"/>
    <x v="2"/>
    <d v="2022-11-26T00:00:00"/>
    <x v="785"/>
    <n v="532"/>
    <n v="2841"/>
    <n v="-2309"/>
    <x v="0"/>
    <n v="17"/>
    <x v="1"/>
    <d v="2024-05-16T00:00:00"/>
    <n v="1"/>
    <n v="2698"/>
    <n v="-4.34"/>
    <s v="Outlier"/>
    <n v="2024"/>
    <s v="May"/>
  </r>
  <r>
    <n v="4484"/>
    <n v="312"/>
    <x v="0"/>
    <x v="3"/>
    <x v="1"/>
    <d v="2022-01-20T00:00:00"/>
    <x v="686"/>
    <n v="4129"/>
    <n v="2761"/>
    <n v="1368"/>
    <x v="1"/>
    <n v="12"/>
    <x v="1"/>
    <d v="2023-02-10T00:00:00"/>
    <n v="1"/>
    <n v="2699"/>
    <n v="0.33"/>
    <s v="Normal"/>
    <n v="2023"/>
    <s v="February"/>
  </r>
  <r>
    <n v="4485"/>
    <n v="204"/>
    <x v="2"/>
    <x v="0"/>
    <x v="2"/>
    <d v="2022-09-03T00:00:00"/>
    <x v="167"/>
    <n v="9691"/>
    <n v="6507"/>
    <n v="3184"/>
    <x v="1"/>
    <n v="3"/>
    <x v="0"/>
    <d v="2022-12-03T00:00:00"/>
    <n v="0"/>
    <n v="2700"/>
    <n v="0.33"/>
    <s v="Normal"/>
    <n v="2022"/>
    <s v="December"/>
  </r>
  <r>
    <n v="4487"/>
    <n v="271"/>
    <x v="2"/>
    <x v="1"/>
    <x v="0"/>
    <d v="2022-06-21T00:00:00"/>
    <x v="452"/>
    <n v="6308"/>
    <n v="7756"/>
    <n v="-1448"/>
    <x v="1"/>
    <n v="19"/>
    <x v="1"/>
    <d v="2024-02-03T00:00:00"/>
    <n v="0"/>
    <n v="2701"/>
    <n v="-0.23"/>
    <s v="Normal"/>
    <n v="2024"/>
    <s v="February"/>
  </r>
  <r>
    <n v="4490"/>
    <n v="171"/>
    <x v="3"/>
    <x v="1"/>
    <x v="0"/>
    <d v="2022-06-02T00:00:00"/>
    <x v="92"/>
    <n v="9141"/>
    <n v="7582"/>
    <n v="1559"/>
    <x v="2"/>
    <n v="7"/>
    <x v="1"/>
    <d v="2023-01-23T00:00:00"/>
    <n v="1"/>
    <n v="2702"/>
    <n v="0.17"/>
    <s v="Normal"/>
    <n v="2023"/>
    <s v="January"/>
  </r>
  <r>
    <n v="4491"/>
    <n v="321"/>
    <x v="4"/>
    <x v="2"/>
    <x v="2"/>
    <d v="2022-03-30T00:00:00"/>
    <x v="536"/>
    <n v="7082"/>
    <n v="6307"/>
    <n v="775"/>
    <x v="0"/>
    <n v="6"/>
    <x v="2"/>
    <d v="2022-10-10T00:00:00"/>
    <n v="1"/>
    <n v="2703"/>
    <n v="0.11"/>
    <s v="Normal"/>
    <n v="2022"/>
    <s v="October"/>
  </r>
  <r>
    <n v="4492"/>
    <n v="323"/>
    <x v="3"/>
    <x v="0"/>
    <x v="0"/>
    <d v="2022-01-31T00:00:00"/>
    <x v="762"/>
    <n v="3697"/>
    <n v="7012"/>
    <n v="-3315"/>
    <x v="0"/>
    <n v="1"/>
    <x v="0"/>
    <d v="2022-03-25T00:00:00"/>
    <n v="1"/>
    <n v="2704"/>
    <n v="-0.9"/>
    <s v="Normal"/>
    <n v="2022"/>
    <s v="March"/>
  </r>
  <r>
    <n v="4493"/>
    <n v="255"/>
    <x v="2"/>
    <x v="1"/>
    <x v="1"/>
    <d v="2022-10-20T00:00:00"/>
    <x v="603"/>
    <n v="719"/>
    <n v="3944"/>
    <n v="-3225"/>
    <x v="1"/>
    <n v="10"/>
    <x v="1"/>
    <d v="2023-08-25T00:00:00"/>
    <n v="0"/>
    <n v="2705"/>
    <n v="-4.49"/>
    <s v="Outlier"/>
    <n v="2023"/>
    <s v="August"/>
  </r>
  <r>
    <n v="4494"/>
    <n v="387"/>
    <x v="4"/>
    <x v="2"/>
    <x v="0"/>
    <d v="2022-11-01T00:00:00"/>
    <x v="750"/>
    <n v="9479"/>
    <n v="862"/>
    <n v="8617"/>
    <x v="2"/>
    <n v="9"/>
    <x v="1"/>
    <d v="2023-08-28T00:00:00"/>
    <n v="0"/>
    <n v="2706"/>
    <n v="0.91"/>
    <s v="Normal"/>
    <n v="2023"/>
    <s v="August"/>
  </r>
  <r>
    <n v="4495"/>
    <n v="438"/>
    <x v="2"/>
    <x v="2"/>
    <x v="1"/>
    <d v="2022-03-20T00:00:00"/>
    <x v="137"/>
    <n v="2160"/>
    <n v="6632"/>
    <n v="-4472"/>
    <x v="0"/>
    <n v="13"/>
    <x v="1"/>
    <d v="2023-05-19T00:00:00"/>
    <n v="0"/>
    <n v="2707"/>
    <n v="-2.0699999999999998"/>
    <s v="Outlier"/>
    <n v="2023"/>
    <s v="May"/>
  </r>
  <r>
    <n v="4497"/>
    <n v="235"/>
    <x v="2"/>
    <x v="2"/>
    <x v="1"/>
    <d v="2022-12-31T00:00:00"/>
    <x v="62"/>
    <n v="3533"/>
    <n v="3761"/>
    <n v="577.01"/>
    <x v="0"/>
    <n v="1"/>
    <x v="0"/>
    <d v="2023-02-07T00:00:00"/>
    <n v="1"/>
    <n v="2708"/>
    <n v="0.16"/>
    <s v="Normal"/>
    <n v="2023"/>
    <s v="February"/>
  </r>
  <r>
    <n v="4499"/>
    <n v="254"/>
    <x v="0"/>
    <x v="1"/>
    <x v="2"/>
    <d v="2022-04-22T00:00:00"/>
    <x v="737"/>
    <n v="6933"/>
    <n v="4012.75"/>
    <n v="7824"/>
    <x v="1"/>
    <n v="9"/>
    <x v="1"/>
    <d v="2023-01-29T00:00:00"/>
    <n v="0"/>
    <n v="2709"/>
    <n v="1.1299999999999999"/>
    <s v="Outlier"/>
    <n v="2023"/>
    <s v="January"/>
  </r>
  <r>
    <n v="4500"/>
    <n v="280"/>
    <x v="0"/>
    <x v="1"/>
    <x v="1"/>
    <d v="2022-01-16T00:00:00"/>
    <x v="285"/>
    <n v="3804"/>
    <n v="5661"/>
    <n v="-1857"/>
    <x v="1"/>
    <n v="7"/>
    <x v="1"/>
    <d v="2022-08-20T00:00:00"/>
    <n v="1"/>
    <n v="2710"/>
    <n v="-0.49"/>
    <s v="Normal"/>
    <n v="2022"/>
    <s v="August"/>
  </r>
  <r>
    <n v="4503"/>
    <n v="311"/>
    <x v="4"/>
    <x v="1"/>
    <x v="2"/>
    <d v="2022-01-19T00:00:00"/>
    <x v="474"/>
    <n v="4204"/>
    <n v="7657"/>
    <n v="577.01"/>
    <x v="1"/>
    <n v="13"/>
    <x v="1"/>
    <d v="2023-03-14T00:00:00"/>
    <n v="1"/>
    <n v="2711"/>
    <n v="0.14000000000000001"/>
    <s v="Normal"/>
    <n v="2023"/>
    <s v="March"/>
  </r>
  <r>
    <n v="4507"/>
    <n v="419"/>
    <x v="3"/>
    <x v="0"/>
    <x v="2"/>
    <d v="2022-11-08T00:00:00"/>
    <x v="70"/>
    <n v="992"/>
    <n v="3618"/>
    <n v="-2626"/>
    <x v="2"/>
    <n v="7"/>
    <x v="1"/>
    <d v="2023-06-22T00:00:00"/>
    <n v="0"/>
    <n v="2712"/>
    <n v="-2.65"/>
    <s v="Outlier"/>
    <n v="2023"/>
    <s v="June"/>
  </r>
  <r>
    <n v="4509"/>
    <n v="349"/>
    <x v="0"/>
    <x v="2"/>
    <x v="1"/>
    <d v="2022-05-03T00:00:00"/>
    <x v="140"/>
    <n v="2384"/>
    <n v="3549"/>
    <n v="-1165"/>
    <x v="1"/>
    <n v="13"/>
    <x v="1"/>
    <d v="2023-06-20T00:00:00"/>
    <n v="0"/>
    <n v="2713"/>
    <n v="-0.49"/>
    <s v="Normal"/>
    <n v="2023"/>
    <s v="June"/>
  </r>
  <r>
    <n v="4510"/>
    <n v="328"/>
    <x v="2"/>
    <x v="2"/>
    <x v="0"/>
    <d v="2022-03-15T00:00:00"/>
    <x v="395"/>
    <n v="6352"/>
    <n v="1292"/>
    <n v="5060"/>
    <x v="0"/>
    <n v="2"/>
    <x v="0"/>
    <d v="2022-05-31T00:00:00"/>
    <n v="0"/>
    <n v="2714"/>
    <n v="0.8"/>
    <s v="Normal"/>
    <n v="2022"/>
    <s v="May"/>
  </r>
  <r>
    <n v="4512"/>
    <n v="275"/>
    <x v="3"/>
    <x v="1"/>
    <x v="0"/>
    <d v="2022-03-02T00:00:00"/>
    <x v="355"/>
    <n v="1472"/>
    <n v="245"/>
    <n v="1227"/>
    <x v="1"/>
    <n v="3"/>
    <x v="0"/>
    <d v="2022-06-04T00:00:00"/>
    <n v="1"/>
    <n v="2715"/>
    <n v="0.83"/>
    <s v="Normal"/>
    <n v="2022"/>
    <s v="June"/>
  </r>
  <r>
    <n v="4513"/>
    <n v="374"/>
    <x v="3"/>
    <x v="3"/>
    <x v="2"/>
    <d v="2022-06-22T00:00:00"/>
    <x v="626"/>
    <n v="7043"/>
    <n v="2446"/>
    <n v="4597"/>
    <x v="2"/>
    <n v="16"/>
    <x v="1"/>
    <d v="2023-11-05T00:00:00"/>
    <n v="1"/>
    <n v="2716"/>
    <n v="0.65"/>
    <s v="Normal"/>
    <n v="2023"/>
    <s v="November"/>
  </r>
  <r>
    <n v="4514"/>
    <n v="252"/>
    <x v="0"/>
    <x v="0"/>
    <x v="2"/>
    <d v="2022-12-01T00:00:00"/>
    <x v="140"/>
    <n v="6032"/>
    <n v="6945"/>
    <n v="-913"/>
    <x v="1"/>
    <n v="6"/>
    <x v="2"/>
    <d v="2023-06-20T00:00:00"/>
    <n v="1"/>
    <n v="2717"/>
    <n v="-0.15"/>
    <s v="Normal"/>
    <n v="2023"/>
    <s v="June"/>
  </r>
  <r>
    <n v="4516"/>
    <n v="326"/>
    <x v="3"/>
    <x v="1"/>
    <x v="2"/>
    <d v="2022-03-01T00:00:00"/>
    <x v="680"/>
    <n v="5291"/>
    <n v="2396"/>
    <n v="2895"/>
    <x v="2"/>
    <n v="10"/>
    <x v="1"/>
    <d v="2023-01-26T00:00:00"/>
    <n v="1"/>
    <n v="2718"/>
    <n v="0.55000000000000004"/>
    <s v="Normal"/>
    <n v="2023"/>
    <s v="January"/>
  </r>
  <r>
    <n v="4518"/>
    <n v="256"/>
    <x v="1"/>
    <x v="1"/>
    <x v="1"/>
    <d v="2022-04-04T00:00:00"/>
    <x v="549"/>
    <n v="3217"/>
    <n v="389"/>
    <n v="2828"/>
    <x v="1"/>
    <n v="7"/>
    <x v="1"/>
    <d v="2022-11-09T00:00:00"/>
    <n v="1"/>
    <n v="2719"/>
    <n v="0.88"/>
    <s v="Normal"/>
    <n v="2022"/>
    <s v="November"/>
  </r>
  <r>
    <n v="4521"/>
    <n v="482"/>
    <x v="2"/>
    <x v="0"/>
    <x v="0"/>
    <d v="2022-10-10T00:00:00"/>
    <x v="122"/>
    <n v="2670"/>
    <n v="7327"/>
    <n v="-4657"/>
    <x v="1"/>
    <n v="14"/>
    <x v="1"/>
    <d v="2023-12-21T00:00:00"/>
    <n v="1"/>
    <n v="2720"/>
    <n v="-1.74"/>
    <s v="Outlier"/>
    <n v="2023"/>
    <s v="December"/>
  </r>
  <r>
    <n v="4522"/>
    <n v="130"/>
    <x v="3"/>
    <x v="1"/>
    <x v="2"/>
    <d v="2022-12-29T00:00:00"/>
    <x v="684"/>
    <n v="8073"/>
    <n v="6606"/>
    <n v="1467"/>
    <x v="2"/>
    <n v="17"/>
    <x v="1"/>
    <d v="2024-06-14T00:00:00"/>
    <n v="1"/>
    <n v="2721"/>
    <n v="0.18"/>
    <s v="Normal"/>
    <n v="2024"/>
    <s v="June"/>
  </r>
  <r>
    <n v="4523"/>
    <n v="286"/>
    <x v="4"/>
    <x v="3"/>
    <x v="0"/>
    <d v="2022-04-26T00:00:00"/>
    <x v="203"/>
    <n v="9386"/>
    <n v="2608"/>
    <n v="6778"/>
    <x v="1"/>
    <n v="12"/>
    <x v="1"/>
    <d v="2023-05-06T00:00:00"/>
    <n v="0"/>
    <n v="2722"/>
    <n v="0.72"/>
    <s v="Normal"/>
    <n v="2023"/>
    <s v="May"/>
  </r>
  <r>
    <n v="4524"/>
    <n v="469"/>
    <x v="3"/>
    <x v="3"/>
    <x v="1"/>
    <d v="2022-09-30T00:00:00"/>
    <x v="272"/>
    <n v="4967.93"/>
    <n v="4582"/>
    <n v="-4935"/>
    <x v="2"/>
    <n v="9"/>
    <x v="1"/>
    <d v="2023-07-01T00:00:00"/>
    <n v="1"/>
    <n v="2723"/>
    <n v="-0.99"/>
    <s v="Normal"/>
    <n v="2023"/>
    <s v="July"/>
  </r>
  <r>
    <n v="4526"/>
    <n v="116"/>
    <x v="2"/>
    <x v="0"/>
    <x v="2"/>
    <d v="2022-03-19T00:00:00"/>
    <x v="731"/>
    <n v="8338"/>
    <n v="3198"/>
    <n v="5140"/>
    <x v="1"/>
    <n v="14"/>
    <x v="1"/>
    <d v="2023-05-24T00:00:00"/>
    <n v="1"/>
    <n v="2724"/>
    <n v="0.62"/>
    <s v="Normal"/>
    <n v="2023"/>
    <s v="May"/>
  </r>
  <r>
    <n v="4531"/>
    <n v="256"/>
    <x v="1"/>
    <x v="1"/>
    <x v="2"/>
    <d v="2022-05-26T00:00:00"/>
    <x v="786"/>
    <n v="658"/>
    <n v="3302"/>
    <n v="-2644"/>
    <x v="1"/>
    <n v="14"/>
    <x v="1"/>
    <d v="2023-08-05T00:00:00"/>
    <n v="0"/>
    <n v="2725"/>
    <n v="-4.0199999999999996"/>
    <s v="Outlier"/>
    <n v="2023"/>
    <s v="August"/>
  </r>
  <r>
    <n v="4532"/>
    <n v="323"/>
    <x v="3"/>
    <x v="2"/>
    <x v="1"/>
    <d v="2022-05-19T00:00:00"/>
    <x v="605"/>
    <n v="4398"/>
    <n v="5584"/>
    <n v="577.01"/>
    <x v="1"/>
    <n v="17"/>
    <x v="1"/>
    <d v="2023-10-29T00:00:00"/>
    <n v="1"/>
    <n v="2726"/>
    <n v="0.13"/>
    <s v="Normal"/>
    <n v="2023"/>
    <s v="October"/>
  </r>
  <r>
    <n v="4535"/>
    <n v="130"/>
    <x v="0"/>
    <x v="0"/>
    <x v="2"/>
    <d v="2022-01-01T00:00:00"/>
    <x v="1"/>
    <n v="9661"/>
    <n v="6073"/>
    <n v="3588"/>
    <x v="0"/>
    <n v="4"/>
    <x v="0"/>
    <d v="2022-05-18T00:00:00"/>
    <n v="1"/>
    <n v="2727"/>
    <n v="0.37"/>
    <s v="Normal"/>
    <n v="2022"/>
    <s v="May"/>
  </r>
  <r>
    <n v="4537"/>
    <n v="466"/>
    <x v="3"/>
    <x v="0"/>
    <x v="2"/>
    <d v="2022-03-31T00:00:00"/>
    <x v="500"/>
    <n v="6977"/>
    <n v="4012.75"/>
    <n v="7759"/>
    <x v="2"/>
    <n v="12"/>
    <x v="1"/>
    <d v="2023-04-18T00:00:00"/>
    <n v="1"/>
    <n v="2728"/>
    <n v="1.1100000000000001"/>
    <s v="Outlier"/>
    <n v="2023"/>
    <s v="April"/>
  </r>
  <r>
    <n v="4538"/>
    <n v="433"/>
    <x v="4"/>
    <x v="0"/>
    <x v="1"/>
    <d v="2022-07-23T00:00:00"/>
    <x v="30"/>
    <n v="4234"/>
    <n v="7081"/>
    <n v="-2847"/>
    <x v="1"/>
    <n v="5"/>
    <x v="0"/>
    <d v="2023-01-13T00:00:00"/>
    <n v="1"/>
    <n v="2729"/>
    <n v="-0.67"/>
    <s v="Normal"/>
    <n v="2023"/>
    <s v="January"/>
  </r>
  <r>
    <n v="4540"/>
    <n v="120"/>
    <x v="4"/>
    <x v="2"/>
    <x v="0"/>
    <d v="2022-06-01T00:00:00"/>
    <x v="365"/>
    <n v="7639"/>
    <n v="3216"/>
    <n v="4423"/>
    <x v="0"/>
    <n v="12"/>
    <x v="1"/>
    <d v="2023-06-15T00:00:00"/>
    <n v="1"/>
    <n v="2730"/>
    <n v="0.57999999999999996"/>
    <s v="Normal"/>
    <n v="2023"/>
    <s v="June"/>
  </r>
  <r>
    <n v="4542"/>
    <n v="420"/>
    <x v="2"/>
    <x v="1"/>
    <x v="2"/>
    <d v="2022-08-26T00:00:00"/>
    <x v="419"/>
    <n v="6533"/>
    <n v="1824"/>
    <n v="4709"/>
    <x v="2"/>
    <n v="11"/>
    <x v="1"/>
    <d v="2023-08-08T00:00:00"/>
    <n v="0"/>
    <n v="2731"/>
    <n v="0.72"/>
    <s v="Normal"/>
    <n v="2023"/>
    <s v="August"/>
  </r>
  <r>
    <n v="4544"/>
    <n v="364"/>
    <x v="4"/>
    <x v="2"/>
    <x v="0"/>
    <d v="2022-04-26T00:00:00"/>
    <x v="88"/>
    <n v="612"/>
    <n v="5102"/>
    <n v="-4490"/>
    <x v="0"/>
    <n v="13"/>
    <x v="1"/>
    <d v="2023-06-07T00:00:00"/>
    <n v="1"/>
    <n v="2732"/>
    <n v="-7.34"/>
    <s v="Outlier"/>
    <n v="2023"/>
    <s v="June"/>
  </r>
  <r>
    <n v="4546"/>
    <n v="290"/>
    <x v="1"/>
    <x v="1"/>
    <x v="1"/>
    <d v="2022-02-22T00:00:00"/>
    <x v="434"/>
    <n v="7239"/>
    <n v="3755"/>
    <n v="3484"/>
    <x v="1"/>
    <n v="5"/>
    <x v="0"/>
    <d v="2022-07-30T00:00:00"/>
    <n v="1"/>
    <n v="2733"/>
    <n v="0.48"/>
    <s v="Normal"/>
    <n v="2022"/>
    <s v="July"/>
  </r>
  <r>
    <n v="4547"/>
    <n v="148"/>
    <x v="3"/>
    <x v="3"/>
    <x v="2"/>
    <d v="2022-11-13T00:00:00"/>
    <x v="448"/>
    <n v="2331"/>
    <n v="3834"/>
    <n v="-1503"/>
    <x v="1"/>
    <n v="8"/>
    <x v="1"/>
    <d v="2023-07-21T00:00:00"/>
    <n v="0"/>
    <n v="2734"/>
    <n v="-0.64"/>
    <s v="Normal"/>
    <n v="2023"/>
    <s v="July"/>
  </r>
  <r>
    <n v="4550"/>
    <n v="450"/>
    <x v="2"/>
    <x v="2"/>
    <x v="0"/>
    <d v="2022-04-05T00:00:00"/>
    <x v="338"/>
    <n v="7222"/>
    <n v="5952"/>
    <n v="1270"/>
    <x v="2"/>
    <n v="18"/>
    <x v="1"/>
    <d v="2023-10-24T00:00:00"/>
    <n v="0"/>
    <n v="2735"/>
    <n v="0.18"/>
    <s v="Normal"/>
    <n v="2023"/>
    <s v="October"/>
  </r>
  <r>
    <n v="4553"/>
    <n v="487"/>
    <x v="2"/>
    <x v="1"/>
    <x v="2"/>
    <d v="2022-03-05T00:00:00"/>
    <x v="532"/>
    <n v="5565"/>
    <n v="4631"/>
    <n v="934"/>
    <x v="2"/>
    <n v="6"/>
    <x v="2"/>
    <d v="2022-09-15T00:00:00"/>
    <n v="1"/>
    <n v="2736"/>
    <n v="0.17"/>
    <s v="Normal"/>
    <n v="2022"/>
    <s v="September"/>
  </r>
  <r>
    <n v="4554"/>
    <n v="203"/>
    <x v="0"/>
    <x v="0"/>
    <x v="0"/>
    <d v="2022-04-14T00:00:00"/>
    <x v="417"/>
    <n v="6063"/>
    <n v="7978"/>
    <n v="-1915"/>
    <x v="0"/>
    <n v="5"/>
    <x v="0"/>
    <d v="2022-10-08T00:00:00"/>
    <n v="0"/>
    <n v="2737"/>
    <n v="-0.32"/>
    <s v="Normal"/>
    <n v="2022"/>
    <s v="October"/>
  </r>
  <r>
    <n v="4556"/>
    <n v="127"/>
    <x v="4"/>
    <x v="3"/>
    <x v="2"/>
    <d v="2022-12-31T00:00:00"/>
    <x v="767"/>
    <n v="2837"/>
    <n v="5836"/>
    <n v="-2999"/>
    <x v="1"/>
    <n v="19"/>
    <x v="1"/>
    <d v="2024-08-04T00:00:00"/>
    <n v="1"/>
    <n v="2738"/>
    <n v="-1.06"/>
    <s v="Outlier"/>
    <n v="2024"/>
    <s v="August"/>
  </r>
  <r>
    <n v="4560"/>
    <n v="307"/>
    <x v="3"/>
    <x v="2"/>
    <x v="2"/>
    <d v="2022-04-30T00:00:00"/>
    <x v="495"/>
    <n v="5271"/>
    <n v="4374"/>
    <n v="897"/>
    <x v="1"/>
    <n v="19"/>
    <x v="1"/>
    <d v="2023-12-04T00:00:00"/>
    <n v="1"/>
    <n v="2739"/>
    <n v="0.17"/>
    <s v="Normal"/>
    <n v="2023"/>
    <s v="December"/>
  </r>
  <r>
    <n v="4562"/>
    <n v="413"/>
    <x v="0"/>
    <x v="0"/>
    <x v="2"/>
    <d v="2022-06-25T00:00:00"/>
    <x v="40"/>
    <n v="8645"/>
    <n v="687"/>
    <n v="7958"/>
    <x v="1"/>
    <n v="12"/>
    <x v="1"/>
    <d v="2023-07-02T00:00:00"/>
    <n v="1"/>
    <n v="2740"/>
    <n v="0.92"/>
    <s v="Normal"/>
    <n v="2023"/>
    <s v="July"/>
  </r>
  <r>
    <n v="4563"/>
    <n v="176"/>
    <x v="1"/>
    <x v="3"/>
    <x v="0"/>
    <d v="2022-06-17T00:00:00"/>
    <x v="200"/>
    <n v="4506"/>
    <n v="53"/>
    <n v="4453"/>
    <x v="0"/>
    <n v="17"/>
    <x v="1"/>
    <d v="2023-12-09T00:00:00"/>
    <n v="1"/>
    <n v="2741"/>
    <n v="0.99"/>
    <s v="Normal"/>
    <n v="2023"/>
    <s v="December"/>
  </r>
  <r>
    <n v="4565"/>
    <n v="347"/>
    <x v="3"/>
    <x v="2"/>
    <x v="0"/>
    <d v="2022-08-10T00:00:00"/>
    <x v="573"/>
    <n v="8636"/>
    <n v="1014"/>
    <n v="7622"/>
    <x v="1"/>
    <n v="16"/>
    <x v="1"/>
    <d v="2023-12-29T00:00:00"/>
    <n v="1"/>
    <n v="2742"/>
    <n v="0.88"/>
    <s v="Normal"/>
    <n v="2023"/>
    <s v="December"/>
  </r>
  <r>
    <n v="4568"/>
    <n v="158"/>
    <x v="4"/>
    <x v="2"/>
    <x v="2"/>
    <d v="2022-04-20T00:00:00"/>
    <x v="404"/>
    <n v="610"/>
    <n v="6794"/>
    <n v="577.01"/>
    <x v="1"/>
    <n v="14"/>
    <x v="1"/>
    <d v="2023-06-28T00:00:00"/>
    <n v="1"/>
    <n v="2743"/>
    <n v="0.95"/>
    <s v="Normal"/>
    <n v="2023"/>
    <s v="June"/>
  </r>
  <r>
    <n v="4570"/>
    <n v="148"/>
    <x v="3"/>
    <x v="3"/>
    <x v="1"/>
    <d v="2022-08-06T00:00:00"/>
    <x v="446"/>
    <n v="6557"/>
    <n v="148"/>
    <n v="6409"/>
    <x v="1"/>
    <n v="6"/>
    <x v="2"/>
    <d v="2023-02-13T00:00:00"/>
    <n v="1"/>
    <n v="2744"/>
    <n v="0.98"/>
    <s v="Normal"/>
    <n v="2023"/>
    <s v="February"/>
  </r>
  <r>
    <n v="4571"/>
    <n v="290"/>
    <x v="1"/>
    <x v="0"/>
    <x v="2"/>
    <d v="2022-10-10T00:00:00"/>
    <x v="223"/>
    <n v="3862"/>
    <n v="2227"/>
    <n v="577.01"/>
    <x v="2"/>
    <n v="10"/>
    <x v="1"/>
    <d v="2023-08-23T00:00:00"/>
    <n v="1"/>
    <n v="2745"/>
    <n v="0.15"/>
    <s v="Normal"/>
    <n v="2023"/>
    <s v="August"/>
  </r>
  <r>
    <n v="4573"/>
    <n v="310"/>
    <x v="1"/>
    <x v="1"/>
    <x v="0"/>
    <d v="2022-10-18T00:00:00"/>
    <x v="111"/>
    <n v="6639"/>
    <n v="4701"/>
    <n v="1938"/>
    <x v="0"/>
    <n v="12"/>
    <x v="1"/>
    <d v="2023-11-16T00:00:00"/>
    <n v="1"/>
    <n v="2746"/>
    <n v="0.28999999999999998"/>
    <s v="Normal"/>
    <n v="2023"/>
    <s v="November"/>
  </r>
  <r>
    <n v="4574"/>
    <n v="126"/>
    <x v="2"/>
    <x v="0"/>
    <x v="1"/>
    <d v="2022-06-21T00:00:00"/>
    <x v="688"/>
    <n v="5141"/>
    <n v="1121"/>
    <n v="4020"/>
    <x v="0"/>
    <n v="12"/>
    <x v="1"/>
    <d v="2023-07-08T00:00:00"/>
    <n v="1"/>
    <n v="2747"/>
    <n v="0.78"/>
    <s v="Normal"/>
    <n v="2023"/>
    <s v="July"/>
  </r>
  <r>
    <n v="4575"/>
    <n v="346"/>
    <x v="2"/>
    <x v="1"/>
    <x v="0"/>
    <d v="2022-05-09T00:00:00"/>
    <x v="678"/>
    <n v="3899"/>
    <n v="4012.75"/>
    <n v="4123"/>
    <x v="1"/>
    <n v="18"/>
    <x v="1"/>
    <d v="2023-11-13T00:00:00"/>
    <n v="1"/>
    <n v="2748"/>
    <n v="1.06"/>
    <s v="Outlier"/>
    <n v="2023"/>
    <s v="November"/>
  </r>
  <r>
    <n v="4577"/>
    <n v="419"/>
    <x v="4"/>
    <x v="3"/>
    <x v="2"/>
    <d v="2022-06-03T00:00:00"/>
    <x v="270"/>
    <n v="1143"/>
    <n v="4484"/>
    <n v="-3341"/>
    <x v="2"/>
    <n v="15"/>
    <x v="1"/>
    <d v="2023-09-09T00:00:00"/>
    <n v="0"/>
    <n v="2749"/>
    <n v="-2.92"/>
    <s v="Outlier"/>
    <n v="2023"/>
    <s v="September"/>
  </r>
  <r>
    <n v="4578"/>
    <n v="259"/>
    <x v="0"/>
    <x v="1"/>
    <x v="0"/>
    <d v="2022-10-03T00:00:00"/>
    <x v="189"/>
    <n v="1964"/>
    <n v="3595"/>
    <n v="-1631"/>
    <x v="1"/>
    <n v="6"/>
    <x v="2"/>
    <d v="2023-04-04T00:00:00"/>
    <n v="0"/>
    <n v="2750"/>
    <n v="-0.83"/>
    <s v="Normal"/>
    <n v="2023"/>
    <s v="April"/>
  </r>
  <r>
    <n v="4579"/>
    <n v="363"/>
    <x v="3"/>
    <x v="3"/>
    <x v="0"/>
    <d v="2022-12-22T00:00:00"/>
    <x v="547"/>
    <n v="5264"/>
    <n v="3167"/>
    <n v="2097"/>
    <x v="1"/>
    <n v="12"/>
    <x v="1"/>
    <d v="2023-12-27T00:00:00"/>
    <n v="0"/>
    <n v="2751"/>
    <n v="0.4"/>
    <s v="Normal"/>
    <n v="2023"/>
    <s v="December"/>
  </r>
  <r>
    <n v="4581"/>
    <n v="303"/>
    <x v="3"/>
    <x v="2"/>
    <x v="0"/>
    <d v="2022-09-13T00:00:00"/>
    <x v="534"/>
    <n v="5826"/>
    <n v="4887"/>
    <n v="939"/>
    <x v="2"/>
    <n v="8"/>
    <x v="1"/>
    <d v="2023-05-13T00:00:00"/>
    <n v="0"/>
    <n v="2752"/>
    <n v="0.16"/>
    <s v="Normal"/>
    <n v="2023"/>
    <s v="May"/>
  </r>
  <r>
    <n v="4582"/>
    <n v="481"/>
    <x v="0"/>
    <x v="1"/>
    <x v="2"/>
    <d v="2022-12-22T00:00:00"/>
    <x v="441"/>
    <n v="3578"/>
    <n v="3967"/>
    <n v="577.01"/>
    <x v="2"/>
    <n v="8"/>
    <x v="1"/>
    <d v="2023-09-02T00:00:00"/>
    <n v="0"/>
    <n v="2753"/>
    <n v="0.16"/>
    <s v="Normal"/>
    <n v="2023"/>
    <s v="September"/>
  </r>
  <r>
    <n v="4583"/>
    <n v="141"/>
    <x v="4"/>
    <x v="0"/>
    <x v="1"/>
    <d v="2022-10-19T00:00:00"/>
    <x v="283"/>
    <n v="5244"/>
    <n v="5619"/>
    <n v="-375"/>
    <x v="2"/>
    <n v="5"/>
    <x v="0"/>
    <d v="2023-04-12T00:00:00"/>
    <n v="1"/>
    <n v="2754"/>
    <n v="-7.0000000000000007E-2"/>
    <s v="Normal"/>
    <n v="2023"/>
    <s v="April"/>
  </r>
  <r>
    <n v="4584"/>
    <n v="114"/>
    <x v="3"/>
    <x v="2"/>
    <x v="1"/>
    <d v="2022-03-01T00:00:00"/>
    <x v="787"/>
    <n v="1586"/>
    <n v="7830"/>
    <n v="-6244"/>
    <x v="0"/>
    <n v="2"/>
    <x v="0"/>
    <d v="2022-05-14T00:00:00"/>
    <n v="0"/>
    <n v="2755"/>
    <n v="-3.94"/>
    <s v="Outlier"/>
    <n v="2022"/>
    <s v="May"/>
  </r>
  <r>
    <n v="4585"/>
    <n v="170"/>
    <x v="4"/>
    <x v="2"/>
    <x v="1"/>
    <d v="2022-05-18T00:00:00"/>
    <x v="303"/>
    <n v="4967.93"/>
    <n v="4012.75"/>
    <n v="-471"/>
    <x v="0"/>
    <n v="7"/>
    <x v="1"/>
    <d v="2022-12-20T00:00:00"/>
    <n v="1"/>
    <n v="2756"/>
    <n v="-0.09"/>
    <s v="Normal"/>
    <n v="2022"/>
    <s v="December"/>
  </r>
  <r>
    <n v="4586"/>
    <n v="101"/>
    <x v="2"/>
    <x v="0"/>
    <x v="1"/>
    <d v="2022-04-22T00:00:00"/>
    <x v="110"/>
    <n v="2029"/>
    <n v="4012.75"/>
    <n v="2514"/>
    <x v="2"/>
    <n v="6"/>
    <x v="2"/>
    <d v="2022-10-31T00:00:00"/>
    <n v="0"/>
    <n v="2757"/>
    <n v="1.24"/>
    <s v="Outlier"/>
    <n v="2022"/>
    <s v="October"/>
  </r>
  <r>
    <n v="4588"/>
    <n v="447"/>
    <x v="4"/>
    <x v="0"/>
    <x v="1"/>
    <d v="2022-07-27T00:00:00"/>
    <x v="227"/>
    <n v="4058"/>
    <n v="4012.75"/>
    <n v="4164"/>
    <x v="2"/>
    <n v="1"/>
    <x v="0"/>
    <d v="2022-09-21T00:00:00"/>
    <n v="0"/>
    <n v="2758"/>
    <n v="1.03"/>
    <s v="Outlier"/>
    <n v="2022"/>
    <s v="September"/>
  </r>
  <r>
    <n v="4590"/>
    <n v="297"/>
    <x v="1"/>
    <x v="0"/>
    <x v="1"/>
    <d v="2022-04-10T00:00:00"/>
    <x v="492"/>
    <n v="5993"/>
    <n v="6949"/>
    <n v="-956"/>
    <x v="1"/>
    <n v="13"/>
    <x v="1"/>
    <d v="2023-06-04T00:00:00"/>
    <n v="1"/>
    <n v="2759"/>
    <n v="-0.16"/>
    <s v="Normal"/>
    <n v="2023"/>
    <s v="June"/>
  </r>
  <r>
    <n v="4591"/>
    <n v="348"/>
    <x v="2"/>
    <x v="2"/>
    <x v="2"/>
    <d v="2022-01-16T00:00:00"/>
    <x v="23"/>
    <n v="732"/>
    <n v="985"/>
    <n v="-253"/>
    <x v="0"/>
    <n v="7"/>
    <x v="1"/>
    <d v="2022-08-27T00:00:00"/>
    <n v="1"/>
    <n v="2760"/>
    <n v="-0.35"/>
    <s v="Normal"/>
    <n v="2022"/>
    <s v="August"/>
  </r>
  <r>
    <n v="4592"/>
    <n v="357"/>
    <x v="1"/>
    <x v="3"/>
    <x v="2"/>
    <d v="2022-02-11T00:00:00"/>
    <x v="40"/>
    <n v="4967.93"/>
    <n v="4545"/>
    <n v="-4957"/>
    <x v="1"/>
    <n v="16"/>
    <x v="1"/>
    <d v="2023-07-02T00:00:00"/>
    <n v="0"/>
    <n v="2761"/>
    <n v="-1"/>
    <s v="Normal"/>
    <n v="2023"/>
    <s v="July"/>
  </r>
  <r>
    <n v="4593"/>
    <n v="315"/>
    <x v="2"/>
    <x v="1"/>
    <x v="2"/>
    <d v="2022-05-06T00:00:00"/>
    <x v="261"/>
    <n v="7356"/>
    <n v="5813"/>
    <n v="1543"/>
    <x v="0"/>
    <n v="11"/>
    <x v="1"/>
    <d v="2023-05-02T00:00:00"/>
    <n v="0"/>
    <n v="2762"/>
    <n v="0.21"/>
    <s v="Normal"/>
    <n v="2023"/>
    <s v="May"/>
  </r>
  <r>
    <n v="4594"/>
    <n v="125"/>
    <x v="1"/>
    <x v="3"/>
    <x v="2"/>
    <d v="2022-11-10T00:00:00"/>
    <x v="189"/>
    <n v="4967.93"/>
    <n v="3698"/>
    <n v="577.01"/>
    <x v="1"/>
    <n v="4"/>
    <x v="0"/>
    <d v="2023-04-04T00:00:00"/>
    <n v="0"/>
    <n v="2763"/>
    <n v="0.12"/>
    <s v="Normal"/>
    <n v="2023"/>
    <s v="April"/>
  </r>
  <r>
    <n v="4595"/>
    <n v="193"/>
    <x v="3"/>
    <x v="1"/>
    <x v="2"/>
    <d v="2022-08-08T00:00:00"/>
    <x v="19"/>
    <n v="411"/>
    <n v="4739"/>
    <n v="-4328"/>
    <x v="1"/>
    <n v="6"/>
    <x v="2"/>
    <d v="2023-02-19T00:00:00"/>
    <n v="1"/>
    <n v="2764"/>
    <n v="-10.53"/>
    <s v="Outlier"/>
    <n v="2023"/>
    <s v="February"/>
  </r>
  <r>
    <n v="4596"/>
    <n v="134"/>
    <x v="3"/>
    <x v="1"/>
    <x v="2"/>
    <d v="2022-03-14T00:00:00"/>
    <x v="132"/>
    <n v="7437"/>
    <n v="7419"/>
    <n v="18"/>
    <x v="1"/>
    <n v="7"/>
    <x v="1"/>
    <d v="2022-11-02T00:00:00"/>
    <n v="0"/>
    <n v="2765"/>
    <n v="0"/>
    <s v="Normal"/>
    <n v="2022"/>
    <s v="November"/>
  </r>
  <r>
    <n v="4597"/>
    <n v="368"/>
    <x v="2"/>
    <x v="1"/>
    <x v="0"/>
    <d v="2022-08-22T00:00:00"/>
    <x v="138"/>
    <n v="6984"/>
    <n v="6579"/>
    <n v="405"/>
    <x v="0"/>
    <n v="1"/>
    <x v="0"/>
    <d v="2022-10-11T00:00:00"/>
    <n v="1"/>
    <n v="2766"/>
    <n v="0.06"/>
    <s v="Normal"/>
    <n v="2022"/>
    <s v="October"/>
  </r>
  <r>
    <n v="4598"/>
    <n v="408"/>
    <x v="0"/>
    <x v="0"/>
    <x v="2"/>
    <d v="2022-06-05T00:00:00"/>
    <x v="779"/>
    <n v="8523"/>
    <n v="2868"/>
    <n v="5655"/>
    <x v="1"/>
    <n v="17"/>
    <x v="1"/>
    <d v="2023-11-26T00:00:00"/>
    <n v="0"/>
    <n v="2767"/>
    <n v="0.66"/>
    <s v="Normal"/>
    <n v="2023"/>
    <s v="November"/>
  </r>
  <r>
    <n v="4599"/>
    <n v="427"/>
    <x v="1"/>
    <x v="2"/>
    <x v="0"/>
    <d v="2022-06-28T00:00:00"/>
    <x v="244"/>
    <n v="1252"/>
    <n v="920"/>
    <n v="332"/>
    <x v="0"/>
    <n v="5"/>
    <x v="0"/>
    <d v="2022-12-26T00:00:00"/>
    <n v="0"/>
    <n v="2768"/>
    <n v="0.27"/>
    <s v="Normal"/>
    <n v="2022"/>
    <s v="December"/>
  </r>
  <r>
    <n v="4600"/>
    <n v="282"/>
    <x v="2"/>
    <x v="0"/>
    <x v="1"/>
    <d v="2022-07-12T00:00:00"/>
    <x v="710"/>
    <n v="4967.93"/>
    <n v="2059"/>
    <n v="-2974"/>
    <x v="1"/>
    <n v="6"/>
    <x v="2"/>
    <d v="2023-02-06T00:00:00"/>
    <n v="0"/>
    <n v="2769"/>
    <n v="-0.6"/>
    <s v="Normal"/>
    <n v="2023"/>
    <s v="February"/>
  </r>
  <r>
    <n v="4603"/>
    <n v="174"/>
    <x v="3"/>
    <x v="1"/>
    <x v="1"/>
    <d v="2022-02-18T00:00:00"/>
    <x v="770"/>
    <n v="9856"/>
    <n v="1530"/>
    <n v="8326"/>
    <x v="1"/>
    <n v="5"/>
    <x v="0"/>
    <d v="2022-07-29T00:00:00"/>
    <n v="0"/>
    <n v="2770"/>
    <n v="0.84"/>
    <s v="Normal"/>
    <n v="2022"/>
    <s v="July"/>
  </r>
  <r>
    <n v="4604"/>
    <n v="132"/>
    <x v="3"/>
    <x v="2"/>
    <x v="1"/>
    <d v="2022-11-07T00:00:00"/>
    <x v="21"/>
    <n v="2417"/>
    <n v="5792"/>
    <n v="-3375"/>
    <x v="0"/>
    <n v="19"/>
    <x v="1"/>
    <d v="2024-06-15T00:00:00"/>
    <n v="0"/>
    <n v="2771"/>
    <n v="-1.4"/>
    <s v="Outlier"/>
    <n v="2024"/>
    <s v="June"/>
  </r>
  <r>
    <n v="4605"/>
    <n v="244"/>
    <x v="4"/>
    <x v="0"/>
    <x v="1"/>
    <d v="2022-11-08T00:00:00"/>
    <x v="84"/>
    <n v="9575"/>
    <n v="1680"/>
    <n v="7895"/>
    <x v="0"/>
    <n v="7"/>
    <x v="1"/>
    <d v="2023-06-10T00:00:00"/>
    <n v="0"/>
    <n v="2772"/>
    <n v="0.82"/>
    <s v="Normal"/>
    <n v="2023"/>
    <s v="June"/>
  </r>
  <r>
    <n v="4606"/>
    <n v="438"/>
    <x v="3"/>
    <x v="0"/>
    <x v="0"/>
    <d v="2022-04-15T00:00:00"/>
    <x v="503"/>
    <n v="4094"/>
    <n v="2989"/>
    <n v="1105"/>
    <x v="1"/>
    <n v="12"/>
    <x v="1"/>
    <d v="2023-05-07T00:00:00"/>
    <n v="1"/>
    <n v="2773"/>
    <n v="0.27"/>
    <s v="Normal"/>
    <n v="2023"/>
    <s v="May"/>
  </r>
  <r>
    <n v="4608"/>
    <n v="349"/>
    <x v="4"/>
    <x v="1"/>
    <x v="2"/>
    <d v="2022-12-17T00:00:00"/>
    <x v="318"/>
    <n v="5921"/>
    <n v="6040"/>
    <n v="-119"/>
    <x v="2"/>
    <n v="8"/>
    <x v="1"/>
    <d v="2023-08-17T00:00:00"/>
    <n v="1"/>
    <n v="2774"/>
    <n v="-0.02"/>
    <s v="Normal"/>
    <n v="2023"/>
    <s v="August"/>
  </r>
  <r>
    <n v="4610"/>
    <n v="304"/>
    <x v="2"/>
    <x v="0"/>
    <x v="1"/>
    <d v="2022-11-20T00:00:00"/>
    <x v="21"/>
    <n v="5980"/>
    <n v="1854"/>
    <n v="4126"/>
    <x v="0"/>
    <n v="18"/>
    <x v="1"/>
    <d v="2024-06-15T00:00:00"/>
    <n v="0"/>
    <n v="2775"/>
    <n v="0.69"/>
    <s v="Normal"/>
    <n v="2024"/>
    <s v="June"/>
  </r>
  <r>
    <n v="4612"/>
    <n v="448"/>
    <x v="0"/>
    <x v="3"/>
    <x v="1"/>
    <d v="2022-06-07T00:00:00"/>
    <x v="119"/>
    <n v="5433"/>
    <n v="764"/>
    <n v="4669"/>
    <x v="0"/>
    <n v="17"/>
    <x v="1"/>
    <d v="2023-11-17T00:00:00"/>
    <n v="1"/>
    <n v="2776"/>
    <n v="0.86"/>
    <s v="Normal"/>
    <n v="2023"/>
    <s v="November"/>
  </r>
  <r>
    <n v="4613"/>
    <n v="354"/>
    <x v="3"/>
    <x v="0"/>
    <x v="1"/>
    <d v="2022-08-21T00:00:00"/>
    <x v="58"/>
    <n v="297"/>
    <n v="4254"/>
    <n v="-3957"/>
    <x v="1"/>
    <n v="7"/>
    <x v="1"/>
    <d v="2023-04-02T00:00:00"/>
    <n v="1"/>
    <n v="2777"/>
    <n v="-13.32"/>
    <s v="Outlier"/>
    <n v="2023"/>
    <s v="April"/>
  </r>
  <r>
    <n v="4615"/>
    <n v="279"/>
    <x v="2"/>
    <x v="2"/>
    <x v="0"/>
    <d v="2022-10-18T00:00:00"/>
    <x v="111"/>
    <n v="5749"/>
    <n v="3848"/>
    <n v="1901"/>
    <x v="0"/>
    <n v="12"/>
    <x v="1"/>
    <d v="2023-11-16T00:00:00"/>
    <n v="1"/>
    <n v="2778"/>
    <n v="0.33"/>
    <s v="Normal"/>
    <n v="2023"/>
    <s v="November"/>
  </r>
  <r>
    <n v="4617"/>
    <n v="303"/>
    <x v="4"/>
    <x v="0"/>
    <x v="0"/>
    <d v="2022-12-07T00:00:00"/>
    <x v="33"/>
    <n v="4967.93"/>
    <n v="573"/>
    <n v="577.01"/>
    <x v="0"/>
    <n v="5"/>
    <x v="0"/>
    <d v="2023-05-21T00:00:00"/>
    <n v="0"/>
    <n v="2779"/>
    <n v="0.12"/>
    <s v="Normal"/>
    <n v="2023"/>
    <s v="May"/>
  </r>
  <r>
    <n v="4618"/>
    <n v="366"/>
    <x v="0"/>
    <x v="1"/>
    <x v="0"/>
    <d v="2022-02-03T00:00:00"/>
    <x v="315"/>
    <n v="1335"/>
    <n v="2888"/>
    <n v="-1553"/>
    <x v="1"/>
    <n v="17"/>
    <x v="1"/>
    <d v="2023-07-13T00:00:00"/>
    <n v="0"/>
    <n v="2780"/>
    <n v="-1.1599999999999999"/>
    <s v="Outlier"/>
    <n v="2023"/>
    <s v="July"/>
  </r>
  <r>
    <n v="4620"/>
    <n v="225"/>
    <x v="4"/>
    <x v="3"/>
    <x v="2"/>
    <d v="2022-03-07T00:00:00"/>
    <x v="242"/>
    <n v="665"/>
    <n v="1430"/>
    <n v="-765"/>
    <x v="2"/>
    <n v="4"/>
    <x v="0"/>
    <d v="2022-07-21T00:00:00"/>
    <n v="1"/>
    <n v="2781"/>
    <n v="-1.1499999999999999"/>
    <s v="Outlier"/>
    <n v="2022"/>
    <s v="July"/>
  </r>
  <r>
    <n v="4621"/>
    <n v="102"/>
    <x v="4"/>
    <x v="0"/>
    <x v="0"/>
    <d v="2022-07-24T00:00:00"/>
    <x v="165"/>
    <n v="5389"/>
    <n v="3514"/>
    <n v="1875"/>
    <x v="1"/>
    <n v="12"/>
    <x v="1"/>
    <d v="2023-08-10T00:00:00"/>
    <n v="1"/>
    <n v="2782"/>
    <n v="0.35"/>
    <s v="Normal"/>
    <n v="2023"/>
    <s v="August"/>
  </r>
  <r>
    <n v="4622"/>
    <n v="400"/>
    <x v="0"/>
    <x v="1"/>
    <x v="0"/>
    <d v="2022-01-29T00:00:00"/>
    <x v="750"/>
    <n v="1721"/>
    <n v="1107"/>
    <n v="614"/>
    <x v="0"/>
    <n v="18"/>
    <x v="1"/>
    <d v="2023-08-28T00:00:00"/>
    <n v="0"/>
    <n v="2783"/>
    <n v="0.36"/>
    <s v="Normal"/>
    <n v="2023"/>
    <s v="August"/>
  </r>
  <r>
    <n v="4624"/>
    <n v="318"/>
    <x v="0"/>
    <x v="2"/>
    <x v="0"/>
    <d v="2022-06-15T00:00:00"/>
    <x v="349"/>
    <n v="2210"/>
    <n v="7624"/>
    <n v="-5414"/>
    <x v="1"/>
    <n v="11"/>
    <x v="1"/>
    <d v="2023-06-03T00:00:00"/>
    <n v="0"/>
    <n v="2784"/>
    <n v="-2.4500000000000002"/>
    <s v="Outlier"/>
    <n v="2023"/>
    <s v="June"/>
  </r>
  <r>
    <n v="4626"/>
    <n v="100"/>
    <x v="2"/>
    <x v="1"/>
    <x v="1"/>
    <d v="2022-08-21T00:00:00"/>
    <x v="779"/>
    <n v="3907"/>
    <n v="1979"/>
    <n v="1928"/>
    <x v="2"/>
    <n v="15"/>
    <x v="1"/>
    <d v="2023-11-26T00:00:00"/>
    <n v="1"/>
    <n v="2785"/>
    <n v="0.49"/>
    <s v="Normal"/>
    <n v="2023"/>
    <s v="November"/>
  </r>
  <r>
    <n v="4627"/>
    <n v="128"/>
    <x v="4"/>
    <x v="0"/>
    <x v="0"/>
    <d v="2022-08-27T00:00:00"/>
    <x v="170"/>
    <n v="4752"/>
    <n v="6973"/>
    <n v="-2221"/>
    <x v="1"/>
    <n v="13"/>
    <x v="1"/>
    <d v="2023-10-21T00:00:00"/>
    <n v="1"/>
    <n v="2786"/>
    <n v="-0.47"/>
    <s v="Normal"/>
    <n v="2023"/>
    <s v="October"/>
  </r>
  <r>
    <n v="4631"/>
    <n v="162"/>
    <x v="4"/>
    <x v="1"/>
    <x v="1"/>
    <d v="2022-09-25T00:00:00"/>
    <x v="704"/>
    <n v="8119"/>
    <n v="6509"/>
    <n v="1610"/>
    <x v="2"/>
    <n v="1"/>
    <x v="0"/>
    <d v="2022-11-15T00:00:00"/>
    <n v="1"/>
    <n v="2787"/>
    <n v="0.2"/>
    <s v="Normal"/>
    <n v="2022"/>
    <s v="November"/>
  </r>
  <r>
    <n v="4633"/>
    <n v="290"/>
    <x v="2"/>
    <x v="2"/>
    <x v="1"/>
    <d v="2022-09-13T00:00:00"/>
    <x v="81"/>
    <n v="3173"/>
    <n v="4012.75"/>
    <n v="3877"/>
    <x v="1"/>
    <n v="18"/>
    <x v="1"/>
    <d v="2024-03-17T00:00:00"/>
    <n v="0"/>
    <n v="2788"/>
    <n v="1.22"/>
    <s v="Outlier"/>
    <n v="2024"/>
    <s v="March"/>
  </r>
  <r>
    <n v="4634"/>
    <n v="182"/>
    <x v="0"/>
    <x v="1"/>
    <x v="2"/>
    <d v="2022-03-28T00:00:00"/>
    <x v="645"/>
    <n v="4967.93"/>
    <n v="6610"/>
    <n v="-7712"/>
    <x v="0"/>
    <n v="5"/>
    <x v="0"/>
    <d v="2022-09-22T00:00:00"/>
    <n v="0"/>
    <n v="2789"/>
    <n v="-1.55"/>
    <s v="Outlier"/>
    <n v="2022"/>
    <s v="September"/>
  </r>
  <r>
    <n v="4636"/>
    <n v="165"/>
    <x v="1"/>
    <x v="3"/>
    <x v="1"/>
    <d v="2022-09-19T00:00:00"/>
    <x v="61"/>
    <n v="4880"/>
    <n v="2817"/>
    <n v="2063"/>
    <x v="1"/>
    <n v="15"/>
    <x v="1"/>
    <d v="2024-01-14T00:00:00"/>
    <n v="1"/>
    <n v="2790"/>
    <n v="0.42"/>
    <s v="Normal"/>
    <n v="2024"/>
    <s v="January"/>
  </r>
  <r>
    <n v="4638"/>
    <n v="354"/>
    <x v="0"/>
    <x v="0"/>
    <x v="0"/>
    <d v="2022-03-01T00:00:00"/>
    <x v="567"/>
    <n v="889"/>
    <n v="4012.75"/>
    <n v="977"/>
    <x v="2"/>
    <n v="10"/>
    <x v="1"/>
    <d v="2023-01-08T00:00:00"/>
    <n v="0"/>
    <n v="2791"/>
    <n v="1.1000000000000001"/>
    <s v="Outlier"/>
    <n v="2023"/>
    <s v="January"/>
  </r>
  <r>
    <n v="4639"/>
    <n v="148"/>
    <x v="4"/>
    <x v="1"/>
    <x v="1"/>
    <d v="2022-01-14T00:00:00"/>
    <x v="515"/>
    <n v="9507"/>
    <n v="4012.75"/>
    <n v="9656"/>
    <x v="2"/>
    <n v="14"/>
    <x v="1"/>
    <d v="2023-03-21T00:00:00"/>
    <n v="0"/>
    <n v="2792"/>
    <n v="1.02"/>
    <s v="Outlier"/>
    <n v="2023"/>
    <s v="March"/>
  </r>
  <r>
    <n v="4640"/>
    <n v="358"/>
    <x v="1"/>
    <x v="1"/>
    <x v="0"/>
    <d v="2022-09-12T00:00:00"/>
    <x v="77"/>
    <n v="9661"/>
    <n v="4524"/>
    <n v="577.01"/>
    <x v="2"/>
    <n v="17"/>
    <x v="1"/>
    <d v="2024-02-16T00:00:00"/>
    <n v="1"/>
    <n v="2793"/>
    <n v="0.06"/>
    <s v="Normal"/>
    <n v="2024"/>
    <s v="February"/>
  </r>
  <r>
    <n v="4642"/>
    <n v="351"/>
    <x v="1"/>
    <x v="0"/>
    <x v="0"/>
    <d v="2022-03-08T00:00:00"/>
    <x v="94"/>
    <n v="6201"/>
    <n v="6425"/>
    <n v="-224"/>
    <x v="2"/>
    <n v="15"/>
    <x v="1"/>
    <d v="2023-06-13T00:00:00"/>
    <n v="1"/>
    <n v="2794"/>
    <n v="-0.04"/>
    <s v="Normal"/>
    <n v="2023"/>
    <s v="June"/>
  </r>
  <r>
    <n v="4645"/>
    <n v="225"/>
    <x v="3"/>
    <x v="1"/>
    <x v="1"/>
    <d v="2022-02-26T00:00:00"/>
    <x v="436"/>
    <n v="3029"/>
    <n v="2997"/>
    <n v="32"/>
    <x v="1"/>
    <n v="14"/>
    <x v="1"/>
    <d v="2023-05-12T00:00:00"/>
    <n v="0"/>
    <n v="2795"/>
    <n v="0.01"/>
    <s v="Normal"/>
    <n v="2023"/>
    <s v="May"/>
  </r>
  <r>
    <n v="4647"/>
    <n v="414"/>
    <x v="0"/>
    <x v="3"/>
    <x v="2"/>
    <d v="2022-09-19T00:00:00"/>
    <x v="788"/>
    <n v="6935"/>
    <n v="6955"/>
    <n v="-20"/>
    <x v="0"/>
    <n v="15"/>
    <x v="1"/>
    <d v="2024-01-06T00:00:00"/>
    <n v="0"/>
    <n v="2796"/>
    <n v="0"/>
    <s v="Normal"/>
    <n v="2024"/>
    <s v="January"/>
  </r>
  <r>
    <n v="4649"/>
    <n v="369"/>
    <x v="0"/>
    <x v="3"/>
    <x v="2"/>
    <d v="2022-03-23T00:00:00"/>
    <x v="521"/>
    <n v="4967.93"/>
    <n v="3211"/>
    <n v="-4107"/>
    <x v="1"/>
    <n v="7"/>
    <x v="1"/>
    <d v="2022-11-11T00:00:00"/>
    <n v="1"/>
    <n v="2797"/>
    <n v="-0.83"/>
    <s v="Normal"/>
    <n v="2022"/>
    <s v="November"/>
  </r>
  <r>
    <n v="4650"/>
    <n v="265"/>
    <x v="4"/>
    <x v="2"/>
    <x v="1"/>
    <d v="2022-03-22T00:00:00"/>
    <x v="714"/>
    <n v="1626"/>
    <n v="7076"/>
    <n v="-5450"/>
    <x v="1"/>
    <n v="3"/>
    <x v="0"/>
    <d v="2022-07-04T00:00:00"/>
    <n v="1"/>
    <n v="2798"/>
    <n v="-3.35"/>
    <s v="Outlier"/>
    <n v="2022"/>
    <s v="July"/>
  </r>
  <r>
    <n v="4652"/>
    <n v="362"/>
    <x v="1"/>
    <x v="3"/>
    <x v="0"/>
    <d v="2022-05-11T00:00:00"/>
    <x v="232"/>
    <n v="4967.93"/>
    <n v="6830"/>
    <n v="577.01"/>
    <x v="0"/>
    <n v="11"/>
    <x v="1"/>
    <d v="2023-04-17T00:00:00"/>
    <n v="0"/>
    <n v="2799"/>
    <n v="0.12"/>
    <s v="Normal"/>
    <n v="2023"/>
    <s v="April"/>
  </r>
  <r>
    <n v="4654"/>
    <n v="265"/>
    <x v="2"/>
    <x v="2"/>
    <x v="0"/>
    <d v="2022-10-01T00:00:00"/>
    <x v="707"/>
    <n v="4967.93"/>
    <n v="359"/>
    <n v="-639"/>
    <x v="0"/>
    <n v="17"/>
    <x v="1"/>
    <d v="2024-03-02T00:00:00"/>
    <n v="1"/>
    <n v="2800"/>
    <n v="-0.13"/>
    <s v="Normal"/>
    <n v="2024"/>
    <s v="March"/>
  </r>
  <r>
    <n v="4655"/>
    <n v="120"/>
    <x v="4"/>
    <x v="0"/>
    <x v="1"/>
    <d v="2022-07-19T00:00:00"/>
    <x v="492"/>
    <n v="8063"/>
    <n v="3962"/>
    <n v="4101"/>
    <x v="1"/>
    <n v="10"/>
    <x v="1"/>
    <d v="2023-06-04T00:00:00"/>
    <n v="0"/>
    <n v="2801"/>
    <n v="0.51"/>
    <s v="Normal"/>
    <n v="2023"/>
    <s v="June"/>
  </r>
  <r>
    <n v="4656"/>
    <n v="436"/>
    <x v="1"/>
    <x v="1"/>
    <x v="1"/>
    <d v="2022-05-17T00:00:00"/>
    <x v="217"/>
    <n v="1689"/>
    <n v="4025"/>
    <n v="-2336"/>
    <x v="1"/>
    <n v="12"/>
    <x v="1"/>
    <d v="2023-05-17T00:00:00"/>
    <n v="0"/>
    <n v="2802"/>
    <n v="-1.38"/>
    <s v="Outlier"/>
    <n v="2023"/>
    <s v="May"/>
  </r>
  <r>
    <n v="4658"/>
    <n v="223"/>
    <x v="4"/>
    <x v="2"/>
    <x v="1"/>
    <d v="2022-08-21T00:00:00"/>
    <x v="495"/>
    <n v="7154"/>
    <n v="4012.75"/>
    <n v="7372"/>
    <x v="1"/>
    <n v="15"/>
    <x v="1"/>
    <d v="2023-12-04T00:00:00"/>
    <n v="0"/>
    <n v="2803"/>
    <n v="1.03"/>
    <s v="Outlier"/>
    <n v="2023"/>
    <s v="December"/>
  </r>
  <r>
    <n v="4660"/>
    <n v="280"/>
    <x v="1"/>
    <x v="2"/>
    <x v="2"/>
    <d v="2022-02-08T00:00:00"/>
    <x v="701"/>
    <n v="149"/>
    <n v="6056"/>
    <n v="-5907"/>
    <x v="2"/>
    <n v="6"/>
    <x v="2"/>
    <d v="2022-08-31T00:00:00"/>
    <n v="1"/>
    <n v="2804"/>
    <n v="-39.64"/>
    <s v="Outlier"/>
    <n v="2022"/>
    <s v="August"/>
  </r>
  <r>
    <n v="4661"/>
    <n v="260"/>
    <x v="4"/>
    <x v="0"/>
    <x v="2"/>
    <d v="2022-01-25T00:00:00"/>
    <x v="580"/>
    <n v="1218"/>
    <n v="4469"/>
    <n v="-3251"/>
    <x v="2"/>
    <n v="5"/>
    <x v="0"/>
    <d v="2022-06-25T00:00:00"/>
    <n v="1"/>
    <n v="2805"/>
    <n v="-2.67"/>
    <s v="Outlier"/>
    <n v="2022"/>
    <s v="June"/>
  </r>
  <r>
    <n v="4663"/>
    <n v="363"/>
    <x v="0"/>
    <x v="2"/>
    <x v="0"/>
    <d v="2022-05-15T00:00:00"/>
    <x v="581"/>
    <n v="1240"/>
    <n v="3206"/>
    <n v="577.01"/>
    <x v="0"/>
    <n v="14"/>
    <x v="1"/>
    <d v="2023-07-27T00:00:00"/>
    <n v="0"/>
    <n v="2806"/>
    <n v="0.47"/>
    <s v="Normal"/>
    <n v="2023"/>
    <s v="July"/>
  </r>
  <r>
    <n v="4664"/>
    <n v="208"/>
    <x v="0"/>
    <x v="3"/>
    <x v="0"/>
    <d v="2022-07-03T00:00:00"/>
    <x v="656"/>
    <n v="6781"/>
    <n v="4012.75"/>
    <n v="577.01"/>
    <x v="1"/>
    <n v="5"/>
    <x v="0"/>
    <d v="2022-12-12T00:00:00"/>
    <n v="1"/>
    <n v="2807"/>
    <n v="0.09"/>
    <s v="Normal"/>
    <n v="2022"/>
    <s v="December"/>
  </r>
  <r>
    <n v="4666"/>
    <n v="242"/>
    <x v="1"/>
    <x v="3"/>
    <x v="0"/>
    <d v="2022-05-25T00:00:00"/>
    <x v="601"/>
    <n v="9278"/>
    <n v="1943"/>
    <n v="7335"/>
    <x v="2"/>
    <n v="17"/>
    <x v="1"/>
    <d v="2023-11-07T00:00:00"/>
    <n v="0"/>
    <n v="2808"/>
    <n v="0.79"/>
    <s v="Normal"/>
    <n v="2023"/>
    <s v="November"/>
  </r>
  <r>
    <n v="4668"/>
    <n v="126"/>
    <x v="2"/>
    <x v="3"/>
    <x v="0"/>
    <d v="2022-10-10T00:00:00"/>
    <x v="698"/>
    <n v="4967.93"/>
    <n v="1574"/>
    <n v="-3041"/>
    <x v="1"/>
    <n v="14"/>
    <x v="1"/>
    <d v="2024-01-03T00:00:00"/>
    <n v="1"/>
    <n v="2809"/>
    <n v="-0.61"/>
    <s v="Normal"/>
    <n v="2024"/>
    <s v="January"/>
  </r>
  <r>
    <n v="4669"/>
    <n v="242"/>
    <x v="4"/>
    <x v="3"/>
    <x v="2"/>
    <d v="2022-11-16T00:00:00"/>
    <x v="628"/>
    <n v="1404"/>
    <n v="3458"/>
    <n v="-2054"/>
    <x v="1"/>
    <n v="9"/>
    <x v="1"/>
    <d v="2023-08-24T00:00:00"/>
    <n v="1"/>
    <n v="2810"/>
    <n v="-1.46"/>
    <s v="Outlier"/>
    <n v="2023"/>
    <s v="August"/>
  </r>
  <r>
    <n v="4672"/>
    <n v="391"/>
    <x v="2"/>
    <x v="2"/>
    <x v="1"/>
    <d v="2022-01-30T00:00:00"/>
    <x v="426"/>
    <n v="4966"/>
    <n v="2943"/>
    <n v="2023"/>
    <x v="2"/>
    <n v="11"/>
    <x v="1"/>
    <d v="2023-01-15T00:00:00"/>
    <n v="1"/>
    <n v="2811"/>
    <n v="0.41"/>
    <s v="Normal"/>
    <n v="2023"/>
    <s v="January"/>
  </r>
  <r>
    <n v="4675"/>
    <n v="467"/>
    <x v="3"/>
    <x v="3"/>
    <x v="0"/>
    <d v="2022-03-23T00:00:00"/>
    <x v="520"/>
    <n v="4677"/>
    <n v="5407"/>
    <n v="-730"/>
    <x v="1"/>
    <n v="6"/>
    <x v="2"/>
    <d v="2022-09-28T00:00:00"/>
    <n v="0"/>
    <n v="2812"/>
    <n v="-0.16"/>
    <s v="Normal"/>
    <n v="2022"/>
    <s v="September"/>
  </r>
  <r>
    <n v="4677"/>
    <n v="371"/>
    <x v="2"/>
    <x v="0"/>
    <x v="2"/>
    <d v="2022-04-05T00:00:00"/>
    <x v="94"/>
    <n v="9136"/>
    <n v="7028"/>
    <n v="2108"/>
    <x v="2"/>
    <n v="14"/>
    <x v="1"/>
    <d v="2023-06-13T00:00:00"/>
    <n v="1"/>
    <n v="2813"/>
    <n v="0.23"/>
    <s v="Normal"/>
    <n v="2023"/>
    <s v="June"/>
  </r>
  <r>
    <n v="4678"/>
    <n v="363"/>
    <x v="1"/>
    <x v="0"/>
    <x v="2"/>
    <d v="2022-11-14T00:00:00"/>
    <x v="88"/>
    <n v="5215"/>
    <n v="854"/>
    <n v="4361"/>
    <x v="0"/>
    <n v="6"/>
    <x v="2"/>
    <d v="2023-06-07T00:00:00"/>
    <n v="0"/>
    <n v="2814"/>
    <n v="0.84"/>
    <s v="Normal"/>
    <n v="2023"/>
    <s v="June"/>
  </r>
  <r>
    <n v="4679"/>
    <n v="495"/>
    <x v="4"/>
    <x v="0"/>
    <x v="1"/>
    <d v="2022-04-02T00:00:00"/>
    <x v="728"/>
    <n v="208"/>
    <n v="5956"/>
    <n v="577.01"/>
    <x v="2"/>
    <n v="13"/>
    <x v="1"/>
    <d v="2023-05-04T00:00:00"/>
    <n v="1"/>
    <n v="2815"/>
    <n v="2.77"/>
    <s v="Outlier"/>
    <n v="2023"/>
    <s v="May"/>
  </r>
  <r>
    <n v="4680"/>
    <n v="221"/>
    <x v="2"/>
    <x v="1"/>
    <x v="0"/>
    <d v="2022-11-03T00:00:00"/>
    <x v="741"/>
    <n v="583"/>
    <n v="3815"/>
    <n v="-3232"/>
    <x v="2"/>
    <n v="12"/>
    <x v="1"/>
    <d v="2023-11-22T00:00:00"/>
    <n v="1"/>
    <n v="2816"/>
    <n v="-5.54"/>
    <s v="Outlier"/>
    <n v="2023"/>
    <s v="November"/>
  </r>
  <r>
    <n v="4683"/>
    <n v="419"/>
    <x v="1"/>
    <x v="1"/>
    <x v="2"/>
    <d v="2022-02-22T00:00:00"/>
    <x v="130"/>
    <n v="2349"/>
    <n v="7937"/>
    <n v="-5588"/>
    <x v="0"/>
    <n v="13"/>
    <x v="1"/>
    <d v="2023-03-28T00:00:00"/>
    <n v="1"/>
    <n v="2817"/>
    <n v="-2.38"/>
    <s v="Outlier"/>
    <n v="2023"/>
    <s v="March"/>
  </r>
  <r>
    <n v="4684"/>
    <n v="366"/>
    <x v="0"/>
    <x v="3"/>
    <x v="0"/>
    <d v="2022-02-27T00:00:00"/>
    <x v="13"/>
    <n v="2373"/>
    <n v="284"/>
    <n v="2089"/>
    <x v="1"/>
    <n v="3"/>
    <x v="0"/>
    <d v="2022-06-18T00:00:00"/>
    <n v="1"/>
    <n v="2818"/>
    <n v="0.88"/>
    <s v="Normal"/>
    <n v="2022"/>
    <s v="June"/>
  </r>
  <r>
    <n v="4685"/>
    <n v="355"/>
    <x v="2"/>
    <x v="3"/>
    <x v="0"/>
    <d v="2022-06-28T00:00:00"/>
    <x v="265"/>
    <n v="9785"/>
    <n v="2425"/>
    <n v="7360"/>
    <x v="1"/>
    <n v="18"/>
    <x v="1"/>
    <d v="2024-01-16T00:00:00"/>
    <n v="0"/>
    <n v="2819"/>
    <n v="0.75"/>
    <s v="Normal"/>
    <n v="2024"/>
    <s v="January"/>
  </r>
  <r>
    <n v="4686"/>
    <n v="450"/>
    <x v="3"/>
    <x v="2"/>
    <x v="2"/>
    <d v="2022-03-10T00:00:00"/>
    <x v="118"/>
    <n v="4967.93"/>
    <n v="4012.75"/>
    <n v="311"/>
    <x v="2"/>
    <n v="6"/>
    <x v="2"/>
    <d v="2022-09-13T00:00:00"/>
    <n v="0"/>
    <n v="2820"/>
    <n v="0.06"/>
    <s v="Normal"/>
    <n v="2022"/>
    <s v="September"/>
  </r>
  <r>
    <n v="4689"/>
    <n v="229"/>
    <x v="4"/>
    <x v="3"/>
    <x v="1"/>
    <d v="2022-05-15T00:00:00"/>
    <x v="311"/>
    <n v="1081"/>
    <n v="2185"/>
    <n v="-1104"/>
    <x v="2"/>
    <n v="17"/>
    <x v="1"/>
    <d v="2023-11-14T00:00:00"/>
    <n v="0"/>
    <n v="2821"/>
    <n v="-1.02"/>
    <s v="Outlier"/>
    <n v="2023"/>
    <s v="November"/>
  </r>
  <r>
    <n v="4691"/>
    <n v="119"/>
    <x v="2"/>
    <x v="3"/>
    <x v="1"/>
    <d v="2022-05-18T00:00:00"/>
    <x v="402"/>
    <n v="1082"/>
    <n v="7349"/>
    <n v="-6267"/>
    <x v="0"/>
    <n v="10"/>
    <x v="1"/>
    <d v="2023-04-07T00:00:00"/>
    <n v="0"/>
    <n v="2822"/>
    <n v="-5.79"/>
    <s v="Outlier"/>
    <n v="2023"/>
    <s v="April"/>
  </r>
  <r>
    <n v="4694"/>
    <n v="171"/>
    <x v="0"/>
    <x v="1"/>
    <x v="1"/>
    <d v="2022-07-26T00:00:00"/>
    <x v="517"/>
    <n v="9988"/>
    <n v="1061"/>
    <n v="8927"/>
    <x v="2"/>
    <n v="1"/>
    <x v="0"/>
    <d v="2022-09-11T00:00:00"/>
    <n v="0"/>
    <n v="2823"/>
    <n v="0.89"/>
    <s v="Normal"/>
    <n v="2022"/>
    <s v="September"/>
  </r>
  <r>
    <n v="4696"/>
    <n v="236"/>
    <x v="3"/>
    <x v="0"/>
    <x v="2"/>
    <d v="2022-09-09T00:00:00"/>
    <x v="70"/>
    <n v="4967.93"/>
    <n v="6485"/>
    <n v="577.01"/>
    <x v="0"/>
    <n v="9"/>
    <x v="1"/>
    <d v="2023-06-22T00:00:00"/>
    <n v="1"/>
    <n v="2824"/>
    <n v="0.12"/>
    <s v="Normal"/>
    <n v="2023"/>
    <s v="June"/>
  </r>
  <r>
    <n v="4697"/>
    <n v="218"/>
    <x v="1"/>
    <x v="1"/>
    <x v="0"/>
    <d v="2022-11-15T00:00:00"/>
    <x v="789"/>
    <n v="4194"/>
    <n v="1419"/>
    <n v="2775"/>
    <x v="1"/>
    <n v="18"/>
    <x v="1"/>
    <d v="2024-05-31T00:00:00"/>
    <n v="1"/>
    <n v="2825"/>
    <n v="0.66"/>
    <s v="Normal"/>
    <n v="2024"/>
    <s v="May"/>
  </r>
  <r>
    <n v="4698"/>
    <n v="112"/>
    <x v="3"/>
    <x v="2"/>
    <x v="2"/>
    <d v="2022-04-26T00:00:00"/>
    <x v="523"/>
    <n v="5935"/>
    <n v="5226"/>
    <n v="709"/>
    <x v="2"/>
    <n v="2"/>
    <x v="0"/>
    <d v="2022-07-25T00:00:00"/>
    <n v="0"/>
    <n v="2826"/>
    <n v="0.12"/>
    <s v="Normal"/>
    <n v="2022"/>
    <s v="July"/>
  </r>
  <r>
    <n v="4699"/>
    <n v="221"/>
    <x v="4"/>
    <x v="0"/>
    <x v="1"/>
    <d v="2022-11-12T00:00:00"/>
    <x v="225"/>
    <n v="4968"/>
    <n v="5256"/>
    <n v="-288"/>
    <x v="0"/>
    <n v="11"/>
    <x v="1"/>
    <d v="2023-10-26T00:00:00"/>
    <n v="0"/>
    <n v="2827"/>
    <n v="-0.06"/>
    <s v="Normal"/>
    <n v="2023"/>
    <s v="October"/>
  </r>
  <r>
    <n v="4700"/>
    <n v="171"/>
    <x v="4"/>
    <x v="1"/>
    <x v="0"/>
    <d v="2022-04-21T00:00:00"/>
    <x v="742"/>
    <n v="8528"/>
    <n v="2910"/>
    <n v="5618"/>
    <x v="0"/>
    <n v="1"/>
    <x v="0"/>
    <d v="2022-06-08T00:00:00"/>
    <n v="1"/>
    <n v="2828"/>
    <n v="0.66"/>
    <s v="Normal"/>
    <n v="2022"/>
    <s v="June"/>
  </r>
  <r>
    <n v="4701"/>
    <n v="145"/>
    <x v="0"/>
    <x v="1"/>
    <x v="1"/>
    <d v="2022-06-16T00:00:00"/>
    <x v="138"/>
    <n v="4800"/>
    <n v="4727"/>
    <n v="73"/>
    <x v="2"/>
    <n v="3"/>
    <x v="0"/>
    <d v="2022-10-11T00:00:00"/>
    <n v="1"/>
    <n v="2829"/>
    <n v="0.02"/>
    <s v="Normal"/>
    <n v="2022"/>
    <s v="October"/>
  </r>
  <r>
    <n v="4704"/>
    <n v="349"/>
    <x v="1"/>
    <x v="0"/>
    <x v="1"/>
    <d v="2022-02-25T00:00:00"/>
    <x v="716"/>
    <n v="6194"/>
    <n v="7108"/>
    <n v="-914"/>
    <x v="0"/>
    <n v="5"/>
    <x v="0"/>
    <d v="2022-07-31T00:00:00"/>
    <n v="0"/>
    <n v="2830"/>
    <n v="-0.15"/>
    <s v="Normal"/>
    <n v="2022"/>
    <s v="July"/>
  </r>
  <r>
    <n v="4705"/>
    <n v="209"/>
    <x v="1"/>
    <x v="0"/>
    <x v="2"/>
    <d v="2022-06-27T00:00:00"/>
    <x v="613"/>
    <n v="4918"/>
    <n v="7056"/>
    <n v="-2138"/>
    <x v="1"/>
    <n v="15"/>
    <x v="1"/>
    <d v="2023-10-06T00:00:00"/>
    <n v="1"/>
    <n v="2831"/>
    <n v="-0.43"/>
    <s v="Normal"/>
    <n v="2023"/>
    <s v="October"/>
  </r>
  <r>
    <n v="4706"/>
    <n v="303"/>
    <x v="0"/>
    <x v="3"/>
    <x v="2"/>
    <d v="2022-12-10T00:00:00"/>
    <x v="10"/>
    <n v="7559"/>
    <n v="3633"/>
    <n v="3926"/>
    <x v="1"/>
    <n v="8"/>
    <x v="1"/>
    <d v="2023-08-29T00:00:00"/>
    <n v="0"/>
    <n v="2832"/>
    <n v="0.52"/>
    <s v="Normal"/>
    <n v="2023"/>
    <s v="August"/>
  </r>
  <r>
    <n v="4707"/>
    <n v="444"/>
    <x v="2"/>
    <x v="2"/>
    <x v="1"/>
    <d v="2022-09-28T00:00:00"/>
    <x v="298"/>
    <n v="9201"/>
    <n v="1193"/>
    <n v="8008"/>
    <x v="2"/>
    <n v="7"/>
    <x v="1"/>
    <d v="2023-05-16T00:00:00"/>
    <n v="0"/>
    <n v="2833"/>
    <n v="0.87"/>
    <s v="Normal"/>
    <n v="2023"/>
    <s v="May"/>
  </r>
  <r>
    <n v="4708"/>
    <n v="387"/>
    <x v="0"/>
    <x v="1"/>
    <x v="2"/>
    <d v="2022-04-26T00:00:00"/>
    <x v="19"/>
    <n v="6499"/>
    <n v="2341"/>
    <n v="4158"/>
    <x v="1"/>
    <n v="9"/>
    <x v="1"/>
    <d v="2023-02-19T00:00:00"/>
    <n v="1"/>
    <n v="2834"/>
    <n v="0.64"/>
    <s v="Normal"/>
    <n v="2023"/>
    <s v="February"/>
  </r>
  <r>
    <n v="4709"/>
    <n v="116"/>
    <x v="0"/>
    <x v="0"/>
    <x v="1"/>
    <d v="2022-11-22T00:00:00"/>
    <x v="41"/>
    <n v="5456"/>
    <n v="6046"/>
    <n v="-590"/>
    <x v="1"/>
    <n v="5"/>
    <x v="0"/>
    <d v="2023-04-28T00:00:00"/>
    <n v="0"/>
    <n v="2835"/>
    <n v="-0.11"/>
    <s v="Normal"/>
    <n v="2023"/>
    <s v="April"/>
  </r>
  <r>
    <n v="4710"/>
    <n v="186"/>
    <x v="4"/>
    <x v="3"/>
    <x v="2"/>
    <d v="2022-03-17T00:00:00"/>
    <x v="197"/>
    <n v="3114"/>
    <n v="3595"/>
    <n v="-481"/>
    <x v="1"/>
    <n v="8"/>
    <x v="1"/>
    <d v="2022-12-10T00:00:00"/>
    <n v="1"/>
    <n v="2836"/>
    <n v="-0.15"/>
    <s v="Normal"/>
    <n v="2022"/>
    <s v="December"/>
  </r>
  <r>
    <n v="4711"/>
    <n v="422"/>
    <x v="1"/>
    <x v="2"/>
    <x v="1"/>
    <d v="2022-07-29T00:00:00"/>
    <x v="608"/>
    <n v="1565"/>
    <n v="1967"/>
    <n v="-402"/>
    <x v="1"/>
    <n v="8"/>
    <x v="1"/>
    <d v="2023-04-06T00:00:00"/>
    <n v="0"/>
    <n v="2837"/>
    <n v="-0.26"/>
    <s v="Normal"/>
    <n v="2023"/>
    <s v="April"/>
  </r>
  <r>
    <n v="4712"/>
    <n v="105"/>
    <x v="3"/>
    <x v="1"/>
    <x v="1"/>
    <d v="2022-11-09T00:00:00"/>
    <x v="319"/>
    <n v="4675"/>
    <n v="696"/>
    <n v="3979"/>
    <x v="0"/>
    <n v="17"/>
    <x v="1"/>
    <d v="2024-04-12T00:00:00"/>
    <n v="1"/>
    <n v="2838"/>
    <n v="0.85"/>
    <s v="Normal"/>
    <n v="2024"/>
    <s v="April"/>
  </r>
  <r>
    <n v="4715"/>
    <n v="267"/>
    <x v="2"/>
    <x v="1"/>
    <x v="0"/>
    <d v="2022-05-30T00:00:00"/>
    <x v="150"/>
    <n v="2354"/>
    <n v="4012.75"/>
    <n v="2490"/>
    <x v="2"/>
    <n v="17"/>
    <x v="1"/>
    <d v="2023-11-24T00:00:00"/>
    <n v="1"/>
    <n v="2839"/>
    <n v="1.06"/>
    <s v="Outlier"/>
    <n v="2023"/>
    <s v="November"/>
  </r>
  <r>
    <n v="4717"/>
    <n v="401"/>
    <x v="0"/>
    <x v="1"/>
    <x v="1"/>
    <d v="2022-11-10T00:00:00"/>
    <x v="780"/>
    <n v="7913"/>
    <n v="1235"/>
    <n v="6678"/>
    <x v="1"/>
    <n v="18"/>
    <x v="1"/>
    <d v="2024-05-18T00:00:00"/>
    <n v="1"/>
    <n v="2840"/>
    <n v="0.84"/>
    <s v="Normal"/>
    <n v="2024"/>
    <s v="May"/>
  </r>
  <r>
    <n v="4718"/>
    <n v="105"/>
    <x v="0"/>
    <x v="3"/>
    <x v="1"/>
    <d v="2022-12-11T00:00:00"/>
    <x v="493"/>
    <n v="4967.93"/>
    <n v="4895"/>
    <n v="-5224"/>
    <x v="2"/>
    <n v="2"/>
    <x v="0"/>
    <d v="2023-02-16T00:00:00"/>
    <n v="0"/>
    <n v="2841"/>
    <n v="-1.05"/>
    <s v="Outlier"/>
    <n v="2023"/>
    <s v="February"/>
  </r>
  <r>
    <n v="4720"/>
    <n v="438"/>
    <x v="4"/>
    <x v="3"/>
    <x v="2"/>
    <d v="2022-04-16T00:00:00"/>
    <x v="203"/>
    <n v="7874"/>
    <n v="970"/>
    <n v="6904"/>
    <x v="1"/>
    <n v="12"/>
    <x v="1"/>
    <d v="2023-05-06T00:00:00"/>
    <n v="1"/>
    <n v="2842"/>
    <n v="0.88"/>
    <s v="Normal"/>
    <n v="2023"/>
    <s v="May"/>
  </r>
  <r>
    <n v="4721"/>
    <n v="373"/>
    <x v="3"/>
    <x v="1"/>
    <x v="1"/>
    <d v="2022-05-05T00:00:00"/>
    <x v="503"/>
    <n v="4967.93"/>
    <n v="6405"/>
    <n v="-8205"/>
    <x v="0"/>
    <n v="12"/>
    <x v="1"/>
    <d v="2023-05-07T00:00:00"/>
    <n v="1"/>
    <n v="2843"/>
    <n v="-1.65"/>
    <s v="Outlier"/>
    <n v="2023"/>
    <s v="May"/>
  </r>
  <r>
    <n v="4724"/>
    <n v="103"/>
    <x v="0"/>
    <x v="0"/>
    <x v="2"/>
    <d v="2022-12-22T00:00:00"/>
    <x v="103"/>
    <n v="2931"/>
    <n v="7471"/>
    <n v="-4540"/>
    <x v="1"/>
    <n v="9"/>
    <x v="1"/>
    <d v="2023-10-05T00:00:00"/>
    <n v="1"/>
    <n v="2844"/>
    <n v="-1.55"/>
    <s v="Outlier"/>
    <n v="2023"/>
    <s v="October"/>
  </r>
  <r>
    <n v="4725"/>
    <n v="241"/>
    <x v="1"/>
    <x v="0"/>
    <x v="0"/>
    <d v="2022-03-06T00:00:00"/>
    <x v="347"/>
    <n v="3885"/>
    <n v="7994"/>
    <n v="-4109"/>
    <x v="2"/>
    <n v="2"/>
    <x v="0"/>
    <d v="2022-06-01T00:00:00"/>
    <n v="0"/>
    <n v="2845"/>
    <n v="-1.06"/>
    <s v="Outlier"/>
    <n v="2022"/>
    <s v="June"/>
  </r>
  <r>
    <n v="4727"/>
    <n v="483"/>
    <x v="3"/>
    <x v="1"/>
    <x v="1"/>
    <d v="2022-09-17T00:00:00"/>
    <x v="42"/>
    <n v="1532"/>
    <n v="362"/>
    <n v="1170"/>
    <x v="2"/>
    <n v="5"/>
    <x v="0"/>
    <d v="2023-03-05T00:00:00"/>
    <n v="0"/>
    <n v="2846"/>
    <n v="0.76"/>
    <s v="Normal"/>
    <n v="2023"/>
    <s v="March"/>
  </r>
  <r>
    <n v="4728"/>
    <n v="169"/>
    <x v="1"/>
    <x v="2"/>
    <x v="2"/>
    <d v="2022-09-06T00:00:00"/>
    <x v="250"/>
    <n v="8753"/>
    <n v="5988"/>
    <n v="2765"/>
    <x v="2"/>
    <n v="4"/>
    <x v="0"/>
    <d v="2023-01-11T00:00:00"/>
    <n v="0"/>
    <n v="2847"/>
    <n v="0.32"/>
    <s v="Normal"/>
    <n v="2023"/>
    <s v="January"/>
  </r>
  <r>
    <n v="4734"/>
    <n v="415"/>
    <x v="1"/>
    <x v="1"/>
    <x v="0"/>
    <d v="2022-06-14T00:00:00"/>
    <x v="44"/>
    <n v="4967.93"/>
    <n v="5171"/>
    <n v="-5721"/>
    <x v="1"/>
    <n v="7"/>
    <x v="1"/>
    <d v="2023-02-08T00:00:00"/>
    <n v="1"/>
    <n v="2848"/>
    <n v="-1.1499999999999999"/>
    <s v="Outlier"/>
    <n v="2023"/>
    <s v="February"/>
  </r>
  <r>
    <n v="4741"/>
    <n v="480"/>
    <x v="1"/>
    <x v="1"/>
    <x v="2"/>
    <d v="2022-06-02T00:00:00"/>
    <x v="57"/>
    <n v="647"/>
    <n v="6385"/>
    <n v="-5738"/>
    <x v="1"/>
    <n v="19"/>
    <x v="1"/>
    <d v="2024-01-22T00:00:00"/>
    <n v="0"/>
    <n v="2849"/>
    <n v="-8.8699999999999992"/>
    <s v="Outlier"/>
    <n v="2024"/>
    <s v="January"/>
  </r>
  <r>
    <n v="4742"/>
    <n v="382"/>
    <x v="3"/>
    <x v="0"/>
    <x v="1"/>
    <d v="2022-10-01T00:00:00"/>
    <x v="653"/>
    <n v="28"/>
    <n v="346"/>
    <n v="577.01"/>
    <x v="2"/>
    <n v="13"/>
    <x v="1"/>
    <d v="2023-11-04T00:00:00"/>
    <n v="1"/>
    <n v="2850"/>
    <n v="20.61"/>
    <s v="Outlier"/>
    <n v="2023"/>
    <s v="November"/>
  </r>
  <r>
    <n v="4744"/>
    <n v="473"/>
    <x v="1"/>
    <x v="1"/>
    <x v="1"/>
    <d v="2022-12-22T00:00:00"/>
    <x v="193"/>
    <n v="5262"/>
    <n v="1768"/>
    <n v="3494"/>
    <x v="1"/>
    <n v="10"/>
    <x v="1"/>
    <d v="2023-10-23T00:00:00"/>
    <n v="0"/>
    <n v="2851"/>
    <n v="0.66"/>
    <s v="Normal"/>
    <n v="2023"/>
    <s v="October"/>
  </r>
  <r>
    <n v="4745"/>
    <n v="471"/>
    <x v="0"/>
    <x v="3"/>
    <x v="1"/>
    <d v="2022-10-11T00:00:00"/>
    <x v="273"/>
    <n v="4967.93"/>
    <n v="4012.75"/>
    <n v="-415"/>
    <x v="1"/>
    <n v="6"/>
    <x v="2"/>
    <d v="2023-05-03T00:00:00"/>
    <n v="1"/>
    <n v="2852"/>
    <n v="-0.08"/>
    <s v="Normal"/>
    <n v="2023"/>
    <s v="May"/>
  </r>
  <r>
    <n v="4746"/>
    <n v="417"/>
    <x v="3"/>
    <x v="3"/>
    <x v="2"/>
    <d v="2022-04-05T00:00:00"/>
    <x v="228"/>
    <n v="4967.93"/>
    <n v="3110"/>
    <n v="-3576"/>
    <x v="0"/>
    <n v="5"/>
    <x v="0"/>
    <d v="2022-09-08T00:00:00"/>
    <n v="0"/>
    <n v="2853"/>
    <n v="-0.72"/>
    <s v="Normal"/>
    <n v="2022"/>
    <s v="September"/>
  </r>
  <r>
    <n v="4748"/>
    <n v="428"/>
    <x v="2"/>
    <x v="2"/>
    <x v="0"/>
    <d v="2022-10-14T00:00:00"/>
    <x v="717"/>
    <n v="4001"/>
    <n v="4686"/>
    <n v="-685"/>
    <x v="1"/>
    <n v="14"/>
    <x v="1"/>
    <d v="2023-12-24T00:00:00"/>
    <n v="1"/>
    <n v="2854"/>
    <n v="-0.17"/>
    <s v="Normal"/>
    <n v="2023"/>
    <s v="December"/>
  </r>
  <r>
    <n v="4749"/>
    <n v="105"/>
    <x v="3"/>
    <x v="3"/>
    <x v="0"/>
    <d v="2022-05-08T00:00:00"/>
    <x v="394"/>
    <n v="6390"/>
    <n v="4023"/>
    <n v="2367"/>
    <x v="0"/>
    <n v="6"/>
    <x v="2"/>
    <d v="2022-11-22T00:00:00"/>
    <n v="1"/>
    <n v="2855"/>
    <n v="0.37"/>
    <s v="Normal"/>
    <n v="2022"/>
    <s v="November"/>
  </r>
  <r>
    <n v="4750"/>
    <n v="186"/>
    <x v="3"/>
    <x v="3"/>
    <x v="0"/>
    <d v="2022-05-22T00:00:00"/>
    <x v="445"/>
    <n v="8326"/>
    <n v="2622"/>
    <n v="577.01"/>
    <x v="1"/>
    <n v="17"/>
    <x v="1"/>
    <d v="2023-11-12T00:00:00"/>
    <n v="1"/>
    <n v="2856"/>
    <n v="7.0000000000000007E-2"/>
    <s v="Normal"/>
    <n v="2023"/>
    <s v="November"/>
  </r>
  <r>
    <n v="4752"/>
    <n v="152"/>
    <x v="1"/>
    <x v="1"/>
    <x v="1"/>
    <d v="2022-09-08T00:00:00"/>
    <x v="369"/>
    <n v="7865"/>
    <n v="4323"/>
    <n v="3542"/>
    <x v="1"/>
    <n v="9"/>
    <x v="1"/>
    <d v="2023-06-26T00:00:00"/>
    <n v="0"/>
    <n v="2857"/>
    <n v="0.45"/>
    <s v="Normal"/>
    <n v="2023"/>
    <s v="June"/>
  </r>
  <r>
    <n v="4754"/>
    <n v="177"/>
    <x v="0"/>
    <x v="3"/>
    <x v="2"/>
    <d v="2022-01-15T00:00:00"/>
    <x v="720"/>
    <n v="6590"/>
    <n v="5093"/>
    <n v="1497"/>
    <x v="2"/>
    <n v="3"/>
    <x v="0"/>
    <d v="2022-04-16T00:00:00"/>
    <n v="1"/>
    <n v="2858"/>
    <n v="0.23"/>
    <s v="Normal"/>
    <n v="2022"/>
    <s v="April"/>
  </r>
  <r>
    <n v="4757"/>
    <n v="419"/>
    <x v="0"/>
    <x v="1"/>
    <x v="0"/>
    <d v="2022-01-10T00:00:00"/>
    <x v="756"/>
    <n v="7962"/>
    <n v="3804"/>
    <n v="4158"/>
    <x v="2"/>
    <n v="18"/>
    <x v="1"/>
    <d v="2023-08-03T00:00:00"/>
    <n v="1"/>
    <n v="2859"/>
    <n v="0.52"/>
    <s v="Normal"/>
    <n v="2023"/>
    <s v="August"/>
  </r>
  <r>
    <n v="4760"/>
    <n v="250"/>
    <x v="3"/>
    <x v="3"/>
    <x v="2"/>
    <d v="2022-06-10T00:00:00"/>
    <x v="775"/>
    <n v="8261"/>
    <n v="2811"/>
    <n v="5450"/>
    <x v="1"/>
    <n v="7"/>
    <x v="1"/>
    <d v="2023-02-09T00:00:00"/>
    <n v="0"/>
    <n v="2860"/>
    <n v="0.66"/>
    <s v="Normal"/>
    <n v="2023"/>
    <s v="February"/>
  </r>
  <r>
    <n v="4764"/>
    <n v="273"/>
    <x v="1"/>
    <x v="3"/>
    <x v="1"/>
    <d v="2022-02-02T00:00:00"/>
    <x v="273"/>
    <n v="5188"/>
    <n v="3543"/>
    <n v="1645"/>
    <x v="1"/>
    <n v="15"/>
    <x v="1"/>
    <d v="2023-05-03T00:00:00"/>
    <n v="1"/>
    <n v="2861"/>
    <n v="0.32"/>
    <s v="Normal"/>
    <n v="2023"/>
    <s v="May"/>
  </r>
  <r>
    <n v="4765"/>
    <n v="463"/>
    <x v="2"/>
    <x v="3"/>
    <x v="2"/>
    <d v="2022-07-22T00:00:00"/>
    <x v="48"/>
    <n v="8416"/>
    <n v="6716"/>
    <n v="1700"/>
    <x v="0"/>
    <n v="15"/>
    <x v="1"/>
    <d v="2023-11-02T00:00:00"/>
    <n v="1"/>
    <n v="2862"/>
    <n v="0.2"/>
    <s v="Normal"/>
    <n v="2023"/>
    <s v="November"/>
  </r>
  <r>
    <n v="4769"/>
    <n v="406"/>
    <x v="2"/>
    <x v="1"/>
    <x v="2"/>
    <d v="2022-04-15T00:00:00"/>
    <x v="728"/>
    <n v="9548"/>
    <n v="3810"/>
    <n v="5738"/>
    <x v="1"/>
    <n v="12"/>
    <x v="1"/>
    <d v="2023-05-04T00:00:00"/>
    <n v="1"/>
    <n v="2863"/>
    <n v="0.6"/>
    <s v="Normal"/>
    <n v="2023"/>
    <s v="May"/>
  </r>
  <r>
    <n v="4772"/>
    <n v="484"/>
    <x v="1"/>
    <x v="0"/>
    <x v="2"/>
    <d v="2022-01-27T00:00:00"/>
    <x v="444"/>
    <n v="7510"/>
    <n v="6981"/>
    <n v="529"/>
    <x v="2"/>
    <n v="7"/>
    <x v="1"/>
    <d v="2022-08-30T00:00:00"/>
    <n v="0"/>
    <n v="2864"/>
    <n v="7.0000000000000007E-2"/>
    <s v="Normal"/>
    <n v="2022"/>
    <s v="August"/>
  </r>
  <r>
    <n v="4773"/>
    <n v="321"/>
    <x v="0"/>
    <x v="1"/>
    <x v="2"/>
    <d v="2022-11-09T00:00:00"/>
    <x v="589"/>
    <n v="4758"/>
    <n v="4012.75"/>
    <n v="5260"/>
    <x v="1"/>
    <n v="9"/>
    <x v="1"/>
    <d v="2023-08-27T00:00:00"/>
    <n v="1"/>
    <n v="2865"/>
    <n v="1.1100000000000001"/>
    <s v="Outlier"/>
    <n v="2023"/>
    <s v="August"/>
  </r>
  <r>
    <n v="4774"/>
    <n v="221"/>
    <x v="4"/>
    <x v="2"/>
    <x v="1"/>
    <d v="2022-11-12T00:00:00"/>
    <x v="210"/>
    <n v="1309"/>
    <n v="7587"/>
    <n v="-6278"/>
    <x v="1"/>
    <n v="10"/>
    <x v="1"/>
    <d v="2023-09-12T00:00:00"/>
    <n v="0"/>
    <n v="2866"/>
    <n v="-4.8"/>
    <s v="Outlier"/>
    <n v="2023"/>
    <s v="September"/>
  </r>
  <r>
    <n v="4775"/>
    <n v="493"/>
    <x v="1"/>
    <x v="1"/>
    <x v="1"/>
    <d v="2022-03-17T00:00:00"/>
    <x v="732"/>
    <n v="1580"/>
    <n v="4012.75"/>
    <n v="577.01"/>
    <x v="1"/>
    <n v="17"/>
    <x v="1"/>
    <d v="2023-08-20T00:00:00"/>
    <n v="0"/>
    <n v="2867"/>
    <n v="0.37"/>
    <s v="Normal"/>
    <n v="2023"/>
    <s v="August"/>
  </r>
  <r>
    <n v="4777"/>
    <n v="272"/>
    <x v="2"/>
    <x v="3"/>
    <x v="1"/>
    <d v="2022-12-12T00:00:00"/>
    <x v="466"/>
    <n v="3926"/>
    <n v="7720"/>
    <n v="577.01"/>
    <x v="1"/>
    <n v="16"/>
    <x v="1"/>
    <d v="2024-05-06T00:00:00"/>
    <n v="0"/>
    <n v="2868"/>
    <n v="0.15"/>
    <s v="Normal"/>
    <n v="2024"/>
    <s v="May"/>
  </r>
  <r>
    <n v="4778"/>
    <n v="140"/>
    <x v="1"/>
    <x v="2"/>
    <x v="0"/>
    <d v="2022-05-13T00:00:00"/>
    <x v="416"/>
    <n v="8557"/>
    <n v="6797"/>
    <n v="1760"/>
    <x v="2"/>
    <n v="15"/>
    <x v="1"/>
    <d v="2023-09-04T00:00:00"/>
    <n v="0"/>
    <n v="2869"/>
    <n v="0.21"/>
    <s v="Normal"/>
    <n v="2023"/>
    <s v="September"/>
  </r>
  <r>
    <n v="4779"/>
    <n v="109"/>
    <x v="1"/>
    <x v="2"/>
    <x v="1"/>
    <d v="2022-08-20T00:00:00"/>
    <x v="297"/>
    <n v="8585"/>
    <n v="6015"/>
    <n v="577.01"/>
    <x v="1"/>
    <n v="7"/>
    <x v="1"/>
    <d v="2023-04-01T00:00:00"/>
    <n v="0"/>
    <n v="2870"/>
    <n v="7.0000000000000007E-2"/>
    <s v="Normal"/>
    <n v="2023"/>
    <s v="April"/>
  </r>
  <r>
    <n v="4781"/>
    <n v="202"/>
    <x v="2"/>
    <x v="3"/>
    <x v="1"/>
    <d v="2022-12-07T00:00:00"/>
    <x v="757"/>
    <n v="8902"/>
    <n v="632"/>
    <n v="8270"/>
    <x v="1"/>
    <n v="3"/>
    <x v="0"/>
    <d v="2023-03-22T00:00:00"/>
    <n v="0"/>
    <n v="2871"/>
    <n v="0.93"/>
    <s v="Normal"/>
    <n v="2023"/>
    <s v="March"/>
  </r>
  <r>
    <n v="4784"/>
    <n v="238"/>
    <x v="3"/>
    <x v="1"/>
    <x v="1"/>
    <d v="2022-12-13T00:00:00"/>
    <x v="767"/>
    <n v="4481"/>
    <n v="3055"/>
    <n v="1426"/>
    <x v="2"/>
    <n v="19"/>
    <x v="1"/>
    <d v="2024-08-04T00:00:00"/>
    <n v="0"/>
    <n v="2872"/>
    <n v="0.32"/>
    <s v="Normal"/>
    <n v="2024"/>
    <s v="August"/>
  </r>
  <r>
    <n v="4787"/>
    <n v="454"/>
    <x v="1"/>
    <x v="3"/>
    <x v="1"/>
    <d v="2022-01-15T00:00:00"/>
    <x v="603"/>
    <n v="7633"/>
    <n v="6460"/>
    <n v="1173"/>
    <x v="1"/>
    <n v="19"/>
    <x v="1"/>
    <d v="2023-08-25T00:00:00"/>
    <n v="1"/>
    <n v="2873"/>
    <n v="0.15"/>
    <s v="Normal"/>
    <n v="2023"/>
    <s v="August"/>
  </r>
  <r>
    <n v="4788"/>
    <n v="352"/>
    <x v="3"/>
    <x v="3"/>
    <x v="1"/>
    <d v="2022-04-06T00:00:00"/>
    <x v="636"/>
    <n v="5074"/>
    <n v="5462"/>
    <n v="577.01"/>
    <x v="1"/>
    <n v="2"/>
    <x v="0"/>
    <d v="2022-06-16T00:00:00"/>
    <n v="0"/>
    <n v="2874"/>
    <n v="0.11"/>
    <s v="Normal"/>
    <n v="2022"/>
    <s v="June"/>
  </r>
  <r>
    <n v="4789"/>
    <n v="394"/>
    <x v="3"/>
    <x v="1"/>
    <x v="1"/>
    <d v="2022-08-18T00:00:00"/>
    <x v="211"/>
    <n v="5028"/>
    <n v="705"/>
    <n v="4323"/>
    <x v="1"/>
    <n v="13"/>
    <x v="1"/>
    <d v="2023-09-21T00:00:00"/>
    <n v="0"/>
    <n v="2875"/>
    <n v="0.86"/>
    <s v="Normal"/>
    <n v="2023"/>
    <s v="September"/>
  </r>
  <r>
    <n v="4792"/>
    <n v="285"/>
    <x v="4"/>
    <x v="1"/>
    <x v="0"/>
    <d v="2022-05-30T00:00:00"/>
    <x v="170"/>
    <n v="102"/>
    <n v="7293"/>
    <n v="-7191"/>
    <x v="1"/>
    <n v="16"/>
    <x v="1"/>
    <d v="2023-10-21T00:00:00"/>
    <n v="1"/>
    <n v="2876"/>
    <n v="-70.5"/>
    <s v="Outlier"/>
    <n v="2023"/>
    <s v="October"/>
  </r>
  <r>
    <n v="4793"/>
    <n v="475"/>
    <x v="0"/>
    <x v="3"/>
    <x v="1"/>
    <d v="2022-06-12T00:00:00"/>
    <x v="251"/>
    <n v="4967.93"/>
    <n v="7066"/>
    <n v="-9054"/>
    <x v="0"/>
    <n v="3"/>
    <x v="0"/>
    <d v="2022-10-09T00:00:00"/>
    <n v="0"/>
    <n v="2877"/>
    <n v="-1.82"/>
    <s v="Outlier"/>
    <n v="2022"/>
    <s v="October"/>
  </r>
  <r>
    <n v="4794"/>
    <n v="326"/>
    <x v="1"/>
    <x v="2"/>
    <x v="2"/>
    <d v="2022-08-06T00:00:00"/>
    <x v="688"/>
    <n v="928"/>
    <n v="3673"/>
    <n v="-2745"/>
    <x v="1"/>
    <n v="11"/>
    <x v="1"/>
    <d v="2023-07-08T00:00:00"/>
    <n v="1"/>
    <n v="2878"/>
    <n v="-2.96"/>
    <s v="Outlier"/>
    <n v="2023"/>
    <s v="July"/>
  </r>
  <r>
    <n v="4796"/>
    <n v="222"/>
    <x v="0"/>
    <x v="1"/>
    <x v="0"/>
    <d v="2022-07-31T00:00:00"/>
    <x v="410"/>
    <n v="6131"/>
    <n v="7492"/>
    <n v="-1361"/>
    <x v="1"/>
    <n v="7"/>
    <x v="1"/>
    <d v="2023-03-13T00:00:00"/>
    <n v="0"/>
    <n v="2879"/>
    <n v="-0.22"/>
    <s v="Normal"/>
    <n v="2023"/>
    <s v="March"/>
  </r>
  <r>
    <n v="4799"/>
    <n v="351"/>
    <x v="3"/>
    <x v="2"/>
    <x v="0"/>
    <d v="2022-10-20T00:00:00"/>
    <x v="516"/>
    <n v="9718"/>
    <n v="715"/>
    <n v="9003"/>
    <x v="1"/>
    <n v="13"/>
    <x v="1"/>
    <d v="2023-12-19T00:00:00"/>
    <n v="0"/>
    <n v="2880"/>
    <n v="0.93"/>
    <s v="Normal"/>
    <n v="2023"/>
    <s v="December"/>
  </r>
  <r>
    <n v="4801"/>
    <n v="268"/>
    <x v="3"/>
    <x v="3"/>
    <x v="0"/>
    <d v="2022-03-21T00:00:00"/>
    <x v="20"/>
    <n v="3778"/>
    <n v="4012.75"/>
    <n v="4623"/>
    <x v="1"/>
    <n v="13"/>
    <x v="1"/>
    <d v="2023-05-14T00:00:00"/>
    <n v="1"/>
    <n v="2881"/>
    <n v="1.22"/>
    <s v="Outlier"/>
    <n v="2023"/>
    <s v="May"/>
  </r>
  <r>
    <n v="4803"/>
    <n v="342"/>
    <x v="2"/>
    <x v="2"/>
    <x v="0"/>
    <d v="2022-06-25T00:00:00"/>
    <x v="613"/>
    <n v="4967.93"/>
    <n v="633"/>
    <n v="577.01"/>
    <x v="2"/>
    <n v="15"/>
    <x v="1"/>
    <d v="2023-10-06T00:00:00"/>
    <n v="0"/>
    <n v="2882"/>
    <n v="0.12"/>
    <s v="Normal"/>
    <n v="2023"/>
    <s v="October"/>
  </r>
  <r>
    <n v="4806"/>
    <n v="467"/>
    <x v="0"/>
    <x v="2"/>
    <x v="1"/>
    <d v="2022-04-20T00:00:00"/>
    <x v="734"/>
    <n v="9793"/>
    <n v="5829"/>
    <n v="3964"/>
    <x v="1"/>
    <n v="10"/>
    <x v="1"/>
    <d v="2023-03-06T00:00:00"/>
    <n v="0"/>
    <n v="2883"/>
    <n v="0.4"/>
    <s v="Normal"/>
    <n v="2023"/>
    <s v="March"/>
  </r>
  <r>
    <n v="4808"/>
    <n v="335"/>
    <x v="1"/>
    <x v="3"/>
    <x v="2"/>
    <d v="2022-02-08T00:00:00"/>
    <x v="320"/>
    <n v="5762"/>
    <n v="4967"/>
    <n v="577.01"/>
    <x v="0"/>
    <n v="10"/>
    <x v="1"/>
    <d v="2022-12-21T00:00:00"/>
    <n v="0"/>
    <n v="2884"/>
    <n v="0.1"/>
    <s v="Normal"/>
    <n v="2022"/>
    <s v="December"/>
  </r>
  <r>
    <n v="4809"/>
    <n v="128"/>
    <x v="1"/>
    <x v="2"/>
    <x v="0"/>
    <d v="2022-03-03T00:00:00"/>
    <x v="790"/>
    <n v="4967.93"/>
    <n v="7985"/>
    <n v="-9154"/>
    <x v="1"/>
    <n v="1"/>
    <x v="0"/>
    <d v="2022-05-02T00:00:00"/>
    <n v="0"/>
    <n v="2885"/>
    <n v="-1.84"/>
    <s v="Outlier"/>
    <n v="2022"/>
    <s v="May"/>
  </r>
  <r>
    <n v="4810"/>
    <n v="294"/>
    <x v="3"/>
    <x v="0"/>
    <x v="2"/>
    <d v="2022-12-18T00:00:00"/>
    <x v="500"/>
    <n v="7954"/>
    <n v="7973"/>
    <n v="-19"/>
    <x v="1"/>
    <n v="4"/>
    <x v="0"/>
    <d v="2023-04-18T00:00:00"/>
    <n v="1"/>
    <n v="2886"/>
    <n v="0"/>
    <s v="Normal"/>
    <n v="2023"/>
    <s v="April"/>
  </r>
  <r>
    <n v="4813"/>
    <n v="309"/>
    <x v="1"/>
    <x v="3"/>
    <x v="2"/>
    <d v="2022-12-06T00:00:00"/>
    <x v="194"/>
    <n v="5406"/>
    <n v="4012.75"/>
    <n v="6138"/>
    <x v="1"/>
    <n v="15"/>
    <x v="1"/>
    <d v="2024-03-21T00:00:00"/>
    <n v="1"/>
    <n v="2887"/>
    <n v="1.1399999999999999"/>
    <s v="Outlier"/>
    <n v="2024"/>
    <s v="March"/>
  </r>
  <r>
    <n v="4814"/>
    <n v="438"/>
    <x v="3"/>
    <x v="3"/>
    <x v="0"/>
    <d v="2022-06-11T00:00:00"/>
    <x v="32"/>
    <n v="4967.93"/>
    <n v="3639"/>
    <n v="-5621"/>
    <x v="1"/>
    <n v="12"/>
    <x v="1"/>
    <d v="2023-06-19T00:00:00"/>
    <n v="0"/>
    <n v="2888"/>
    <n v="-1.1299999999999999"/>
    <s v="Outlier"/>
    <n v="2023"/>
    <s v="June"/>
  </r>
  <r>
    <n v="4817"/>
    <n v="312"/>
    <x v="3"/>
    <x v="1"/>
    <x v="1"/>
    <d v="2022-02-20T00:00:00"/>
    <x v="574"/>
    <n v="927"/>
    <n v="601"/>
    <n v="326"/>
    <x v="0"/>
    <n v="14"/>
    <x v="1"/>
    <d v="2023-05-15T00:00:00"/>
    <n v="0"/>
    <n v="2889"/>
    <n v="0.35"/>
    <s v="Normal"/>
    <n v="2023"/>
    <s v="May"/>
  </r>
  <r>
    <n v="4818"/>
    <n v="189"/>
    <x v="2"/>
    <x v="3"/>
    <x v="0"/>
    <d v="2022-01-13T00:00:00"/>
    <x v="791"/>
    <n v="3492"/>
    <n v="4849"/>
    <n v="-1357"/>
    <x v="0"/>
    <n v="1"/>
    <x v="0"/>
    <d v="2022-02-15T00:00:00"/>
    <n v="0"/>
    <n v="2890"/>
    <n v="-0.39"/>
    <s v="Normal"/>
    <n v="2022"/>
    <s v="February"/>
  </r>
  <r>
    <n v="4819"/>
    <n v="293"/>
    <x v="2"/>
    <x v="0"/>
    <x v="1"/>
    <d v="2022-02-03T00:00:00"/>
    <x v="748"/>
    <n v="5082"/>
    <n v="5630"/>
    <n v="-548"/>
    <x v="0"/>
    <n v="9"/>
    <x v="1"/>
    <d v="2022-11-10T00:00:00"/>
    <n v="0"/>
    <n v="2891"/>
    <n v="-0.11"/>
    <s v="Normal"/>
    <n v="2022"/>
    <s v="November"/>
  </r>
  <r>
    <n v="4820"/>
    <n v="332"/>
    <x v="0"/>
    <x v="2"/>
    <x v="2"/>
    <d v="2022-08-24T00:00:00"/>
    <x v="262"/>
    <n v="9934"/>
    <n v="7777"/>
    <n v="577.01"/>
    <x v="1"/>
    <n v="9"/>
    <x v="1"/>
    <d v="2023-05-27T00:00:00"/>
    <n v="0"/>
    <n v="2892"/>
    <n v="0.06"/>
    <s v="Normal"/>
    <n v="2023"/>
    <s v="May"/>
  </r>
  <r>
    <n v="4824"/>
    <n v="365"/>
    <x v="2"/>
    <x v="2"/>
    <x v="1"/>
    <d v="2022-08-03T00:00:00"/>
    <x v="277"/>
    <n v="6608"/>
    <n v="1031"/>
    <n v="5577"/>
    <x v="1"/>
    <n v="14"/>
    <x v="1"/>
    <d v="2023-10-09T00:00:00"/>
    <n v="1"/>
    <n v="2893"/>
    <n v="0.84"/>
    <s v="Normal"/>
    <n v="2023"/>
    <s v="October"/>
  </r>
  <r>
    <n v="4825"/>
    <n v="345"/>
    <x v="3"/>
    <x v="1"/>
    <x v="0"/>
    <d v="2022-06-07T00:00:00"/>
    <x v="524"/>
    <n v="8757"/>
    <n v="2183"/>
    <n v="6574"/>
    <x v="0"/>
    <n v="6"/>
    <x v="2"/>
    <d v="2022-12-30T00:00:00"/>
    <n v="0"/>
    <n v="2894"/>
    <n v="0.75"/>
    <s v="Normal"/>
    <n v="2022"/>
    <s v="December"/>
  </r>
  <r>
    <n v="4827"/>
    <n v="384"/>
    <x v="3"/>
    <x v="1"/>
    <x v="2"/>
    <d v="2022-08-31T00:00:00"/>
    <x v="282"/>
    <n v="3799"/>
    <n v="7056"/>
    <n v="-3257"/>
    <x v="1"/>
    <n v="1"/>
    <x v="0"/>
    <d v="2022-10-30T00:00:00"/>
    <n v="1"/>
    <n v="2895"/>
    <n v="-0.86"/>
    <s v="Normal"/>
    <n v="2022"/>
    <s v="October"/>
  </r>
  <r>
    <n v="4828"/>
    <n v="282"/>
    <x v="3"/>
    <x v="0"/>
    <x v="2"/>
    <d v="2022-06-06T00:00:00"/>
    <x v="305"/>
    <n v="6576"/>
    <n v="2635"/>
    <n v="3941"/>
    <x v="0"/>
    <n v="8"/>
    <x v="1"/>
    <d v="2023-02-11T00:00:00"/>
    <n v="1"/>
    <n v="2896"/>
    <n v="0.6"/>
    <s v="Normal"/>
    <n v="2023"/>
    <s v="February"/>
  </r>
  <r>
    <n v="4829"/>
    <n v="203"/>
    <x v="2"/>
    <x v="2"/>
    <x v="0"/>
    <d v="2022-03-11T00:00:00"/>
    <x v="479"/>
    <n v="7964"/>
    <n v="5776"/>
    <n v="2188"/>
    <x v="2"/>
    <n v="10"/>
    <x v="1"/>
    <d v="2023-02-04T00:00:00"/>
    <n v="1"/>
    <n v="2897"/>
    <n v="0.27"/>
    <s v="Normal"/>
    <n v="2023"/>
    <s v="February"/>
  </r>
  <r>
    <n v="4831"/>
    <n v="106"/>
    <x v="1"/>
    <x v="2"/>
    <x v="2"/>
    <d v="2022-10-03T00:00:00"/>
    <x v="587"/>
    <n v="5809"/>
    <n v="1689"/>
    <n v="4120"/>
    <x v="1"/>
    <n v="19"/>
    <x v="1"/>
    <d v="2024-05-12T00:00:00"/>
    <n v="1"/>
    <n v="2898"/>
    <n v="0.71"/>
    <s v="Normal"/>
    <n v="2024"/>
    <s v="May"/>
  </r>
  <r>
    <n v="4832"/>
    <n v="162"/>
    <x v="0"/>
    <x v="1"/>
    <x v="0"/>
    <d v="2022-05-29T00:00:00"/>
    <x v="679"/>
    <n v="2161"/>
    <n v="2807"/>
    <n v="-646"/>
    <x v="0"/>
    <n v="9"/>
    <x v="1"/>
    <d v="2023-03-23T00:00:00"/>
    <n v="0"/>
    <n v="2899"/>
    <n v="-0.3"/>
    <s v="Normal"/>
    <n v="2023"/>
    <s v="March"/>
  </r>
  <r>
    <n v="4833"/>
    <n v="161"/>
    <x v="1"/>
    <x v="2"/>
    <x v="1"/>
    <d v="2022-11-26T00:00:00"/>
    <x v="474"/>
    <n v="9235"/>
    <n v="7455"/>
    <n v="1780"/>
    <x v="1"/>
    <n v="3"/>
    <x v="0"/>
    <d v="2023-03-14T00:00:00"/>
    <n v="1"/>
    <n v="2900"/>
    <n v="0.19"/>
    <s v="Normal"/>
    <n v="2023"/>
    <s v="March"/>
  </r>
  <r>
    <n v="4834"/>
    <n v="453"/>
    <x v="2"/>
    <x v="3"/>
    <x v="0"/>
    <d v="2022-09-14T00:00:00"/>
    <x v="223"/>
    <n v="6184"/>
    <n v="6958"/>
    <n v="-774"/>
    <x v="1"/>
    <n v="11"/>
    <x v="1"/>
    <d v="2023-08-23T00:00:00"/>
    <n v="0"/>
    <n v="2901"/>
    <n v="-0.13"/>
    <s v="Normal"/>
    <n v="2023"/>
    <s v="August"/>
  </r>
  <r>
    <n v="4835"/>
    <n v="272"/>
    <x v="2"/>
    <x v="2"/>
    <x v="1"/>
    <d v="2022-09-17T00:00:00"/>
    <x v="555"/>
    <n v="4140"/>
    <n v="732"/>
    <n v="3408"/>
    <x v="1"/>
    <n v="2"/>
    <x v="0"/>
    <d v="2022-12-16T00:00:00"/>
    <n v="1"/>
    <n v="2902"/>
    <n v="0.82"/>
    <s v="Normal"/>
    <n v="2022"/>
    <s v="December"/>
  </r>
  <r>
    <n v="4836"/>
    <n v="229"/>
    <x v="3"/>
    <x v="2"/>
    <x v="2"/>
    <d v="2022-07-25T00:00:00"/>
    <x v="39"/>
    <n v="7709"/>
    <n v="1829"/>
    <n v="5880"/>
    <x v="0"/>
    <n v="14"/>
    <x v="1"/>
    <d v="2023-09-27T00:00:00"/>
    <n v="0"/>
    <n v="2903"/>
    <n v="0.76"/>
    <s v="Normal"/>
    <n v="2023"/>
    <s v="September"/>
  </r>
  <r>
    <n v="4838"/>
    <n v="263"/>
    <x v="4"/>
    <x v="0"/>
    <x v="1"/>
    <d v="2022-05-26T00:00:00"/>
    <x v="596"/>
    <n v="4967.93"/>
    <n v="6994"/>
    <n v="-8347"/>
    <x v="1"/>
    <n v="15"/>
    <x v="1"/>
    <d v="2023-09-16T00:00:00"/>
    <n v="0"/>
    <n v="2904"/>
    <n v="-1.68"/>
    <s v="Outlier"/>
    <n v="2023"/>
    <s v="September"/>
  </r>
  <r>
    <n v="4839"/>
    <n v="336"/>
    <x v="1"/>
    <x v="0"/>
    <x v="0"/>
    <d v="2022-08-11T00:00:00"/>
    <x v="32"/>
    <n v="266"/>
    <n v="4397"/>
    <n v="-4131"/>
    <x v="0"/>
    <n v="10"/>
    <x v="1"/>
    <d v="2023-06-19T00:00:00"/>
    <n v="0"/>
    <n v="2905"/>
    <n v="-15.53"/>
    <s v="Outlier"/>
    <n v="2023"/>
    <s v="June"/>
  </r>
  <r>
    <n v="4840"/>
    <n v="272"/>
    <x v="0"/>
    <x v="2"/>
    <x v="0"/>
    <d v="2022-05-06T00:00:00"/>
    <x v="419"/>
    <n v="4967.93"/>
    <n v="7946"/>
    <n v="-7969"/>
    <x v="0"/>
    <n v="15"/>
    <x v="1"/>
    <d v="2023-08-08T00:00:00"/>
    <n v="1"/>
    <n v="2906"/>
    <n v="-1.6"/>
    <s v="Outlier"/>
    <n v="2023"/>
    <s v="August"/>
  </r>
  <r>
    <n v="4842"/>
    <n v="375"/>
    <x v="4"/>
    <x v="2"/>
    <x v="2"/>
    <d v="2022-11-22T00:00:00"/>
    <x v="162"/>
    <n v="4967.93"/>
    <n v="4012.75"/>
    <n v="-596"/>
    <x v="1"/>
    <n v="8"/>
    <x v="1"/>
    <d v="2023-08-01T00:00:00"/>
    <n v="0"/>
    <n v="2907"/>
    <n v="-0.12"/>
    <s v="Normal"/>
    <n v="2023"/>
    <s v="August"/>
  </r>
  <r>
    <n v="4843"/>
    <n v="254"/>
    <x v="4"/>
    <x v="0"/>
    <x v="1"/>
    <d v="2022-11-20T00:00:00"/>
    <x v="95"/>
    <n v="8636"/>
    <n v="5418"/>
    <n v="3218"/>
    <x v="2"/>
    <n v="10"/>
    <x v="1"/>
    <d v="2023-10-12T00:00:00"/>
    <n v="0"/>
    <n v="2908"/>
    <n v="0.37"/>
    <s v="Normal"/>
    <n v="2023"/>
    <s v="October"/>
  </r>
  <r>
    <n v="4844"/>
    <n v="325"/>
    <x v="4"/>
    <x v="1"/>
    <x v="0"/>
    <d v="2022-03-16T00:00:00"/>
    <x v="52"/>
    <n v="8385"/>
    <n v="2035"/>
    <n v="6350"/>
    <x v="1"/>
    <n v="18"/>
    <x v="1"/>
    <d v="2023-10-04T00:00:00"/>
    <n v="1"/>
    <n v="2909"/>
    <n v="0.76"/>
    <s v="Normal"/>
    <n v="2023"/>
    <s v="October"/>
  </r>
  <r>
    <n v="4846"/>
    <n v="136"/>
    <x v="0"/>
    <x v="1"/>
    <x v="1"/>
    <d v="2022-12-22T00:00:00"/>
    <x v="14"/>
    <n v="9874"/>
    <n v="4894"/>
    <n v="4980"/>
    <x v="1"/>
    <n v="7"/>
    <x v="1"/>
    <d v="2023-08-21T00:00:00"/>
    <n v="0"/>
    <n v="2910"/>
    <n v="0.5"/>
    <s v="Normal"/>
    <n v="2023"/>
    <s v="August"/>
  </r>
  <r>
    <n v="4849"/>
    <n v="392"/>
    <x v="2"/>
    <x v="0"/>
    <x v="1"/>
    <d v="2022-07-25T00:00:00"/>
    <x v="737"/>
    <n v="4434"/>
    <n v="2411"/>
    <n v="2023"/>
    <x v="2"/>
    <n v="6"/>
    <x v="2"/>
    <d v="2023-01-29T00:00:00"/>
    <n v="0"/>
    <n v="2911"/>
    <n v="0.46"/>
    <s v="Normal"/>
    <n v="2023"/>
    <s v="January"/>
  </r>
  <r>
    <n v="4851"/>
    <n v="388"/>
    <x v="3"/>
    <x v="2"/>
    <x v="2"/>
    <d v="2022-11-27T00:00:00"/>
    <x v="99"/>
    <n v="3578"/>
    <n v="7064"/>
    <n v="577.01"/>
    <x v="1"/>
    <n v="2"/>
    <x v="0"/>
    <d v="2023-02-23T00:00:00"/>
    <n v="0"/>
    <n v="2912"/>
    <n v="0.16"/>
    <s v="Normal"/>
    <n v="2023"/>
    <s v="February"/>
  </r>
  <r>
    <n v="4853"/>
    <n v="403"/>
    <x v="2"/>
    <x v="3"/>
    <x v="0"/>
    <d v="2022-05-15T00:00:00"/>
    <x v="93"/>
    <n v="1295"/>
    <n v="406"/>
    <n v="889"/>
    <x v="1"/>
    <n v="4"/>
    <x v="0"/>
    <d v="2022-10-06T00:00:00"/>
    <n v="1"/>
    <n v="2913"/>
    <n v="0.69"/>
    <s v="Normal"/>
    <n v="2022"/>
    <s v="October"/>
  </r>
  <r>
    <n v="4855"/>
    <n v="213"/>
    <x v="2"/>
    <x v="1"/>
    <x v="2"/>
    <d v="2022-06-06T00:00:00"/>
    <x v="74"/>
    <n v="6656"/>
    <n v="984"/>
    <n v="5672"/>
    <x v="2"/>
    <n v="18"/>
    <x v="1"/>
    <d v="2024-01-04T00:00:00"/>
    <n v="0"/>
    <n v="2914"/>
    <n v="0.85"/>
    <s v="Normal"/>
    <n v="2024"/>
    <s v="January"/>
  </r>
  <r>
    <n v="4857"/>
    <n v="236"/>
    <x v="4"/>
    <x v="3"/>
    <x v="2"/>
    <d v="2022-01-14T00:00:00"/>
    <x v="451"/>
    <n v="2698"/>
    <n v="4770"/>
    <n v="-2072"/>
    <x v="2"/>
    <n v="18"/>
    <x v="1"/>
    <d v="2023-08-13T00:00:00"/>
    <n v="1"/>
    <n v="2915"/>
    <n v="-0.77"/>
    <s v="Normal"/>
    <n v="2023"/>
    <s v="August"/>
  </r>
  <r>
    <n v="4860"/>
    <n v="172"/>
    <x v="0"/>
    <x v="1"/>
    <x v="0"/>
    <d v="2022-10-22T00:00:00"/>
    <x v="235"/>
    <n v="9181"/>
    <n v="3873"/>
    <n v="5308"/>
    <x v="1"/>
    <n v="3"/>
    <x v="0"/>
    <d v="2023-02-15T00:00:00"/>
    <n v="1"/>
    <n v="2916"/>
    <n v="0.57999999999999996"/>
    <s v="Normal"/>
    <n v="2023"/>
    <s v="February"/>
  </r>
  <r>
    <n v="4862"/>
    <n v="312"/>
    <x v="1"/>
    <x v="0"/>
    <x v="1"/>
    <d v="2022-05-30T00:00:00"/>
    <x v="210"/>
    <n v="9486"/>
    <n v="4435"/>
    <n v="5051"/>
    <x v="2"/>
    <n v="15"/>
    <x v="1"/>
    <d v="2023-09-12T00:00:00"/>
    <n v="1"/>
    <n v="2917"/>
    <n v="0.53"/>
    <s v="Normal"/>
    <n v="2023"/>
    <s v="September"/>
  </r>
  <r>
    <n v="4864"/>
    <n v="490"/>
    <x v="0"/>
    <x v="3"/>
    <x v="2"/>
    <d v="2022-04-03T00:00:00"/>
    <x v="13"/>
    <n v="307"/>
    <n v="4012.75"/>
    <n v="746"/>
    <x v="1"/>
    <n v="2"/>
    <x v="0"/>
    <d v="2022-06-18T00:00:00"/>
    <n v="0"/>
    <n v="2918"/>
    <n v="2.4300000000000002"/>
    <s v="Outlier"/>
    <n v="2022"/>
    <s v="June"/>
  </r>
  <r>
    <n v="4865"/>
    <n v="197"/>
    <x v="1"/>
    <x v="0"/>
    <x v="0"/>
    <d v="2022-04-24T00:00:00"/>
    <x v="48"/>
    <n v="6873"/>
    <n v="6989"/>
    <n v="-116"/>
    <x v="2"/>
    <n v="18"/>
    <x v="1"/>
    <d v="2023-11-02T00:00:00"/>
    <n v="0"/>
    <n v="2919"/>
    <n v="-0.02"/>
    <s v="Normal"/>
    <n v="2023"/>
    <s v="November"/>
  </r>
  <r>
    <n v="4866"/>
    <n v="443"/>
    <x v="4"/>
    <x v="0"/>
    <x v="0"/>
    <d v="2022-10-05T00:00:00"/>
    <x v="792"/>
    <n v="7493"/>
    <n v="7212"/>
    <n v="281"/>
    <x v="1"/>
    <n v="19"/>
    <x v="1"/>
    <d v="2024-05-22T00:00:00"/>
    <n v="1"/>
    <n v="2920"/>
    <n v="0.04"/>
    <s v="Normal"/>
    <n v="2024"/>
    <s v="May"/>
  </r>
  <r>
    <n v="4867"/>
    <n v="294"/>
    <x v="2"/>
    <x v="3"/>
    <x v="2"/>
    <d v="2022-03-22T00:00:00"/>
    <x v="375"/>
    <n v="4795"/>
    <n v="1464"/>
    <n v="3331"/>
    <x v="1"/>
    <n v="5"/>
    <x v="0"/>
    <d v="2022-09-09T00:00:00"/>
    <n v="0"/>
    <n v="2921"/>
    <n v="0.69"/>
    <s v="Normal"/>
    <n v="2022"/>
    <s v="September"/>
  </r>
  <r>
    <n v="4869"/>
    <n v="389"/>
    <x v="3"/>
    <x v="3"/>
    <x v="1"/>
    <d v="2022-12-10T00:00:00"/>
    <x v="124"/>
    <n v="4967.93"/>
    <n v="3294"/>
    <n v="-5057"/>
    <x v="1"/>
    <n v="4"/>
    <x v="0"/>
    <d v="2023-04-13T00:00:00"/>
    <n v="0"/>
    <n v="2922"/>
    <n v="-1.02"/>
    <s v="Outlier"/>
    <n v="2023"/>
    <s v="April"/>
  </r>
  <r>
    <n v="4870"/>
    <n v="161"/>
    <x v="2"/>
    <x v="1"/>
    <x v="0"/>
    <d v="2022-06-21T00:00:00"/>
    <x v="335"/>
    <n v="392"/>
    <n v="3243"/>
    <n v="-2851"/>
    <x v="1"/>
    <n v="13"/>
    <x v="1"/>
    <d v="2023-08-18T00:00:00"/>
    <n v="1"/>
    <n v="2923"/>
    <n v="-7.27"/>
    <s v="Outlier"/>
    <n v="2023"/>
    <s v="August"/>
  </r>
  <r>
    <n v="4876"/>
    <n v="390"/>
    <x v="0"/>
    <x v="2"/>
    <x v="0"/>
    <d v="2022-01-16T00:00:00"/>
    <x v="793"/>
    <n v="9209"/>
    <n v="594"/>
    <n v="8615"/>
    <x v="0"/>
    <n v="2"/>
    <x v="0"/>
    <d v="2022-03-30T00:00:00"/>
    <n v="1"/>
    <n v="2924"/>
    <n v="0.94"/>
    <s v="Normal"/>
    <n v="2022"/>
    <s v="March"/>
  </r>
  <r>
    <n v="4877"/>
    <n v="241"/>
    <x v="1"/>
    <x v="3"/>
    <x v="1"/>
    <d v="2022-11-04T00:00:00"/>
    <x v="608"/>
    <n v="8526"/>
    <n v="816"/>
    <n v="7710"/>
    <x v="1"/>
    <n v="5"/>
    <x v="0"/>
    <d v="2023-04-06T00:00:00"/>
    <n v="0"/>
    <n v="2925"/>
    <n v="0.9"/>
    <s v="Normal"/>
    <n v="2023"/>
    <s v="April"/>
  </r>
  <r>
    <n v="4878"/>
    <n v="336"/>
    <x v="2"/>
    <x v="1"/>
    <x v="2"/>
    <d v="2022-01-13T00:00:00"/>
    <x v="448"/>
    <n v="4967.93"/>
    <n v="758"/>
    <n v="-955"/>
    <x v="0"/>
    <n v="18"/>
    <x v="1"/>
    <d v="2023-07-21T00:00:00"/>
    <n v="1"/>
    <n v="2926"/>
    <n v="-0.19"/>
    <s v="Normal"/>
    <n v="2023"/>
    <s v="July"/>
  </r>
  <r>
    <n v="4881"/>
    <n v="107"/>
    <x v="1"/>
    <x v="2"/>
    <x v="1"/>
    <d v="2022-02-28T00:00:00"/>
    <x v="60"/>
    <n v="87"/>
    <n v="6893"/>
    <n v="-6806"/>
    <x v="1"/>
    <n v="19"/>
    <x v="1"/>
    <d v="2023-09-28T00:00:00"/>
    <n v="0"/>
    <n v="2927"/>
    <n v="-78.23"/>
    <s v="Outlier"/>
    <n v="2023"/>
    <s v="September"/>
  </r>
  <r>
    <n v="4883"/>
    <n v="413"/>
    <x v="2"/>
    <x v="3"/>
    <x v="1"/>
    <d v="2022-09-15T00:00:00"/>
    <x v="309"/>
    <n v="8452"/>
    <n v="4012.75"/>
    <n v="8588"/>
    <x v="2"/>
    <n v="7"/>
    <x v="1"/>
    <d v="2023-04-19T00:00:00"/>
    <n v="0"/>
    <n v="2928"/>
    <n v="1.02"/>
    <s v="Outlier"/>
    <n v="2023"/>
    <s v="April"/>
  </r>
  <r>
    <n v="4884"/>
    <n v="255"/>
    <x v="1"/>
    <x v="0"/>
    <x v="2"/>
    <d v="2022-08-16T00:00:00"/>
    <x v="336"/>
    <n v="7796"/>
    <n v="6547"/>
    <n v="577.01"/>
    <x v="1"/>
    <n v="1"/>
    <x v="0"/>
    <d v="2022-09-29T00:00:00"/>
    <n v="1"/>
    <n v="2929"/>
    <n v="7.0000000000000007E-2"/>
    <s v="Normal"/>
    <n v="2022"/>
    <s v="September"/>
  </r>
  <r>
    <n v="4885"/>
    <n v="480"/>
    <x v="1"/>
    <x v="2"/>
    <x v="1"/>
    <d v="2022-09-29T00:00:00"/>
    <x v="402"/>
    <n v="9747"/>
    <n v="2686"/>
    <n v="577.01"/>
    <x v="1"/>
    <n v="6"/>
    <x v="2"/>
    <d v="2023-04-07T00:00:00"/>
    <n v="0"/>
    <n v="2930"/>
    <n v="0.06"/>
    <s v="Normal"/>
    <n v="2023"/>
    <s v="April"/>
  </r>
  <r>
    <n v="4886"/>
    <n v="224"/>
    <x v="4"/>
    <x v="3"/>
    <x v="0"/>
    <d v="2022-07-01T00:00:00"/>
    <x v="61"/>
    <n v="4677"/>
    <n v="5015"/>
    <n v="-338"/>
    <x v="1"/>
    <n v="18"/>
    <x v="1"/>
    <d v="2024-01-14T00:00:00"/>
    <n v="1"/>
    <n v="2931"/>
    <n v="-7.0000000000000007E-2"/>
    <s v="Normal"/>
    <n v="2024"/>
    <s v="January"/>
  </r>
  <r>
    <n v="4890"/>
    <n v="455"/>
    <x v="4"/>
    <x v="1"/>
    <x v="0"/>
    <d v="2022-02-16T00:00:00"/>
    <x v="227"/>
    <n v="9707"/>
    <n v="5993"/>
    <n v="577.01"/>
    <x v="1"/>
    <n v="7"/>
    <x v="1"/>
    <d v="2022-09-21T00:00:00"/>
    <n v="1"/>
    <n v="2932"/>
    <n v="0.06"/>
    <s v="Normal"/>
    <n v="2022"/>
    <s v="September"/>
  </r>
  <r>
    <n v="4891"/>
    <n v="367"/>
    <x v="2"/>
    <x v="1"/>
    <x v="2"/>
    <d v="2022-03-01T00:00:00"/>
    <x v="218"/>
    <n v="9567"/>
    <n v="6122"/>
    <n v="3445"/>
    <x v="0"/>
    <n v="9"/>
    <x v="1"/>
    <d v="2022-12-27T00:00:00"/>
    <n v="1"/>
    <n v="2933"/>
    <n v="0.36"/>
    <s v="Normal"/>
    <n v="2022"/>
    <s v="December"/>
  </r>
  <r>
    <n v="4892"/>
    <n v="201"/>
    <x v="0"/>
    <x v="3"/>
    <x v="1"/>
    <d v="2022-10-23T00:00:00"/>
    <x v="794"/>
    <n v="7136"/>
    <n v="4010"/>
    <n v="3126"/>
    <x v="2"/>
    <n v="16"/>
    <x v="1"/>
    <d v="2024-03-09T00:00:00"/>
    <n v="0"/>
    <n v="2934"/>
    <n v="0.44"/>
    <s v="Normal"/>
    <n v="2024"/>
    <s v="March"/>
  </r>
  <r>
    <n v="4894"/>
    <n v="130"/>
    <x v="1"/>
    <x v="1"/>
    <x v="1"/>
    <d v="2022-09-06T00:00:00"/>
    <x v="22"/>
    <n v="8017"/>
    <n v="1623"/>
    <n v="6394"/>
    <x v="2"/>
    <n v="6"/>
    <x v="2"/>
    <d v="2023-03-19T00:00:00"/>
    <n v="0"/>
    <n v="2935"/>
    <n v="0.8"/>
    <s v="Normal"/>
    <n v="2023"/>
    <s v="March"/>
  </r>
  <r>
    <n v="4896"/>
    <n v="218"/>
    <x v="0"/>
    <x v="1"/>
    <x v="2"/>
    <d v="2022-03-07T00:00:00"/>
    <x v="521"/>
    <n v="3856"/>
    <n v="4012.75"/>
    <n v="4532"/>
    <x v="1"/>
    <n v="8"/>
    <x v="1"/>
    <d v="2022-11-11T00:00:00"/>
    <n v="1"/>
    <n v="2936"/>
    <n v="1.18"/>
    <s v="Outlier"/>
    <n v="2022"/>
    <s v="November"/>
  </r>
  <r>
    <n v="4897"/>
    <n v="485"/>
    <x v="0"/>
    <x v="2"/>
    <x v="0"/>
    <d v="2022-06-23T00:00:00"/>
    <x v="75"/>
    <n v="1793"/>
    <n v="5623"/>
    <n v="-3830"/>
    <x v="2"/>
    <n v="7"/>
    <x v="1"/>
    <d v="2023-02-01T00:00:00"/>
    <n v="0"/>
    <n v="2937"/>
    <n v="-2.14"/>
    <s v="Outlier"/>
    <n v="2023"/>
    <s v="February"/>
  </r>
  <r>
    <n v="4898"/>
    <n v="203"/>
    <x v="0"/>
    <x v="1"/>
    <x v="1"/>
    <d v="2022-02-01T00:00:00"/>
    <x v="0"/>
    <n v="7612"/>
    <n v="3554"/>
    <n v="4058"/>
    <x v="2"/>
    <n v="11"/>
    <x v="1"/>
    <d v="2023-01-20T00:00:00"/>
    <n v="0"/>
    <n v="2938"/>
    <n v="0.53"/>
    <s v="Normal"/>
    <n v="2023"/>
    <s v="January"/>
  </r>
  <r>
    <n v="4899"/>
    <n v="331"/>
    <x v="1"/>
    <x v="0"/>
    <x v="2"/>
    <d v="2022-02-01T00:00:00"/>
    <x v="442"/>
    <n v="8424"/>
    <n v="5716"/>
    <n v="2708"/>
    <x v="1"/>
    <n v="6"/>
    <x v="2"/>
    <d v="2022-08-28T00:00:00"/>
    <n v="0"/>
    <n v="2939"/>
    <n v="0.32"/>
    <s v="Normal"/>
    <n v="2022"/>
    <s v="August"/>
  </r>
  <r>
    <n v="4901"/>
    <n v="434"/>
    <x v="2"/>
    <x v="3"/>
    <x v="2"/>
    <d v="2022-06-09T00:00:00"/>
    <x v="759"/>
    <n v="8812"/>
    <n v="6402"/>
    <n v="2410"/>
    <x v="1"/>
    <n v="4"/>
    <x v="0"/>
    <d v="2022-11-01T00:00:00"/>
    <n v="1"/>
    <n v="2940"/>
    <n v="0.27"/>
    <s v="Normal"/>
    <n v="2022"/>
    <s v="November"/>
  </r>
  <r>
    <n v="4902"/>
    <n v="241"/>
    <x v="1"/>
    <x v="0"/>
    <x v="2"/>
    <d v="2022-12-28T00:00:00"/>
    <x v="510"/>
    <n v="6883"/>
    <n v="4805"/>
    <n v="2078"/>
    <x v="1"/>
    <n v="9"/>
    <x v="1"/>
    <d v="2023-10-11T00:00:00"/>
    <n v="0"/>
    <n v="2941"/>
    <n v="0.3"/>
    <s v="Normal"/>
    <n v="2023"/>
    <s v="October"/>
  </r>
  <r>
    <n v="4903"/>
    <n v="274"/>
    <x v="0"/>
    <x v="0"/>
    <x v="2"/>
    <d v="2022-11-08T00:00:00"/>
    <x v="795"/>
    <n v="1603"/>
    <n v="5162"/>
    <n v="-3559"/>
    <x v="0"/>
    <n v="19"/>
    <x v="1"/>
    <d v="2024-06-28T00:00:00"/>
    <n v="0"/>
    <n v="2942"/>
    <n v="-2.2200000000000002"/>
    <s v="Outlier"/>
    <n v="2024"/>
    <s v="June"/>
  </r>
  <r>
    <n v="4905"/>
    <n v="232"/>
    <x v="0"/>
    <x v="1"/>
    <x v="1"/>
    <d v="2022-03-10T00:00:00"/>
    <x v="313"/>
    <n v="4328"/>
    <n v="6262"/>
    <n v="-1934"/>
    <x v="1"/>
    <n v="15"/>
    <x v="1"/>
    <d v="2023-06-23T00:00:00"/>
    <n v="0"/>
    <n v="2943"/>
    <n v="-0.45"/>
    <s v="Normal"/>
    <n v="2023"/>
    <s v="June"/>
  </r>
  <r>
    <n v="4906"/>
    <n v="316"/>
    <x v="0"/>
    <x v="0"/>
    <x v="1"/>
    <d v="2022-10-14T00:00:00"/>
    <x v="656"/>
    <n v="4454"/>
    <n v="4041"/>
    <n v="413"/>
    <x v="0"/>
    <n v="1"/>
    <x v="0"/>
    <d v="2022-12-12T00:00:00"/>
    <n v="1"/>
    <n v="2944"/>
    <n v="0.09"/>
    <s v="Normal"/>
    <n v="2022"/>
    <s v="December"/>
  </r>
  <r>
    <n v="4907"/>
    <n v="425"/>
    <x v="1"/>
    <x v="0"/>
    <x v="2"/>
    <d v="2022-09-19T00:00:00"/>
    <x v="377"/>
    <n v="559"/>
    <n v="3220"/>
    <n v="-2661"/>
    <x v="1"/>
    <n v="6"/>
    <x v="2"/>
    <d v="2023-04-14T00:00:00"/>
    <n v="1"/>
    <n v="2945"/>
    <n v="-4.76"/>
    <s v="Outlier"/>
    <n v="2023"/>
    <s v="April"/>
  </r>
  <r>
    <n v="4908"/>
    <n v="290"/>
    <x v="4"/>
    <x v="0"/>
    <x v="1"/>
    <d v="2022-11-04T00:00:00"/>
    <x v="4"/>
    <n v="4406"/>
    <n v="5360"/>
    <n v="577.01"/>
    <x v="2"/>
    <n v="5"/>
    <x v="0"/>
    <d v="2023-04-05T00:00:00"/>
    <n v="0"/>
    <n v="2946"/>
    <n v="0.13"/>
    <s v="Normal"/>
    <n v="2023"/>
    <s v="April"/>
  </r>
  <r>
    <n v="4910"/>
    <n v="283"/>
    <x v="0"/>
    <x v="1"/>
    <x v="1"/>
    <d v="2022-08-12T00:00:00"/>
    <x v="531"/>
    <n v="8709"/>
    <n v="4405"/>
    <n v="4304"/>
    <x v="2"/>
    <n v="1"/>
    <x v="0"/>
    <d v="2022-10-01T00:00:00"/>
    <n v="1"/>
    <n v="2947"/>
    <n v="0.49"/>
    <s v="Normal"/>
    <n v="2022"/>
    <s v="October"/>
  </r>
  <r>
    <n v="4911"/>
    <n v="411"/>
    <x v="4"/>
    <x v="2"/>
    <x v="2"/>
    <d v="2022-12-09T00:00:00"/>
    <x v="796"/>
    <n v="6239"/>
    <n v="923"/>
    <n v="5316"/>
    <x v="1"/>
    <n v="19"/>
    <x v="1"/>
    <d v="2024-07-12T00:00:00"/>
    <n v="1"/>
    <n v="2948"/>
    <n v="0.85"/>
    <s v="Normal"/>
    <n v="2024"/>
    <s v="July"/>
  </r>
  <r>
    <n v="4912"/>
    <n v="291"/>
    <x v="0"/>
    <x v="3"/>
    <x v="2"/>
    <d v="2022-07-25T00:00:00"/>
    <x v="214"/>
    <n v="4967.93"/>
    <n v="1831"/>
    <n v="-2401"/>
    <x v="0"/>
    <n v="5"/>
    <x v="0"/>
    <d v="2023-01-10T00:00:00"/>
    <n v="1"/>
    <n v="2949"/>
    <n v="-0.48"/>
    <s v="Normal"/>
    <n v="2023"/>
    <s v="January"/>
  </r>
  <r>
    <n v="4914"/>
    <n v="354"/>
    <x v="2"/>
    <x v="0"/>
    <x v="1"/>
    <d v="2022-01-03T00:00:00"/>
    <x v="797"/>
    <n v="644"/>
    <n v="4986"/>
    <n v="577.01"/>
    <x v="1"/>
    <n v="1"/>
    <x v="0"/>
    <d v="2022-02-12T00:00:00"/>
    <n v="1"/>
    <n v="2950"/>
    <n v="0.9"/>
    <s v="Normal"/>
    <n v="2022"/>
    <s v="February"/>
  </r>
  <r>
    <n v="4916"/>
    <n v="208"/>
    <x v="4"/>
    <x v="3"/>
    <x v="2"/>
    <d v="2022-07-10T00:00:00"/>
    <x v="415"/>
    <n v="5974"/>
    <n v="4708"/>
    <n v="1266"/>
    <x v="0"/>
    <n v="14"/>
    <x v="1"/>
    <d v="2023-10-07T00:00:00"/>
    <n v="1"/>
    <n v="2951"/>
    <n v="0.21"/>
    <s v="Normal"/>
    <n v="2023"/>
    <s v="October"/>
  </r>
  <r>
    <n v="4919"/>
    <n v="213"/>
    <x v="3"/>
    <x v="0"/>
    <x v="2"/>
    <d v="2022-04-06T00:00:00"/>
    <x v="133"/>
    <n v="7417"/>
    <n v="7323"/>
    <n v="94"/>
    <x v="1"/>
    <n v="10"/>
    <x v="1"/>
    <d v="2023-02-12T00:00:00"/>
    <n v="0"/>
    <n v="2952"/>
    <n v="0.01"/>
    <s v="Normal"/>
    <n v="2023"/>
    <s v="February"/>
  </r>
  <r>
    <n v="4920"/>
    <n v="410"/>
    <x v="4"/>
    <x v="1"/>
    <x v="1"/>
    <d v="2022-12-07T00:00:00"/>
    <x v="583"/>
    <n v="1079"/>
    <n v="1319"/>
    <n v="577.01"/>
    <x v="1"/>
    <n v="10"/>
    <x v="1"/>
    <d v="2023-10-30T00:00:00"/>
    <n v="1"/>
    <n v="2953"/>
    <n v="0.53"/>
    <s v="Normal"/>
    <n v="2023"/>
    <s v="October"/>
  </r>
  <r>
    <n v="4922"/>
    <n v="283"/>
    <x v="4"/>
    <x v="0"/>
    <x v="0"/>
    <d v="2022-03-03T00:00:00"/>
    <x v="327"/>
    <n v="3220"/>
    <n v="282"/>
    <n v="2938"/>
    <x v="0"/>
    <n v="13"/>
    <x v="1"/>
    <d v="2023-04-25T00:00:00"/>
    <n v="1"/>
    <n v="2954"/>
    <n v="0.91"/>
    <s v="Normal"/>
    <n v="2023"/>
    <s v="April"/>
  </r>
  <r>
    <n v="4923"/>
    <n v="499"/>
    <x v="1"/>
    <x v="2"/>
    <x v="2"/>
    <d v="2022-05-04T00:00:00"/>
    <x v="305"/>
    <n v="4967.93"/>
    <n v="4042"/>
    <n v="-5903"/>
    <x v="1"/>
    <n v="9"/>
    <x v="1"/>
    <d v="2023-02-11T00:00:00"/>
    <n v="0"/>
    <n v="2955"/>
    <n v="-1.19"/>
    <s v="Outlier"/>
    <n v="2023"/>
    <s v="February"/>
  </r>
  <r>
    <n v="4924"/>
    <n v="173"/>
    <x v="4"/>
    <x v="2"/>
    <x v="2"/>
    <d v="2022-12-24T00:00:00"/>
    <x v="474"/>
    <n v="7118"/>
    <n v="5591"/>
    <n v="1527"/>
    <x v="2"/>
    <n v="2"/>
    <x v="0"/>
    <d v="2023-03-14T00:00:00"/>
    <n v="0"/>
    <n v="2956"/>
    <n v="0.21"/>
    <s v="Normal"/>
    <n v="2023"/>
    <s v="March"/>
  </r>
  <r>
    <n v="4925"/>
    <n v="413"/>
    <x v="4"/>
    <x v="3"/>
    <x v="2"/>
    <d v="2022-03-02T00:00:00"/>
    <x v="286"/>
    <n v="614"/>
    <n v="4012.75"/>
    <n v="577.01"/>
    <x v="0"/>
    <n v="12"/>
    <x v="1"/>
    <d v="2023-03-15T00:00:00"/>
    <n v="1"/>
    <n v="2957"/>
    <n v="0.94"/>
    <s v="Normal"/>
    <n v="2023"/>
    <s v="March"/>
  </r>
  <r>
    <n v="4926"/>
    <n v="130"/>
    <x v="4"/>
    <x v="1"/>
    <x v="2"/>
    <d v="2022-02-09T00:00:00"/>
    <x v="526"/>
    <n v="7879"/>
    <n v="3156"/>
    <n v="4723"/>
    <x v="0"/>
    <n v="7"/>
    <x v="1"/>
    <d v="2022-09-20T00:00:00"/>
    <n v="1"/>
    <n v="2958"/>
    <n v="0.6"/>
    <s v="Normal"/>
    <n v="2022"/>
    <s v="September"/>
  </r>
  <r>
    <n v="4927"/>
    <n v="330"/>
    <x v="4"/>
    <x v="3"/>
    <x v="2"/>
    <d v="2022-09-11T00:00:00"/>
    <x v="361"/>
    <n v="9825"/>
    <n v="7769"/>
    <n v="2056"/>
    <x v="1"/>
    <n v="13"/>
    <x v="1"/>
    <d v="2023-10-20T00:00:00"/>
    <n v="0"/>
    <n v="2959"/>
    <n v="0.21"/>
    <s v="Normal"/>
    <n v="2023"/>
    <s v="October"/>
  </r>
  <r>
    <n v="4928"/>
    <n v="255"/>
    <x v="2"/>
    <x v="0"/>
    <x v="2"/>
    <d v="2022-09-22T00:00:00"/>
    <x v="259"/>
    <n v="4533"/>
    <n v="2187"/>
    <n v="2346"/>
    <x v="0"/>
    <n v="16"/>
    <x v="1"/>
    <d v="2024-02-20T00:00:00"/>
    <n v="0"/>
    <n v="2960"/>
    <n v="0.52"/>
    <s v="Normal"/>
    <n v="2024"/>
    <s v="February"/>
  </r>
  <r>
    <n v="4930"/>
    <n v="371"/>
    <x v="1"/>
    <x v="2"/>
    <x v="2"/>
    <d v="2022-01-01T00:00:00"/>
    <x v="298"/>
    <n v="4967.93"/>
    <n v="4012.75"/>
    <n v="18"/>
    <x v="0"/>
    <n v="16"/>
    <x v="1"/>
    <d v="2023-05-16T00:00:00"/>
    <n v="0"/>
    <n v="2961"/>
    <n v="0"/>
    <s v="Normal"/>
    <n v="2023"/>
    <s v="May"/>
  </r>
  <r>
    <n v="4931"/>
    <n v="199"/>
    <x v="0"/>
    <x v="1"/>
    <x v="2"/>
    <d v="2022-05-24T00:00:00"/>
    <x v="380"/>
    <n v="4967.93"/>
    <n v="4012.75"/>
    <n v="567"/>
    <x v="1"/>
    <n v="6"/>
    <x v="2"/>
    <d v="2022-12-14T00:00:00"/>
    <n v="0"/>
    <n v="2962"/>
    <n v="0.11"/>
    <s v="Normal"/>
    <n v="2022"/>
    <s v="December"/>
  </r>
  <r>
    <n v="4932"/>
    <n v="374"/>
    <x v="3"/>
    <x v="3"/>
    <x v="0"/>
    <d v="2022-02-28T00:00:00"/>
    <x v="365"/>
    <n v="6946"/>
    <n v="2977"/>
    <n v="577.01"/>
    <x v="0"/>
    <n v="15"/>
    <x v="1"/>
    <d v="2023-06-15T00:00:00"/>
    <n v="0"/>
    <n v="2963"/>
    <n v="0.08"/>
    <s v="Normal"/>
    <n v="2023"/>
    <s v="June"/>
  </r>
  <r>
    <n v="4933"/>
    <n v="262"/>
    <x v="4"/>
    <x v="3"/>
    <x v="0"/>
    <d v="2022-05-06T00:00:00"/>
    <x v="351"/>
    <n v="3760"/>
    <n v="1108"/>
    <n v="2652"/>
    <x v="1"/>
    <n v="10"/>
    <x v="1"/>
    <d v="2023-03-16T00:00:00"/>
    <n v="0"/>
    <n v="2964"/>
    <n v="0.71"/>
    <s v="Normal"/>
    <n v="2023"/>
    <s v="March"/>
  </r>
  <r>
    <n v="4935"/>
    <n v="108"/>
    <x v="1"/>
    <x v="0"/>
    <x v="0"/>
    <d v="2022-02-16T00:00:00"/>
    <x v="402"/>
    <n v="1368"/>
    <n v="2777"/>
    <n v="577.01"/>
    <x v="1"/>
    <n v="13"/>
    <x v="1"/>
    <d v="2023-04-07T00:00:00"/>
    <n v="0"/>
    <n v="2965"/>
    <n v="0.42"/>
    <s v="Normal"/>
    <n v="2023"/>
    <s v="April"/>
  </r>
  <r>
    <n v="4937"/>
    <n v="214"/>
    <x v="3"/>
    <x v="3"/>
    <x v="2"/>
    <d v="2022-12-16T00:00:00"/>
    <x v="515"/>
    <n v="4967.93"/>
    <n v="729"/>
    <n v="577.01"/>
    <x v="2"/>
    <n v="3"/>
    <x v="0"/>
    <d v="2023-03-21T00:00:00"/>
    <n v="1"/>
    <n v="2966"/>
    <n v="0.12"/>
    <s v="Normal"/>
    <n v="2023"/>
    <s v="March"/>
  </r>
  <r>
    <n v="4941"/>
    <n v="200"/>
    <x v="0"/>
    <x v="3"/>
    <x v="1"/>
    <d v="2022-11-01T00:00:00"/>
    <x v="650"/>
    <n v="655"/>
    <n v="6650"/>
    <n v="577.01"/>
    <x v="1"/>
    <n v="1"/>
    <x v="0"/>
    <d v="2022-12-02T00:00:00"/>
    <n v="0"/>
    <n v="2967"/>
    <n v="0.88"/>
    <s v="Normal"/>
    <n v="2022"/>
    <s v="December"/>
  </r>
  <r>
    <n v="4944"/>
    <n v="177"/>
    <x v="2"/>
    <x v="3"/>
    <x v="1"/>
    <d v="2022-02-17T00:00:00"/>
    <x v="175"/>
    <n v="5170"/>
    <n v="7623"/>
    <n v="-2453"/>
    <x v="2"/>
    <n v="5"/>
    <x v="0"/>
    <d v="2022-08-07T00:00:00"/>
    <n v="0"/>
    <n v="2968"/>
    <n v="-0.47"/>
    <s v="Normal"/>
    <n v="2022"/>
    <s v="August"/>
  </r>
  <r>
    <n v="4945"/>
    <n v="500"/>
    <x v="0"/>
    <x v="0"/>
    <x v="0"/>
    <d v="2022-09-19T00:00:00"/>
    <x v="680"/>
    <n v="2791"/>
    <n v="1028"/>
    <n v="1763"/>
    <x v="1"/>
    <n v="4"/>
    <x v="0"/>
    <d v="2023-01-26T00:00:00"/>
    <n v="0"/>
    <n v="2969"/>
    <n v="0.63"/>
    <s v="Normal"/>
    <n v="2023"/>
    <s v="January"/>
  </r>
  <r>
    <n v="4947"/>
    <n v="487"/>
    <x v="2"/>
    <x v="3"/>
    <x v="2"/>
    <d v="2022-10-01T00:00:00"/>
    <x v="798"/>
    <n v="8107"/>
    <n v="4012.75"/>
    <n v="8878"/>
    <x v="1"/>
    <n v="12"/>
    <x v="1"/>
    <d v="2023-10-25T00:00:00"/>
    <n v="1"/>
    <n v="2970"/>
    <n v="1.1000000000000001"/>
    <s v="Outlier"/>
    <n v="2023"/>
    <s v="October"/>
  </r>
  <r>
    <n v="4948"/>
    <n v="195"/>
    <x v="2"/>
    <x v="1"/>
    <x v="0"/>
    <d v="2022-11-12T00:00:00"/>
    <x v="412"/>
    <n v="6977"/>
    <n v="3577"/>
    <n v="3400"/>
    <x v="1"/>
    <n v="15"/>
    <x v="1"/>
    <d v="2024-03-04T00:00:00"/>
    <n v="1"/>
    <n v="2971"/>
    <n v="0.49"/>
    <s v="Normal"/>
    <n v="2024"/>
    <s v="March"/>
  </r>
  <r>
    <n v="4951"/>
    <n v="186"/>
    <x v="1"/>
    <x v="1"/>
    <x v="0"/>
    <d v="2022-12-12T00:00:00"/>
    <x v="122"/>
    <n v="7187"/>
    <n v="4666"/>
    <n v="2521"/>
    <x v="0"/>
    <n v="12"/>
    <x v="1"/>
    <d v="2023-12-21T00:00:00"/>
    <n v="0"/>
    <n v="2972"/>
    <n v="0.35"/>
    <s v="Normal"/>
    <n v="2023"/>
    <s v="December"/>
  </r>
  <r>
    <n v="4952"/>
    <n v="309"/>
    <x v="0"/>
    <x v="1"/>
    <x v="2"/>
    <d v="2022-11-14T00:00:00"/>
    <x v="717"/>
    <n v="4673"/>
    <n v="4012.75"/>
    <n v="5281"/>
    <x v="0"/>
    <n v="13"/>
    <x v="1"/>
    <d v="2023-12-24T00:00:00"/>
    <n v="0"/>
    <n v="2973"/>
    <n v="1.1299999999999999"/>
    <s v="Outlier"/>
    <n v="2023"/>
    <s v="December"/>
  </r>
  <r>
    <n v="4954"/>
    <n v="488"/>
    <x v="1"/>
    <x v="1"/>
    <x v="1"/>
    <d v="2022-12-03T00:00:00"/>
    <x v="474"/>
    <n v="580"/>
    <n v="205"/>
    <n v="375"/>
    <x v="1"/>
    <n v="3"/>
    <x v="0"/>
    <d v="2023-03-14T00:00:00"/>
    <n v="0"/>
    <n v="2974"/>
    <n v="0.65"/>
    <s v="Normal"/>
    <n v="2023"/>
    <s v="March"/>
  </r>
  <r>
    <n v="4955"/>
    <n v="410"/>
    <x v="0"/>
    <x v="0"/>
    <x v="2"/>
    <d v="2022-08-21T00:00:00"/>
    <x v="85"/>
    <n v="5076"/>
    <n v="6402"/>
    <n v="-1326"/>
    <x v="1"/>
    <n v="7"/>
    <x v="1"/>
    <d v="2023-03-24T00:00:00"/>
    <n v="1"/>
    <n v="2975"/>
    <n v="-0.26"/>
    <s v="Normal"/>
    <n v="2023"/>
    <s v="March"/>
  </r>
  <r>
    <n v="4957"/>
    <n v="174"/>
    <x v="1"/>
    <x v="3"/>
    <x v="1"/>
    <d v="2022-05-12T00:00:00"/>
    <x v="799"/>
    <n v="2290"/>
    <n v="1594"/>
    <n v="696"/>
    <x v="1"/>
    <n v="6"/>
    <x v="2"/>
    <d v="2022-11-27T00:00:00"/>
    <n v="1"/>
    <n v="2976"/>
    <n v="0.3"/>
    <s v="Normal"/>
    <n v="2022"/>
    <s v="November"/>
  </r>
  <r>
    <n v="4960"/>
    <n v="270"/>
    <x v="0"/>
    <x v="0"/>
    <x v="1"/>
    <d v="2022-11-20T00:00:00"/>
    <x v="28"/>
    <n v="9441"/>
    <n v="6823"/>
    <n v="2618"/>
    <x v="1"/>
    <n v="2"/>
    <x v="0"/>
    <d v="2023-01-27T00:00:00"/>
    <n v="0"/>
    <n v="2977"/>
    <n v="0.28000000000000003"/>
    <s v="Normal"/>
    <n v="2023"/>
    <s v="January"/>
  </r>
  <r>
    <n v="4961"/>
    <n v="336"/>
    <x v="0"/>
    <x v="2"/>
    <x v="0"/>
    <d v="2022-05-13T00:00:00"/>
    <x v="11"/>
    <n v="7106"/>
    <n v="3963"/>
    <n v="3143"/>
    <x v="0"/>
    <n v="13"/>
    <x v="1"/>
    <d v="2023-06-30T00:00:00"/>
    <n v="1"/>
    <n v="2978"/>
    <n v="0.44"/>
    <s v="Normal"/>
    <n v="2023"/>
    <s v="June"/>
  </r>
  <r>
    <n v="4969"/>
    <n v="331"/>
    <x v="0"/>
    <x v="3"/>
    <x v="2"/>
    <d v="2022-12-21T00:00:00"/>
    <x v="200"/>
    <n v="4967.93"/>
    <n v="835"/>
    <n v="-1474"/>
    <x v="1"/>
    <n v="11"/>
    <x v="1"/>
    <d v="2023-12-09T00:00:00"/>
    <n v="0"/>
    <n v="2979"/>
    <n v="-0.3"/>
    <s v="Normal"/>
    <n v="2023"/>
    <s v="December"/>
  </r>
  <r>
    <n v="4971"/>
    <n v="100"/>
    <x v="1"/>
    <x v="3"/>
    <x v="2"/>
    <d v="2022-11-18T00:00:00"/>
    <x v="224"/>
    <n v="4967.93"/>
    <n v="4550"/>
    <n v="-5011"/>
    <x v="1"/>
    <n v="1"/>
    <x v="0"/>
    <d v="2022-12-24T00:00:00"/>
    <n v="0"/>
    <n v="2980"/>
    <n v="-1.01"/>
    <s v="Outlier"/>
    <n v="2022"/>
    <s v="December"/>
  </r>
  <r>
    <n v="4972"/>
    <n v="451"/>
    <x v="2"/>
    <x v="3"/>
    <x v="1"/>
    <d v="2022-06-22T00:00:00"/>
    <x v="172"/>
    <n v="969"/>
    <n v="6528"/>
    <n v="-5559"/>
    <x v="2"/>
    <n v="8"/>
    <x v="1"/>
    <d v="2023-02-26T00:00:00"/>
    <n v="0"/>
    <n v="2981"/>
    <n v="-5.74"/>
    <s v="Outlier"/>
    <n v="2023"/>
    <s v="February"/>
  </r>
  <r>
    <n v="4978"/>
    <n v="484"/>
    <x v="4"/>
    <x v="3"/>
    <x v="0"/>
    <d v="2022-11-04T00:00:00"/>
    <x v="563"/>
    <n v="5192"/>
    <n v="4622"/>
    <n v="570"/>
    <x v="1"/>
    <n v="15"/>
    <x v="1"/>
    <d v="2024-02-29T00:00:00"/>
    <n v="1"/>
    <n v="2982"/>
    <n v="0.11"/>
    <s v="Normal"/>
    <n v="2024"/>
    <s v="February"/>
  </r>
  <r>
    <n v="4979"/>
    <n v="295"/>
    <x v="4"/>
    <x v="3"/>
    <x v="0"/>
    <d v="2022-02-03T00:00:00"/>
    <x v="560"/>
    <n v="7384"/>
    <n v="5425"/>
    <n v="1959"/>
    <x v="1"/>
    <n v="17"/>
    <x v="1"/>
    <d v="2023-07-15T00:00:00"/>
    <n v="1"/>
    <n v="2983"/>
    <n v="0.27"/>
    <s v="Normal"/>
    <n v="2023"/>
    <s v="July"/>
  </r>
  <r>
    <n v="4980"/>
    <n v="500"/>
    <x v="1"/>
    <x v="3"/>
    <x v="2"/>
    <d v="2022-12-15T00:00:00"/>
    <x v="71"/>
    <n v="827"/>
    <n v="3439"/>
    <n v="-2612"/>
    <x v="1"/>
    <n v="7"/>
    <x v="1"/>
    <d v="2023-07-31T00:00:00"/>
    <n v="0"/>
    <n v="2984"/>
    <n v="-3.16"/>
    <s v="Outlier"/>
    <n v="2023"/>
    <s v="July"/>
  </r>
  <r>
    <n v="4981"/>
    <n v="319"/>
    <x v="2"/>
    <x v="1"/>
    <x v="1"/>
    <d v="2022-04-22T00:00:00"/>
    <x v="97"/>
    <n v="3142"/>
    <n v="3280"/>
    <n v="-138"/>
    <x v="2"/>
    <n v="2"/>
    <x v="0"/>
    <d v="2022-06-26T00:00:00"/>
    <n v="1"/>
    <n v="2985"/>
    <n v="-0.04"/>
    <s v="Normal"/>
    <n v="2022"/>
    <s v="June"/>
  </r>
  <r>
    <n v="4986"/>
    <n v="321"/>
    <x v="1"/>
    <x v="0"/>
    <x v="0"/>
    <d v="2022-01-30T00:00:00"/>
    <x v="494"/>
    <n v="4967.93"/>
    <n v="4038"/>
    <n v="-5816"/>
    <x v="0"/>
    <n v="16"/>
    <x v="1"/>
    <d v="2023-06-09T00:00:00"/>
    <n v="0"/>
    <n v="2986"/>
    <n v="-1.17"/>
    <s v="Outlier"/>
    <n v="2023"/>
    <s v="June"/>
  </r>
  <r>
    <n v="4987"/>
    <n v="346"/>
    <x v="3"/>
    <x v="3"/>
    <x v="1"/>
    <d v="2022-01-27T00:00:00"/>
    <x v="800"/>
    <n v="2677"/>
    <n v="7466"/>
    <n v="-4789"/>
    <x v="1"/>
    <n v="7"/>
    <x v="1"/>
    <d v="2022-09-26T00:00:00"/>
    <n v="0"/>
    <n v="2987"/>
    <n v="-1.79"/>
    <s v="Outlier"/>
    <n v="2022"/>
    <s v="September"/>
  </r>
  <r>
    <n v="4989"/>
    <n v="117"/>
    <x v="3"/>
    <x v="0"/>
    <x v="1"/>
    <d v="2022-04-19T00:00:00"/>
    <x v="388"/>
    <n v="4273"/>
    <n v="3574"/>
    <n v="699"/>
    <x v="2"/>
    <n v="9"/>
    <x v="1"/>
    <d v="2023-02-17T00:00:00"/>
    <n v="0"/>
    <n v="2988"/>
    <n v="0.16"/>
    <s v="Normal"/>
    <n v="2023"/>
    <s v="February"/>
  </r>
  <r>
    <n v="4990"/>
    <n v="361"/>
    <x v="4"/>
    <x v="0"/>
    <x v="1"/>
    <d v="2022-08-22T00:00:00"/>
    <x v="535"/>
    <n v="5645"/>
    <n v="1471"/>
    <n v="577.01"/>
    <x v="1"/>
    <n v="19"/>
    <x v="1"/>
    <d v="2024-04-11T00:00:00"/>
    <n v="0"/>
    <n v="2989"/>
    <n v="0.1"/>
    <s v="Normal"/>
    <n v="2024"/>
    <s v="April"/>
  </r>
  <r>
    <n v="4991"/>
    <n v="415"/>
    <x v="0"/>
    <x v="2"/>
    <x v="0"/>
    <d v="2022-05-06T00:00:00"/>
    <x v="689"/>
    <n v="3410"/>
    <n v="1175"/>
    <n v="2235"/>
    <x v="1"/>
    <n v="19"/>
    <x v="1"/>
    <d v="2023-12-18T00:00:00"/>
    <n v="0"/>
    <n v="2990"/>
    <n v="0.66"/>
    <s v="Normal"/>
    <n v="2023"/>
    <s v="December"/>
  </r>
  <r>
    <n v="4993"/>
    <n v="201"/>
    <x v="4"/>
    <x v="2"/>
    <x v="0"/>
    <d v="2022-08-20T00:00:00"/>
    <x v="437"/>
    <n v="4967.93"/>
    <n v="5733"/>
    <n v="-7406"/>
    <x v="1"/>
    <n v="17"/>
    <x v="1"/>
    <d v="2024-02-06T00:00:00"/>
    <n v="1"/>
    <n v="2991"/>
    <n v="-1.49"/>
    <s v="Outlier"/>
    <n v="2024"/>
    <s v="February"/>
  </r>
  <r>
    <n v="4994"/>
    <n v="455"/>
    <x v="3"/>
    <x v="1"/>
    <x v="1"/>
    <d v="2022-11-12T00:00:00"/>
    <x v="137"/>
    <n v="4967.93"/>
    <n v="1445"/>
    <n v="-2606"/>
    <x v="2"/>
    <n v="6"/>
    <x v="2"/>
    <d v="2023-05-19T00:00:00"/>
    <n v="1"/>
    <n v="2992"/>
    <n v="-0.52"/>
    <s v="Normal"/>
    <n v="2023"/>
    <s v="May"/>
  </r>
  <r>
    <n v="4997"/>
    <n v="241"/>
    <x v="3"/>
    <x v="2"/>
    <x v="1"/>
    <d v="2022-05-12T00:00:00"/>
    <x v="288"/>
    <n v="1827"/>
    <n v="6882"/>
    <n v="-5055"/>
    <x v="2"/>
    <n v="10"/>
    <x v="1"/>
    <d v="2023-03-31T00:00:00"/>
    <n v="0"/>
    <n v="2993"/>
    <n v="-2.77"/>
    <s v="Outlier"/>
    <n v="2023"/>
    <s v="March"/>
  </r>
  <r>
    <n v="4999"/>
    <n v="309"/>
    <x v="0"/>
    <x v="3"/>
    <x v="0"/>
    <d v="2022-08-12T00:00:00"/>
    <x v="244"/>
    <n v="6714"/>
    <n v="1497"/>
    <n v="5217"/>
    <x v="1"/>
    <n v="4"/>
    <x v="0"/>
    <d v="2022-12-26T00:00:00"/>
    <n v="0"/>
    <n v="2994"/>
    <n v="0.78"/>
    <s v="Normal"/>
    <n v="2022"/>
    <s v="Decemb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9047B-D5D0-4DDF-A274-EC571BA836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23">
    <pivotField showAll="0"/>
    <pivotField showAll="0"/>
    <pivotField showAll="0">
      <items count="6">
        <item x="1"/>
        <item x="0"/>
        <item x="3"/>
        <item x="4"/>
        <item x="2"/>
        <item t="default"/>
      </items>
    </pivotField>
    <pivotField showAll="0">
      <items count="5">
        <item x="1"/>
        <item x="2"/>
        <item x="0"/>
        <item x="3"/>
        <item t="default"/>
      </items>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showAll="0"/>
    <pivotField showAll="0"/>
    <pivotField showAll="0"/>
    <pivotField axis="axisRow" showAll="0" sortType="ascending">
      <items count="5">
        <item h="1" m="1" x="3"/>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dataField="1" showAll="0"/>
    <pivotField showAll="0"/>
    <pivotField numFmtId="9"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dragToRow="0" dragToCol="0" dragToPage="0" showAll="0" defaultSubtotal="0"/>
  </pivotFields>
  <rowFields count="1">
    <field x="10"/>
  </rowFields>
  <rowItems count="4">
    <i>
      <x v="1"/>
    </i>
    <i>
      <x v="3"/>
    </i>
    <i>
      <x v="2"/>
    </i>
    <i t="grand">
      <x/>
    </i>
  </rowItems>
  <colItems count="1">
    <i/>
  </colItems>
  <dataFields count="1">
    <dataField name="Average of churn_flag" fld="14" subtotal="average" baseField="10" baseItem="0" numFmtId="9"/>
  </dataFields>
  <formats count="6">
    <format dxfId="41">
      <pivotArea type="all" dataOnly="0" outline="0" fieldPosition="0"/>
    </format>
    <format dxfId="40">
      <pivotArea outline="0" collapsedLevelsAreSubtotals="1" fieldPosition="0"/>
    </format>
    <format dxfId="39">
      <pivotArea field="10" type="button" dataOnly="0" labelOnly="1" outline="0" axis="axisRow" fieldPosition="0"/>
    </format>
    <format dxfId="38">
      <pivotArea dataOnly="0" labelOnly="1" fieldPosition="0">
        <references count="1">
          <reference field="10" count="0"/>
        </references>
      </pivotArea>
    </format>
    <format dxfId="37">
      <pivotArea dataOnly="0" labelOnly="1" grandRow="1" outline="0" fieldPosition="0"/>
    </format>
    <format dxfId="3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EBB36F-6B7A-4436-8772-F7877984392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38" firstHeaderRow="1" firstDataRow="1" firstDataCol="1"/>
  <pivotFields count="23">
    <pivotField showAll="0"/>
    <pivotField showAll="0"/>
    <pivotField showAll="0">
      <items count="6">
        <item x="1"/>
        <item x="0"/>
        <item x="3"/>
        <item x="4"/>
        <item x="2"/>
        <item t="default"/>
      </items>
    </pivotField>
    <pivotField showAll="0">
      <items count="5">
        <item x="1"/>
        <item x="2"/>
        <item x="0"/>
        <item x="3"/>
        <item t="default"/>
      </items>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dataField="1" showAll="0"/>
    <pivotField showAll="0"/>
    <pivotField showAll="0"/>
    <pivotField showAll="0">
      <items count="5">
        <item h="1" m="1" x="3"/>
        <item x="0"/>
        <item x="1"/>
        <item x="2"/>
        <item t="default"/>
      </items>
    </pivotField>
    <pivotField showAll="0"/>
    <pivotField showAll="0"/>
    <pivotField numFmtId="14" showAll="0"/>
    <pivotField showAll="0"/>
    <pivotField showAll="0"/>
    <pivotField numFmtId="9"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 dragToRow="0" dragToCol="0" dragToPage="0" showAll="0" defaultSubtotal="0"/>
  </pivotFields>
  <rowFields count="2">
    <field x="21"/>
    <field x="20"/>
  </rowFields>
  <rowItems count="35">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t="grand">
      <x/>
    </i>
  </rowItems>
  <colItems count="1">
    <i/>
  </colItems>
  <dataFields count="1">
    <dataField name="Sum of revenue_amount"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F49910-3296-454F-A0D8-000FA3C47CE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9" firstHeaderRow="1" firstDataRow="1" firstDataCol="1"/>
  <pivotFields count="23">
    <pivotField showAll="0"/>
    <pivotField showAll="0"/>
    <pivotField axis="axisRow" showAll="0">
      <items count="6">
        <item x="1"/>
        <item x="0"/>
        <item x="3"/>
        <item x="4"/>
        <item x="2"/>
        <item t="default"/>
      </items>
    </pivotField>
    <pivotField showAll="0">
      <items count="5">
        <item x="1"/>
        <item x="2"/>
        <item x="0"/>
        <item x="3"/>
        <item t="default"/>
      </items>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showAll="0"/>
    <pivotField showAll="0"/>
    <pivotField showAll="0"/>
    <pivotField showAll="0">
      <items count="5">
        <item h="1" m="1" x="3"/>
        <item x="0"/>
        <item x="1"/>
        <item x="2"/>
        <item t="default"/>
      </items>
    </pivotField>
    <pivotField showAll="0"/>
    <pivotField showAll="0"/>
    <pivotField numFmtId="14" showAll="0"/>
    <pivotField dataField="1" showAll="0"/>
    <pivotField showAll="0"/>
    <pivotField numFmtId="9"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churn_flag" fld="14" subtotal="average" baseField="2" baseItem="0" numFmtId="9"/>
  </dataFields>
  <formats count="6">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dataOnly="0" labelOnly="1" outline="0" axis="axisValues" fieldPosition="0"/>
    </format>
  </formats>
  <chartFormats count="31">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1"/>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4"/>
          </reference>
        </references>
      </pivotArea>
    </chartFormat>
    <chartFormat chart="8" format="4">
      <pivotArea type="data" outline="0" fieldPosition="0">
        <references count="2">
          <reference field="4294967294" count="1" selected="0">
            <x v="0"/>
          </reference>
          <reference field="2" count="1" selected="0">
            <x v="3"/>
          </reference>
        </references>
      </pivotArea>
    </chartFormat>
    <chartFormat chart="8" format="5">
      <pivotArea type="data" outline="0" fieldPosition="0">
        <references count="2">
          <reference field="4294967294" count="1" selected="0">
            <x v="0"/>
          </reference>
          <reference field="2"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 count="1" selected="0">
            <x v="0"/>
          </reference>
        </references>
      </pivotArea>
    </chartFormat>
    <chartFormat chart="17" format="8">
      <pivotArea type="data" outline="0" fieldPosition="0">
        <references count="2">
          <reference field="4294967294" count="1" selected="0">
            <x v="0"/>
          </reference>
          <reference field="2" count="1" selected="0">
            <x v="1"/>
          </reference>
        </references>
      </pivotArea>
    </chartFormat>
    <chartFormat chart="17" format="9">
      <pivotArea type="data" outline="0" fieldPosition="0">
        <references count="2">
          <reference field="4294967294" count="1" selected="0">
            <x v="0"/>
          </reference>
          <reference field="2" count="1" selected="0">
            <x v="2"/>
          </reference>
        </references>
      </pivotArea>
    </chartFormat>
    <chartFormat chart="17" format="10">
      <pivotArea type="data" outline="0" fieldPosition="0">
        <references count="2">
          <reference field="4294967294" count="1" selected="0">
            <x v="0"/>
          </reference>
          <reference field="2" count="1" selected="0">
            <x v="3"/>
          </reference>
        </references>
      </pivotArea>
    </chartFormat>
    <chartFormat chart="17" format="11">
      <pivotArea type="data" outline="0" fieldPosition="0">
        <references count="2">
          <reference field="4294967294" count="1" selected="0">
            <x v="0"/>
          </reference>
          <reference field="2" count="1" selected="0">
            <x v="4"/>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2" count="1" selected="0">
            <x v="0"/>
          </reference>
        </references>
      </pivotArea>
    </chartFormat>
    <chartFormat chart="18" format="14">
      <pivotArea type="data" outline="0" fieldPosition="0">
        <references count="2">
          <reference field="4294967294" count="1" selected="0">
            <x v="0"/>
          </reference>
          <reference field="2" count="1" selected="0">
            <x v="1"/>
          </reference>
        </references>
      </pivotArea>
    </chartFormat>
    <chartFormat chart="18" format="15">
      <pivotArea type="data" outline="0" fieldPosition="0">
        <references count="2">
          <reference field="4294967294" count="1" selected="0">
            <x v="0"/>
          </reference>
          <reference field="2" count="1" selected="0">
            <x v="2"/>
          </reference>
        </references>
      </pivotArea>
    </chartFormat>
    <chartFormat chart="18" format="16">
      <pivotArea type="data" outline="0" fieldPosition="0">
        <references count="2">
          <reference field="4294967294" count="1" selected="0">
            <x v="0"/>
          </reference>
          <reference field="2" count="1" selected="0">
            <x v="3"/>
          </reference>
        </references>
      </pivotArea>
    </chartFormat>
    <chartFormat chart="18" format="17">
      <pivotArea type="data" outline="0" fieldPosition="0">
        <references count="2">
          <reference field="4294967294" count="1" selected="0">
            <x v="0"/>
          </reference>
          <reference field="2" count="1" selected="0">
            <x v="4"/>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2" count="1" selected="0">
            <x v="0"/>
          </reference>
        </references>
      </pivotArea>
    </chartFormat>
    <chartFormat chart="31" format="2">
      <pivotArea type="data" outline="0" fieldPosition="0">
        <references count="2">
          <reference field="4294967294" count="1" selected="0">
            <x v="0"/>
          </reference>
          <reference field="2" count="1" selected="0">
            <x v="1"/>
          </reference>
        </references>
      </pivotArea>
    </chartFormat>
    <chartFormat chart="31" format="3">
      <pivotArea type="data" outline="0" fieldPosition="0">
        <references count="2">
          <reference field="4294967294" count="1" selected="0">
            <x v="0"/>
          </reference>
          <reference field="2" count="1" selected="0">
            <x v="2"/>
          </reference>
        </references>
      </pivotArea>
    </chartFormat>
    <chartFormat chart="31" format="4">
      <pivotArea type="data" outline="0" fieldPosition="0">
        <references count="2">
          <reference field="4294967294" count="1" selected="0">
            <x v="0"/>
          </reference>
          <reference field="2" count="1" selected="0">
            <x v="3"/>
          </reference>
        </references>
      </pivotArea>
    </chartFormat>
    <chartFormat chart="31" format="5">
      <pivotArea type="data" outline="0" fieldPosition="0">
        <references count="2">
          <reference field="4294967294" count="1" selected="0">
            <x v="0"/>
          </reference>
          <reference field="2" count="1" selected="0">
            <x v="4"/>
          </reference>
        </references>
      </pivotArea>
    </chartFormat>
    <chartFormat chart="40" format="12" series="1">
      <pivotArea type="data" outline="0" fieldPosition="0">
        <references count="1">
          <reference field="4294967294" count="1" selected="0">
            <x v="0"/>
          </reference>
        </references>
      </pivotArea>
    </chartFormat>
    <chartFormat chart="40" format="13">
      <pivotArea type="data" outline="0" fieldPosition="0">
        <references count="2">
          <reference field="4294967294" count="1" selected="0">
            <x v="0"/>
          </reference>
          <reference field="2" count="1" selected="0">
            <x v="0"/>
          </reference>
        </references>
      </pivotArea>
    </chartFormat>
    <chartFormat chart="40" format="14">
      <pivotArea type="data" outline="0" fieldPosition="0">
        <references count="2">
          <reference field="4294967294" count="1" selected="0">
            <x v="0"/>
          </reference>
          <reference field="2" count="1" selected="0">
            <x v="1"/>
          </reference>
        </references>
      </pivotArea>
    </chartFormat>
    <chartFormat chart="40" format="15">
      <pivotArea type="data" outline="0" fieldPosition="0">
        <references count="2">
          <reference field="4294967294" count="1" selected="0">
            <x v="0"/>
          </reference>
          <reference field="2" count="1" selected="0">
            <x v="2"/>
          </reference>
        </references>
      </pivotArea>
    </chartFormat>
    <chartFormat chart="40" format="16">
      <pivotArea type="data" outline="0" fieldPosition="0">
        <references count="2">
          <reference field="4294967294" count="1" selected="0">
            <x v="0"/>
          </reference>
          <reference field="2" count="1" selected="0">
            <x v="3"/>
          </reference>
        </references>
      </pivotArea>
    </chartFormat>
    <chartFormat chart="40"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756A36-FBCE-42D1-B543-076562AB4AE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7" firstHeaderRow="1" firstDataRow="1" firstDataCol="1"/>
  <pivotFields count="23">
    <pivotField showAll="0"/>
    <pivotField showAll="0"/>
    <pivotField showAll="0">
      <items count="6">
        <item x="1"/>
        <item x="0"/>
        <item x="3"/>
        <item x="4"/>
        <item x="2"/>
        <item t="default"/>
      </items>
    </pivotField>
    <pivotField showAll="0">
      <items count="5">
        <item x="1"/>
        <item x="2"/>
        <item x="0"/>
        <item x="3"/>
        <item t="default"/>
      </items>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showAll="0"/>
    <pivotField showAll="0"/>
    <pivotField showAll="0"/>
    <pivotField showAll="0">
      <items count="5">
        <item h="1" m="1" x="3"/>
        <item x="0"/>
        <item x="1"/>
        <item x="2"/>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pivotField numFmtId="9"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12"/>
  </rowFields>
  <rowItems count="4">
    <i>
      <x v="2"/>
    </i>
    <i>
      <x/>
    </i>
    <i>
      <x v="1"/>
    </i>
    <i t="grand">
      <x/>
    </i>
  </rowItems>
  <colItems count="1">
    <i/>
  </colItems>
  <dataFields count="1">
    <dataField name="Average of churn_flag" fld="14" subtotal="average" baseField="12" baseItem="0" numFmtId="9"/>
  </dataFields>
  <formats count="6">
    <format dxfId="29">
      <pivotArea type="all" dataOnly="0" outline="0" fieldPosition="0"/>
    </format>
    <format dxfId="28">
      <pivotArea outline="0" collapsedLevelsAreSubtotals="1" fieldPosition="0"/>
    </format>
    <format dxfId="27">
      <pivotArea field="12" type="button" dataOnly="0" labelOnly="1" outline="0" axis="axisRow" fieldPosition="0"/>
    </format>
    <format dxfId="26">
      <pivotArea dataOnly="0" labelOnly="1" fieldPosition="0">
        <references count="1">
          <reference field="12" count="0"/>
        </references>
      </pivotArea>
    </format>
    <format dxfId="25">
      <pivotArea dataOnly="0" labelOnly="1" grandRow="1" outline="0" fieldPosition="0"/>
    </format>
    <format dxfId="2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2" count="1" selected="0">
            <x v="2"/>
          </reference>
        </references>
      </pivotArea>
    </chartFormat>
    <chartFormat chart="10" format="18">
      <pivotArea type="data" outline="0" fieldPosition="0">
        <references count="2">
          <reference field="4294967294" count="1" selected="0">
            <x v="0"/>
          </reference>
          <reference field="12" count="1" selected="0">
            <x v="0"/>
          </reference>
        </references>
      </pivotArea>
    </chartFormat>
    <chartFormat chart="10" format="19">
      <pivotArea type="data" outline="0" fieldPosition="0">
        <references count="2">
          <reference field="4294967294" count="1" selected="0">
            <x v="0"/>
          </reference>
          <reference field="12" count="1" selected="0">
            <x v="1"/>
          </reference>
        </references>
      </pivotArea>
    </chartFormat>
    <chartFormat chart="17" format="28" series="1">
      <pivotArea type="data" outline="0" fieldPosition="0">
        <references count="1">
          <reference field="4294967294" count="1" selected="0">
            <x v="0"/>
          </reference>
        </references>
      </pivotArea>
    </chartFormat>
    <chartFormat chart="17" format="29">
      <pivotArea type="data" outline="0" fieldPosition="0">
        <references count="2">
          <reference field="4294967294" count="1" selected="0">
            <x v="0"/>
          </reference>
          <reference field="12" count="1" selected="0">
            <x v="2"/>
          </reference>
        </references>
      </pivotArea>
    </chartFormat>
    <chartFormat chart="17" format="30">
      <pivotArea type="data" outline="0" fieldPosition="0">
        <references count="2">
          <reference field="4294967294" count="1" selected="0">
            <x v="0"/>
          </reference>
          <reference field="12" count="1" selected="0">
            <x v="0"/>
          </reference>
        </references>
      </pivotArea>
    </chartFormat>
    <chartFormat chart="17" format="3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3CB436-B751-4110-BD5C-0D901093F9D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rowPageCount="1" colPageCount="1"/>
  <pivotFields count="23">
    <pivotField showAll="0"/>
    <pivotField showAll="0"/>
    <pivotField showAll="0">
      <items count="6">
        <item x="1"/>
        <item x="0"/>
        <item x="3"/>
        <item x="4"/>
        <item x="2"/>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dataField="1" showAll="0"/>
    <pivotField showAll="0"/>
    <pivotField showAll="0"/>
    <pivotField axis="axisPage" multipleItemSelectionAllowed="1" showAll="0">
      <items count="5">
        <item h="1" m="1" x="3"/>
        <item x="0"/>
        <item x="1"/>
        <item x="2"/>
        <item t="default"/>
      </items>
    </pivotField>
    <pivotField showAll="0"/>
    <pivotField showAll="0"/>
    <pivotField numFmtId="14" showAll="0"/>
    <pivotField showAll="0"/>
    <pivotField showAll="0"/>
    <pivotField numFmtId="9"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3"/>
  </rowFields>
  <rowItems count="5">
    <i>
      <x v="3"/>
    </i>
    <i>
      <x/>
    </i>
    <i>
      <x v="2"/>
    </i>
    <i>
      <x v="1"/>
    </i>
    <i t="grand">
      <x/>
    </i>
  </rowItems>
  <colItems count="1">
    <i/>
  </colItems>
  <pageFields count="1">
    <pageField fld="10" hier="-1"/>
  </pageFields>
  <dataFields count="1">
    <dataField name="Sum of revenue_amount" fld="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2"/>
          </reference>
        </references>
      </pivotArea>
    </chartFormat>
    <chartFormat chart="5" format="1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F62BF6-8038-4DD3-BDC4-83C4EC80D8D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3">
    <pivotField showAll="0"/>
    <pivotField showAll="0"/>
    <pivotField showAll="0">
      <items count="6">
        <item x="1"/>
        <item x="0"/>
        <item x="3"/>
        <item x="4"/>
        <item x="2"/>
        <item t="default"/>
      </items>
    </pivotField>
    <pivotField showAll="0">
      <items count="5">
        <item x="1"/>
        <item x="2"/>
        <item x="0"/>
        <item x="3"/>
        <item t="default"/>
      </items>
    </pivotField>
    <pivotField axis="axisRow"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showAll="0"/>
    <pivotField showAll="0"/>
    <pivotField showAll="0"/>
    <pivotField showAll="0">
      <items count="5">
        <item h="1" m="1" x="3"/>
        <item x="0"/>
        <item x="1"/>
        <item x="2"/>
        <item t="default"/>
      </items>
    </pivotField>
    <pivotField showAll="0"/>
    <pivotField showAll="0"/>
    <pivotField numFmtId="14" showAll="0"/>
    <pivotField dataField="1" showAll="0"/>
    <pivotField showAll="0"/>
    <pivotField numFmtId="9"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4"/>
  </rowFields>
  <rowItems count="4">
    <i>
      <x/>
    </i>
    <i>
      <x v="1"/>
    </i>
    <i>
      <x v="2"/>
    </i>
    <i t="grand">
      <x/>
    </i>
  </rowItems>
  <colItems count="1">
    <i/>
  </colItems>
  <dataFields count="1">
    <dataField name="Average of churn_flag" fld="14" subtotal="average" baseField="4" baseItem="0" numFmtId="9"/>
  </dataFields>
  <formats count="6">
    <format dxfId="23">
      <pivotArea type="all" dataOnly="0" outline="0" fieldPosition="0"/>
    </format>
    <format dxfId="22">
      <pivotArea outline="0" collapsedLevelsAreSubtotals="1"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grandRow="1" outline="0" fieldPosition="0"/>
    </format>
    <format dxfId="1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1"/>
          </reference>
        </references>
      </pivotArea>
    </chartFormat>
    <chartFormat chart="3"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3B3F9E-08BA-4BB5-A878-E59521F664C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3">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showAll="0"/>
    <pivotField showAll="0"/>
    <pivotField showAll="0"/>
    <pivotField showAll="0">
      <items count="5">
        <item h="1" m="1" x="3"/>
        <item x="0"/>
        <item x="1"/>
        <item x="2"/>
        <item t="default"/>
      </items>
    </pivotField>
    <pivotField showAll="0"/>
    <pivotField showAll="0"/>
    <pivotField numFmtId="14" showAll="0"/>
    <pivotField showAll="0"/>
    <pivotField showAll="0"/>
    <pivotField numFmtId="9" showAll="0"/>
    <pivotField showAll="0"/>
    <pivotField showAll="0"/>
    <pivotField showAll="0"/>
    <pivotField showAll="0" defaultSubtotal="0"/>
    <pivotField showAll="0" defaultSubtotal="0">
      <items count="5">
        <item x="0"/>
        <item x="1"/>
        <item x="2"/>
        <item x="3"/>
        <item x="4"/>
      </items>
    </pivotField>
    <pivotField dataField="1" dragToRow="0" dragToCol="0" dragToPage="0" showAll="0" defaultSubtotal="0"/>
  </pivotFields>
  <rowFields count="1">
    <field x="2"/>
  </rowFields>
  <rowItems count="6">
    <i>
      <x v="4"/>
    </i>
    <i>
      <x v="1"/>
    </i>
    <i>
      <x/>
    </i>
    <i>
      <x v="3"/>
    </i>
    <i>
      <x v="2"/>
    </i>
    <i t="grand">
      <x/>
    </i>
  </rowItems>
  <colItems count="1">
    <i/>
  </colItems>
  <dataFields count="1">
    <dataField name="Sum of Industry Profit Margin" fld="22" baseField="0" baseItem="0" numFmtId="9"/>
  </dataFields>
  <formats count="6">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4E23EC-AFEC-4704-91C3-2117C4DE3A0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23">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dataField="1" showAll="0"/>
    <pivotField showAll="0"/>
    <pivotField showAll="0"/>
    <pivotField showAll="0">
      <items count="5">
        <item h="1" m="1" x="3"/>
        <item x="0"/>
        <item x="1"/>
        <item x="2"/>
        <item t="default"/>
      </items>
    </pivotField>
    <pivotField showAll="0"/>
    <pivotField showAll="0"/>
    <pivotField numFmtId="14" showAll="0"/>
    <pivotField showAll="0"/>
    <pivotField showAll="0"/>
    <pivotField numFmtId="9"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2"/>
  </rowFields>
  <rowItems count="6">
    <i>
      <x v="4"/>
    </i>
    <i>
      <x v="1"/>
    </i>
    <i>
      <x v="2"/>
    </i>
    <i>
      <x/>
    </i>
    <i>
      <x v="3"/>
    </i>
    <i t="grand">
      <x/>
    </i>
  </rowItems>
  <colItems count="1">
    <i/>
  </colItems>
  <dataFields count="1">
    <dataField name="Sum of revenue_amount" fld="7" showDataAs="percentOfTotal" baseField="2" baseItem="3" numFmtId="9"/>
  </dataFields>
  <formats count="6">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4"/>
          </reference>
        </references>
      </pivotArea>
    </chartFormat>
    <chartFormat chart="9" format="9">
      <pivotArea type="data" outline="0" fieldPosition="0">
        <references count="2">
          <reference field="4294967294" count="1" selected="0">
            <x v="0"/>
          </reference>
          <reference field="2" count="1" selected="0">
            <x v="1"/>
          </reference>
        </references>
      </pivotArea>
    </chartFormat>
    <chartFormat chart="9" format="10">
      <pivotArea type="data" outline="0" fieldPosition="0">
        <references count="2">
          <reference field="4294967294" count="1" selected="0">
            <x v="0"/>
          </reference>
          <reference field="2" count="1" selected="0">
            <x v="2"/>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E35335-C44B-4393-95B6-770716CB145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23">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showAll="0"/>
    <pivotField showAll="0"/>
    <pivotField dataField="1" showAll="0"/>
    <pivotField showAll="0">
      <items count="5">
        <item h="1" m="1" x="3"/>
        <item x="0"/>
        <item x="1"/>
        <item x="2"/>
        <item t="default"/>
      </items>
    </pivotField>
    <pivotField showAll="0"/>
    <pivotField showAll="0"/>
    <pivotField numFmtId="14" showAll="0"/>
    <pivotField showAll="0"/>
    <pivotField showAll="0"/>
    <pivotField numFmtId="9"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2"/>
  </rowFields>
  <rowItems count="6">
    <i>
      <x v="4"/>
    </i>
    <i>
      <x v="1"/>
    </i>
    <i>
      <x/>
    </i>
    <i>
      <x v="3"/>
    </i>
    <i>
      <x v="2"/>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8D94DA-555B-414B-B091-49E011E3502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3">
    <pivotField showAll="0"/>
    <pivotField showAll="0"/>
    <pivotField showAll="0">
      <items count="6">
        <item x="1"/>
        <item x="0"/>
        <item x="3"/>
        <item x="4"/>
        <item x="2"/>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showAll="0"/>
    <pivotField showAll="0"/>
    <pivotField dataField="1" showAll="0"/>
    <pivotField showAll="0">
      <items count="5">
        <item h="1" m="1" x="3"/>
        <item x="0"/>
        <item x="1"/>
        <item x="2"/>
        <item t="default"/>
      </items>
    </pivotField>
    <pivotField showAll="0"/>
    <pivotField showAll="0"/>
    <pivotField numFmtId="14" showAll="0"/>
    <pivotField showAll="0"/>
    <pivotField showAll="0"/>
    <pivotField numFmtId="9"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3"/>
  </rowFields>
  <rowItems count="5">
    <i>
      <x v="3"/>
    </i>
    <i>
      <x/>
    </i>
    <i>
      <x v="2"/>
    </i>
    <i>
      <x v="1"/>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D40556-92F6-4599-8889-A52DFC7A220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3">
    <pivotField showAll="0"/>
    <pivotField showAll="0"/>
    <pivotField showAll="0">
      <items count="6">
        <item x="1"/>
        <item x="0"/>
        <item x="3"/>
        <item x="4"/>
        <item x="2"/>
        <item t="default"/>
      </items>
    </pivotField>
    <pivotField showAll="0">
      <items count="5">
        <item x="1"/>
        <item x="2"/>
        <item x="0"/>
        <item x="3"/>
        <item t="default"/>
      </items>
    </pivotField>
    <pivotField axis="axisRow" showAll="0">
      <items count="4">
        <item x="0"/>
        <item x="1"/>
        <item x="2"/>
        <item t="default"/>
      </items>
    </pivotField>
    <pivotField numFmtId="14" showAll="0"/>
    <pivotField numFmtId="14" showAll="0">
      <items count="802">
        <item x="407"/>
        <item x="797"/>
        <item x="405"/>
        <item x="791"/>
        <item x="766"/>
        <item x="484"/>
        <item x="621"/>
        <item x="663"/>
        <item x="595"/>
        <item x="733"/>
        <item x="662"/>
        <item x="634"/>
        <item x="414"/>
        <item x="641"/>
        <item x="360"/>
        <item x="739"/>
        <item x="643"/>
        <item x="640"/>
        <item x="423"/>
        <item x="730"/>
        <item x="279"/>
        <item x="762"/>
        <item x="513"/>
        <item x="604"/>
        <item x="91"/>
        <item x="793"/>
        <item x="724"/>
        <item x="642"/>
        <item x="666"/>
        <item x="346"/>
        <item x="692"/>
        <item x="661"/>
        <item x="720"/>
        <item x="658"/>
        <item x="652"/>
        <item x="702"/>
        <item x="528"/>
        <item x="736"/>
        <item x="38"/>
        <item x="373"/>
        <item x="638"/>
        <item x="519"/>
        <item x="695"/>
        <item x="790"/>
        <item x="47"/>
        <item x="112"/>
        <item x="691"/>
        <item x="659"/>
        <item x="617"/>
        <item x="469"/>
        <item x="324"/>
        <item x="408"/>
        <item x="236"/>
        <item x="787"/>
        <item x="121"/>
        <item x="763"/>
        <item x="1"/>
        <item x="502"/>
        <item x="462"/>
        <item x="345"/>
        <item x="334"/>
        <item x="470"/>
        <item x="543"/>
        <item x="784"/>
        <item x="395"/>
        <item x="347"/>
        <item x="529"/>
        <item x="289"/>
        <item x="355"/>
        <item x="683"/>
        <item x="486"/>
        <item x="742"/>
        <item x="314"/>
        <item x="267"/>
        <item x="152"/>
        <item x="263"/>
        <item x="725"/>
        <item x="636"/>
        <item x="387"/>
        <item x="13"/>
        <item x="258"/>
        <item x="743"/>
        <item x="501"/>
        <item x="782"/>
        <item x="738"/>
        <item x="776"/>
        <item x="580"/>
        <item x="97"/>
        <item x="169"/>
        <item x="147"/>
        <item x="390"/>
        <item x="497"/>
        <item x="751"/>
        <item x="239"/>
        <item x="714"/>
        <item x="671"/>
        <item x="700"/>
        <item x="352"/>
        <item x="566"/>
        <item x="615"/>
        <item x="439"/>
        <item x="53"/>
        <item x="102"/>
        <item x="78"/>
        <item x="685"/>
        <item x="166"/>
        <item x="522"/>
        <item x="293"/>
        <item x="430"/>
        <item x="123"/>
        <item x="556"/>
        <item x="242"/>
        <item x="783"/>
        <item x="548"/>
        <item x="418"/>
        <item x="523"/>
        <item x="143"/>
        <item x="157"/>
        <item x="746"/>
        <item x="770"/>
        <item x="434"/>
        <item x="716"/>
        <item x="639"/>
        <item x="488"/>
        <item x="141"/>
        <item x="139"/>
        <item x="712"/>
        <item x="496"/>
        <item x="175"/>
        <item x="325"/>
        <item x="17"/>
        <item x="151"/>
        <item x="190"/>
        <item x="178"/>
        <item x="544"/>
        <item x="176"/>
        <item x="758"/>
        <item x="594"/>
        <item x="713"/>
        <item x="285"/>
        <item x="296"/>
        <item x="291"/>
        <item x="562"/>
        <item x="672"/>
        <item x="23"/>
        <item x="442"/>
        <item x="752"/>
        <item x="444"/>
        <item x="701"/>
        <item x="511"/>
        <item x="569"/>
        <item x="226"/>
        <item x="773"/>
        <item x="37"/>
        <item x="383"/>
        <item x="443"/>
        <item x="228"/>
        <item x="375"/>
        <item x="660"/>
        <item x="517"/>
        <item x="187"/>
        <item x="118"/>
        <item x="400"/>
        <item x="532"/>
        <item x="633"/>
        <item x="631"/>
        <item x="449"/>
        <item x="697"/>
        <item x="526"/>
        <item x="227"/>
        <item x="645"/>
        <item x="100"/>
        <item x="476"/>
        <item x="255"/>
        <item x="800"/>
        <item x="676"/>
        <item x="520"/>
        <item x="336"/>
        <item x="761"/>
        <item x="531"/>
        <item x="593"/>
        <item x="107"/>
        <item x="182"/>
        <item x="246"/>
        <item x="93"/>
        <item x="478"/>
        <item x="417"/>
        <item x="251"/>
        <item x="536"/>
        <item x="138"/>
        <item x="353"/>
        <item x="5"/>
        <item x="34"/>
        <item x="160"/>
        <item x="669"/>
        <item x="207"/>
        <item x="299"/>
        <item x="507"/>
        <item x="499"/>
        <item x="114"/>
        <item x="646"/>
        <item x="509"/>
        <item x="31"/>
        <item x="527"/>
        <item x="403"/>
        <item x="525"/>
        <item x="330"/>
        <item x="282"/>
        <item x="110"/>
        <item x="759"/>
        <item x="132"/>
        <item x="16"/>
        <item x="376"/>
        <item x="134"/>
        <item x="541"/>
        <item x="699"/>
        <item x="76"/>
        <item x="549"/>
        <item x="748"/>
        <item x="521"/>
        <item x="339"/>
        <item x="307"/>
        <item x="317"/>
        <item x="704"/>
        <item x="696"/>
        <item x="101"/>
        <item x="554"/>
        <item x="174"/>
        <item x="715"/>
        <item x="572"/>
        <item x="394"/>
        <item x="370"/>
        <item x="306"/>
        <item x="729"/>
        <item x="799"/>
        <item x="354"/>
        <item x="760"/>
        <item x="358"/>
        <item x="564"/>
        <item x="650"/>
        <item x="167"/>
        <item x="396"/>
        <item x="105"/>
        <item x="635"/>
        <item x="212"/>
        <item x="485"/>
        <item x="201"/>
        <item x="197"/>
        <item x="612"/>
        <item x="656"/>
        <item x="591"/>
        <item x="380"/>
        <item x="275"/>
        <item x="555"/>
        <item x="545"/>
        <item x="90"/>
        <item x="321"/>
        <item x="303"/>
        <item x="320"/>
        <item x="630"/>
        <item x="356"/>
        <item x="224"/>
        <item x="332"/>
        <item x="244"/>
        <item x="218"/>
        <item x="467"/>
        <item x="514"/>
        <item x="524"/>
        <item x="709"/>
        <item x="115"/>
        <item x="45"/>
        <item x="278"/>
        <item x="173"/>
        <item x="63"/>
        <item x="192"/>
        <item x="230"/>
        <item x="567"/>
        <item x="145"/>
        <item x="214"/>
        <item x="250"/>
        <item x="80"/>
        <item x="30"/>
        <item x="65"/>
        <item x="426"/>
        <item x="241"/>
        <item x="304"/>
        <item x="198"/>
        <item x="465"/>
        <item x="0"/>
        <item x="455"/>
        <item x="142"/>
        <item x="92"/>
        <item x="231"/>
        <item x="155"/>
        <item x="680"/>
        <item x="28"/>
        <item x="389"/>
        <item x="737"/>
        <item x="553"/>
        <item x="149"/>
        <item x="75"/>
        <item x="29"/>
        <item x="391"/>
        <item x="479"/>
        <item x="219"/>
        <item x="710"/>
        <item x="62"/>
        <item x="44"/>
        <item x="775"/>
        <item x="686"/>
        <item x="305"/>
        <item x="133"/>
        <item x="446"/>
        <item x="367"/>
        <item x="235"/>
        <item x="493"/>
        <item x="388"/>
        <item x="504"/>
        <item x="19"/>
        <item x="67"/>
        <item x="364"/>
        <item x="440"/>
        <item x="99"/>
        <item x="156"/>
        <item x="357"/>
        <item x="172"/>
        <item x="649"/>
        <item x="590"/>
        <item x="120"/>
        <item x="284"/>
        <item x="340"/>
        <item x="7"/>
        <item x="42"/>
        <item x="734"/>
        <item x="64"/>
        <item x="427"/>
        <item x="464"/>
        <item x="433"/>
        <item x="89"/>
        <item x="410"/>
        <item x="474"/>
        <item x="286"/>
        <item x="351"/>
        <item x="622"/>
        <item x="179"/>
        <item x="22"/>
        <item x="308"/>
        <item x="515"/>
        <item x="757"/>
        <item x="679"/>
        <item x="85"/>
        <item x="59"/>
        <item x="450"/>
        <item x="459"/>
        <item x="130"/>
        <item x="220"/>
        <item x="184"/>
        <item x="288"/>
        <item x="297"/>
        <item x="58"/>
        <item x="186"/>
        <item x="189"/>
        <item x="4"/>
        <item x="608"/>
        <item x="402"/>
        <item x="26"/>
        <item x="188"/>
        <item x="654"/>
        <item x="15"/>
        <item x="283"/>
        <item x="124"/>
        <item x="377"/>
        <item x="428"/>
        <item x="98"/>
        <item x="232"/>
        <item x="500"/>
        <item x="309"/>
        <item x="185"/>
        <item x="586"/>
        <item x="153"/>
        <item x="276"/>
        <item x="657"/>
        <item x="327"/>
        <item x="667"/>
        <item x="533"/>
        <item x="41"/>
        <item x="425"/>
        <item x="108"/>
        <item x="482"/>
        <item x="261"/>
        <item x="273"/>
        <item x="728"/>
        <item x="406"/>
        <item x="203"/>
        <item x="503"/>
        <item x="627"/>
        <item x="158"/>
        <item x="385"/>
        <item x="552"/>
        <item x="436"/>
        <item x="534"/>
        <item x="20"/>
        <item x="574"/>
        <item x="298"/>
        <item x="217"/>
        <item x="386"/>
        <item x="137"/>
        <item x="745"/>
        <item x="33"/>
        <item x="344"/>
        <item x="209"/>
        <item x="731"/>
        <item x="290"/>
        <item x="611"/>
        <item x="262"/>
        <item x="82"/>
        <item x="614"/>
        <item x="723"/>
        <item x="12"/>
        <item x="131"/>
        <item x="129"/>
        <item x="349"/>
        <item x="492"/>
        <item x="329"/>
        <item x="83"/>
        <item x="88"/>
        <item x="348"/>
        <item x="494"/>
        <item x="84"/>
        <item x="431"/>
        <item x="378"/>
        <item x="94"/>
        <item x="24"/>
        <item x="365"/>
        <item x="456"/>
        <item x="18"/>
        <item x="693"/>
        <item x="32"/>
        <item x="140"/>
        <item x="379"/>
        <item x="70"/>
        <item x="313"/>
        <item x="154"/>
        <item x="421"/>
        <item x="369"/>
        <item x="116"/>
        <item x="404"/>
        <item x="546"/>
        <item x="11"/>
        <item x="272"/>
        <item x="40"/>
        <item x="27"/>
        <item x="66"/>
        <item x="163"/>
        <item x="254"/>
        <item x="328"/>
        <item x="688"/>
        <item x="350"/>
        <item x="216"/>
        <item x="260"/>
        <item x="424"/>
        <item x="315"/>
        <item x="205"/>
        <item x="560"/>
        <item x="413"/>
        <item x="778"/>
        <item x="69"/>
        <item x="213"/>
        <item x="177"/>
        <item x="448"/>
        <item x="206"/>
        <item x="588"/>
        <item x="420"/>
        <item x="747"/>
        <item x="581"/>
        <item x="537"/>
        <item x="36"/>
        <item x="238"/>
        <item x="71"/>
        <item x="162"/>
        <item x="269"/>
        <item x="756"/>
        <item x="558"/>
        <item x="786"/>
        <item x="6"/>
        <item x="79"/>
        <item x="419"/>
        <item x="540"/>
        <item x="165"/>
        <item x="136"/>
        <item x="72"/>
        <item x="451"/>
        <item x="461"/>
        <item x="113"/>
        <item x="292"/>
        <item x="318"/>
        <item x="335"/>
        <item x="362"/>
        <item x="732"/>
        <item x="14"/>
        <item x="215"/>
        <item x="223"/>
        <item x="628"/>
        <item x="603"/>
        <item x="475"/>
        <item x="589"/>
        <item x="750"/>
        <item x="10"/>
        <item x="508"/>
        <item x="301"/>
        <item x="43"/>
        <item x="441"/>
        <item x="323"/>
        <item x="416"/>
        <item x="454"/>
        <item x="280"/>
        <item x="582"/>
        <item x="50"/>
        <item x="270"/>
        <item x="68"/>
        <item x="257"/>
        <item x="210"/>
        <item x="144"/>
        <item x="49"/>
        <item x="2"/>
        <item x="596"/>
        <item x="264"/>
        <item x="571"/>
        <item x="46"/>
        <item x="196"/>
        <item x="211"/>
        <item x="629"/>
        <item x="366"/>
        <item x="199"/>
        <item x="609"/>
        <item x="229"/>
        <item x="39"/>
        <item x="60"/>
        <item x="271"/>
        <item x="677"/>
        <item x="505"/>
        <item x="56"/>
        <item x="52"/>
        <item x="103"/>
        <item x="613"/>
        <item x="415"/>
        <item x="146"/>
        <item x="277"/>
        <item x="125"/>
        <item x="510"/>
        <item x="95"/>
        <item x="506"/>
        <item x="673"/>
        <item x="9"/>
        <item x="721"/>
        <item x="538"/>
        <item x="342"/>
        <item x="722"/>
        <item x="361"/>
        <item x="170"/>
        <item x="392"/>
        <item x="193"/>
        <item x="338"/>
        <item x="798"/>
        <item x="225"/>
        <item x="472"/>
        <item x="310"/>
        <item x="605"/>
        <item x="583"/>
        <item x="675"/>
        <item x="87"/>
        <item x="48"/>
        <item x="337"/>
        <item x="653"/>
        <item x="626"/>
        <item x="55"/>
        <item x="601"/>
        <item x="237"/>
        <item x="266"/>
        <item x="401"/>
        <item x="445"/>
        <item x="678"/>
        <item x="311"/>
        <item x="592"/>
        <item x="111"/>
        <item x="119"/>
        <item x="619"/>
        <item x="202"/>
        <item x="397"/>
        <item x="316"/>
        <item x="741"/>
        <item x="248"/>
        <item x="150"/>
        <item x="35"/>
        <item x="779"/>
        <item x="585"/>
        <item x="384"/>
        <item x="463"/>
        <item x="597"/>
        <item x="606"/>
        <item x="148"/>
        <item x="706"/>
        <item x="495"/>
        <item x="3"/>
        <item x="268"/>
        <item x="191"/>
        <item x="491"/>
        <item x="200"/>
        <item x="256"/>
        <item x="247"/>
        <item x="252"/>
        <item x="625"/>
        <item x="487"/>
        <item x="312"/>
        <item x="181"/>
        <item x="51"/>
        <item x="689"/>
        <item x="516"/>
        <item x="570"/>
        <item x="122"/>
        <item x="764"/>
        <item x="233"/>
        <item x="717"/>
        <item x="600"/>
        <item x="86"/>
        <item x="547"/>
        <item x="718"/>
        <item x="573"/>
        <item x="243"/>
        <item x="457"/>
        <item x="559"/>
        <item x="409"/>
        <item x="698"/>
        <item x="74"/>
        <item x="477"/>
        <item x="788"/>
        <item x="575"/>
        <item x="647"/>
        <item x="422"/>
        <item x="687"/>
        <item x="551"/>
        <item x="480"/>
        <item x="61"/>
        <item x="618"/>
        <item x="265"/>
        <item x="180"/>
        <item x="632"/>
        <item x="382"/>
        <item x="602"/>
        <item x="665"/>
        <item x="57"/>
        <item x="719"/>
        <item x="253"/>
        <item x="343"/>
        <item x="96"/>
        <item x="371"/>
        <item x="398"/>
        <item x="703"/>
        <item x="435"/>
        <item x="331"/>
        <item x="557"/>
        <item x="322"/>
        <item x="452"/>
        <item x="668"/>
        <item x="411"/>
        <item x="437"/>
        <item x="711"/>
        <item x="616"/>
        <item x="208"/>
        <item x="648"/>
        <item x="438"/>
        <item x="624"/>
        <item x="579"/>
        <item x="372"/>
        <item x="740"/>
        <item x="77"/>
        <item x="221"/>
        <item x="393"/>
        <item x="483"/>
        <item x="259"/>
        <item x="128"/>
        <item x="753"/>
        <item x="432"/>
        <item x="623"/>
        <item x="333"/>
        <item x="429"/>
        <item x="563"/>
        <item x="707"/>
        <item x="620"/>
        <item x="412"/>
        <item x="126"/>
        <item x="473"/>
        <item x="127"/>
        <item x="735"/>
        <item x="794"/>
        <item x="300"/>
        <item x="530"/>
        <item x="302"/>
        <item x="542"/>
        <item x="565"/>
        <item x="768"/>
        <item x="81"/>
        <item x="568"/>
        <item x="705"/>
        <item x="194"/>
        <item x="54"/>
        <item x="489"/>
        <item x="468"/>
        <item x="637"/>
        <item x="726"/>
        <item x="240"/>
        <item x="539"/>
        <item x="287"/>
        <item x="599"/>
        <item x="655"/>
        <item x="168"/>
        <item x="171"/>
        <item x="727"/>
        <item x="550"/>
        <item x="249"/>
        <item x="670"/>
        <item x="109"/>
        <item x="183"/>
        <item x="535"/>
        <item x="319"/>
        <item x="577"/>
        <item x="610"/>
        <item x="481"/>
        <item x="772"/>
        <item x="359"/>
        <item x="161"/>
        <item x="578"/>
        <item x="363"/>
        <item x="135"/>
        <item x="777"/>
        <item x="518"/>
        <item x="341"/>
        <item x="25"/>
        <item x="690"/>
        <item x="195"/>
        <item x="471"/>
        <item x="245"/>
        <item x="765"/>
        <item x="466"/>
        <item x="771"/>
        <item x="598"/>
        <item x="274"/>
        <item x="587"/>
        <item x="8"/>
        <item x="755"/>
        <item x="222"/>
        <item x="785"/>
        <item x="780"/>
        <item x="651"/>
        <item x="781"/>
        <item x="792"/>
        <item x="708"/>
        <item x="576"/>
        <item x="368"/>
        <item x="447"/>
        <item x="164"/>
        <item x="104"/>
        <item x="73"/>
        <item x="584"/>
        <item x="789"/>
        <item x="458"/>
        <item x="399"/>
        <item x="326"/>
        <item x="749"/>
        <item x="681"/>
        <item x="453"/>
        <item x="106"/>
        <item x="234"/>
        <item x="754"/>
        <item x="684"/>
        <item x="21"/>
        <item x="295"/>
        <item x="281"/>
        <item x="644"/>
        <item x="607"/>
        <item x="117"/>
        <item x="769"/>
        <item x="674"/>
        <item x="204"/>
        <item x="664"/>
        <item x="795"/>
        <item x="682"/>
        <item x="498"/>
        <item x="460"/>
        <item x="796"/>
        <item x="294"/>
        <item x="159"/>
        <item x="381"/>
        <item x="694"/>
        <item x="512"/>
        <item x="561"/>
        <item x="374"/>
        <item x="767"/>
        <item x="490"/>
        <item x="774"/>
        <item x="744"/>
        <item t="default"/>
      </items>
    </pivotField>
    <pivotField showAll="0"/>
    <pivotField showAll="0"/>
    <pivotField dataField="1" showAll="0"/>
    <pivotField showAll="0">
      <items count="5">
        <item h="1" m="1" x="3"/>
        <item x="0"/>
        <item x="1"/>
        <item x="2"/>
        <item t="default"/>
      </items>
    </pivotField>
    <pivotField showAll="0"/>
    <pivotField showAll="0"/>
    <pivotField numFmtId="14" showAll="0"/>
    <pivotField showAll="0"/>
    <pivotField showAll="0"/>
    <pivotField numFmtId="9" showAll="0"/>
    <pivotField showAll="0"/>
    <pivotField showAll="0"/>
    <pivotField showAll="0"/>
    <pivotField showAll="0" defaultSubtotal="0"/>
    <pivotField showAll="0" defaultSubtotal="0">
      <items count="5">
        <item x="0"/>
        <item x="1"/>
        <item x="2"/>
        <item x="3"/>
        <item x="4"/>
      </items>
    </pivotField>
    <pivotField dragToRow="0" dragToCol="0" dragToPage="0" showAll="0" defaultSubtotal="0"/>
  </pivotFields>
  <rowFields count="1">
    <field x="4"/>
  </rowFields>
  <rowItems count="4">
    <i>
      <x/>
    </i>
    <i>
      <x v="1"/>
    </i>
    <i>
      <x v="2"/>
    </i>
    <i t="grand">
      <x/>
    </i>
  </rowItems>
  <colItems count="1">
    <i/>
  </colItems>
  <dataFields count="1">
    <dataField name="Sum of profit" fld="9"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F03046-8A29-4E6A-A9E7-7DA0B0FD06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9">
    <pivotField showAll="0"/>
    <pivotField dataField="1" showAll="0">
      <items count="403">
        <item x="33"/>
        <item x="184"/>
        <item x="341"/>
        <item x="239"/>
        <item x="342"/>
        <item x="205"/>
        <item x="323"/>
        <item x="170"/>
        <item x="306"/>
        <item x="260"/>
        <item x="91"/>
        <item x="339"/>
        <item x="41"/>
        <item x="245"/>
        <item x="34"/>
        <item x="304"/>
        <item x="145"/>
        <item x="26"/>
        <item x="52"/>
        <item x="202"/>
        <item x="374"/>
        <item x="375"/>
        <item x="324"/>
        <item x="168"/>
        <item x="297"/>
        <item x="218"/>
        <item x="237"/>
        <item x="388"/>
        <item x="277"/>
        <item x="268"/>
        <item x="183"/>
        <item x="226"/>
        <item x="81"/>
        <item x="383"/>
        <item x="357"/>
        <item x="2"/>
        <item x="140"/>
        <item x="83"/>
        <item x="286"/>
        <item x="294"/>
        <item x="54"/>
        <item x="246"/>
        <item x="254"/>
        <item x="93"/>
        <item x="155"/>
        <item x="161"/>
        <item x="90"/>
        <item x="376"/>
        <item x="318"/>
        <item x="361"/>
        <item x="115"/>
        <item x="236"/>
        <item x="269"/>
        <item x="86"/>
        <item x="220"/>
        <item x="76"/>
        <item x="328"/>
        <item x="368"/>
        <item x="234"/>
        <item x="38"/>
        <item x="322"/>
        <item x="271"/>
        <item x="381"/>
        <item x="378"/>
        <item x="242"/>
        <item x="256"/>
        <item x="99"/>
        <item x="267"/>
        <item x="340"/>
        <item x="181"/>
        <item x="301"/>
        <item x="85"/>
        <item x="275"/>
        <item x="315"/>
        <item x="132"/>
        <item x="372"/>
        <item x="293"/>
        <item x="119"/>
        <item x="387"/>
        <item x="130"/>
        <item x="317"/>
        <item x="178"/>
        <item x="113"/>
        <item x="4"/>
        <item x="101"/>
        <item x="36"/>
        <item x="391"/>
        <item x="307"/>
        <item x="352"/>
        <item x="27"/>
        <item x="159"/>
        <item x="214"/>
        <item x="53"/>
        <item x="121"/>
        <item x="370"/>
        <item x="111"/>
        <item x="136"/>
        <item x="174"/>
        <item x="186"/>
        <item x="152"/>
        <item x="75"/>
        <item x="216"/>
        <item x="191"/>
        <item x="138"/>
        <item x="134"/>
        <item x="112"/>
        <item x="386"/>
        <item x="156"/>
        <item x="29"/>
        <item x="217"/>
        <item x="384"/>
        <item x="347"/>
        <item x="118"/>
        <item x="206"/>
        <item x="19"/>
        <item x="248"/>
        <item x="215"/>
        <item x="320"/>
        <item x="49"/>
        <item x="87"/>
        <item x="194"/>
        <item x="399"/>
        <item x="64"/>
        <item x="65"/>
        <item x="208"/>
        <item x="329"/>
        <item x="196"/>
        <item x="105"/>
        <item x="18"/>
        <item x="321"/>
        <item x="82"/>
        <item x="71"/>
        <item x="233"/>
        <item x="51"/>
        <item x="188"/>
        <item x="197"/>
        <item x="272"/>
        <item x="212"/>
        <item x="313"/>
        <item x="68"/>
        <item x="78"/>
        <item x="393"/>
        <item x="209"/>
        <item x="229"/>
        <item x="97"/>
        <item x="30"/>
        <item x="124"/>
        <item x="296"/>
        <item x="270"/>
        <item x="354"/>
        <item x="285"/>
        <item x="10"/>
        <item x="57"/>
        <item x="13"/>
        <item x="366"/>
        <item x="123"/>
        <item x="288"/>
        <item x="187"/>
        <item x="129"/>
        <item x="146"/>
        <item x="160"/>
        <item x="211"/>
        <item x="348"/>
        <item x="262"/>
        <item x="251"/>
        <item x="179"/>
        <item x="9"/>
        <item x="279"/>
        <item x="70"/>
        <item x="225"/>
        <item x="1"/>
        <item x="0"/>
        <item x="40"/>
        <item x="100"/>
        <item x="316"/>
        <item x="266"/>
        <item x="373"/>
        <item x="350"/>
        <item x="63"/>
        <item x="14"/>
        <item x="273"/>
        <item x="253"/>
        <item x="369"/>
        <item x="278"/>
        <item x="8"/>
        <item x="247"/>
        <item x="96"/>
        <item x="55"/>
        <item x="77"/>
        <item x="157"/>
        <item x="221"/>
        <item x="153"/>
        <item x="12"/>
        <item x="102"/>
        <item x="144"/>
        <item x="48"/>
        <item x="56"/>
        <item x="367"/>
        <item x="290"/>
        <item x="74"/>
        <item x="167"/>
        <item x="62"/>
        <item x="349"/>
        <item x="281"/>
        <item x="325"/>
        <item x="22"/>
        <item x="11"/>
        <item x="282"/>
        <item x="24"/>
        <item x="171"/>
        <item x="224"/>
        <item x="135"/>
        <item x="45"/>
        <item x="291"/>
        <item x="20"/>
        <item x="201"/>
        <item x="343"/>
        <item x="222"/>
        <item x="80"/>
        <item x="142"/>
        <item x="287"/>
        <item x="265"/>
        <item x="116"/>
        <item x="390"/>
        <item x="380"/>
        <item x="238"/>
        <item x="302"/>
        <item x="31"/>
        <item x="103"/>
        <item x="39"/>
        <item x="173"/>
        <item x="250"/>
        <item x="338"/>
        <item x="125"/>
        <item x="377"/>
        <item x="60"/>
        <item x="23"/>
        <item x="106"/>
        <item x="16"/>
        <item x="79"/>
        <item x="311"/>
        <item x="5"/>
        <item x="396"/>
        <item x="243"/>
        <item x="319"/>
        <item x="358"/>
        <item x="314"/>
        <item x="356"/>
        <item x="131"/>
        <item x="397"/>
        <item x="326"/>
        <item x="7"/>
        <item x="72"/>
        <item x="334"/>
        <item x="143"/>
        <item x="327"/>
        <item x="185"/>
        <item x="69"/>
        <item x="137"/>
        <item x="280"/>
        <item x="299"/>
        <item x="149"/>
        <item x="359"/>
        <item x="332"/>
        <item x="67"/>
        <item x="228"/>
        <item x="210"/>
        <item x="379"/>
        <item x="128"/>
        <item x="398"/>
        <item x="150"/>
        <item x="182"/>
        <item x="66"/>
        <item x="360"/>
        <item x="241"/>
        <item x="400"/>
        <item x="264"/>
        <item x="207"/>
        <item x="312"/>
        <item x="59"/>
        <item x="44"/>
        <item x="213"/>
        <item x="308"/>
        <item x="193"/>
        <item x="392"/>
        <item x="351"/>
        <item x="223"/>
        <item x="346"/>
        <item x="166"/>
        <item x="305"/>
        <item x="371"/>
        <item x="165"/>
        <item x="333"/>
        <item x="252"/>
        <item x="203"/>
        <item x="309"/>
        <item x="73"/>
        <item x="189"/>
        <item x="84"/>
        <item x="15"/>
        <item x="284"/>
        <item x="230"/>
        <item x="139"/>
        <item x="122"/>
        <item x="32"/>
        <item x="117"/>
        <item x="362"/>
        <item x="353"/>
        <item x="47"/>
        <item x="276"/>
        <item x="198"/>
        <item x="298"/>
        <item x="35"/>
        <item x="6"/>
        <item x="336"/>
        <item x="231"/>
        <item x="204"/>
        <item x="172"/>
        <item x="200"/>
        <item x="37"/>
        <item x="261"/>
        <item x="175"/>
        <item x="292"/>
        <item x="310"/>
        <item x="25"/>
        <item x="283"/>
        <item x="355"/>
        <item x="151"/>
        <item x="42"/>
        <item x="88"/>
        <item x="17"/>
        <item x="394"/>
        <item x="154"/>
        <item x="148"/>
        <item x="21"/>
        <item x="227"/>
        <item x="46"/>
        <item x="163"/>
        <item x="337"/>
        <item x="164"/>
        <item x="259"/>
        <item x="110"/>
        <item x="274"/>
        <item x="303"/>
        <item x="180"/>
        <item x="232"/>
        <item x="195"/>
        <item x="3"/>
        <item x="345"/>
        <item x="141"/>
        <item x="289"/>
        <item x="61"/>
        <item x="120"/>
        <item x="147"/>
        <item x="190"/>
        <item x="330"/>
        <item x="169"/>
        <item x="108"/>
        <item x="107"/>
        <item x="335"/>
        <item x="240"/>
        <item x="331"/>
        <item x="385"/>
        <item x="192"/>
        <item x="94"/>
        <item x="344"/>
        <item x="127"/>
        <item x="395"/>
        <item x="133"/>
        <item x="126"/>
        <item x="89"/>
        <item x="235"/>
        <item x="43"/>
        <item x="92"/>
        <item x="199"/>
        <item x="257"/>
        <item x="365"/>
        <item x="255"/>
        <item x="263"/>
        <item x="363"/>
        <item x="244"/>
        <item x="249"/>
        <item x="28"/>
        <item x="382"/>
        <item x="162"/>
        <item x="109"/>
        <item x="258"/>
        <item x="177"/>
        <item x="114"/>
        <item x="176"/>
        <item x="389"/>
        <item x="364"/>
        <item x="58"/>
        <item x="50"/>
        <item x="219"/>
        <item x="295"/>
        <item x="95"/>
        <item x="158"/>
        <item x="104"/>
        <item x="98"/>
        <item x="300"/>
        <item x="401"/>
        <item t="default"/>
      </items>
    </pivotField>
    <pivotField showAll="0"/>
    <pivotField showAll="0"/>
    <pivotField showAll="0"/>
    <pivotField showAll="0"/>
    <pivotField showAll="0"/>
    <pivotField dataField="1" showAll="0">
      <items count="2223">
        <item x="659"/>
        <item x="295"/>
        <item x="1540"/>
        <item x="621"/>
        <item x="215"/>
        <item x="1419"/>
        <item x="1086"/>
        <item x="2125"/>
        <item x="786"/>
        <item x="109"/>
        <item x="1096"/>
        <item x="763"/>
        <item x="1860"/>
        <item x="69"/>
        <item x="1672"/>
        <item x="280"/>
        <item x="1534"/>
        <item x="1945"/>
        <item x="386"/>
        <item x="1815"/>
        <item x="1967"/>
        <item x="1807"/>
        <item x="1489"/>
        <item x="1903"/>
        <item x="2174"/>
        <item x="1748"/>
        <item x="704"/>
        <item x="504"/>
        <item x="342"/>
        <item x="1631"/>
        <item x="2143"/>
        <item x="1539"/>
        <item x="330"/>
        <item x="1825"/>
        <item x="1239"/>
        <item x="1571"/>
        <item x="715"/>
        <item x="228"/>
        <item x="1043"/>
        <item x="2099"/>
        <item x="1374"/>
        <item x="705"/>
        <item x="957"/>
        <item x="968"/>
        <item x="573"/>
        <item x="434"/>
        <item x="958"/>
        <item x="1864"/>
        <item x="684"/>
        <item x="1904"/>
        <item x="827"/>
        <item x="1531"/>
        <item x="1644"/>
        <item x="2105"/>
        <item x="1670"/>
        <item x="595"/>
        <item x="15"/>
        <item x="1119"/>
        <item x="499"/>
        <item x="1818"/>
        <item x="588"/>
        <item x="101"/>
        <item x="939"/>
        <item x="664"/>
        <item x="1549"/>
        <item x="2163"/>
        <item x="515"/>
        <item x="1012"/>
        <item x="1411"/>
        <item x="1999"/>
        <item x="732"/>
        <item x="1884"/>
        <item x="829"/>
        <item x="2080"/>
        <item x="1561"/>
        <item x="1136"/>
        <item x="2168"/>
        <item x="561"/>
        <item x="1819"/>
        <item x="1732"/>
        <item x="1690"/>
        <item x="1163"/>
        <item x="197"/>
        <item x="385"/>
        <item x="1920"/>
        <item x="1189"/>
        <item x="2022"/>
        <item x="83"/>
        <item x="1602"/>
        <item x="824"/>
        <item x="111"/>
        <item x="1863"/>
        <item x="1558"/>
        <item x="1535"/>
        <item x="1240"/>
        <item x="41"/>
        <item x="1224"/>
        <item x="64"/>
        <item x="2070"/>
        <item x="365"/>
        <item x="510"/>
        <item x="669"/>
        <item x="1015"/>
        <item x="1679"/>
        <item x="930"/>
        <item x="62"/>
        <item x="1250"/>
        <item x="1519"/>
        <item x="199"/>
        <item x="805"/>
        <item x="1833"/>
        <item x="1208"/>
        <item x="1541"/>
        <item x="931"/>
        <item x="2019"/>
        <item x="777"/>
        <item x="535"/>
        <item x="1728"/>
        <item x="140"/>
        <item x="582"/>
        <item x="1950"/>
        <item x="1844"/>
        <item x="512"/>
        <item x="638"/>
        <item x="1077"/>
        <item x="897"/>
        <item x="2020"/>
        <item x="1973"/>
        <item x="2190"/>
        <item x="1458"/>
        <item x="1166"/>
        <item x="980"/>
        <item x="2209"/>
        <item x="1305"/>
        <item x="1957"/>
        <item x="311"/>
        <item x="875"/>
        <item x="506"/>
        <item x="121"/>
        <item x="862"/>
        <item x="1859"/>
        <item x="2055"/>
        <item x="2045"/>
        <item x="2198"/>
        <item x="1822"/>
        <item x="726"/>
        <item x="248"/>
        <item x="1667"/>
        <item x="2194"/>
        <item x="1842"/>
        <item x="2124"/>
        <item x="1263"/>
        <item x="2203"/>
        <item x="801"/>
        <item x="1914"/>
        <item x="878"/>
        <item x="2082"/>
        <item x="1027"/>
        <item x="1572"/>
        <item x="767"/>
        <item x="714"/>
        <item x="376"/>
        <item x="1446"/>
        <item x="1404"/>
        <item x="2026"/>
        <item x="1893"/>
        <item x="71"/>
        <item x="1585"/>
        <item x="2068"/>
        <item x="246"/>
        <item x="1399"/>
        <item x="106"/>
        <item x="1660"/>
        <item x="1017"/>
        <item x="362"/>
        <item x="1132"/>
        <item x="605"/>
        <item x="1805"/>
        <item x="1525"/>
        <item x="75"/>
        <item x="788"/>
        <item x="533"/>
        <item x="1039"/>
        <item x="949"/>
        <item x="1872"/>
        <item x="1482"/>
        <item x="367"/>
        <item x="1421"/>
        <item x="1217"/>
        <item x="1597"/>
        <item x="2215"/>
        <item x="1507"/>
        <item x="1879"/>
        <item x="1175"/>
        <item x="1761"/>
        <item x="999"/>
        <item x="1714"/>
        <item x="1850"/>
        <item x="1616"/>
        <item x="38"/>
        <item x="370"/>
        <item x="1992"/>
        <item x="2090"/>
        <item x="764"/>
        <item x="784"/>
        <item x="63"/>
        <item x="1966"/>
        <item x="1356"/>
        <item x="1931"/>
        <item x="2149"/>
        <item x="2144"/>
        <item x="553"/>
        <item x="384"/>
        <item x="646"/>
        <item x="1848"/>
        <item x="372"/>
        <item x="1201"/>
        <item x="593"/>
        <item x="1449"/>
        <item x="2212"/>
        <item x="1251"/>
        <item x="1779"/>
        <item x="108"/>
        <item x="1452"/>
        <item x="1803"/>
        <item x="1006"/>
        <item x="1102"/>
        <item x="2030"/>
        <item x="305"/>
        <item x="247"/>
        <item x="141"/>
        <item x="492"/>
        <item x="123"/>
        <item x="1350"/>
        <item x="572"/>
        <item x="1559"/>
        <item x="2009"/>
        <item x="924"/>
        <item x="502"/>
        <item x="429"/>
        <item x="1225"/>
        <item x="1697"/>
        <item x="868"/>
        <item x="661"/>
        <item x="1661"/>
        <item x="36"/>
        <item x="1654"/>
        <item x="1829"/>
        <item x="1800"/>
        <item x="1063"/>
        <item x="1008"/>
        <item x="642"/>
        <item x="916"/>
        <item x="1260"/>
        <item x="1242"/>
        <item x="343"/>
        <item x="1891"/>
        <item x="1089"/>
        <item x="405"/>
        <item x="1169"/>
        <item x="1193"/>
        <item x="124"/>
        <item x="870"/>
        <item x="408"/>
        <item x="459"/>
        <item x="1916"/>
        <item x="1715"/>
        <item x="2059"/>
        <item x="671"/>
        <item x="446"/>
        <item x="1587"/>
        <item x="1075"/>
        <item x="1035"/>
        <item x="1649"/>
        <item x="874"/>
        <item x="328"/>
        <item x="1396"/>
        <item x="1171"/>
        <item x="723"/>
        <item x="46"/>
        <item x="744"/>
        <item x="1277"/>
        <item x="1044"/>
        <item x="2100"/>
        <item x="349"/>
        <item x="378"/>
        <item x="301"/>
        <item x="275"/>
        <item x="775"/>
        <item x="1552"/>
        <item x="1318"/>
        <item x="737"/>
        <item x="326"/>
        <item x="482"/>
        <item x="942"/>
        <item x="603"/>
        <item x="810"/>
        <item x="1311"/>
        <item x="1778"/>
        <item x="286"/>
        <item x="796"/>
        <item x="423"/>
        <item x="2135"/>
        <item x="1577"/>
        <item x="697"/>
        <item x="170"/>
        <item x="1"/>
        <item x="2081"/>
        <item x="881"/>
        <item x="1694"/>
        <item x="606"/>
        <item x="516"/>
        <item x="1413"/>
        <item x="592"/>
        <item x="1790"/>
        <item x="2202"/>
        <item x="1348"/>
        <item x="1774"/>
        <item x="858"/>
        <item x="1702"/>
        <item x="1199"/>
        <item x="879"/>
        <item x="223"/>
        <item x="2101"/>
        <item x="523"/>
        <item x="1780"/>
        <item x="425"/>
        <item x="1895"/>
        <item x="1752"/>
        <item x="494"/>
        <item x="152"/>
        <item x="975"/>
        <item x="176"/>
        <item x="2033"/>
        <item x="1139"/>
        <item x="1124"/>
        <item x="1213"/>
        <item x="1958"/>
        <item x="1497"/>
        <item x="37"/>
        <item x="699"/>
        <item x="322"/>
        <item x="1138"/>
        <item x="834"/>
        <item x="1091"/>
        <item x="291"/>
        <item x="1157"/>
        <item x="1620"/>
        <item x="1226"/>
        <item x="20"/>
        <item x="379"/>
        <item x="1953"/>
        <item x="1114"/>
        <item x="225"/>
        <item x="2117"/>
        <item x="1867"/>
        <item x="693"/>
        <item x="398"/>
        <item x="2136"/>
        <item x="1628"/>
        <item x="2064"/>
        <item x="741"/>
        <item x="815"/>
        <item x="2187"/>
        <item x="1956"/>
        <item x="1220"/>
        <item x="498"/>
        <item x="1380"/>
        <item x="1338"/>
        <item x="2095"/>
        <item x="1424"/>
        <item x="1385"/>
        <item x="206"/>
        <item x="260"/>
        <item x="979"/>
        <item x="1069"/>
        <item x="1741"/>
        <item x="1769"/>
        <item x="2001"/>
        <item x="211"/>
        <item x="1878"/>
        <item x="633"/>
        <item x="1888"/>
        <item x="1155"/>
        <item x="1164"/>
        <item x="2097"/>
        <item x="676"/>
        <item x="1813"/>
        <item x="901"/>
        <item x="1267"/>
        <item x="1259"/>
        <item x="2084"/>
        <item x="1307"/>
        <item x="146"/>
        <item x="1671"/>
        <item x="116"/>
        <item x="1952"/>
        <item x="1692"/>
        <item x="854"/>
        <item x="774"/>
        <item x="1427"/>
        <item x="350"/>
        <item x="1961"/>
        <item x="1897"/>
        <item x="1287"/>
        <item x="233"/>
        <item x="1448"/>
        <item x="1579"/>
        <item x="187"/>
        <item x="2183"/>
        <item x="1746"/>
        <item x="662"/>
        <item x="2219"/>
        <item x="346"/>
        <item x="333"/>
        <item x="1658"/>
        <item x="154"/>
        <item x="249"/>
        <item x="1235"/>
        <item x="162"/>
        <item x="0"/>
        <item x="1441"/>
        <item x="554"/>
        <item x="70"/>
        <item x="1521"/>
        <item x="1987"/>
        <item x="171"/>
        <item x="717"/>
        <item x="219"/>
        <item x="1619"/>
        <item x="1456"/>
        <item x="1892"/>
        <item x="185"/>
        <item x="1776"/>
        <item x="112"/>
        <item x="895"/>
        <item x="740"/>
        <item x="2060"/>
        <item x="1459"/>
        <item x="217"/>
        <item x="1070"/>
        <item x="1908"/>
        <item x="993"/>
        <item x="436"/>
        <item x="313"/>
        <item x="1659"/>
        <item x="147"/>
        <item x="1204"/>
        <item x="1922"/>
        <item x="1764"/>
        <item x="184"/>
        <item x="1921"/>
        <item x="1100"/>
        <item x="2065"/>
        <item x="130"/>
        <item x="282"/>
        <item x="1022"/>
        <item x="1447"/>
        <item x="1705"/>
        <item x="1488"/>
        <item x="420"/>
        <item x="122"/>
        <item x="253"/>
        <item x="357"/>
        <item x="1067"/>
        <item x="345"/>
        <item x="1743"/>
        <item x="526"/>
        <item x="610"/>
        <item x="1845"/>
        <item x="1500"/>
        <item x="1713"/>
        <item x="1944"/>
        <item x="1915"/>
        <item x="1230"/>
        <item x="1852"/>
        <item x="1198"/>
        <item x="707"/>
        <item x="2027"/>
        <item x="2158"/>
        <item x="464"/>
        <item x="190"/>
        <item x="1974"/>
        <item x="1056"/>
        <item x="904"/>
        <item x="769"/>
        <item x="1589"/>
        <item x="1469"/>
        <item x="340"/>
        <item x="986"/>
        <item x="10"/>
        <item x="419"/>
        <item x="1104"/>
        <item x="220"/>
        <item x="620"/>
        <item x="2085"/>
        <item x="226"/>
        <item x="7"/>
        <item x="232"/>
        <item x="1720"/>
        <item x="1598"/>
        <item x="501"/>
        <item x="517"/>
        <item x="1524"/>
        <item x="189"/>
        <item x="12"/>
        <item x="1430"/>
        <item x="762"/>
        <item x="1680"/>
        <item x="1353"/>
        <item x="912"/>
        <item x="1161"/>
        <item x="1425"/>
        <item x="1613"/>
        <item x="1410"/>
        <item x="1781"/>
        <item x="1195"/>
        <item x="528"/>
        <item x="831"/>
        <item x="1735"/>
        <item x="23"/>
        <item x="864"/>
        <item x="1592"/>
        <item x="2047"/>
        <item x="2106"/>
        <item x="1591"/>
        <item x="2119"/>
        <item x="1783"/>
        <item x="860"/>
        <item x="1116"/>
        <item x="1501"/>
        <item x="1899"/>
        <item x="970"/>
        <item x="658"/>
        <item x="2107"/>
        <item x="1264"/>
        <item x="45"/>
        <item x="2031"/>
        <item x="1141"/>
        <item x="1029"/>
        <item x="1984"/>
        <item x="1955"/>
        <item x="1474"/>
        <item x="1279"/>
        <item x="563"/>
        <item x="2075"/>
        <item x="1379"/>
        <item x="1997"/>
        <item x="944"/>
        <item x="47"/>
        <item x="300"/>
        <item x="324"/>
        <item x="431"/>
        <item x="1293"/>
        <item x="1273"/>
        <item x="22"/>
        <item x="188"/>
        <item x="1237"/>
        <item x="1115"/>
        <item x="825"/>
        <item x="1773"/>
        <item x="1652"/>
        <item x="839"/>
        <item x="1367"/>
        <item x="1316"/>
        <item x="120"/>
        <item x="790"/>
        <item x="1151"/>
        <item x="848"/>
        <item x="1816"/>
        <item x="2000"/>
        <item x="915"/>
        <item x="819"/>
        <item x="1792"/>
        <item x="976"/>
        <item x="99"/>
        <item x="103"/>
        <item x="263"/>
        <item x="1837"/>
        <item x="1939"/>
        <item x="1309"/>
        <item x="773"/>
        <item x="1770"/>
        <item x="729"/>
        <item x="1723"/>
        <item x="194"/>
        <item x="1252"/>
        <item x="1853"/>
        <item x="1310"/>
        <item x="577"/>
        <item x="415"/>
        <item x="1625"/>
        <item x="1806"/>
        <item x="629"/>
        <item x="1107"/>
        <item x="1471"/>
        <item x="804"/>
        <item x="2037"/>
        <item x="299"/>
        <item x="222"/>
        <item x="1219"/>
        <item x="1314"/>
        <item x="1473"/>
        <item x="2166"/>
        <item x="1734"/>
        <item x="574"/>
        <item x="1048"/>
        <item x="150"/>
        <item x="820"/>
        <item x="148"/>
        <item x="1861"/>
        <item x="1112"/>
        <item x="1280"/>
        <item x="1508"/>
        <item x="1355"/>
        <item x="1241"/>
        <item x="675"/>
        <item x="1343"/>
        <item x="869"/>
        <item x="1405"/>
        <item x="27"/>
        <item x="739"/>
        <item x="1362"/>
        <item x="1595"/>
        <item x="2205"/>
        <item x="1325"/>
        <item x="265"/>
        <item x="702"/>
        <item x="1771"/>
        <item x="1639"/>
        <item x="107"/>
        <item x="1802"/>
        <item x="495"/>
        <item x="1496"/>
        <item x="1360"/>
        <item x="670"/>
        <item x="1556"/>
        <item x="1037"/>
        <item x="1465"/>
        <item x="1982"/>
        <item x="925"/>
        <item x="1333"/>
        <item x="1351"/>
        <item x="607"/>
        <item x="1725"/>
        <item x="1590"/>
        <item x="278"/>
        <item x="68"/>
        <item x="1286"/>
        <item x="287"/>
        <item x="1062"/>
        <item x="651"/>
        <item x="513"/>
        <item x="1970"/>
        <item x="1290"/>
        <item x="366"/>
        <item x="2122"/>
        <item x="719"/>
        <item x="567"/>
        <item x="470"/>
        <item x="887"/>
        <item x="760"/>
        <item x="1212"/>
        <item x="562"/>
        <item x="1674"/>
        <item x="1183"/>
        <item x="847"/>
        <item x="309"/>
        <item x="1730"/>
        <item x="668"/>
        <item x="1994"/>
        <item x="28"/>
        <item x="855"/>
        <item x="390"/>
        <item x="1978"/>
        <item x="1285"/>
        <item x="1578"/>
        <item x="840"/>
        <item x="296"/>
        <item x="195"/>
        <item x="88"/>
        <item x="2093"/>
        <item x="946"/>
        <item x="1889"/>
        <item x="1814"/>
        <item x="665"/>
        <item x="1431"/>
        <item x="888"/>
        <item x="1951"/>
        <item x="1373"/>
        <item x="50"/>
        <item x="466"/>
        <item x="364"/>
        <item x="1564"/>
        <item x="1184"/>
        <item x="1085"/>
        <item x="1823"/>
        <item x="2116"/>
        <item x="1912"/>
        <item x="1675"/>
        <item x="1484"/>
        <item x="1526"/>
        <item x="1993"/>
        <item x="1701"/>
        <item x="1959"/>
        <item x="2216"/>
        <item x="472"/>
        <item x="608"/>
        <item x="1575"/>
        <item x="1244"/>
        <item x="1371"/>
        <item x="911"/>
        <item x="2088"/>
        <item x="347"/>
        <item x="712"/>
        <item x="1087"/>
        <item x="982"/>
        <item x="1938"/>
        <item x="1451"/>
        <item x="519"/>
        <item x="2197"/>
        <item x="906"/>
        <item x="1372"/>
        <item x="1393"/>
        <item x="1810"/>
        <item x="258"/>
        <item x="959"/>
        <item x="1483"/>
        <item x="77"/>
        <item x="86"/>
        <item x="1472"/>
        <item x="977"/>
        <item x="841"/>
        <item x="989"/>
        <item x="650"/>
        <item x="923"/>
        <item x="625"/>
        <item x="392"/>
        <item x="192"/>
        <item x="1981"/>
        <item x="896"/>
        <item x="551"/>
        <item x="936"/>
        <item x="917"/>
        <item x="1985"/>
        <item x="1095"/>
        <item x="1337"/>
        <item x="344"/>
        <item x="529"/>
        <item x="835"/>
        <item x="76"/>
        <item x="663"/>
        <item x="1117"/>
        <item x="677"/>
        <item x="1871"/>
        <item x="2218"/>
        <item x="40"/>
        <item x="905"/>
        <item x="43"/>
        <item x="216"/>
        <item x="1133"/>
        <item x="721"/>
        <item x="1081"/>
        <item x="1299"/>
        <item x="1071"/>
        <item x="1983"/>
        <item x="1322"/>
        <item x="1615"/>
        <item x="183"/>
        <item x="750"/>
        <item x="213"/>
        <item x="861"/>
        <item x="2150"/>
        <item x="1236"/>
        <item x="1569"/>
        <item x="1342"/>
        <item x="456"/>
        <item x="1454"/>
        <item x="298"/>
        <item x="433"/>
        <item x="335"/>
        <item x="1896"/>
        <item x="1685"/>
        <item x="965"/>
        <item x="1796"/>
        <item x="1706"/>
        <item x="407"/>
        <item x="969"/>
        <item x="1366"/>
        <item x="967"/>
        <item x="667"/>
        <item x="294"/>
        <item x="1522"/>
        <item x="480"/>
        <item x="268"/>
        <item x="2063"/>
        <item x="1296"/>
        <item x="348"/>
        <item x="932"/>
        <item x="1445"/>
        <item x="1302"/>
        <item x="1349"/>
        <item x="1461"/>
        <item x="742"/>
        <item x="623"/>
        <item x="1206"/>
        <item x="1249"/>
        <item x="239"/>
        <item x="713"/>
        <item x="397"/>
        <item x="1757"/>
        <item x="594"/>
        <item x="1196"/>
        <item x="507"/>
        <item x="541"/>
        <item x="865"/>
        <item x="1941"/>
        <item x="920"/>
        <item x="914"/>
        <item x="1231"/>
        <item x="1284"/>
        <item x="849"/>
        <item x="320"/>
        <item x="832"/>
        <item x="1142"/>
        <item x="443"/>
        <item x="1331"/>
        <item x="682"/>
        <item x="1926"/>
        <item x="474"/>
        <item x="1506"/>
        <item x="709"/>
        <item x="97"/>
        <item x="2005"/>
        <item x="406"/>
        <item x="440"/>
        <item x="1435"/>
        <item x="1428"/>
        <item x="927"/>
        <item x="1190"/>
        <item x="1052"/>
        <item x="768"/>
        <item x="205"/>
        <item x="1047"/>
        <item x="2154"/>
        <item x="1229"/>
        <item x="186"/>
        <item x="984"/>
        <item x="19"/>
        <item x="649"/>
        <item x="1538"/>
        <item x="165"/>
        <item x="1797"/>
        <item x="399"/>
        <item x="1794"/>
        <item x="955"/>
        <item x="599"/>
        <item x="1381"/>
        <item x="792"/>
        <item x="477"/>
        <item x="2182"/>
        <item x="1254"/>
        <item x="2057"/>
        <item x="1676"/>
        <item x="1990"/>
        <item x="950"/>
        <item x="18"/>
        <item x="257"/>
        <item x="753"/>
        <item x="321"/>
        <item x="1514"/>
        <item x="851"/>
        <item x="2058"/>
        <item x="2086"/>
        <item x="738"/>
        <item x="2137"/>
        <item x="1099"/>
        <item x="1018"/>
        <item x="1160"/>
        <item x="113"/>
        <item x="1005"/>
        <item x="1144"/>
        <item x="962"/>
        <item x="842"/>
        <item x="1470"/>
        <item x="302"/>
        <item x="1563"/>
        <item x="174"/>
        <item x="836"/>
        <item x="943"/>
        <item x="277"/>
        <item x="457"/>
        <item x="2127"/>
        <item x="1693"/>
        <item x="1113"/>
        <item x="157"/>
        <item x="1013"/>
        <item x="2013"/>
        <item x="1248"/>
        <item x="1262"/>
        <item x="59"/>
        <item x="728"/>
        <item x="414"/>
        <item x="2004"/>
        <item x="1709"/>
        <item x="2066"/>
        <item x="467"/>
        <item x="995"/>
        <item x="136"/>
        <item x="511"/>
        <item x="66"/>
        <item x="548"/>
        <item x="252"/>
        <item x="2077"/>
        <item x="1327"/>
        <item x="609"/>
        <item x="639"/>
        <item x="1378"/>
        <item x="95"/>
        <item x="2023"/>
        <item x="2161"/>
        <item x="1739"/>
        <item x="462"/>
        <item x="1479"/>
        <item x="358"/>
        <item x="518"/>
        <item x="761"/>
        <item x="1103"/>
        <item x="1726"/>
        <item x="1551"/>
        <item x="2109"/>
        <item x="2029"/>
        <item x="329"/>
        <item x="1972"/>
        <item x="1041"/>
        <item x="2044"/>
        <item x="1527"/>
        <item x="1858"/>
        <item x="1596"/>
        <item x="1221"/>
        <item x="151"/>
        <item x="481"/>
        <item x="1832"/>
        <item x="1433"/>
        <item x="332"/>
        <item x="1678"/>
        <item x="953"/>
        <item x="1968"/>
        <item x="1681"/>
        <item x="893"/>
        <item x="626"/>
        <item x="1401"/>
        <item x="1494"/>
        <item x="1626"/>
        <item x="87"/>
        <item x="1274"/>
        <item x="2188"/>
        <item x="843"/>
        <item x="591"/>
        <item x="1137"/>
        <item x="1475"/>
        <item x="1751"/>
        <item x="884"/>
        <item x="1937"/>
        <item x="1499"/>
        <item x="1440"/>
        <item x="899"/>
        <item x="584"/>
        <item x="100"/>
        <item x="1738"/>
        <item x="2041"/>
        <item x="81"/>
        <item x="2191"/>
        <item x="1691"/>
        <item x="1576"/>
        <item x="276"/>
        <item x="2165"/>
        <item x="240"/>
        <item x="619"/>
        <item x="546"/>
        <item x="2189"/>
        <item x="1948"/>
        <item x="210"/>
        <item x="1289"/>
        <item x="1962"/>
        <item x="84"/>
        <item x="1721"/>
        <item x="412"/>
        <item x="974"/>
        <item x="2140"/>
        <item x="1606"/>
        <item x="1228"/>
        <item x="2053"/>
        <item x="1398"/>
        <item x="1669"/>
        <item x="1880"/>
        <item x="1504"/>
        <item x="941"/>
        <item x="1330"/>
        <item x="886"/>
        <item x="1417"/>
        <item x="601"/>
        <item x="1911"/>
        <item x="748"/>
        <item x="757"/>
        <item x="531"/>
        <item x="797"/>
        <item x="179"/>
        <item x="1269"/>
        <item x="485"/>
        <item x="339"/>
        <item x="933"/>
        <item x="1546"/>
        <item x="822"/>
        <item x="496"/>
        <item x="354"/>
        <item x="838"/>
        <item x="578"/>
        <item x="1913"/>
        <item x="438"/>
        <item x="1216"/>
        <item x="132"/>
        <item x="1148"/>
        <item x="1233"/>
        <item x="1666"/>
        <item x="617"/>
        <item x="2208"/>
        <item x="2118"/>
        <item x="1830"/>
        <item x="360"/>
        <item x="1964"/>
        <item x="1101"/>
        <item x="540"/>
        <item x="1268"/>
        <item x="898"/>
        <item x="430"/>
        <item x="1704"/>
        <item x="60"/>
        <item x="310"/>
        <item x="484"/>
        <item x="453"/>
        <item x="1165"/>
        <item x="393"/>
        <item x="536"/>
        <item x="44"/>
        <item x="1520"/>
        <item x="1207"/>
        <item x="581"/>
        <item x="308"/>
        <item x="1729"/>
        <item x="1092"/>
        <item x="1300"/>
        <item x="2087"/>
        <item x="1412"/>
        <item x="1593"/>
        <item x="1003"/>
        <item x="1218"/>
        <item x="1211"/>
        <item x="1905"/>
        <item x="196"/>
        <item x="686"/>
        <item x="2171"/>
        <item x="503"/>
        <item x="497"/>
        <item x="631"/>
        <item x="1924"/>
        <item x="1588"/>
        <item x="514"/>
        <item x="800"/>
        <item x="1580"/>
        <item x="73"/>
        <item x="1340"/>
        <item x="426"/>
        <item x="143"/>
        <item x="231"/>
        <item x="175"/>
        <item x="1321"/>
        <item x="2089"/>
        <item x="1710"/>
        <item x="1766"/>
        <item x="1604"/>
        <item x="1418"/>
        <item x="11"/>
        <item x="1610"/>
        <item x="403"/>
        <item x="882"/>
        <item x="273"/>
        <item x="1568"/>
        <item x="1033"/>
        <item x="2111"/>
        <item x="1422"/>
        <item x="439"/>
        <item x="780"/>
        <item x="583"/>
        <item x="1173"/>
        <item x="1677"/>
        <item x="1865"/>
        <item x="948"/>
        <item x="1172"/>
        <item x="1181"/>
        <item x="813"/>
        <item x="2102"/>
        <item x="17"/>
        <item x="180"/>
        <item x="1391"/>
        <item x="1503"/>
        <item x="1768"/>
        <item x="1838"/>
        <item x="1975"/>
        <item x="1276"/>
        <item x="1352"/>
        <item x="637"/>
        <item x="49"/>
        <item x="1477"/>
        <item x="177"/>
        <item x="1127"/>
        <item x="224"/>
        <item x="983"/>
        <item x="198"/>
        <item x="1306"/>
        <item x="1686"/>
        <item x="616"/>
        <item x="1392"/>
        <item x="1032"/>
        <item x="1799"/>
        <item x="998"/>
        <item x="156"/>
        <item x="1698"/>
        <item x="125"/>
        <item x="2142"/>
        <item x="2210"/>
        <item x="666"/>
        <item x="1696"/>
        <item x="363"/>
        <item x="1320"/>
        <item x="1384"/>
        <item x="1656"/>
        <item x="1049"/>
        <item x="389"/>
        <item x="1110"/>
        <item x="872"/>
        <item x="1365"/>
        <item x="509"/>
        <item x="1562"/>
        <item x="1486"/>
        <item x="1841"/>
        <item x="558"/>
        <item x="1324"/>
        <item x="1491"/>
        <item x="242"/>
        <item x="656"/>
        <item x="85"/>
        <item x="114"/>
        <item x="1529"/>
        <item x="806"/>
        <item x="444"/>
        <item x="1121"/>
        <item x="992"/>
        <item x="2204"/>
        <item x="306"/>
        <item x="284"/>
        <item x="1949"/>
        <item x="1835"/>
        <item x="2133"/>
        <item x="2213"/>
        <item x="1684"/>
        <item x="432"/>
        <item x="2104"/>
        <item x="1989"/>
        <item x="988"/>
        <item x="1707"/>
        <item x="1629"/>
        <item x="234"/>
        <item x="1727"/>
        <item x="2126"/>
        <item x="2061"/>
        <item x="1688"/>
        <item x="270"/>
        <item x="2051"/>
        <item x="695"/>
        <item x="1426"/>
        <item x="463"/>
        <item x="1478"/>
        <item x="2036"/>
        <item x="521"/>
        <item x="1436"/>
        <item x="236"/>
        <item x="1758"/>
        <item x="779"/>
        <item x="1798"/>
        <item x="782"/>
        <item x="1594"/>
        <item x="417"/>
        <item x="1176"/>
        <item x="555"/>
        <item x="207"/>
        <item x="1856"/>
        <item x="1929"/>
        <item x="1024"/>
        <item x="33"/>
        <item x="1308"/>
        <item x="1389"/>
        <item x="1010"/>
        <item x="1090"/>
        <item x="272"/>
        <item x="2083"/>
        <item x="589"/>
        <item x="1828"/>
        <item x="293"/>
        <item x="182"/>
        <item x="550"/>
        <item x="39"/>
        <item x="1767"/>
        <item x="1600"/>
        <item x="614"/>
        <item x="375"/>
        <item x="401"/>
        <item x="1234"/>
        <item x="2003"/>
        <item x="74"/>
        <item x="1718"/>
        <item x="816"/>
        <item x="1731"/>
        <item x="2115"/>
        <item x="1843"/>
        <item x="1824"/>
        <item x="104"/>
        <item x="545"/>
        <item x="1205"/>
        <item x="996"/>
        <item x="772"/>
        <item x="960"/>
        <item x="1159"/>
        <item x="1059"/>
        <item x="490"/>
        <item x="1851"/>
        <item x="435"/>
        <item x="1648"/>
        <item x="1272"/>
        <item x="1439"/>
        <item x="396"/>
        <item x="698"/>
        <item x="560"/>
        <item x="730"/>
        <item x="622"/>
        <item x="1232"/>
        <item x="1332"/>
        <item x="2049"/>
        <item x="1550"/>
        <item x="409"/>
        <item x="337"/>
        <item x="1444"/>
        <item x="1971"/>
        <item x="971"/>
        <item x="1868"/>
        <item x="491"/>
        <item x="471"/>
        <item x="1711"/>
        <item x="1128"/>
        <item x="288"/>
        <item x="1980"/>
        <item x="1485"/>
        <item x="1638"/>
        <item x="795"/>
        <item x="1480"/>
        <item x="640"/>
        <item x="1998"/>
        <item x="2217"/>
        <item x="1745"/>
        <item x="544"/>
        <item x="1036"/>
        <item x="926"/>
        <item x="413"/>
        <item x="1775"/>
        <item x="1364"/>
        <item x="1759"/>
        <item x="1315"/>
        <item x="1123"/>
        <item x="181"/>
        <item x="451"/>
        <item x="1298"/>
        <item x="1283"/>
        <item x="1188"/>
        <item x="1765"/>
        <item x="2006"/>
        <item x="1214"/>
        <item x="1073"/>
        <item x="1933"/>
        <item x="1795"/>
        <item x="1050"/>
        <item x="1885"/>
        <item x="1902"/>
        <item x="1786"/>
        <item x="866"/>
        <item x="961"/>
        <item x="191"/>
        <item x="845"/>
        <item x="935"/>
        <item x="1167"/>
        <item x="2148"/>
        <item x="687"/>
        <item x="422"/>
        <item x="1801"/>
        <item x="1642"/>
        <item x="487"/>
        <item x="421"/>
        <item x="78"/>
        <item x="1323"/>
        <item x="2157"/>
        <item x="2062"/>
        <item x="424"/>
        <item x="1031"/>
        <item x="218"/>
        <item x="1804"/>
        <item x="1869"/>
        <item x="630"/>
        <item x="749"/>
        <item x="454"/>
        <item x="493"/>
        <item x="1055"/>
        <item x="445"/>
        <item x="1940"/>
        <item x="1358"/>
        <item x="657"/>
        <item x="1612"/>
        <item x="160"/>
        <item x="850"/>
        <item x="1038"/>
        <item x="883"/>
        <item x="1536"/>
        <item x="1295"/>
        <item x="755"/>
        <item x="891"/>
        <item x="1192"/>
        <item x="1143"/>
        <item x="1808"/>
        <item x="564"/>
        <item x="416"/>
        <item x="628"/>
        <item x="634"/>
        <item x="2078"/>
        <item x="973"/>
        <item x="1255"/>
        <item x="1468"/>
        <item x="938"/>
        <item x="1377"/>
        <item x="1605"/>
        <item x="58"/>
        <item x="256"/>
        <item x="341"/>
        <item x="42"/>
        <item x="1182"/>
        <item x="2195"/>
        <item x="1146"/>
        <item x="2079"/>
        <item x="2067"/>
        <item x="1266"/>
        <item x="126"/>
        <item x="1125"/>
        <item x="2035"/>
        <item x="1257"/>
        <item x="586"/>
        <item x="809"/>
        <item x="1740"/>
        <item x="2050"/>
        <item x="537"/>
        <item x="369"/>
        <item x="1789"/>
        <item x="1847"/>
        <item x="612"/>
        <item x="469"/>
        <item x="452"/>
        <item x="678"/>
        <item x="266"/>
        <item x="759"/>
        <item x="1518"/>
        <item x="1341"/>
        <item x="997"/>
        <item x="2145"/>
        <item x="1275"/>
        <item x="368"/>
        <item x="1820"/>
        <item x="250"/>
        <item x="964"/>
        <item x="2011"/>
        <item x="2160"/>
        <item x="486"/>
        <item x="229"/>
        <item x="315"/>
        <item x="1601"/>
        <item x="2092"/>
        <item x="133"/>
        <item x="361"/>
        <item x="1402"/>
        <item x="279"/>
        <item x="1890"/>
        <item x="1788"/>
        <item x="2193"/>
        <item x="94"/>
        <item x="1400"/>
        <item x="1179"/>
        <item x="251"/>
        <item x="1750"/>
        <item x="690"/>
        <item x="119"/>
        <item x="161"/>
        <item x="937"/>
        <item x="1599"/>
        <item x="203"/>
        <item x="653"/>
        <item x="1420"/>
        <item x="549"/>
        <item x="685"/>
        <item x="153"/>
        <item x="743"/>
        <item x="1495"/>
        <item x="1946"/>
        <item x="680"/>
        <item x="1809"/>
        <item x="1811"/>
        <item x="2032"/>
        <item x="604"/>
        <item x="1570"/>
        <item x="1009"/>
        <item x="1621"/>
        <item x="1023"/>
        <item x="1791"/>
        <item x="552"/>
        <item x="325"/>
        <item x="2128"/>
        <item x="1247"/>
        <item x="336"/>
        <item x="644"/>
        <item x="1849"/>
        <item x="1463"/>
        <item x="1443"/>
        <item x="1078"/>
        <item x="833"/>
        <item x="411"/>
        <item x="1586"/>
        <item x="31"/>
        <item x="1098"/>
        <item x="1787"/>
        <item x="1065"/>
        <item x="338"/>
        <item x="169"/>
        <item x="1437"/>
        <item x="1303"/>
        <item x="1645"/>
        <item x="1753"/>
        <item x="2"/>
        <item x="1203"/>
        <item x="2114"/>
        <item x="110"/>
        <item x="1898"/>
        <item x="1261"/>
        <item x="1855"/>
        <item x="461"/>
        <item x="255"/>
        <item x="230"/>
        <item x="21"/>
        <item x="1812"/>
        <item x="1408"/>
        <item x="1901"/>
        <item x="543"/>
        <item x="1126"/>
        <item x="1617"/>
        <item x="159"/>
        <item x="2056"/>
        <item x="167"/>
        <item x="1004"/>
        <item x="1543"/>
        <item x="1821"/>
        <item x="2155"/>
        <item x="1156"/>
        <item x="1368"/>
        <item x="1624"/>
        <item x="994"/>
        <item x="2130"/>
        <item x="89"/>
        <item x="2152"/>
        <item x="449"/>
        <item x="1357"/>
        <item x="1762"/>
        <item x="1886"/>
        <item x="410"/>
        <item x="1191"/>
        <item x="647"/>
        <item x="910"/>
        <item x="331"/>
        <item x="1414"/>
        <item x="418"/>
        <item x="3"/>
        <item x="1376"/>
        <item x="145"/>
        <item x="352"/>
        <item x="1042"/>
        <item x="722"/>
        <item x="1969"/>
        <item x="716"/>
        <item x="1265"/>
        <item x="371"/>
        <item x="1655"/>
        <item x="530"/>
        <item x="1831"/>
        <item x="1873"/>
        <item x="1673"/>
        <item x="56"/>
        <item x="1986"/>
        <item x="2220"/>
        <item x="1386"/>
        <item x="542"/>
        <item x="1455"/>
        <item x="1716"/>
        <item x="1011"/>
        <item x="283"/>
        <item x="611"/>
        <item x="1106"/>
        <item x="52"/>
        <item x="2018"/>
        <item x="1817"/>
        <item x="1772"/>
        <item x="570"/>
        <item x="952"/>
        <item x="488"/>
        <item x="1051"/>
        <item x="734"/>
        <item x="394"/>
        <item x="204"/>
        <item x="733"/>
        <item x="908"/>
        <item x="978"/>
        <item x="600"/>
        <item x="25"/>
        <item x="35"/>
        <item x="202"/>
        <item x="1653"/>
        <item x="356"/>
        <item x="2169"/>
        <item x="892"/>
        <item x="2014"/>
        <item x="954"/>
        <item x="1068"/>
        <item x="778"/>
        <item x="460"/>
        <item x="318"/>
        <item x="766"/>
        <item x="696"/>
        <item x="751"/>
        <item x="1537"/>
        <item x="794"/>
        <item x="1158"/>
        <item x="1034"/>
        <item x="2028"/>
        <item x="2094"/>
        <item x="1917"/>
        <item x="2201"/>
        <item x="951"/>
        <item x="966"/>
        <item x="1170"/>
        <item x="359"/>
        <item x="2043"/>
        <item x="1291"/>
        <item x="2072"/>
        <item x="735"/>
        <item x="756"/>
        <item x="135"/>
        <item x="807"/>
        <item x="377"/>
        <item x="1930"/>
        <item x="1415"/>
        <item x="1513"/>
        <item x="1140"/>
        <item x="624"/>
        <item x="127"/>
        <item x="115"/>
        <item x="1517"/>
        <item x="437"/>
        <item x="1020"/>
        <item x="2034"/>
        <item x="201"/>
        <item x="264"/>
        <item x="227"/>
        <item x="314"/>
        <item x="1074"/>
        <item x="1288"/>
        <item x="981"/>
        <item x="758"/>
        <item x="1523"/>
        <item x="134"/>
        <item x="1222"/>
        <item x="2025"/>
        <item x="1566"/>
        <item x="569"/>
        <item x="746"/>
        <item x="934"/>
        <item x="387"/>
        <item x="1016"/>
        <item x="382"/>
        <item x="4"/>
        <item x="534"/>
        <item x="2180"/>
        <item x="1187"/>
        <item x="1210"/>
        <item x="2098"/>
        <item x="1026"/>
        <item x="1756"/>
        <item x="1651"/>
        <item x="1747"/>
        <item x="598"/>
        <item x="791"/>
        <item x="1542"/>
        <item x="505"/>
        <item x="98"/>
        <item x="826"/>
        <item x="1979"/>
        <item x="2207"/>
        <item x="1154"/>
        <item x="1870"/>
        <item x="6"/>
        <item x="312"/>
        <item x="468"/>
        <item x="1528"/>
        <item x="2021"/>
        <item x="830"/>
        <item x="2048"/>
        <item x="1555"/>
        <item x="1782"/>
        <item x="918"/>
        <item x="2046"/>
        <item x="1394"/>
        <item x="1278"/>
        <item x="131"/>
        <item x="1152"/>
        <item x="627"/>
        <item x="238"/>
        <item x="1548"/>
        <item x="2010"/>
        <item x="381"/>
        <item x="65"/>
        <item x="802"/>
        <item x="1664"/>
        <item x="1544"/>
        <item x="1965"/>
        <item x="1313"/>
        <item x="285"/>
        <item x="374"/>
        <item x="1429"/>
        <item x="817"/>
        <item x="1763"/>
        <item x="2069"/>
        <item x="956"/>
        <item x="876"/>
        <item x="428"/>
        <item x="754"/>
        <item x="2214"/>
        <item x="478"/>
        <item x="1636"/>
        <item x="1754"/>
        <item x="575"/>
        <item x="1866"/>
        <item x="2196"/>
        <item x="1432"/>
        <item x="1094"/>
        <item x="681"/>
        <item x="508"/>
        <item x="128"/>
        <item x="2071"/>
        <item x="1270"/>
        <item x="1736"/>
        <item x="303"/>
        <item x="787"/>
        <item x="1082"/>
        <item x="1359"/>
        <item x="1662"/>
        <item x="643"/>
        <item x="1000"/>
        <item x="745"/>
        <item x="2170"/>
        <item x="1319"/>
        <item x="1755"/>
        <item x="1281"/>
        <item x="522"/>
        <item x="1209"/>
        <item x="1784"/>
        <item x="679"/>
        <item x="1611"/>
        <item x="1608"/>
        <item x="1021"/>
        <item x="1344"/>
        <item x="1749"/>
        <item x="783"/>
        <item x="214"/>
        <item x="200"/>
        <item x="991"/>
        <item x="2112"/>
        <item x="1909"/>
        <item x="602"/>
        <item x="689"/>
        <item x="138"/>
        <item x="465"/>
        <item x="1862"/>
        <item x="852"/>
        <item x="1900"/>
        <item x="1407"/>
        <item x="1722"/>
        <item x="1516"/>
        <item x="1932"/>
        <item x="1434"/>
        <item x="2184"/>
        <item x="903"/>
        <item x="1875"/>
        <item x="1712"/>
        <item x="2141"/>
        <item x="91"/>
        <item x="1019"/>
        <item x="1977"/>
        <item x="61"/>
        <item x="51"/>
        <item x="765"/>
        <item x="520"/>
        <item x="1014"/>
        <item x="701"/>
        <item x="1934"/>
        <item x="158"/>
        <item x="334"/>
        <item x="1634"/>
        <item x="632"/>
        <item x="168"/>
        <item x="1271"/>
        <item x="2162"/>
        <item x="1793"/>
        <item x="34"/>
        <item x="1963"/>
        <item x="400"/>
        <item x="525"/>
        <item x="579"/>
        <item x="1700"/>
        <item x="55"/>
        <item x="209"/>
        <item x="785"/>
        <item x="1040"/>
        <item x="1515"/>
        <item x="1565"/>
        <item x="1064"/>
        <item x="1502"/>
        <item x="1180"/>
        <item x="655"/>
        <item x="919"/>
        <item x="913"/>
        <item x="856"/>
        <item x="2176"/>
        <item x="1689"/>
        <item x="262"/>
        <item x="1243"/>
        <item x="1554"/>
        <item x="1438"/>
        <item x="1826"/>
        <item x="1054"/>
        <item x="427"/>
        <item x="1375"/>
        <item x="645"/>
        <item x="1481"/>
        <item x="2008"/>
        <item x="1910"/>
        <item x="269"/>
        <item x="1646"/>
        <item x="441"/>
        <item x="237"/>
        <item x="2121"/>
        <item x="2199"/>
        <item x="736"/>
        <item x="1312"/>
        <item x="1699"/>
        <item x="823"/>
        <item x="945"/>
        <item x="2120"/>
        <item x="1925"/>
        <item x="1635"/>
        <item x="1665"/>
        <item x="1030"/>
        <item x="193"/>
        <item x="1627"/>
        <item x="1130"/>
        <item x="648"/>
        <item x="1168"/>
        <item x="2131"/>
        <item x="2156"/>
        <item x="2012"/>
        <item x="1510"/>
        <item x="596"/>
        <item x="267"/>
        <item x="1640"/>
        <item x="1370"/>
        <item x="54"/>
        <item x="1328"/>
        <item x="2181"/>
        <item x="1162"/>
        <item x="1457"/>
        <item x="292"/>
        <item x="1369"/>
        <item x="67"/>
        <item x="450"/>
        <item x="164"/>
        <item x="1084"/>
        <item x="96"/>
        <item x="922"/>
        <item x="2096"/>
        <item x="1388"/>
        <item x="672"/>
        <item x="2038"/>
        <item x="1883"/>
        <item x="1876"/>
        <item x="1840"/>
        <item x="383"/>
        <item x="118"/>
        <item x="1149"/>
        <item x="221"/>
        <item x="565"/>
        <item x="2206"/>
        <item x="1760"/>
        <item x="1742"/>
        <item x="1995"/>
        <item x="1476"/>
        <item x="1466"/>
        <item x="1641"/>
        <item x="613"/>
        <item x="708"/>
        <item x="351"/>
        <item x="1131"/>
        <item x="725"/>
        <item x="290"/>
        <item x="1622"/>
        <item x="1383"/>
        <item x="261"/>
        <item x="673"/>
        <item x="1647"/>
        <item x="1186"/>
        <item x="674"/>
        <item x="547"/>
        <item x="1919"/>
        <item x="844"/>
        <item x="13"/>
        <item x="1574"/>
        <item x="149"/>
        <item x="652"/>
        <item x="2132"/>
        <item x="1744"/>
        <item x="1874"/>
        <item x="1547"/>
        <item x="641"/>
        <item x="902"/>
        <item x="731"/>
        <item x="1567"/>
        <item x="72"/>
        <item x="208"/>
        <item x="1836"/>
        <item x="166"/>
        <item x="1083"/>
        <item x="1530"/>
        <item x="1623"/>
        <item x="391"/>
        <item x="1668"/>
        <item x="2129"/>
        <item x="483"/>
        <item x="532"/>
        <item x="307"/>
        <item x="2040"/>
        <item x="102"/>
        <item x="1347"/>
        <item x="1462"/>
        <item x="907"/>
        <item x="700"/>
        <item x="1881"/>
        <item x="1657"/>
        <item x="871"/>
        <item x="289"/>
        <item x="1053"/>
        <item x="353"/>
        <item x="1294"/>
        <item x="539"/>
        <item x="2164"/>
        <item x="1057"/>
        <item x="1007"/>
        <item x="837"/>
        <item x="1256"/>
        <item x="1194"/>
        <item x="1297"/>
        <item x="889"/>
        <item x="129"/>
        <item x="635"/>
        <item x="235"/>
        <item x="14"/>
        <item x="2185"/>
        <item x="818"/>
        <item x="1282"/>
        <item x="1467"/>
        <item x="1079"/>
        <item x="1907"/>
        <item x="1002"/>
        <item x="2175"/>
        <item x="281"/>
        <item x="585"/>
        <item x="30"/>
        <item x="1557"/>
        <item x="799"/>
        <item x="373"/>
        <item x="524"/>
        <item x="1122"/>
        <item x="447"/>
        <item x="297"/>
        <item x="710"/>
        <item x="1346"/>
        <item x="1336"/>
        <item x="2073"/>
        <item x="2173"/>
        <item x="2110"/>
        <item x="173"/>
        <item x="1329"/>
        <item x="1460"/>
        <item x="500"/>
        <item x="2138"/>
        <item x="1618"/>
        <item x="789"/>
        <item x="929"/>
        <item x="1827"/>
        <item x="857"/>
        <item x="163"/>
        <item x="1215"/>
        <item x="2016"/>
        <item x="556"/>
        <item x="2054"/>
        <item x="1292"/>
        <item x="1335"/>
        <item x="2052"/>
        <item x="987"/>
        <item x="1553"/>
        <item x="245"/>
        <item x="867"/>
        <item x="455"/>
        <item x="1442"/>
        <item x="1637"/>
        <item x="1453"/>
        <item x="694"/>
        <item x="683"/>
        <item x="1202"/>
        <item x="274"/>
        <item x="1923"/>
        <item x="1487"/>
        <item x="1406"/>
        <item x="909"/>
        <item x="442"/>
        <item x="2192"/>
        <item x="1650"/>
        <item x="458"/>
        <item x="1493"/>
        <item x="1663"/>
        <item x="1533"/>
        <item x="1560"/>
        <item x="703"/>
        <item x="720"/>
        <item x="793"/>
        <item x="1545"/>
        <item x="1733"/>
        <item x="2123"/>
        <item x="2153"/>
        <item x="2015"/>
        <item x="243"/>
        <item x="803"/>
        <item x="1097"/>
        <item x="79"/>
        <item x="1927"/>
        <item x="1061"/>
        <item x="928"/>
        <item x="1334"/>
        <item x="1935"/>
        <item x="880"/>
        <item x="259"/>
        <item x="1066"/>
        <item x="2186"/>
        <item x="808"/>
        <item x="1887"/>
        <item x="654"/>
        <item x="1960"/>
        <item x="990"/>
        <item x="1416"/>
        <item x="1174"/>
        <item x="706"/>
        <item x="448"/>
        <item x="770"/>
        <item x="571"/>
        <item x="1072"/>
        <item x="304"/>
        <item x="2139"/>
        <item x="1695"/>
        <item x="1109"/>
        <item x="615"/>
        <item x="1058"/>
        <item x="1464"/>
        <item x="1603"/>
        <item x="1088"/>
        <item x="1928"/>
        <item x="660"/>
        <item x="241"/>
        <item x="1614"/>
        <item x="404"/>
        <item x="1991"/>
        <item x="1643"/>
        <item x="26"/>
        <item x="814"/>
        <item x="57"/>
        <item x="894"/>
        <item x="1197"/>
        <item x="271"/>
        <item x="1046"/>
        <item x="877"/>
        <item x="781"/>
        <item x="1423"/>
        <item x="473"/>
        <item x="1223"/>
        <item x="1450"/>
        <item x="1397"/>
        <item x="317"/>
        <item x="1954"/>
        <item x="538"/>
        <item x="1505"/>
        <item x="900"/>
        <item x="82"/>
        <item x="1708"/>
        <item x="1354"/>
        <item x="1317"/>
        <item x="1703"/>
        <item x="93"/>
        <item x="1093"/>
        <item x="2017"/>
        <item x="323"/>
        <item x="1584"/>
        <item x="618"/>
        <item x="1854"/>
        <item x="2103"/>
        <item x="727"/>
        <item x="2024"/>
        <item x="1135"/>
        <item x="1839"/>
        <item x="1582"/>
        <item x="1227"/>
        <item x="1996"/>
        <item x="752"/>
        <item x="212"/>
        <item x="2167"/>
        <item x="1177"/>
        <item x="1719"/>
        <item x="105"/>
        <item x="395"/>
        <item x="1200"/>
        <item x="2113"/>
        <item x="1942"/>
        <item x="92"/>
        <item x="2172"/>
        <item x="1246"/>
        <item x="1301"/>
        <item x="1846"/>
        <item x="1363"/>
        <item x="2159"/>
        <item x="1387"/>
        <item x="692"/>
        <item x="718"/>
        <item x="1147"/>
        <item x="771"/>
        <item x="155"/>
        <item x="1118"/>
        <item x="590"/>
        <item x="885"/>
        <item x="985"/>
        <item x="798"/>
        <item x="1512"/>
        <item x="711"/>
        <item x="1238"/>
        <item x="1717"/>
        <item x="568"/>
        <item x="254"/>
        <item x="963"/>
        <item x="1304"/>
        <item x="2039"/>
        <item x="479"/>
        <item x="724"/>
        <item x="2007"/>
        <item x="940"/>
        <item x="1080"/>
        <item x="117"/>
        <item x="566"/>
        <item x="144"/>
        <item x="1877"/>
        <item x="2211"/>
        <item x="1936"/>
        <item x="1253"/>
        <item x="853"/>
        <item x="1609"/>
        <item x="1581"/>
        <item x="90"/>
        <item x="1943"/>
        <item x="776"/>
        <item x="1345"/>
        <item x="1076"/>
        <item x="1498"/>
        <item x="1395"/>
        <item x="2091"/>
        <item x="29"/>
        <item x="1511"/>
        <item x="1361"/>
        <item x="1382"/>
        <item x="859"/>
        <item x="587"/>
        <item x="2134"/>
        <item x="1532"/>
        <item x="1490"/>
        <item x="475"/>
        <item x="1145"/>
        <item x="2179"/>
        <item x="16"/>
        <item x="688"/>
        <item x="811"/>
        <item x="2076"/>
        <item x="5"/>
        <item x="1339"/>
        <item x="1976"/>
        <item x="1185"/>
        <item x="1894"/>
        <item x="1687"/>
        <item x="1918"/>
        <item x="1607"/>
        <item x="178"/>
        <item x="355"/>
        <item x="1683"/>
        <item x="1258"/>
        <item x="812"/>
        <item x="2042"/>
        <item x="1834"/>
        <item x="576"/>
        <item x="2002"/>
        <item x="1777"/>
        <item x="388"/>
        <item x="1001"/>
        <item x="1150"/>
        <item x="2178"/>
        <item x="32"/>
        <item x="137"/>
        <item x="2146"/>
        <item x="139"/>
        <item x="1028"/>
        <item x="1178"/>
        <item x="821"/>
        <item x="1882"/>
        <item x="557"/>
        <item x="48"/>
        <item x="1120"/>
        <item x="559"/>
        <item x="316"/>
        <item x="2177"/>
        <item x="597"/>
        <item x="53"/>
        <item x="24"/>
        <item x="890"/>
        <item x="1492"/>
        <item x="1630"/>
        <item x="1045"/>
        <item x="1509"/>
        <item x="527"/>
        <item x="580"/>
        <item x="1129"/>
        <item x="1737"/>
        <item x="1724"/>
        <item x="2147"/>
        <item x="828"/>
        <item x="476"/>
        <item x="380"/>
        <item x="9"/>
        <item x="489"/>
        <item x="2200"/>
        <item x="80"/>
        <item x="172"/>
        <item x="691"/>
        <item x="244"/>
        <item x="1108"/>
        <item x="1682"/>
        <item x="8"/>
        <item x="1153"/>
        <item x="2074"/>
        <item x="402"/>
        <item x="1632"/>
        <item x="1988"/>
        <item x="846"/>
        <item x="1409"/>
        <item x="636"/>
        <item x="1025"/>
        <item x="921"/>
        <item x="1573"/>
        <item x="327"/>
        <item x="1403"/>
        <item x="1111"/>
        <item x="1245"/>
        <item x="1105"/>
        <item x="947"/>
        <item x="142"/>
        <item x="319"/>
        <item x="1857"/>
        <item x="1633"/>
        <item x="1060"/>
        <item x="2151"/>
        <item x="972"/>
        <item x="1947"/>
        <item x="1326"/>
        <item x="1785"/>
        <item x="863"/>
        <item x="1583"/>
        <item x="1906"/>
        <item x="873"/>
        <item x="1390"/>
        <item x="747"/>
        <item x="1134"/>
        <item x="2108"/>
        <item x="2221"/>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Total Revenue" fld="7" baseField="0" baseItem="1"/>
    <dataField name="Total Profit" fld="9" baseField="0" baseItem="1"/>
    <dataField name="Total Customers" fld="1" baseField="0" baseItem="2"/>
    <dataField name="Churn Rate" fld="13" subtotal="average" baseField="0" baseItem="3" numFmtId="9"/>
  </dataFields>
  <formats count="1">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plan1" xr10:uid="{B41947C7-3654-493A-8ACF-C4149FB606BA}" sourceName="subscription_plan">
  <pivotTables>
    <pivotTable tabId="33" name="PivotTable2"/>
    <pivotTable tabId="16" name="PivotTable2"/>
    <pivotTable tabId="12" name="PivotTable1"/>
    <pivotTable tabId="23" name="PivotTable1"/>
    <pivotTable tabId="25" name="PivotTable2"/>
    <pivotTable tabId="26" name="PivotTable1"/>
    <pivotTable tabId="13" name="PivotTable2"/>
    <pivotTable tabId="24" name="PivotTable1"/>
    <pivotTable tabId="30" name="PivotTable2"/>
    <pivotTable tabId="32" name="PivotTable1"/>
    <pivotTable tabId="29" name="PivotTable1"/>
  </pivotTables>
  <data>
    <tabular pivotCacheId="181376936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38C79E2-8891-4186-901D-8D8C49205E2C}" sourceName="region">
  <pivotTables>
    <pivotTable tabId="12" name="PivotTable1"/>
    <pivotTable tabId="16" name="PivotTable2"/>
    <pivotTable tabId="23" name="PivotTable1"/>
    <pivotTable tabId="25" name="PivotTable2"/>
    <pivotTable tabId="26" name="PivotTable1"/>
    <pivotTable tabId="13" name="PivotTable2"/>
    <pivotTable tabId="24" name="PivotTable1"/>
    <pivotTable tabId="30" name="PivotTable2"/>
    <pivotTable tabId="32" name="PivotTable1"/>
    <pivotTable tabId="33" name="PivotTable2"/>
    <pivotTable tabId="29" name="PivotTable1"/>
  </pivotTables>
  <data>
    <tabular pivotCacheId="1813769364">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F23D5C55-CA06-471C-8010-F8DB001D63C5}" sourceName="industry">
  <pivotTables>
    <pivotTable tabId="30" name="PivotTable2"/>
    <pivotTable tabId="16" name="PivotTable2"/>
    <pivotTable tabId="12" name="PivotTable1"/>
    <pivotTable tabId="23" name="PivotTable1"/>
    <pivotTable tabId="25" name="PivotTable2"/>
    <pivotTable tabId="26" name="PivotTable1"/>
    <pivotTable tabId="13" name="PivotTable2"/>
    <pivotTable tabId="24" name="PivotTable1"/>
    <pivotTable tabId="32" name="PivotTable1"/>
    <pivotTable tabId="33" name="PivotTable2"/>
    <pivotTable tabId="29" name="PivotTable1"/>
  </pivotTables>
  <data>
    <tabular pivotCacheId="1813769364">
      <items count="5">
        <i x="1" s="1"/>
        <i x="0"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E968B08C-13E5-4C33-84FA-5DACA690B9D5}" sourceName="payment_status">
  <pivotTables>
    <pivotTable tabId="12" name="PivotTable1"/>
    <pivotTable tabId="16" name="PivotTable2"/>
    <pivotTable tabId="23" name="PivotTable1"/>
    <pivotTable tabId="25" name="PivotTable2"/>
    <pivotTable tabId="26" name="PivotTable1"/>
    <pivotTable tabId="13" name="PivotTable2"/>
    <pivotTable tabId="24" name="PivotTable1"/>
    <pivotTable tabId="30" name="PivotTable2"/>
    <pivotTable tabId="32" name="PivotTable1"/>
    <pivotTable tabId="33" name="PivotTable2"/>
    <pivotTable tabId="29" name="PivotTable1"/>
  </pivotTables>
  <data>
    <tabular pivotCacheId="1813769364">
      <items count="4">
        <i x="0" s="1"/>
        <i x="1" s="1"/>
        <i x="2"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DED3A09-1CC1-461C-A81A-D11C9931F9C2}" cache="Slicer_region1" caption="region" rowHeight="234950"/>
  <slicer name="payment_status" xr10:uid="{C7EEF8CC-C7C6-4174-9AAB-AD87A248B127}" cache="Slicer_payment_status" caption="payment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78CB0413-BCF3-4C10-A850-27489D655D27}" cache="Slicer_industry" caption="indust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_plan 1" xr10:uid="{64E34F42-BFD3-44C3-B5E7-298EB984A119}" cache="Slicer_subscription_plan1" caption="subscription_pla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_plan 2" xr10:uid="{DD0323F6-E58E-4653-8438-127112C48493}" cache="Slicer_subscription_plan1" caption="subscription_plan" rowHeight="234950"/>
  <slicer name="region 2" xr10:uid="{1E4B09AE-A280-4253-B0FB-77F31C8FC31A}" cache="Slicer_region1" caption="region" rowHeight="234950"/>
  <slicer name="industry 1" xr10:uid="{8EC8BAFD-CEF6-4041-903A-F01ED193A94C}" cache="Slicer_industry" caption="industry" rowHeight="234950"/>
  <slicer name="payment_status 1" xr10:uid="{E4B30020-A871-4384-B3E3-33A5CC424CDE}" cache="Slicer_payment_status" caption="payment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35E87B-C484-4E48-95F4-5EB1C216927B}" name="Table1" displayName="Table1" ref="A1:T2995" totalsRowShown="0">
  <autoFilter ref="A1:T2995" xr:uid="{2335E87B-C484-4E48-95F4-5EB1C216927B}">
    <filterColumn colId="10">
      <filters>
        <filter val="Pending"/>
      </filters>
    </filterColumn>
  </autoFilter>
  <tableColumns count="20">
    <tableColumn id="1" xr3:uid="{E1524C35-CE7B-4C84-90AB-7E8F6A85BECE}" name="transaction_id"/>
    <tableColumn id="2" xr3:uid="{7F5DA47D-7690-4914-9A39-7CFCB62106F7}" name="client_id"/>
    <tableColumn id="3" xr3:uid="{BD7B8ECA-39C0-4DA6-8C3D-9ABDED6D7672}" name="industry"/>
    <tableColumn id="4" xr3:uid="{503AED83-10B6-44DD-9593-85DAC98BC495}" name="region"/>
    <tableColumn id="5" xr3:uid="{EF5CAC5E-F154-4594-A63A-B491FC2CA551}" name="subscription_plan"/>
    <tableColumn id="6" xr3:uid="{963FA608-7E0D-472D-BBC4-0B635DD5C806}" name="onboarding_date" dataDxfId="5"/>
    <tableColumn id="7" xr3:uid="{5384F1C4-B679-4CB7-A131-011C971B27FE}" name="invoice_date" dataDxfId="4"/>
    <tableColumn id="8" xr3:uid="{CB63B3C9-56A4-4D89-95F6-166BA6DC657B}" name="revenue_amount"/>
    <tableColumn id="9" xr3:uid="{FF3BFF6B-2F87-4C08-B0EA-351AF4AD500B}" name="service_cost"/>
    <tableColumn id="10" xr3:uid="{1A8903B5-1719-4ED6-B1DB-02DA62451D64}" name="profit"/>
    <tableColumn id="11" xr3:uid="{B550122D-A1E9-48B3-9891-7A6F1023BE7B}" name="payment_status"/>
    <tableColumn id="12" xr3:uid="{7D7B3400-E8C2-419A-BBA6-CC4091384815}" name="tenure_months"/>
    <tableColumn id="20" xr3:uid="{FECA77D6-C0EA-4F27-85A6-741A1EAE9EA6}" name="Tenure_group" dataDxfId="3">
      <calculatedColumnFormula>IF(L2&lt;6,"0-6 Months",IF(L2&gt;6,"6-12 Months","12+ Months"))</calculatedColumnFormula>
    </tableColumn>
    <tableColumn id="13" xr3:uid="{92C3E6EF-18BA-4BF1-9CEB-D742A61F5388}" name="last_active_date" dataDxfId="2"/>
    <tableColumn id="14" xr3:uid="{3E6AD4C5-4AD9-40C2-92F9-1D45A1B5EA83}" name="churn_flag"/>
    <tableColumn id="15" xr3:uid="{D2938E5C-3D44-4938-A496-833E669D7093}" name="temp_id"/>
    <tableColumn id="16" xr3:uid="{A0D7186E-0926-48C7-B64F-A1132BF13CB2}" name="Profit_margin" dataDxfId="1"/>
    <tableColumn id="17" xr3:uid="{8FDE9A60-82DD-48AF-A74F-A583C6068FC5}" name="Outlier Flag"/>
    <tableColumn id="18" xr3:uid="{9EAC2995-E88E-46E5-8335-E97E7404EF01}" name="Year"/>
    <tableColumn id="19" xr3:uid="{BE3AED2C-7DBE-425D-940B-57BAE473F509}"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8C66-C0B8-4CC5-86B1-0AD23E635DE7}">
  <dimension ref="A3:B7"/>
  <sheetViews>
    <sheetView workbookViewId="0">
      <selection activeCell="B6" sqref="A3:B7"/>
    </sheetView>
  </sheetViews>
  <sheetFormatPr defaultRowHeight="14.4" x14ac:dyDescent="0.3"/>
  <cols>
    <col min="1" max="1" width="12.5546875" bestFit="1" customWidth="1"/>
    <col min="2" max="2" width="19.77734375" bestFit="1" customWidth="1"/>
  </cols>
  <sheetData>
    <row r="3" spans="1:2" x14ac:dyDescent="0.3">
      <c r="A3" s="5" t="s">
        <v>51</v>
      </c>
      <c r="B3" s="2" t="s">
        <v>55</v>
      </c>
    </row>
    <row r="4" spans="1:2" x14ac:dyDescent="0.3">
      <c r="A4" s="6" t="s">
        <v>21</v>
      </c>
      <c r="B4" s="2">
        <v>0.48252688172043012</v>
      </c>
    </row>
    <row r="5" spans="1:2" x14ac:dyDescent="0.3">
      <c r="A5" s="6" t="s">
        <v>35</v>
      </c>
      <c r="B5" s="2">
        <v>0.48748353096179181</v>
      </c>
    </row>
    <row r="6" spans="1:2" x14ac:dyDescent="0.3">
      <c r="A6" s="6" t="s">
        <v>54</v>
      </c>
      <c r="B6" s="2">
        <v>0.50100603621730377</v>
      </c>
    </row>
    <row r="7" spans="1:2" x14ac:dyDescent="0.3">
      <c r="A7" s="6" t="s">
        <v>52</v>
      </c>
      <c r="B7" s="2">
        <v>0.49298597194388777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0CA48-B335-40CD-A76D-61D0F190545B}">
  <dimension ref="A3:B38"/>
  <sheetViews>
    <sheetView workbookViewId="0">
      <selection activeCell="B16" sqref="B16"/>
    </sheetView>
  </sheetViews>
  <sheetFormatPr defaultRowHeight="14.4" x14ac:dyDescent="0.3"/>
  <cols>
    <col min="1" max="1" width="12.5546875" bestFit="1" customWidth="1"/>
    <col min="2" max="2" width="22.33203125" bestFit="1" customWidth="1"/>
  </cols>
  <sheetData>
    <row r="3" spans="1:2" x14ac:dyDescent="0.3">
      <c r="A3" s="3" t="s">
        <v>51</v>
      </c>
      <c r="B3" t="s">
        <v>50</v>
      </c>
    </row>
    <row r="4" spans="1:2" x14ac:dyDescent="0.3">
      <c r="A4" s="4" t="s">
        <v>56</v>
      </c>
      <c r="B4">
        <v>4037030.3899999997</v>
      </c>
    </row>
    <row r="5" spans="1:2" x14ac:dyDescent="0.3">
      <c r="A5" s="7" t="s">
        <v>60</v>
      </c>
      <c r="B5">
        <v>37413.93</v>
      </c>
    </row>
    <row r="6" spans="1:2" x14ac:dyDescent="0.3">
      <c r="A6" s="7" t="s">
        <v>61</v>
      </c>
      <c r="B6">
        <v>129504.71999999997</v>
      </c>
    </row>
    <row r="7" spans="1:2" x14ac:dyDescent="0.3">
      <c r="A7" s="7" t="s">
        <v>62</v>
      </c>
      <c r="B7">
        <v>148723.57999999999</v>
      </c>
    </row>
    <row r="8" spans="1:2" x14ac:dyDescent="0.3">
      <c r="A8" s="7" t="s">
        <v>28</v>
      </c>
      <c r="B8">
        <v>220263.29999999996</v>
      </c>
    </row>
    <row r="9" spans="1:2" x14ac:dyDescent="0.3">
      <c r="A9" s="7" t="s">
        <v>63</v>
      </c>
      <c r="B9">
        <v>342297.01999999996</v>
      </c>
    </row>
    <row r="10" spans="1:2" x14ac:dyDescent="0.3">
      <c r="A10" s="7" t="s">
        <v>64</v>
      </c>
      <c r="B10">
        <v>393854.36999999994</v>
      </c>
    </row>
    <row r="11" spans="1:2" x14ac:dyDescent="0.3">
      <c r="A11" s="7" t="s">
        <v>65</v>
      </c>
      <c r="B11">
        <v>434466.22999999992</v>
      </c>
    </row>
    <row r="12" spans="1:2" x14ac:dyDescent="0.3">
      <c r="A12" s="7" t="s">
        <v>66</v>
      </c>
      <c r="B12">
        <v>509951.87999999989</v>
      </c>
    </row>
    <row r="13" spans="1:2" x14ac:dyDescent="0.3">
      <c r="A13" s="7" t="s">
        <v>67</v>
      </c>
      <c r="B13">
        <v>613135.60000000009</v>
      </c>
    </row>
    <row r="14" spans="1:2" x14ac:dyDescent="0.3">
      <c r="A14" s="7" t="s">
        <v>68</v>
      </c>
      <c r="B14">
        <v>531456.0199999999</v>
      </c>
    </row>
    <row r="15" spans="1:2" x14ac:dyDescent="0.3">
      <c r="A15" s="7" t="s">
        <v>69</v>
      </c>
      <c r="B15">
        <v>675963.74000000022</v>
      </c>
    </row>
    <row r="16" spans="1:2" x14ac:dyDescent="0.3">
      <c r="A16" s="4" t="s">
        <v>57</v>
      </c>
      <c r="B16">
        <v>8798519.9800000023</v>
      </c>
    </row>
    <row r="17" spans="1:2" x14ac:dyDescent="0.3">
      <c r="A17" s="7" t="s">
        <v>59</v>
      </c>
      <c r="B17">
        <v>842145.04000000027</v>
      </c>
    </row>
    <row r="18" spans="1:2" x14ac:dyDescent="0.3">
      <c r="A18" s="7" t="s">
        <v>60</v>
      </c>
      <c r="B18">
        <v>738003.97000000044</v>
      </c>
    </row>
    <row r="19" spans="1:2" x14ac:dyDescent="0.3">
      <c r="A19" s="7" t="s">
        <v>61</v>
      </c>
      <c r="B19">
        <v>715623.39000000025</v>
      </c>
    </row>
    <row r="20" spans="1:2" x14ac:dyDescent="0.3">
      <c r="A20" s="7" t="s">
        <v>62</v>
      </c>
      <c r="B20">
        <v>805324.25000000047</v>
      </c>
    </row>
    <row r="21" spans="1:2" x14ac:dyDescent="0.3">
      <c r="A21" s="7" t="s">
        <v>28</v>
      </c>
      <c r="B21">
        <v>697584.74000000022</v>
      </c>
    </row>
    <row r="22" spans="1:2" x14ac:dyDescent="0.3">
      <c r="A22" s="7" t="s">
        <v>63</v>
      </c>
      <c r="B22">
        <v>799141.83000000031</v>
      </c>
    </row>
    <row r="23" spans="1:2" x14ac:dyDescent="0.3">
      <c r="A23" s="7" t="s">
        <v>64</v>
      </c>
      <c r="B23">
        <v>757970.39000000025</v>
      </c>
    </row>
    <row r="24" spans="1:2" x14ac:dyDescent="0.3">
      <c r="A24" s="7" t="s">
        <v>65</v>
      </c>
      <c r="B24">
        <v>919576.32000000041</v>
      </c>
    </row>
    <row r="25" spans="1:2" x14ac:dyDescent="0.3">
      <c r="A25" s="7" t="s">
        <v>66</v>
      </c>
      <c r="B25">
        <v>653250.1100000001</v>
      </c>
    </row>
    <row r="26" spans="1:2" x14ac:dyDescent="0.3">
      <c r="A26" s="7" t="s">
        <v>67</v>
      </c>
      <c r="B26">
        <v>630121.31999999995</v>
      </c>
    </row>
    <row r="27" spans="1:2" x14ac:dyDescent="0.3">
      <c r="A27" s="7" t="s">
        <v>68</v>
      </c>
      <c r="B27">
        <v>675218.66999999993</v>
      </c>
    </row>
    <row r="28" spans="1:2" x14ac:dyDescent="0.3">
      <c r="A28" s="7" t="s">
        <v>69</v>
      </c>
      <c r="B28">
        <v>564559.94999999995</v>
      </c>
    </row>
    <row r="29" spans="1:2" x14ac:dyDescent="0.3">
      <c r="A29" s="4" t="s">
        <v>58</v>
      </c>
      <c r="B29">
        <v>2038420.5199999996</v>
      </c>
    </row>
    <row r="30" spans="1:2" x14ac:dyDescent="0.3">
      <c r="A30" s="7" t="s">
        <v>59</v>
      </c>
      <c r="B30">
        <v>469309.73999999993</v>
      </c>
    </row>
    <row r="31" spans="1:2" x14ac:dyDescent="0.3">
      <c r="A31" s="7" t="s">
        <v>60</v>
      </c>
      <c r="B31">
        <v>345042.29999999993</v>
      </c>
    </row>
    <row r="32" spans="1:2" x14ac:dyDescent="0.3">
      <c r="A32" s="7" t="s">
        <v>61</v>
      </c>
      <c r="B32">
        <v>332028.15999999992</v>
      </c>
    </row>
    <row r="33" spans="1:2" x14ac:dyDescent="0.3">
      <c r="A33" s="7" t="s">
        <v>62</v>
      </c>
      <c r="B33">
        <v>310252.36999999994</v>
      </c>
    </row>
    <row r="34" spans="1:2" x14ac:dyDescent="0.3">
      <c r="A34" s="7" t="s">
        <v>28</v>
      </c>
      <c r="B34">
        <v>278496.50999999995</v>
      </c>
    </row>
    <row r="35" spans="1:2" x14ac:dyDescent="0.3">
      <c r="A35" s="7" t="s">
        <v>63</v>
      </c>
      <c r="B35">
        <v>214183.58</v>
      </c>
    </row>
    <row r="36" spans="1:2" x14ac:dyDescent="0.3">
      <c r="A36" s="7" t="s">
        <v>64</v>
      </c>
      <c r="B36">
        <v>45829.93</v>
      </c>
    </row>
    <row r="37" spans="1:2" x14ac:dyDescent="0.3">
      <c r="A37" s="7" t="s">
        <v>65</v>
      </c>
      <c r="B37">
        <v>43277.93</v>
      </c>
    </row>
    <row r="38" spans="1:2" x14ac:dyDescent="0.3">
      <c r="A38" s="4" t="s">
        <v>52</v>
      </c>
      <c r="B38">
        <v>14873970.890000001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B0368-5A3C-4BD7-AF4E-B6CF63F01FA2}">
  <dimension ref="A3:R12"/>
  <sheetViews>
    <sheetView zoomScaleNormal="100" workbookViewId="0">
      <selection activeCell="N19" sqref="N19"/>
    </sheetView>
  </sheetViews>
  <sheetFormatPr defaultRowHeight="14.4" x14ac:dyDescent="0.3"/>
  <cols>
    <col min="1" max="1" width="12.5546875" bestFit="1" customWidth="1"/>
    <col min="2" max="2" width="19.77734375" bestFit="1" customWidth="1"/>
  </cols>
  <sheetData>
    <row r="3" spans="1:18" x14ac:dyDescent="0.3">
      <c r="A3" s="5" t="s">
        <v>51</v>
      </c>
      <c r="B3" s="2" t="s">
        <v>55</v>
      </c>
    </row>
    <row r="4" spans="1:18" x14ac:dyDescent="0.3">
      <c r="A4" s="6" t="s">
        <v>24</v>
      </c>
      <c r="B4" s="2">
        <v>0.4838709677419355</v>
      </c>
    </row>
    <row r="5" spans="1:18" x14ac:dyDescent="0.3">
      <c r="A5" s="6" t="s">
        <v>53</v>
      </c>
      <c r="B5" s="2">
        <v>0.48863636363636365</v>
      </c>
    </row>
    <row r="6" spans="1:18" x14ac:dyDescent="0.3">
      <c r="A6" s="6" t="s">
        <v>40</v>
      </c>
      <c r="B6" s="2">
        <v>0.48551959114139692</v>
      </c>
    </row>
    <row r="7" spans="1:18" x14ac:dyDescent="0.3">
      <c r="A7" s="6" t="s">
        <v>45</v>
      </c>
      <c r="B7" s="2">
        <v>0.5034129692832765</v>
      </c>
    </row>
    <row r="8" spans="1:18" x14ac:dyDescent="0.3">
      <c r="A8" s="6" t="s">
        <v>39</v>
      </c>
      <c r="B8" s="2">
        <v>0.50324675324675328</v>
      </c>
    </row>
    <row r="9" spans="1:18" x14ac:dyDescent="0.3">
      <c r="A9" s="6" t="s">
        <v>52</v>
      </c>
      <c r="B9" s="2">
        <v>0.49298597194388777</v>
      </c>
    </row>
    <row r="12" spans="1:18" x14ac:dyDescent="0.3">
      <c r="R12" s="8">
        <f>AVERAGE(Table1[churn_flag])</f>
        <v>0.49298597194388777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B816-AAB8-422C-AFCF-7C0C20F04C21}">
  <dimension ref="A3:M7"/>
  <sheetViews>
    <sheetView workbookViewId="0">
      <selection activeCell="I12" sqref="I12"/>
    </sheetView>
  </sheetViews>
  <sheetFormatPr defaultRowHeight="14.4" x14ac:dyDescent="0.3"/>
  <cols>
    <col min="1" max="1" width="12.5546875" bestFit="1" customWidth="1"/>
    <col min="2" max="2" width="19.77734375" bestFit="1" customWidth="1"/>
  </cols>
  <sheetData>
    <row r="3" spans="1:13" x14ac:dyDescent="0.3">
      <c r="A3" s="5" t="s">
        <v>51</v>
      </c>
      <c r="B3" s="2" t="s">
        <v>55</v>
      </c>
    </row>
    <row r="4" spans="1:13" x14ac:dyDescent="0.3">
      <c r="A4" s="6" t="s">
        <v>78</v>
      </c>
      <c r="B4" s="2">
        <v>0.50024691358024687</v>
      </c>
    </row>
    <row r="5" spans="1:13" x14ac:dyDescent="0.3">
      <c r="A5" s="6" t="s">
        <v>76</v>
      </c>
      <c r="B5" s="2">
        <v>0.48894348894348894</v>
      </c>
    </row>
    <row r="6" spans="1:13" x14ac:dyDescent="0.3">
      <c r="A6" s="6" t="s">
        <v>77</v>
      </c>
      <c r="B6" s="2">
        <v>0.41935483870967744</v>
      </c>
    </row>
    <row r="7" spans="1:13" x14ac:dyDescent="0.3">
      <c r="A7" s="6" t="s">
        <v>52</v>
      </c>
      <c r="B7" s="2">
        <v>0.49298597194388777</v>
      </c>
      <c r="M7" s="10">
        <f>AVERAGEIF(Table1[churn_flag],1,Table1[tenure_months])</f>
        <v>9.9112466124661243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2551-8FE8-4F3F-8423-0657FD000E1B}">
  <dimension ref="A1:B8"/>
  <sheetViews>
    <sheetView workbookViewId="0">
      <selection activeCell="L23" sqref="L23"/>
    </sheetView>
  </sheetViews>
  <sheetFormatPr defaultRowHeight="14.4" x14ac:dyDescent="0.3"/>
  <cols>
    <col min="1" max="1" width="14.109375" bestFit="1" customWidth="1"/>
    <col min="2" max="2" width="22.33203125" bestFit="1" customWidth="1"/>
  </cols>
  <sheetData>
    <row r="1" spans="1:2" x14ac:dyDescent="0.3">
      <c r="A1" s="3" t="s">
        <v>10</v>
      </c>
      <c r="B1" t="s">
        <v>82</v>
      </c>
    </row>
    <row r="3" spans="1:2" x14ac:dyDescent="0.3">
      <c r="A3" s="3" t="s">
        <v>51</v>
      </c>
      <c r="B3" t="s">
        <v>50</v>
      </c>
    </row>
    <row r="4" spans="1:2" x14ac:dyDescent="0.3">
      <c r="A4" s="4" t="s">
        <v>34</v>
      </c>
      <c r="B4">
        <v>3897909.9700000086</v>
      </c>
    </row>
    <row r="5" spans="1:2" x14ac:dyDescent="0.3">
      <c r="A5" s="4" t="s">
        <v>25</v>
      </c>
      <c r="B5">
        <v>3766251.7400000058</v>
      </c>
    </row>
    <row r="6" spans="1:2" x14ac:dyDescent="0.3">
      <c r="A6" s="4" t="s">
        <v>19</v>
      </c>
      <c r="B6">
        <v>3643290.7200000049</v>
      </c>
    </row>
    <row r="7" spans="1:2" x14ac:dyDescent="0.3">
      <c r="A7" s="4" t="s">
        <v>29</v>
      </c>
      <c r="B7">
        <v>3566518.4600000079</v>
      </c>
    </row>
    <row r="8" spans="1:2" x14ac:dyDescent="0.3">
      <c r="A8" s="4" t="s">
        <v>52</v>
      </c>
      <c r="B8">
        <v>14873970.890000027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5824-D0AD-4E4F-9A29-6EEA6206EF23}">
  <dimension ref="A3:B7"/>
  <sheetViews>
    <sheetView workbookViewId="0">
      <selection activeCell="B6" sqref="A3:B7"/>
    </sheetView>
  </sheetViews>
  <sheetFormatPr defaultRowHeight="14.4" x14ac:dyDescent="0.3"/>
  <cols>
    <col min="1" max="1" width="12.5546875" bestFit="1" customWidth="1"/>
    <col min="2" max="2" width="19.77734375" bestFit="1" customWidth="1"/>
  </cols>
  <sheetData>
    <row r="3" spans="1:2" x14ac:dyDescent="0.3">
      <c r="A3" s="5" t="s">
        <v>51</v>
      </c>
      <c r="B3" s="2" t="s">
        <v>55</v>
      </c>
    </row>
    <row r="4" spans="1:2" x14ac:dyDescent="0.3">
      <c r="A4" s="6" t="s">
        <v>20</v>
      </c>
      <c r="B4" s="2">
        <v>0.49851924975320827</v>
      </c>
    </row>
    <row r="5" spans="1:2" x14ac:dyDescent="0.3">
      <c r="A5" s="6" t="s">
        <v>26</v>
      </c>
      <c r="B5" s="2">
        <v>0.48860257680872149</v>
      </c>
    </row>
    <row r="6" spans="1:2" x14ac:dyDescent="0.3">
      <c r="A6" s="6" t="s">
        <v>37</v>
      </c>
      <c r="B6" s="2">
        <v>0.49176954732510286</v>
      </c>
    </row>
    <row r="7" spans="1:2" x14ac:dyDescent="0.3">
      <c r="A7" s="6" t="s">
        <v>52</v>
      </c>
      <c r="B7" s="2">
        <v>0.49298597194388777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A128-8988-4C04-B4F2-A1BD087DAF13}">
  <dimension ref="A3:I14"/>
  <sheetViews>
    <sheetView workbookViewId="0">
      <selection activeCell="Q14" sqref="Q14"/>
    </sheetView>
  </sheetViews>
  <sheetFormatPr defaultRowHeight="14.4" x14ac:dyDescent="0.3"/>
  <cols>
    <col min="1" max="1" width="12.5546875" bestFit="1" customWidth="1"/>
    <col min="2" max="4" width="26.44140625" bestFit="1" customWidth="1"/>
    <col min="7" max="7" width="7.109375" customWidth="1"/>
    <col min="8" max="8" width="11.21875" customWidth="1"/>
    <col min="9" max="9" width="18.21875" customWidth="1"/>
  </cols>
  <sheetData>
    <row r="3" spans="1:9" x14ac:dyDescent="0.3">
      <c r="A3" s="5" t="s">
        <v>51</v>
      </c>
      <c r="B3" s="2" t="s">
        <v>80</v>
      </c>
    </row>
    <row r="4" spans="1:9" x14ac:dyDescent="0.3">
      <c r="A4" s="6" t="s">
        <v>39</v>
      </c>
      <c r="B4" s="2">
        <v>0.15766586644244895</v>
      </c>
    </row>
    <row r="5" spans="1:9" x14ac:dyDescent="0.3">
      <c r="A5" s="6" t="s">
        <v>53</v>
      </c>
      <c r="B5" s="2">
        <v>0.12708303728433104</v>
      </c>
    </row>
    <row r="6" spans="1:9" x14ac:dyDescent="0.3">
      <c r="A6" s="6" t="s">
        <v>24</v>
      </c>
      <c r="B6" s="2">
        <v>0.10742928664572265</v>
      </c>
    </row>
    <row r="7" spans="1:9" x14ac:dyDescent="0.3">
      <c r="A7" s="6" t="s">
        <v>45</v>
      </c>
      <c r="B7" s="2">
        <v>0.10382565743121491</v>
      </c>
    </row>
    <row r="8" spans="1:9" x14ac:dyDescent="0.3">
      <c r="A8" s="6" t="s">
        <v>40</v>
      </c>
      <c r="B8" s="2">
        <v>8.0821128093579025E-2</v>
      </c>
      <c r="H8" t="s">
        <v>51</v>
      </c>
      <c r="I8" t="s">
        <v>79</v>
      </c>
    </row>
    <row r="9" spans="1:9" x14ac:dyDescent="0.3">
      <c r="A9" s="6" t="s">
        <v>52</v>
      </c>
      <c r="B9" s="2">
        <v>0.11614719719274731</v>
      </c>
      <c r="H9" s="4" t="s">
        <v>24</v>
      </c>
      <c r="I9" s="8" t="e">
        <f>B4/C4</f>
        <v>#DIV/0!</v>
      </c>
    </row>
    <row r="10" spans="1:9" x14ac:dyDescent="0.3">
      <c r="B10" s="8"/>
      <c r="H10" s="4" t="s">
        <v>53</v>
      </c>
      <c r="I10" s="8" t="e">
        <f t="shared" ref="I10:I14" si="0">B5/C5</f>
        <v>#DIV/0!</v>
      </c>
    </row>
    <row r="11" spans="1:9" x14ac:dyDescent="0.3">
      <c r="B11" s="8"/>
      <c r="H11" s="4" t="s">
        <v>40</v>
      </c>
      <c r="I11" s="8" t="e">
        <f t="shared" si="0"/>
        <v>#DIV/0!</v>
      </c>
    </row>
    <row r="12" spans="1:9" x14ac:dyDescent="0.3">
      <c r="B12" s="8"/>
      <c r="H12" s="4" t="s">
        <v>45</v>
      </c>
      <c r="I12" s="8" t="e">
        <f t="shared" si="0"/>
        <v>#DIV/0!</v>
      </c>
    </row>
    <row r="13" spans="1:9" x14ac:dyDescent="0.3">
      <c r="B13" s="8"/>
      <c r="H13" s="4" t="s">
        <v>39</v>
      </c>
      <c r="I13" s="8" t="e">
        <f t="shared" si="0"/>
        <v>#DIV/0!</v>
      </c>
    </row>
    <row r="14" spans="1:9" x14ac:dyDescent="0.3">
      <c r="B14" s="8"/>
      <c r="H14" s="4" t="s">
        <v>52</v>
      </c>
      <c r="I14" s="8" t="e">
        <f t="shared" si="0"/>
        <v>#DIV/0!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83B3-ACEB-4590-A6D7-3288A11DDCC6}">
  <dimension ref="A3:B9"/>
  <sheetViews>
    <sheetView workbookViewId="0">
      <selection activeCell="L24" sqref="L24"/>
    </sheetView>
  </sheetViews>
  <sheetFormatPr defaultRowHeight="14.4" x14ac:dyDescent="0.3"/>
  <cols>
    <col min="1" max="1" width="12.5546875" bestFit="1" customWidth="1"/>
    <col min="2" max="2" width="22.33203125" bestFit="1" customWidth="1"/>
  </cols>
  <sheetData>
    <row r="3" spans="1:2" x14ac:dyDescent="0.3">
      <c r="A3" s="5" t="s">
        <v>51</v>
      </c>
      <c r="B3" s="2" t="s">
        <v>50</v>
      </c>
    </row>
    <row r="4" spans="1:2" x14ac:dyDescent="0.3">
      <c r="A4" s="6" t="s">
        <v>39</v>
      </c>
      <c r="B4" s="2">
        <v>0.21041273128375743</v>
      </c>
    </row>
    <row r="5" spans="1:2" x14ac:dyDescent="0.3">
      <c r="A5" s="6" t="s">
        <v>53</v>
      </c>
      <c r="B5" s="2">
        <v>0.20842207860472692</v>
      </c>
    </row>
    <row r="6" spans="1:2" x14ac:dyDescent="0.3">
      <c r="A6" s="6" t="s">
        <v>40</v>
      </c>
      <c r="B6" s="2">
        <v>0.19772772595496191</v>
      </c>
    </row>
    <row r="7" spans="1:2" x14ac:dyDescent="0.3">
      <c r="A7" s="6" t="s">
        <v>24</v>
      </c>
      <c r="B7" s="2">
        <v>0.19262696298042836</v>
      </c>
    </row>
    <row r="8" spans="1:2" x14ac:dyDescent="0.3">
      <c r="A8" s="6" t="s">
        <v>45</v>
      </c>
      <c r="B8" s="2">
        <v>0.1908105011761253</v>
      </c>
    </row>
    <row r="9" spans="1:2" x14ac:dyDescent="0.3">
      <c r="A9" s="6" t="s">
        <v>52</v>
      </c>
      <c r="B9" s="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B20F-BBEC-42D5-A882-499D12C19043}">
  <dimension ref="A3:B9"/>
  <sheetViews>
    <sheetView workbookViewId="0">
      <selection activeCell="B7" sqref="A3:B9"/>
    </sheetView>
  </sheetViews>
  <sheetFormatPr defaultRowHeight="14.4" x14ac:dyDescent="0.3"/>
  <cols>
    <col min="1" max="1" width="12.5546875" bestFit="1" customWidth="1"/>
    <col min="2" max="2" width="12.109375" bestFit="1" customWidth="1"/>
  </cols>
  <sheetData>
    <row r="3" spans="1:2" x14ac:dyDescent="0.3">
      <c r="A3" s="3" t="s">
        <v>51</v>
      </c>
      <c r="B3" t="s">
        <v>81</v>
      </c>
    </row>
    <row r="4" spans="1:2" x14ac:dyDescent="0.3">
      <c r="A4" s="4" t="s">
        <v>39</v>
      </c>
      <c r="B4">
        <v>493442.58000000042</v>
      </c>
    </row>
    <row r="5" spans="1:2" x14ac:dyDescent="0.3">
      <c r="A5" s="4" t="s">
        <v>53</v>
      </c>
      <c r="B5">
        <v>393965.54000000021</v>
      </c>
    </row>
    <row r="6" spans="1:2" x14ac:dyDescent="0.3">
      <c r="A6" s="4" t="s">
        <v>24</v>
      </c>
      <c r="B6">
        <v>307798.64000000036</v>
      </c>
    </row>
    <row r="7" spans="1:2" x14ac:dyDescent="0.3">
      <c r="A7" s="4" t="s">
        <v>45</v>
      </c>
      <c r="B7">
        <v>294668.62000000029</v>
      </c>
    </row>
    <row r="8" spans="1:2" x14ac:dyDescent="0.3">
      <c r="A8" s="4" t="s">
        <v>40</v>
      </c>
      <c r="B8">
        <v>237694.6500000002</v>
      </c>
    </row>
    <row r="9" spans="1:2" x14ac:dyDescent="0.3">
      <c r="A9" s="4" t="s">
        <v>52</v>
      </c>
      <c r="B9">
        <v>1727570.0300000017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08852-213B-4242-9617-D83DD744A83D}">
  <dimension ref="A3:B8"/>
  <sheetViews>
    <sheetView workbookViewId="0">
      <selection activeCell="M24" sqref="M24"/>
    </sheetView>
  </sheetViews>
  <sheetFormatPr defaultRowHeight="14.4" x14ac:dyDescent="0.3"/>
  <cols>
    <col min="1" max="1" width="12.5546875" bestFit="1" customWidth="1"/>
    <col min="2" max="2" width="12.109375" bestFit="1" customWidth="1"/>
  </cols>
  <sheetData>
    <row r="3" spans="1:2" x14ac:dyDescent="0.3">
      <c r="A3" s="3" t="s">
        <v>51</v>
      </c>
      <c r="B3" t="s">
        <v>81</v>
      </c>
    </row>
    <row r="4" spans="1:2" x14ac:dyDescent="0.3">
      <c r="A4" s="4" t="s">
        <v>34</v>
      </c>
      <c r="B4">
        <v>566539.71000000043</v>
      </c>
    </row>
    <row r="5" spans="1:2" x14ac:dyDescent="0.3">
      <c r="A5" s="4" t="s">
        <v>25</v>
      </c>
      <c r="B5">
        <v>491288.75000000047</v>
      </c>
    </row>
    <row r="6" spans="1:2" x14ac:dyDescent="0.3">
      <c r="A6" s="4" t="s">
        <v>19</v>
      </c>
      <c r="B6">
        <v>351254.81000000029</v>
      </c>
    </row>
    <row r="7" spans="1:2" x14ac:dyDescent="0.3">
      <c r="A7" s="4" t="s">
        <v>29</v>
      </c>
      <c r="B7">
        <v>318486.76000000036</v>
      </c>
    </row>
    <row r="8" spans="1:2" x14ac:dyDescent="0.3">
      <c r="A8" s="4" t="s">
        <v>52</v>
      </c>
      <c r="B8">
        <v>1727570.0300000017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A225-3B96-4756-BC3D-E4403CE674EE}">
  <dimension ref="A1:T2995"/>
  <sheetViews>
    <sheetView topLeftCell="A8" workbookViewId="0">
      <selection activeCell="M3" sqref="A2:T2995"/>
    </sheetView>
  </sheetViews>
  <sheetFormatPr defaultRowHeight="14.4" x14ac:dyDescent="0.3"/>
  <cols>
    <col min="1" max="1" width="14.88671875" customWidth="1"/>
    <col min="2" max="2" width="10" customWidth="1"/>
    <col min="3" max="3" width="9.77734375" customWidth="1"/>
    <col min="5" max="5" width="17.77734375" customWidth="1"/>
    <col min="6" max="6" width="17.44140625" customWidth="1"/>
    <col min="7" max="7" width="13.6640625" customWidth="1"/>
    <col min="8" max="8" width="17.44140625" customWidth="1"/>
    <col min="9" max="9" width="13.109375" customWidth="1"/>
    <col min="11" max="11" width="16.44140625" customWidth="1"/>
    <col min="12" max="13" width="15.88671875" customWidth="1"/>
    <col min="14" max="14" width="16.5546875" customWidth="1"/>
    <col min="15" max="15" width="11.88671875" customWidth="1"/>
    <col min="16" max="16" width="9.88671875" customWidth="1"/>
    <col min="17" max="17" width="14.44140625" customWidth="1"/>
    <col min="18" max="18" width="12.33203125" customWidth="1"/>
  </cols>
  <sheetData>
    <row r="1" spans="1:20" x14ac:dyDescent="0.3">
      <c r="A1" t="s">
        <v>0</v>
      </c>
      <c r="B1" t="s">
        <v>1</v>
      </c>
      <c r="C1" t="s">
        <v>2</v>
      </c>
      <c r="D1" t="s">
        <v>3</v>
      </c>
      <c r="E1" t="s">
        <v>4</v>
      </c>
      <c r="F1" t="s">
        <v>5</v>
      </c>
      <c r="G1" t="s">
        <v>6</v>
      </c>
      <c r="H1" t="s">
        <v>7</v>
      </c>
      <c r="I1" t="s">
        <v>8</v>
      </c>
      <c r="J1" t="s">
        <v>9</v>
      </c>
      <c r="K1" t="s">
        <v>10</v>
      </c>
      <c r="L1" t="s">
        <v>11</v>
      </c>
      <c r="M1" t="s">
        <v>75</v>
      </c>
      <c r="N1" t="s">
        <v>12</v>
      </c>
      <c r="O1" t="s">
        <v>13</v>
      </c>
      <c r="P1" t="s">
        <v>14</v>
      </c>
      <c r="Q1" t="s">
        <v>15</v>
      </c>
      <c r="R1" t="s">
        <v>16</v>
      </c>
      <c r="S1" t="s">
        <v>17</v>
      </c>
      <c r="T1" t="s">
        <v>18</v>
      </c>
    </row>
    <row r="2" spans="1:20" hidden="1" x14ac:dyDescent="0.3">
      <c r="A2">
        <v>1</v>
      </c>
      <c r="B2">
        <v>271</v>
      </c>
      <c r="C2" t="s">
        <v>53</v>
      </c>
      <c r="D2" t="s">
        <v>19</v>
      </c>
      <c r="E2" t="s">
        <v>20</v>
      </c>
      <c r="F2" s="1">
        <v>44901</v>
      </c>
      <c r="G2" s="1">
        <v>44946</v>
      </c>
      <c r="H2">
        <v>1872</v>
      </c>
      <c r="I2">
        <v>7917</v>
      </c>
      <c r="J2">
        <v>-6045</v>
      </c>
      <c r="K2" t="s">
        <v>21</v>
      </c>
      <c r="L2">
        <v>1</v>
      </c>
      <c r="M2" t="str">
        <f t="shared" ref="M2:M65" si="0">IF(L2&lt;6,"0-6 Months",IF(L2&gt;6,"6-12 Months","12+ Months"))</f>
        <v>0-6 Months</v>
      </c>
      <c r="N2" s="1">
        <v>44946</v>
      </c>
      <c r="O2">
        <v>0</v>
      </c>
      <c r="P2">
        <v>1</v>
      </c>
      <c r="Q2" s="2">
        <v>-3.23</v>
      </c>
      <c r="R2" t="s">
        <v>22</v>
      </c>
      <c r="S2">
        <v>2023</v>
      </c>
      <c r="T2" t="s">
        <v>23</v>
      </c>
    </row>
    <row r="3" spans="1:20" hidden="1" x14ac:dyDescent="0.3">
      <c r="A3">
        <v>2</v>
      </c>
      <c r="B3">
        <v>270</v>
      </c>
      <c r="C3" t="s">
        <v>24</v>
      </c>
      <c r="D3" t="s">
        <v>25</v>
      </c>
      <c r="E3" t="s">
        <v>26</v>
      </c>
      <c r="F3" s="1">
        <v>44608</v>
      </c>
      <c r="G3" s="1">
        <v>44699</v>
      </c>
      <c r="H3">
        <v>1329</v>
      </c>
      <c r="I3">
        <v>4642</v>
      </c>
      <c r="J3">
        <v>577.01</v>
      </c>
      <c r="K3" t="s">
        <v>21</v>
      </c>
      <c r="L3">
        <v>3</v>
      </c>
      <c r="M3" t="str">
        <f t="shared" si="0"/>
        <v>0-6 Months</v>
      </c>
      <c r="N3" s="1">
        <v>44699</v>
      </c>
      <c r="O3">
        <v>0</v>
      </c>
      <c r="P3">
        <v>2</v>
      </c>
      <c r="Q3" s="2">
        <v>0.43</v>
      </c>
      <c r="R3" t="s">
        <v>27</v>
      </c>
      <c r="S3">
        <v>2022</v>
      </c>
      <c r="T3" t="s">
        <v>28</v>
      </c>
    </row>
    <row r="4" spans="1:20" hidden="1" x14ac:dyDescent="0.3">
      <c r="A4">
        <v>3</v>
      </c>
      <c r="B4">
        <v>135</v>
      </c>
      <c r="C4" t="s">
        <v>53</v>
      </c>
      <c r="D4" t="s">
        <v>29</v>
      </c>
      <c r="E4" t="s">
        <v>26</v>
      </c>
      <c r="F4" s="1">
        <v>44737</v>
      </c>
      <c r="G4" s="1">
        <v>45184</v>
      </c>
      <c r="H4">
        <v>6492</v>
      </c>
      <c r="I4">
        <v>4358</v>
      </c>
      <c r="J4">
        <v>2134</v>
      </c>
      <c r="K4" t="s">
        <v>54</v>
      </c>
      <c r="L4">
        <v>14</v>
      </c>
      <c r="M4" t="str">
        <f t="shared" si="0"/>
        <v>6-12 Months</v>
      </c>
      <c r="N4" s="1">
        <v>45184</v>
      </c>
      <c r="O4">
        <v>1</v>
      </c>
      <c r="P4">
        <v>3</v>
      </c>
      <c r="Q4" s="2">
        <v>0.33</v>
      </c>
      <c r="R4" t="s">
        <v>27</v>
      </c>
      <c r="S4">
        <v>2023</v>
      </c>
      <c r="T4" t="s">
        <v>30</v>
      </c>
    </row>
    <row r="5" spans="1:20" hidden="1" x14ac:dyDescent="0.3">
      <c r="A5">
        <v>4</v>
      </c>
      <c r="B5">
        <v>447</v>
      </c>
      <c r="C5" t="s">
        <v>24</v>
      </c>
      <c r="D5" t="s">
        <v>19</v>
      </c>
      <c r="E5" t="s">
        <v>20</v>
      </c>
      <c r="F5" s="1">
        <v>44739</v>
      </c>
      <c r="G5" s="1">
        <v>45265</v>
      </c>
      <c r="H5">
        <v>6643</v>
      </c>
      <c r="I5">
        <v>7007</v>
      </c>
      <c r="J5">
        <v>-364</v>
      </c>
      <c r="K5" t="s">
        <v>54</v>
      </c>
      <c r="L5">
        <v>17</v>
      </c>
      <c r="M5" t="str">
        <f t="shared" si="0"/>
        <v>6-12 Months</v>
      </c>
      <c r="N5" s="1">
        <v>45265</v>
      </c>
      <c r="O5">
        <v>0</v>
      </c>
      <c r="P5">
        <v>4</v>
      </c>
      <c r="Q5" s="2">
        <v>-0.05</v>
      </c>
      <c r="R5" t="s">
        <v>27</v>
      </c>
      <c r="S5">
        <v>2023</v>
      </c>
      <c r="T5" t="s">
        <v>31</v>
      </c>
    </row>
    <row r="6" spans="1:20" hidden="1" x14ac:dyDescent="0.3">
      <c r="A6">
        <v>5</v>
      </c>
      <c r="B6">
        <v>183</v>
      </c>
      <c r="C6" t="s">
        <v>24</v>
      </c>
      <c r="D6" t="s">
        <v>25</v>
      </c>
      <c r="E6" t="s">
        <v>20</v>
      </c>
      <c r="F6" s="1">
        <v>44661</v>
      </c>
      <c r="G6" s="1">
        <v>45021</v>
      </c>
      <c r="H6">
        <v>7118</v>
      </c>
      <c r="I6">
        <v>92</v>
      </c>
      <c r="J6">
        <v>7026</v>
      </c>
      <c r="K6" t="s">
        <v>54</v>
      </c>
      <c r="L6">
        <v>11</v>
      </c>
      <c r="M6" t="str">
        <f t="shared" si="0"/>
        <v>6-12 Months</v>
      </c>
      <c r="N6" s="1">
        <v>45021</v>
      </c>
      <c r="O6">
        <v>1</v>
      </c>
      <c r="P6">
        <v>5</v>
      </c>
      <c r="Q6" s="2">
        <v>0.99</v>
      </c>
      <c r="R6" t="s">
        <v>27</v>
      </c>
      <c r="S6">
        <v>2023</v>
      </c>
      <c r="T6" t="s">
        <v>32</v>
      </c>
    </row>
    <row r="7" spans="1:20" hidden="1" x14ac:dyDescent="0.3">
      <c r="A7">
        <v>6</v>
      </c>
      <c r="B7">
        <v>341</v>
      </c>
      <c r="C7" t="s">
        <v>53</v>
      </c>
      <c r="D7" t="s">
        <v>25</v>
      </c>
      <c r="E7" t="s">
        <v>20</v>
      </c>
      <c r="F7" s="1">
        <v>44682</v>
      </c>
      <c r="G7" s="1">
        <v>44847</v>
      </c>
      <c r="H7">
        <v>9585</v>
      </c>
      <c r="I7">
        <v>1926</v>
      </c>
      <c r="J7">
        <v>7659</v>
      </c>
      <c r="K7" t="s">
        <v>54</v>
      </c>
      <c r="L7">
        <v>5</v>
      </c>
      <c r="M7" t="str">
        <f t="shared" si="0"/>
        <v>0-6 Months</v>
      </c>
      <c r="N7" s="1">
        <v>44847</v>
      </c>
      <c r="O7">
        <v>0</v>
      </c>
      <c r="P7">
        <v>6</v>
      </c>
      <c r="Q7" s="2">
        <v>0.8</v>
      </c>
      <c r="R7" t="s">
        <v>27</v>
      </c>
      <c r="S7">
        <v>2022</v>
      </c>
      <c r="T7" t="s">
        <v>33</v>
      </c>
    </row>
    <row r="8" spans="1:20" x14ac:dyDescent="0.3">
      <c r="A8">
        <v>7</v>
      </c>
      <c r="B8">
        <v>413</v>
      </c>
      <c r="C8" t="s">
        <v>53</v>
      </c>
      <c r="D8" t="s">
        <v>34</v>
      </c>
      <c r="E8" t="s">
        <v>26</v>
      </c>
      <c r="F8" s="1">
        <v>44915</v>
      </c>
      <c r="G8" s="1">
        <v>45144</v>
      </c>
      <c r="H8">
        <v>7193</v>
      </c>
      <c r="I8">
        <v>7314</v>
      </c>
      <c r="J8">
        <v>-121</v>
      </c>
      <c r="K8" t="s">
        <v>35</v>
      </c>
      <c r="L8">
        <v>7</v>
      </c>
      <c r="M8" t="str">
        <f t="shared" si="0"/>
        <v>6-12 Months</v>
      </c>
      <c r="N8" s="1">
        <v>45144</v>
      </c>
      <c r="O8">
        <v>0</v>
      </c>
      <c r="P8">
        <v>7</v>
      </c>
      <c r="Q8" s="2">
        <v>-0.02</v>
      </c>
      <c r="R8" t="s">
        <v>27</v>
      </c>
      <c r="S8">
        <v>2023</v>
      </c>
      <c r="T8" t="s">
        <v>36</v>
      </c>
    </row>
    <row r="9" spans="1:20" hidden="1" x14ac:dyDescent="0.3">
      <c r="A9">
        <v>8</v>
      </c>
      <c r="B9">
        <v>351</v>
      </c>
      <c r="C9" t="s">
        <v>24</v>
      </c>
      <c r="D9" t="s">
        <v>19</v>
      </c>
      <c r="E9" t="s">
        <v>37</v>
      </c>
      <c r="F9" s="1">
        <v>44746</v>
      </c>
      <c r="G9" s="1">
        <v>44989</v>
      </c>
      <c r="H9">
        <v>2216</v>
      </c>
      <c r="I9">
        <v>2945</v>
      </c>
      <c r="J9">
        <v>-729</v>
      </c>
      <c r="K9" t="s">
        <v>54</v>
      </c>
      <c r="L9">
        <v>8</v>
      </c>
      <c r="M9" t="str">
        <f t="shared" si="0"/>
        <v>6-12 Months</v>
      </c>
      <c r="N9" s="1">
        <v>44989</v>
      </c>
      <c r="O9">
        <v>1</v>
      </c>
      <c r="P9">
        <v>8</v>
      </c>
      <c r="Q9" s="2">
        <v>-0.33</v>
      </c>
      <c r="R9" t="s">
        <v>27</v>
      </c>
      <c r="S9">
        <v>2023</v>
      </c>
      <c r="T9" t="s">
        <v>38</v>
      </c>
    </row>
    <row r="10" spans="1:20" hidden="1" x14ac:dyDescent="0.3">
      <c r="A10">
        <v>9</v>
      </c>
      <c r="B10">
        <v>284</v>
      </c>
      <c r="C10" t="s">
        <v>39</v>
      </c>
      <c r="D10" t="s">
        <v>19</v>
      </c>
      <c r="E10" t="s">
        <v>26</v>
      </c>
      <c r="F10" s="1">
        <v>44874</v>
      </c>
      <c r="G10" s="1">
        <v>45425</v>
      </c>
      <c r="H10">
        <v>9847</v>
      </c>
      <c r="I10">
        <v>2008</v>
      </c>
      <c r="J10">
        <v>7839</v>
      </c>
      <c r="K10" t="s">
        <v>54</v>
      </c>
      <c r="L10">
        <v>18</v>
      </c>
      <c r="M10" t="str">
        <f t="shared" si="0"/>
        <v>6-12 Months</v>
      </c>
      <c r="N10" s="1">
        <v>45425</v>
      </c>
      <c r="O10">
        <v>1</v>
      </c>
      <c r="P10">
        <v>9</v>
      </c>
      <c r="Q10" s="2">
        <v>0.8</v>
      </c>
      <c r="R10" t="s">
        <v>27</v>
      </c>
      <c r="S10">
        <v>2024</v>
      </c>
      <c r="T10" t="s">
        <v>28</v>
      </c>
    </row>
    <row r="11" spans="1:20" hidden="1" x14ac:dyDescent="0.3">
      <c r="A11">
        <v>11</v>
      </c>
      <c r="B11">
        <v>266</v>
      </c>
      <c r="C11" t="s">
        <v>40</v>
      </c>
      <c r="D11" t="s">
        <v>29</v>
      </c>
      <c r="E11" t="s">
        <v>26</v>
      </c>
      <c r="F11" s="1">
        <v>44791</v>
      </c>
      <c r="G11" s="1">
        <v>45214</v>
      </c>
      <c r="H11">
        <v>9821</v>
      </c>
      <c r="I11">
        <v>1857</v>
      </c>
      <c r="J11">
        <v>7964</v>
      </c>
      <c r="K11" t="s">
        <v>54</v>
      </c>
      <c r="L11">
        <v>13</v>
      </c>
      <c r="M11" t="str">
        <f t="shared" si="0"/>
        <v>6-12 Months</v>
      </c>
      <c r="N11" s="1">
        <v>45214</v>
      </c>
      <c r="O11">
        <v>0</v>
      </c>
      <c r="P11">
        <v>10</v>
      </c>
      <c r="Q11" s="2">
        <v>0.81</v>
      </c>
      <c r="R11" t="s">
        <v>27</v>
      </c>
      <c r="S11">
        <v>2023</v>
      </c>
      <c r="T11" t="s">
        <v>33</v>
      </c>
    </row>
    <row r="12" spans="1:20" hidden="1" x14ac:dyDescent="0.3">
      <c r="A12">
        <v>12</v>
      </c>
      <c r="B12">
        <v>251</v>
      </c>
      <c r="C12" t="s">
        <v>40</v>
      </c>
      <c r="D12" t="s">
        <v>25</v>
      </c>
      <c r="E12" t="s">
        <v>26</v>
      </c>
      <c r="F12" s="1">
        <v>44720</v>
      </c>
      <c r="G12" s="1">
        <v>45167</v>
      </c>
      <c r="H12">
        <v>2195</v>
      </c>
      <c r="I12">
        <v>6020</v>
      </c>
      <c r="J12">
        <v>-3825</v>
      </c>
      <c r="K12" t="s">
        <v>21</v>
      </c>
      <c r="L12">
        <v>14</v>
      </c>
      <c r="M12" t="str">
        <f t="shared" si="0"/>
        <v>6-12 Months</v>
      </c>
      <c r="N12" s="1">
        <v>45167</v>
      </c>
      <c r="O12">
        <v>0</v>
      </c>
      <c r="P12">
        <v>11</v>
      </c>
      <c r="Q12" s="2">
        <v>-1.74</v>
      </c>
      <c r="R12" t="s">
        <v>22</v>
      </c>
      <c r="S12">
        <v>2023</v>
      </c>
      <c r="T12" t="s">
        <v>36</v>
      </c>
    </row>
    <row r="13" spans="1:20" hidden="1" x14ac:dyDescent="0.3">
      <c r="A13">
        <v>15</v>
      </c>
      <c r="B13">
        <v>306</v>
      </c>
      <c r="C13" t="s">
        <v>39</v>
      </c>
      <c r="D13" t="s">
        <v>19</v>
      </c>
      <c r="E13" t="s">
        <v>37</v>
      </c>
      <c r="F13" s="1">
        <v>44597</v>
      </c>
      <c r="G13" s="1">
        <v>45107</v>
      </c>
      <c r="H13">
        <v>4890</v>
      </c>
      <c r="I13">
        <v>7735</v>
      </c>
      <c r="J13">
        <v>-2845</v>
      </c>
      <c r="K13" t="s">
        <v>54</v>
      </c>
      <c r="L13">
        <v>16</v>
      </c>
      <c r="M13" t="str">
        <f t="shared" si="0"/>
        <v>6-12 Months</v>
      </c>
      <c r="N13" s="1">
        <v>45107</v>
      </c>
      <c r="O13">
        <v>0</v>
      </c>
      <c r="P13">
        <v>12</v>
      </c>
      <c r="Q13" s="2">
        <v>-0.57999999999999996</v>
      </c>
      <c r="R13" t="s">
        <v>27</v>
      </c>
      <c r="S13">
        <v>2023</v>
      </c>
      <c r="T13" t="s">
        <v>41</v>
      </c>
    </row>
    <row r="14" spans="1:20" hidden="1" x14ac:dyDescent="0.3">
      <c r="A14">
        <v>16</v>
      </c>
      <c r="B14">
        <v>292</v>
      </c>
      <c r="C14" t="s">
        <v>40</v>
      </c>
      <c r="D14" t="s">
        <v>25</v>
      </c>
      <c r="E14" t="s">
        <v>37</v>
      </c>
      <c r="F14" s="1">
        <v>44598</v>
      </c>
      <c r="G14" s="1">
        <v>45077</v>
      </c>
      <c r="H14">
        <v>2264</v>
      </c>
      <c r="I14">
        <v>2826</v>
      </c>
      <c r="J14">
        <v>-562</v>
      </c>
      <c r="K14" t="s">
        <v>54</v>
      </c>
      <c r="L14">
        <v>15</v>
      </c>
      <c r="M14" t="str">
        <f t="shared" si="0"/>
        <v>6-12 Months</v>
      </c>
      <c r="N14" s="1">
        <v>45077</v>
      </c>
      <c r="O14">
        <v>1</v>
      </c>
      <c r="P14">
        <v>13</v>
      </c>
      <c r="Q14" s="2">
        <v>-0.25</v>
      </c>
      <c r="R14" t="s">
        <v>27</v>
      </c>
      <c r="S14">
        <v>2023</v>
      </c>
      <c r="T14" t="s">
        <v>28</v>
      </c>
    </row>
    <row r="15" spans="1:20" x14ac:dyDescent="0.3">
      <c r="A15">
        <v>19</v>
      </c>
      <c r="B15">
        <v>253</v>
      </c>
      <c r="C15" t="s">
        <v>40</v>
      </c>
      <c r="D15" t="s">
        <v>25</v>
      </c>
      <c r="E15" t="s">
        <v>26</v>
      </c>
      <c r="F15" s="1">
        <v>44609</v>
      </c>
      <c r="G15" s="1">
        <v>44730</v>
      </c>
      <c r="H15">
        <v>8230</v>
      </c>
      <c r="I15">
        <v>7801</v>
      </c>
      <c r="J15">
        <v>429</v>
      </c>
      <c r="K15" t="s">
        <v>35</v>
      </c>
      <c r="L15">
        <v>4</v>
      </c>
      <c r="M15" t="str">
        <f t="shared" si="0"/>
        <v>0-6 Months</v>
      </c>
      <c r="N15" s="1">
        <v>44730</v>
      </c>
      <c r="O15">
        <v>1</v>
      </c>
      <c r="P15">
        <v>14</v>
      </c>
      <c r="Q15" s="2">
        <v>0.05</v>
      </c>
      <c r="R15" t="s">
        <v>27</v>
      </c>
      <c r="S15">
        <v>2022</v>
      </c>
      <c r="T15" t="s">
        <v>41</v>
      </c>
    </row>
    <row r="16" spans="1:20" hidden="1" x14ac:dyDescent="0.3">
      <c r="A16">
        <v>20</v>
      </c>
      <c r="B16">
        <v>279</v>
      </c>
      <c r="C16" t="s">
        <v>40</v>
      </c>
      <c r="D16" t="s">
        <v>25</v>
      </c>
      <c r="E16" t="s">
        <v>37</v>
      </c>
      <c r="F16" s="1">
        <v>44584</v>
      </c>
      <c r="G16" s="1">
        <v>45159</v>
      </c>
      <c r="H16">
        <v>8417</v>
      </c>
      <c r="I16">
        <v>6632</v>
      </c>
      <c r="J16">
        <v>1785</v>
      </c>
      <c r="K16" t="s">
        <v>54</v>
      </c>
      <c r="L16">
        <v>18</v>
      </c>
      <c r="M16" t="str">
        <f t="shared" si="0"/>
        <v>6-12 Months</v>
      </c>
      <c r="N16" s="1">
        <v>45159</v>
      </c>
      <c r="O16">
        <v>0</v>
      </c>
      <c r="P16">
        <v>15</v>
      </c>
      <c r="Q16" s="2">
        <v>0.21</v>
      </c>
      <c r="R16" t="s">
        <v>27</v>
      </c>
      <c r="S16">
        <v>2023</v>
      </c>
      <c r="T16" t="s">
        <v>36</v>
      </c>
    </row>
    <row r="17" spans="1:20" x14ac:dyDescent="0.3">
      <c r="A17">
        <v>21</v>
      </c>
      <c r="B17">
        <v>399</v>
      </c>
      <c r="C17" t="s">
        <v>24</v>
      </c>
      <c r="D17" t="s">
        <v>25</v>
      </c>
      <c r="E17" t="s">
        <v>37</v>
      </c>
      <c r="F17" s="1">
        <v>44611</v>
      </c>
      <c r="G17" s="1">
        <v>45027</v>
      </c>
      <c r="H17">
        <v>215</v>
      </c>
      <c r="I17">
        <v>5335</v>
      </c>
      <c r="J17">
        <v>-5120</v>
      </c>
      <c r="K17" t="s">
        <v>35</v>
      </c>
      <c r="L17">
        <v>13</v>
      </c>
      <c r="M17" t="str">
        <f t="shared" si="0"/>
        <v>6-12 Months</v>
      </c>
      <c r="N17" s="1">
        <v>45027</v>
      </c>
      <c r="O17">
        <v>1</v>
      </c>
      <c r="P17">
        <v>16</v>
      </c>
      <c r="Q17" s="2">
        <v>-23.81</v>
      </c>
      <c r="R17" t="s">
        <v>22</v>
      </c>
      <c r="S17">
        <v>2023</v>
      </c>
      <c r="T17" t="s">
        <v>32</v>
      </c>
    </row>
    <row r="18" spans="1:20" hidden="1" x14ac:dyDescent="0.3">
      <c r="A18">
        <v>27</v>
      </c>
      <c r="B18">
        <v>338</v>
      </c>
      <c r="C18" t="s">
        <v>53</v>
      </c>
      <c r="D18" t="s">
        <v>29</v>
      </c>
      <c r="E18" t="s">
        <v>37</v>
      </c>
      <c r="F18" s="1">
        <v>44904</v>
      </c>
      <c r="G18" s="1">
        <v>45265</v>
      </c>
      <c r="H18">
        <v>9568</v>
      </c>
      <c r="I18">
        <v>3741</v>
      </c>
      <c r="J18">
        <v>5827</v>
      </c>
      <c r="K18" t="s">
        <v>21</v>
      </c>
      <c r="L18">
        <v>11</v>
      </c>
      <c r="M18" t="str">
        <f t="shared" si="0"/>
        <v>6-12 Months</v>
      </c>
      <c r="N18" s="1">
        <v>45265</v>
      </c>
      <c r="O18">
        <v>1</v>
      </c>
      <c r="P18">
        <v>17</v>
      </c>
      <c r="Q18" s="2">
        <v>0.61</v>
      </c>
      <c r="R18" t="s">
        <v>27</v>
      </c>
      <c r="S18">
        <v>2023</v>
      </c>
      <c r="T18" t="s">
        <v>31</v>
      </c>
    </row>
    <row r="19" spans="1:20" x14ac:dyDescent="0.3">
      <c r="A19">
        <v>28</v>
      </c>
      <c r="B19">
        <v>430</v>
      </c>
      <c r="C19" t="s">
        <v>39</v>
      </c>
      <c r="D19" t="s">
        <v>29</v>
      </c>
      <c r="E19" t="s">
        <v>37</v>
      </c>
      <c r="F19" s="1">
        <v>44787</v>
      </c>
      <c r="G19" s="1">
        <v>44868</v>
      </c>
      <c r="H19">
        <v>4967.93</v>
      </c>
      <c r="I19">
        <v>7457</v>
      </c>
      <c r="J19">
        <v>-8027</v>
      </c>
      <c r="K19" t="s">
        <v>35</v>
      </c>
      <c r="L19">
        <v>2</v>
      </c>
      <c r="M19" t="str">
        <f t="shared" si="0"/>
        <v>0-6 Months</v>
      </c>
      <c r="N19" s="1">
        <v>44868</v>
      </c>
      <c r="O19">
        <v>0</v>
      </c>
      <c r="P19">
        <v>18</v>
      </c>
      <c r="Q19" s="2">
        <v>-1.62</v>
      </c>
      <c r="R19" t="s">
        <v>22</v>
      </c>
      <c r="S19">
        <v>2022</v>
      </c>
      <c r="T19" t="s">
        <v>42</v>
      </c>
    </row>
    <row r="20" spans="1:20" hidden="1" x14ac:dyDescent="0.3">
      <c r="A20">
        <v>29</v>
      </c>
      <c r="B20">
        <v>228</v>
      </c>
      <c r="C20" t="s">
        <v>53</v>
      </c>
      <c r="D20" t="s">
        <v>19</v>
      </c>
      <c r="E20" t="s">
        <v>26</v>
      </c>
      <c r="F20" s="1">
        <v>44580</v>
      </c>
      <c r="G20" s="1">
        <v>44782</v>
      </c>
      <c r="H20">
        <v>3875</v>
      </c>
      <c r="I20">
        <v>657</v>
      </c>
      <c r="J20">
        <v>3218</v>
      </c>
      <c r="K20" t="s">
        <v>54</v>
      </c>
      <c r="L20">
        <v>6</v>
      </c>
      <c r="M20" t="str">
        <f t="shared" si="0"/>
        <v>12+ Months</v>
      </c>
      <c r="N20" s="1">
        <v>44782</v>
      </c>
      <c r="O20">
        <v>1</v>
      </c>
      <c r="P20">
        <v>19</v>
      </c>
      <c r="Q20" s="2">
        <v>0.83</v>
      </c>
      <c r="R20" t="s">
        <v>27</v>
      </c>
      <c r="S20">
        <v>2022</v>
      </c>
      <c r="T20" t="s">
        <v>36</v>
      </c>
    </row>
    <row r="21" spans="1:20" hidden="1" x14ac:dyDescent="0.3">
      <c r="A21">
        <v>30</v>
      </c>
      <c r="B21">
        <v>214</v>
      </c>
      <c r="C21" t="s">
        <v>40</v>
      </c>
      <c r="D21" t="s">
        <v>25</v>
      </c>
      <c r="E21" t="s">
        <v>26</v>
      </c>
      <c r="F21" s="1">
        <v>44626</v>
      </c>
      <c r="G21" s="1">
        <v>45094</v>
      </c>
      <c r="H21">
        <v>3813</v>
      </c>
      <c r="I21">
        <v>6533</v>
      </c>
      <c r="J21">
        <v>-2720</v>
      </c>
      <c r="K21" t="s">
        <v>54</v>
      </c>
      <c r="L21">
        <v>15</v>
      </c>
      <c r="M21" t="str">
        <f t="shared" si="0"/>
        <v>6-12 Months</v>
      </c>
      <c r="N21" s="1">
        <v>45094</v>
      </c>
      <c r="O21">
        <v>0</v>
      </c>
      <c r="P21">
        <v>20</v>
      </c>
      <c r="Q21" s="2">
        <v>-0.71</v>
      </c>
      <c r="R21" t="s">
        <v>27</v>
      </c>
      <c r="S21">
        <v>2023</v>
      </c>
      <c r="T21" t="s">
        <v>41</v>
      </c>
    </row>
    <row r="22" spans="1:20" hidden="1" x14ac:dyDescent="0.3">
      <c r="A22">
        <v>31</v>
      </c>
      <c r="B22">
        <v>314</v>
      </c>
      <c r="C22" t="s">
        <v>40</v>
      </c>
      <c r="D22" t="s">
        <v>34</v>
      </c>
      <c r="E22" t="s">
        <v>26</v>
      </c>
      <c r="F22" s="1">
        <v>44571</v>
      </c>
      <c r="G22" s="1">
        <v>44976</v>
      </c>
      <c r="H22">
        <v>1532</v>
      </c>
      <c r="I22">
        <v>1477</v>
      </c>
      <c r="J22">
        <v>55</v>
      </c>
      <c r="K22" t="s">
        <v>54</v>
      </c>
      <c r="L22">
        <v>13</v>
      </c>
      <c r="M22" t="str">
        <f t="shared" si="0"/>
        <v>6-12 Months</v>
      </c>
      <c r="N22" s="1">
        <v>44976</v>
      </c>
      <c r="O22">
        <v>1</v>
      </c>
      <c r="P22">
        <v>21</v>
      </c>
      <c r="Q22" s="2">
        <v>0.04</v>
      </c>
      <c r="R22" t="s">
        <v>27</v>
      </c>
      <c r="S22">
        <v>2023</v>
      </c>
      <c r="T22" t="s">
        <v>43</v>
      </c>
    </row>
    <row r="23" spans="1:20" hidden="1" x14ac:dyDescent="0.3">
      <c r="A23">
        <v>34</v>
      </c>
      <c r="B23">
        <v>434</v>
      </c>
      <c r="C23" t="s">
        <v>39</v>
      </c>
      <c r="D23" t="s">
        <v>25</v>
      </c>
      <c r="E23" t="s">
        <v>37</v>
      </c>
      <c r="F23" s="1">
        <v>44591</v>
      </c>
      <c r="G23" s="1">
        <v>45060</v>
      </c>
      <c r="H23">
        <v>6526</v>
      </c>
      <c r="I23">
        <v>1043</v>
      </c>
      <c r="J23">
        <v>5483</v>
      </c>
      <c r="K23" t="s">
        <v>21</v>
      </c>
      <c r="L23">
        <v>15</v>
      </c>
      <c r="M23" t="str">
        <f t="shared" si="0"/>
        <v>6-12 Months</v>
      </c>
      <c r="N23" s="1">
        <v>45060</v>
      </c>
      <c r="O23">
        <v>1</v>
      </c>
      <c r="P23">
        <v>22</v>
      </c>
      <c r="Q23" s="2">
        <v>0.84</v>
      </c>
      <c r="R23" t="s">
        <v>27</v>
      </c>
      <c r="S23">
        <v>2023</v>
      </c>
      <c r="T23" t="s">
        <v>28</v>
      </c>
    </row>
    <row r="24" spans="1:20" x14ac:dyDescent="0.3">
      <c r="A24">
        <v>35</v>
      </c>
      <c r="B24">
        <v>305</v>
      </c>
      <c r="C24" t="s">
        <v>39</v>
      </c>
      <c r="D24" t="s">
        <v>19</v>
      </c>
      <c r="E24" t="s">
        <v>26</v>
      </c>
      <c r="F24" s="1">
        <v>44900</v>
      </c>
      <c r="G24" s="1">
        <v>45458</v>
      </c>
      <c r="H24">
        <v>4967.93</v>
      </c>
      <c r="I24">
        <v>3024</v>
      </c>
      <c r="J24">
        <v>-3085</v>
      </c>
      <c r="K24" t="s">
        <v>35</v>
      </c>
      <c r="L24">
        <v>18</v>
      </c>
      <c r="M24" t="str">
        <f t="shared" si="0"/>
        <v>6-12 Months</v>
      </c>
      <c r="N24" s="1">
        <v>45458</v>
      </c>
      <c r="O24">
        <v>1</v>
      </c>
      <c r="P24">
        <v>23</v>
      </c>
      <c r="Q24" s="2">
        <v>-0.62</v>
      </c>
      <c r="R24" t="s">
        <v>27</v>
      </c>
      <c r="S24">
        <v>2024</v>
      </c>
      <c r="T24" t="s">
        <v>41</v>
      </c>
    </row>
    <row r="25" spans="1:20" x14ac:dyDescent="0.3">
      <c r="A25">
        <v>37</v>
      </c>
      <c r="B25">
        <v>336</v>
      </c>
      <c r="C25" t="s">
        <v>39</v>
      </c>
      <c r="D25" t="s">
        <v>34</v>
      </c>
      <c r="E25" t="s">
        <v>37</v>
      </c>
      <c r="F25" s="1">
        <v>44663</v>
      </c>
      <c r="G25" s="1">
        <v>45004</v>
      </c>
      <c r="H25">
        <v>4967.93</v>
      </c>
      <c r="I25">
        <v>1624</v>
      </c>
      <c r="J25">
        <v>577.01</v>
      </c>
      <c r="K25" t="s">
        <v>35</v>
      </c>
      <c r="L25">
        <v>11</v>
      </c>
      <c r="M25" t="str">
        <f t="shared" si="0"/>
        <v>6-12 Months</v>
      </c>
      <c r="N25" s="1">
        <v>45004</v>
      </c>
      <c r="O25">
        <v>1</v>
      </c>
      <c r="P25">
        <v>24</v>
      </c>
      <c r="Q25" s="2">
        <v>0.12</v>
      </c>
      <c r="R25" t="s">
        <v>27</v>
      </c>
      <c r="S25">
        <v>2023</v>
      </c>
      <c r="T25" t="s">
        <v>38</v>
      </c>
    </row>
    <row r="26" spans="1:20" x14ac:dyDescent="0.3">
      <c r="A26">
        <v>40</v>
      </c>
      <c r="B26">
        <v>308</v>
      </c>
      <c r="C26" t="s">
        <v>24</v>
      </c>
      <c r="D26" t="s">
        <v>19</v>
      </c>
      <c r="E26" t="s">
        <v>37</v>
      </c>
      <c r="F26" s="1">
        <v>44584</v>
      </c>
      <c r="G26" s="1">
        <v>44800</v>
      </c>
      <c r="H26">
        <v>2456</v>
      </c>
      <c r="I26">
        <v>7694</v>
      </c>
      <c r="J26">
        <v>-5238</v>
      </c>
      <c r="K26" t="s">
        <v>35</v>
      </c>
      <c r="L26">
        <v>7</v>
      </c>
      <c r="M26" t="str">
        <f t="shared" si="0"/>
        <v>6-12 Months</v>
      </c>
      <c r="N26" s="1">
        <v>44800</v>
      </c>
      <c r="O26">
        <v>1</v>
      </c>
      <c r="P26">
        <v>25</v>
      </c>
      <c r="Q26" s="2">
        <v>-2.13</v>
      </c>
      <c r="R26" t="s">
        <v>22</v>
      </c>
      <c r="S26">
        <v>2022</v>
      </c>
      <c r="T26" t="s">
        <v>36</v>
      </c>
    </row>
    <row r="27" spans="1:20" hidden="1" x14ac:dyDescent="0.3">
      <c r="A27">
        <v>41</v>
      </c>
      <c r="B27">
        <v>183</v>
      </c>
      <c r="C27" t="s">
        <v>40</v>
      </c>
      <c r="D27" t="s">
        <v>25</v>
      </c>
      <c r="E27" t="s">
        <v>26</v>
      </c>
      <c r="F27" s="1">
        <v>44562</v>
      </c>
      <c r="G27" s="1">
        <v>45091</v>
      </c>
      <c r="H27">
        <v>4967.93</v>
      </c>
      <c r="I27">
        <v>4622</v>
      </c>
      <c r="J27">
        <v>-5758</v>
      </c>
      <c r="K27" t="s">
        <v>21</v>
      </c>
      <c r="L27">
        <v>17</v>
      </c>
      <c r="M27" t="str">
        <f t="shared" si="0"/>
        <v>6-12 Months</v>
      </c>
      <c r="N27" s="1">
        <v>45091</v>
      </c>
      <c r="O27">
        <v>1</v>
      </c>
      <c r="P27">
        <v>26</v>
      </c>
      <c r="Q27" s="2">
        <v>-1.1599999999999999</v>
      </c>
      <c r="R27" t="s">
        <v>22</v>
      </c>
      <c r="S27">
        <v>2023</v>
      </c>
      <c r="T27" t="s">
        <v>41</v>
      </c>
    </row>
    <row r="28" spans="1:20" hidden="1" x14ac:dyDescent="0.3">
      <c r="A28">
        <v>42</v>
      </c>
      <c r="B28">
        <v>424</v>
      </c>
      <c r="C28" t="s">
        <v>53</v>
      </c>
      <c r="D28" t="s">
        <v>34</v>
      </c>
      <c r="E28" t="s">
        <v>37</v>
      </c>
      <c r="F28" s="1">
        <v>44877</v>
      </c>
      <c r="G28" s="1">
        <v>45410</v>
      </c>
      <c r="H28">
        <v>2322</v>
      </c>
      <c r="I28">
        <v>3720</v>
      </c>
      <c r="J28">
        <v>-1398</v>
      </c>
      <c r="K28" t="s">
        <v>54</v>
      </c>
      <c r="L28">
        <v>17</v>
      </c>
      <c r="M28" t="str">
        <f t="shared" si="0"/>
        <v>6-12 Months</v>
      </c>
      <c r="N28" s="1">
        <v>45410</v>
      </c>
      <c r="O28">
        <v>1</v>
      </c>
      <c r="P28">
        <v>27</v>
      </c>
      <c r="Q28" s="2">
        <v>-0.6</v>
      </c>
      <c r="R28" t="s">
        <v>27</v>
      </c>
      <c r="S28">
        <v>2024</v>
      </c>
      <c r="T28" t="s">
        <v>32</v>
      </c>
    </row>
    <row r="29" spans="1:20" hidden="1" x14ac:dyDescent="0.3">
      <c r="A29">
        <v>43</v>
      </c>
      <c r="B29">
        <v>117</v>
      </c>
      <c r="C29" t="s">
        <v>53</v>
      </c>
      <c r="D29" t="s">
        <v>25</v>
      </c>
      <c r="E29" t="s">
        <v>20</v>
      </c>
      <c r="F29" s="1">
        <v>44800</v>
      </c>
      <c r="G29" s="1">
        <v>45024</v>
      </c>
      <c r="H29">
        <v>9757</v>
      </c>
      <c r="I29">
        <v>4012.75</v>
      </c>
      <c r="J29">
        <v>10664</v>
      </c>
      <c r="K29" t="s">
        <v>54</v>
      </c>
      <c r="L29">
        <v>7</v>
      </c>
      <c r="M29" t="str">
        <f t="shared" si="0"/>
        <v>6-12 Months</v>
      </c>
      <c r="N29" s="1">
        <v>45024</v>
      </c>
      <c r="O29">
        <v>0</v>
      </c>
      <c r="P29">
        <v>28</v>
      </c>
      <c r="Q29" s="2">
        <v>1.0900000000000001</v>
      </c>
      <c r="R29" t="s">
        <v>22</v>
      </c>
      <c r="S29">
        <v>2023</v>
      </c>
      <c r="T29" t="s">
        <v>32</v>
      </c>
    </row>
    <row r="30" spans="1:20" x14ac:dyDescent="0.3">
      <c r="A30">
        <v>44</v>
      </c>
      <c r="B30">
        <v>189</v>
      </c>
      <c r="C30" t="s">
        <v>39</v>
      </c>
      <c r="D30" t="s">
        <v>29</v>
      </c>
      <c r="E30" t="s">
        <v>20</v>
      </c>
      <c r="F30" s="1">
        <v>44807</v>
      </c>
      <c r="G30" s="1">
        <v>45110</v>
      </c>
      <c r="H30">
        <v>6863</v>
      </c>
      <c r="I30">
        <v>5970</v>
      </c>
      <c r="J30">
        <v>893</v>
      </c>
      <c r="K30" t="s">
        <v>35</v>
      </c>
      <c r="L30">
        <v>10</v>
      </c>
      <c r="M30" t="str">
        <f t="shared" si="0"/>
        <v>6-12 Months</v>
      </c>
      <c r="N30" s="1">
        <v>45110</v>
      </c>
      <c r="O30">
        <v>0</v>
      </c>
      <c r="P30">
        <v>29</v>
      </c>
      <c r="Q30" s="2">
        <v>0.13</v>
      </c>
      <c r="R30" t="s">
        <v>27</v>
      </c>
      <c r="S30">
        <v>2023</v>
      </c>
      <c r="T30" t="s">
        <v>44</v>
      </c>
    </row>
    <row r="31" spans="1:20" hidden="1" x14ac:dyDescent="0.3">
      <c r="A31">
        <v>45</v>
      </c>
      <c r="B31">
        <v>482</v>
      </c>
      <c r="C31" t="s">
        <v>40</v>
      </c>
      <c r="D31" t="s">
        <v>34</v>
      </c>
      <c r="E31" t="s">
        <v>20</v>
      </c>
      <c r="F31" s="1">
        <v>44758</v>
      </c>
      <c r="G31" s="1">
        <v>44953</v>
      </c>
      <c r="H31">
        <v>8973</v>
      </c>
      <c r="I31">
        <v>7330</v>
      </c>
      <c r="J31">
        <v>1643</v>
      </c>
      <c r="K31" t="s">
        <v>54</v>
      </c>
      <c r="L31">
        <v>6</v>
      </c>
      <c r="M31" t="str">
        <f t="shared" si="0"/>
        <v>12+ Months</v>
      </c>
      <c r="N31" s="1">
        <v>44953</v>
      </c>
      <c r="O31">
        <v>0</v>
      </c>
      <c r="P31">
        <v>30</v>
      </c>
      <c r="Q31" s="2">
        <v>0.18</v>
      </c>
      <c r="R31" t="s">
        <v>27</v>
      </c>
      <c r="S31">
        <v>2023</v>
      </c>
      <c r="T31" t="s">
        <v>23</v>
      </c>
    </row>
    <row r="32" spans="1:20" hidden="1" x14ac:dyDescent="0.3">
      <c r="A32">
        <v>48</v>
      </c>
      <c r="B32">
        <v>208</v>
      </c>
      <c r="C32" t="s">
        <v>53</v>
      </c>
      <c r="D32" t="s">
        <v>25</v>
      </c>
      <c r="E32" t="s">
        <v>26</v>
      </c>
      <c r="F32" s="1">
        <v>44834</v>
      </c>
      <c r="G32" s="1">
        <v>44959</v>
      </c>
      <c r="H32">
        <v>4967.93</v>
      </c>
      <c r="I32">
        <v>4012.75</v>
      </c>
      <c r="J32">
        <v>148</v>
      </c>
      <c r="K32" t="s">
        <v>54</v>
      </c>
      <c r="L32">
        <v>4</v>
      </c>
      <c r="M32" t="str">
        <f t="shared" si="0"/>
        <v>0-6 Months</v>
      </c>
      <c r="N32" s="1">
        <v>44959</v>
      </c>
      <c r="O32">
        <v>1</v>
      </c>
      <c r="P32">
        <v>31</v>
      </c>
      <c r="Q32" s="2">
        <v>0.03</v>
      </c>
      <c r="R32" t="s">
        <v>27</v>
      </c>
      <c r="S32">
        <v>2023</v>
      </c>
      <c r="T32" t="s">
        <v>43</v>
      </c>
    </row>
    <row r="33" spans="1:20" hidden="1" x14ac:dyDescent="0.3">
      <c r="A33">
        <v>49</v>
      </c>
      <c r="B33">
        <v>245</v>
      </c>
      <c r="C33" t="s">
        <v>45</v>
      </c>
      <c r="D33" t="s">
        <v>34</v>
      </c>
      <c r="E33" t="s">
        <v>20</v>
      </c>
      <c r="F33" s="1">
        <v>44756</v>
      </c>
      <c r="G33" s="1">
        <v>44939</v>
      </c>
      <c r="H33">
        <v>2763</v>
      </c>
      <c r="I33">
        <v>3889</v>
      </c>
      <c r="J33">
        <v>-1126</v>
      </c>
      <c r="K33" t="s">
        <v>21</v>
      </c>
      <c r="L33">
        <v>5</v>
      </c>
      <c r="M33" t="str">
        <f t="shared" si="0"/>
        <v>0-6 Months</v>
      </c>
      <c r="N33" s="1">
        <v>44939</v>
      </c>
      <c r="O33">
        <v>1</v>
      </c>
      <c r="P33">
        <v>32</v>
      </c>
      <c r="Q33" s="2">
        <v>-0.41</v>
      </c>
      <c r="R33" t="s">
        <v>27</v>
      </c>
      <c r="S33">
        <v>2023</v>
      </c>
      <c r="T33" t="s">
        <v>23</v>
      </c>
    </row>
    <row r="34" spans="1:20" hidden="1" x14ac:dyDescent="0.3">
      <c r="A34">
        <v>50</v>
      </c>
      <c r="B34">
        <v>327</v>
      </c>
      <c r="C34" t="s">
        <v>53</v>
      </c>
      <c r="D34" t="s">
        <v>29</v>
      </c>
      <c r="E34" t="s">
        <v>20</v>
      </c>
      <c r="F34" s="1">
        <v>44795</v>
      </c>
      <c r="G34" s="1">
        <v>44858</v>
      </c>
      <c r="H34">
        <v>4967.93</v>
      </c>
      <c r="I34">
        <v>1478</v>
      </c>
      <c r="J34">
        <v>-2427</v>
      </c>
      <c r="K34" t="s">
        <v>54</v>
      </c>
      <c r="L34">
        <v>2</v>
      </c>
      <c r="M34" t="str">
        <f t="shared" si="0"/>
        <v>0-6 Months</v>
      </c>
      <c r="N34" s="1">
        <v>44858</v>
      </c>
      <c r="O34">
        <v>1</v>
      </c>
      <c r="P34">
        <v>33</v>
      </c>
      <c r="Q34" s="2">
        <v>-0.49</v>
      </c>
      <c r="R34" t="s">
        <v>27</v>
      </c>
      <c r="S34">
        <v>2022</v>
      </c>
      <c r="T34" t="s">
        <v>33</v>
      </c>
    </row>
    <row r="35" spans="1:20" hidden="1" x14ac:dyDescent="0.3">
      <c r="A35">
        <v>52</v>
      </c>
      <c r="B35">
        <v>404</v>
      </c>
      <c r="C35" t="s">
        <v>24</v>
      </c>
      <c r="D35" t="s">
        <v>19</v>
      </c>
      <c r="E35" t="s">
        <v>37</v>
      </c>
      <c r="F35" s="1">
        <v>44597</v>
      </c>
      <c r="G35" s="1">
        <v>45096</v>
      </c>
      <c r="H35">
        <v>2986</v>
      </c>
      <c r="I35">
        <v>7992</v>
      </c>
      <c r="J35">
        <v>-5006</v>
      </c>
      <c r="K35" t="s">
        <v>54</v>
      </c>
      <c r="L35">
        <v>16</v>
      </c>
      <c r="M35" t="str">
        <f t="shared" si="0"/>
        <v>6-12 Months</v>
      </c>
      <c r="N35" s="1">
        <v>45096</v>
      </c>
      <c r="O35">
        <v>0</v>
      </c>
      <c r="P35">
        <v>34</v>
      </c>
      <c r="Q35" s="2">
        <v>-1.68</v>
      </c>
      <c r="R35" t="s">
        <v>22</v>
      </c>
      <c r="S35">
        <v>2023</v>
      </c>
      <c r="T35" t="s">
        <v>41</v>
      </c>
    </row>
    <row r="36" spans="1:20" hidden="1" x14ac:dyDescent="0.3">
      <c r="A36">
        <v>53</v>
      </c>
      <c r="B36">
        <v>100</v>
      </c>
      <c r="C36" t="s">
        <v>45</v>
      </c>
      <c r="D36" t="s">
        <v>29</v>
      </c>
      <c r="E36" t="s">
        <v>37</v>
      </c>
      <c r="F36" s="1">
        <v>44578</v>
      </c>
      <c r="G36" s="1">
        <v>45067</v>
      </c>
      <c r="H36">
        <v>4967.93</v>
      </c>
      <c r="I36">
        <v>5221</v>
      </c>
      <c r="J36">
        <v>-5276</v>
      </c>
      <c r="K36" t="s">
        <v>54</v>
      </c>
      <c r="L36">
        <v>16</v>
      </c>
      <c r="M36" t="str">
        <f t="shared" si="0"/>
        <v>6-12 Months</v>
      </c>
      <c r="N36" s="1">
        <v>45067</v>
      </c>
      <c r="O36">
        <v>1</v>
      </c>
      <c r="P36">
        <v>35</v>
      </c>
      <c r="Q36" s="2">
        <v>-1.06</v>
      </c>
      <c r="R36" t="s">
        <v>22</v>
      </c>
      <c r="S36">
        <v>2023</v>
      </c>
      <c r="T36" t="s">
        <v>28</v>
      </c>
    </row>
    <row r="37" spans="1:20" hidden="1" x14ac:dyDescent="0.3">
      <c r="A37">
        <v>55</v>
      </c>
      <c r="B37">
        <v>114</v>
      </c>
      <c r="C37" t="s">
        <v>40</v>
      </c>
      <c r="D37" t="s">
        <v>34</v>
      </c>
      <c r="E37" t="s">
        <v>26</v>
      </c>
      <c r="F37" s="1">
        <v>44672</v>
      </c>
      <c r="G37" s="1">
        <v>44848</v>
      </c>
      <c r="H37">
        <v>4967.93</v>
      </c>
      <c r="I37">
        <v>728</v>
      </c>
      <c r="J37">
        <v>-2462</v>
      </c>
      <c r="K37" t="s">
        <v>21</v>
      </c>
      <c r="L37">
        <v>5</v>
      </c>
      <c r="M37" t="str">
        <f t="shared" si="0"/>
        <v>0-6 Months</v>
      </c>
      <c r="N37" s="1">
        <v>44848</v>
      </c>
      <c r="O37">
        <v>0</v>
      </c>
      <c r="P37">
        <v>36</v>
      </c>
      <c r="Q37" s="2">
        <v>-0.5</v>
      </c>
      <c r="R37" t="s">
        <v>27</v>
      </c>
      <c r="S37">
        <v>2022</v>
      </c>
      <c r="T37" t="s">
        <v>33</v>
      </c>
    </row>
    <row r="38" spans="1:20" hidden="1" x14ac:dyDescent="0.3">
      <c r="A38">
        <v>56</v>
      </c>
      <c r="B38">
        <v>412</v>
      </c>
      <c r="C38" t="s">
        <v>40</v>
      </c>
      <c r="D38" t="s">
        <v>19</v>
      </c>
      <c r="E38" t="s">
        <v>26</v>
      </c>
      <c r="F38" s="1">
        <v>44915</v>
      </c>
      <c r="G38" s="1">
        <v>45255</v>
      </c>
      <c r="H38">
        <v>9519</v>
      </c>
      <c r="I38">
        <v>7896</v>
      </c>
      <c r="J38">
        <v>1623</v>
      </c>
      <c r="K38" t="s">
        <v>54</v>
      </c>
      <c r="L38">
        <v>11</v>
      </c>
      <c r="M38" t="str">
        <f t="shared" si="0"/>
        <v>6-12 Months</v>
      </c>
      <c r="N38" s="1">
        <v>45255</v>
      </c>
      <c r="O38">
        <v>0</v>
      </c>
      <c r="P38">
        <v>37</v>
      </c>
      <c r="Q38" s="2">
        <v>0.17</v>
      </c>
      <c r="R38" t="s">
        <v>27</v>
      </c>
      <c r="S38">
        <v>2023</v>
      </c>
      <c r="T38" t="s">
        <v>42</v>
      </c>
    </row>
    <row r="39" spans="1:20" hidden="1" x14ac:dyDescent="0.3">
      <c r="A39">
        <v>57</v>
      </c>
      <c r="B39">
        <v>185</v>
      </c>
      <c r="C39" t="s">
        <v>40</v>
      </c>
      <c r="D39" t="s">
        <v>25</v>
      </c>
      <c r="E39" t="s">
        <v>37</v>
      </c>
      <c r="F39" s="1">
        <v>44811</v>
      </c>
      <c r="G39" s="1">
        <v>45136</v>
      </c>
      <c r="H39">
        <v>8456</v>
      </c>
      <c r="I39">
        <v>5492</v>
      </c>
      <c r="J39">
        <v>2964</v>
      </c>
      <c r="K39" t="s">
        <v>21</v>
      </c>
      <c r="L39">
        <v>10</v>
      </c>
      <c r="M39" t="str">
        <f t="shared" si="0"/>
        <v>6-12 Months</v>
      </c>
      <c r="N39" s="1">
        <v>45136</v>
      </c>
      <c r="O39">
        <v>0</v>
      </c>
      <c r="P39">
        <v>38</v>
      </c>
      <c r="Q39" s="2">
        <v>0.35</v>
      </c>
      <c r="R39" t="s">
        <v>27</v>
      </c>
      <c r="S39">
        <v>2023</v>
      </c>
      <c r="T39" t="s">
        <v>44</v>
      </c>
    </row>
    <row r="40" spans="1:20" x14ac:dyDescent="0.3">
      <c r="A40">
        <v>58</v>
      </c>
      <c r="B40">
        <v>419</v>
      </c>
      <c r="C40" t="s">
        <v>40</v>
      </c>
      <c r="D40" t="s">
        <v>25</v>
      </c>
      <c r="E40" t="s">
        <v>26</v>
      </c>
      <c r="F40" s="1">
        <v>44725</v>
      </c>
      <c r="G40" s="1">
        <v>44809</v>
      </c>
      <c r="H40">
        <v>6434</v>
      </c>
      <c r="I40">
        <v>1994</v>
      </c>
      <c r="J40">
        <v>4440</v>
      </c>
      <c r="K40" t="s">
        <v>35</v>
      </c>
      <c r="L40">
        <v>2</v>
      </c>
      <c r="M40" t="str">
        <f t="shared" si="0"/>
        <v>0-6 Months</v>
      </c>
      <c r="N40" s="1">
        <v>44809</v>
      </c>
      <c r="O40">
        <v>1</v>
      </c>
      <c r="P40">
        <v>39</v>
      </c>
      <c r="Q40" s="2">
        <v>0.69</v>
      </c>
      <c r="R40" t="s">
        <v>27</v>
      </c>
      <c r="S40">
        <v>2022</v>
      </c>
      <c r="T40" t="s">
        <v>30</v>
      </c>
    </row>
    <row r="41" spans="1:20" hidden="1" x14ac:dyDescent="0.3">
      <c r="A41">
        <v>59</v>
      </c>
      <c r="B41">
        <v>159</v>
      </c>
      <c r="C41" t="s">
        <v>24</v>
      </c>
      <c r="D41" t="s">
        <v>19</v>
      </c>
      <c r="E41" t="s">
        <v>37</v>
      </c>
      <c r="F41" s="1">
        <v>44645</v>
      </c>
      <c r="G41" s="1">
        <v>44676</v>
      </c>
      <c r="H41">
        <v>9712</v>
      </c>
      <c r="I41">
        <v>4012.75</v>
      </c>
      <c r="J41">
        <v>10385</v>
      </c>
      <c r="K41" t="s">
        <v>54</v>
      </c>
      <c r="L41">
        <v>1</v>
      </c>
      <c r="M41" t="str">
        <f t="shared" si="0"/>
        <v>0-6 Months</v>
      </c>
      <c r="N41" s="1">
        <v>44676</v>
      </c>
      <c r="O41">
        <v>1</v>
      </c>
      <c r="P41">
        <v>40</v>
      </c>
      <c r="Q41" s="2">
        <v>1.07</v>
      </c>
      <c r="R41" t="s">
        <v>22</v>
      </c>
      <c r="S41">
        <v>2022</v>
      </c>
      <c r="T41" t="s">
        <v>32</v>
      </c>
    </row>
    <row r="42" spans="1:20" x14ac:dyDescent="0.3">
      <c r="A42">
        <v>64</v>
      </c>
      <c r="B42">
        <v>314</v>
      </c>
      <c r="C42" t="s">
        <v>45</v>
      </c>
      <c r="D42" t="s">
        <v>19</v>
      </c>
      <c r="E42" t="s">
        <v>37</v>
      </c>
      <c r="F42" s="1">
        <v>44773</v>
      </c>
      <c r="G42" s="1">
        <v>45096</v>
      </c>
      <c r="H42">
        <v>5374</v>
      </c>
      <c r="I42">
        <v>1628</v>
      </c>
      <c r="J42">
        <v>3746</v>
      </c>
      <c r="K42" t="s">
        <v>35</v>
      </c>
      <c r="L42">
        <v>10</v>
      </c>
      <c r="M42" t="str">
        <f t="shared" si="0"/>
        <v>6-12 Months</v>
      </c>
      <c r="N42" s="1">
        <v>45096</v>
      </c>
      <c r="O42">
        <v>1</v>
      </c>
      <c r="P42">
        <v>41</v>
      </c>
      <c r="Q42" s="2">
        <v>0.7</v>
      </c>
      <c r="R42" t="s">
        <v>27</v>
      </c>
      <c r="S42">
        <v>2023</v>
      </c>
      <c r="T42" t="s">
        <v>41</v>
      </c>
    </row>
    <row r="43" spans="1:20" hidden="1" x14ac:dyDescent="0.3">
      <c r="A43">
        <v>65</v>
      </c>
      <c r="B43">
        <v>329</v>
      </c>
      <c r="C43" t="s">
        <v>45</v>
      </c>
      <c r="D43" t="s">
        <v>19</v>
      </c>
      <c r="E43" t="s">
        <v>37</v>
      </c>
      <c r="F43" s="1">
        <v>44793</v>
      </c>
      <c r="G43" s="1">
        <v>45196</v>
      </c>
      <c r="H43">
        <v>4967.93</v>
      </c>
      <c r="I43">
        <v>4012.75</v>
      </c>
      <c r="J43">
        <v>577.01</v>
      </c>
      <c r="K43" t="s">
        <v>21</v>
      </c>
      <c r="L43">
        <v>13</v>
      </c>
      <c r="M43" t="str">
        <f t="shared" si="0"/>
        <v>6-12 Months</v>
      </c>
      <c r="N43" s="1">
        <v>45196</v>
      </c>
      <c r="O43">
        <v>1</v>
      </c>
      <c r="P43">
        <v>42</v>
      </c>
      <c r="Q43" s="2">
        <v>0.12</v>
      </c>
      <c r="R43" t="s">
        <v>27</v>
      </c>
      <c r="S43">
        <v>2023</v>
      </c>
      <c r="T43" t="s">
        <v>30</v>
      </c>
    </row>
    <row r="44" spans="1:20" x14ac:dyDescent="0.3">
      <c r="A44">
        <v>69</v>
      </c>
      <c r="B44">
        <v>272</v>
      </c>
      <c r="C44" t="s">
        <v>45</v>
      </c>
      <c r="D44" t="s">
        <v>29</v>
      </c>
      <c r="E44" t="s">
        <v>37</v>
      </c>
      <c r="F44" s="1">
        <v>44905</v>
      </c>
      <c r="G44" s="1">
        <v>45109</v>
      </c>
      <c r="H44">
        <v>7719</v>
      </c>
      <c r="I44">
        <v>2116</v>
      </c>
      <c r="J44">
        <v>5603</v>
      </c>
      <c r="K44" t="s">
        <v>35</v>
      </c>
      <c r="L44">
        <v>6</v>
      </c>
      <c r="M44" t="str">
        <f t="shared" si="0"/>
        <v>12+ Months</v>
      </c>
      <c r="N44" s="1">
        <v>45109</v>
      </c>
      <c r="O44">
        <v>0</v>
      </c>
      <c r="P44">
        <v>43</v>
      </c>
      <c r="Q44" s="2">
        <v>0.73</v>
      </c>
      <c r="R44" t="s">
        <v>27</v>
      </c>
      <c r="S44">
        <v>2023</v>
      </c>
      <c r="T44" t="s">
        <v>44</v>
      </c>
    </row>
    <row r="45" spans="1:20" x14ac:dyDescent="0.3">
      <c r="A45">
        <v>72</v>
      </c>
      <c r="B45">
        <v>112</v>
      </c>
      <c r="C45" t="s">
        <v>40</v>
      </c>
      <c r="D45" t="s">
        <v>19</v>
      </c>
      <c r="E45" t="s">
        <v>26</v>
      </c>
      <c r="F45" s="1">
        <v>44726</v>
      </c>
      <c r="G45" s="1">
        <v>45044</v>
      </c>
      <c r="H45">
        <v>6865</v>
      </c>
      <c r="I45">
        <v>6378</v>
      </c>
      <c r="J45">
        <v>487</v>
      </c>
      <c r="K45" t="s">
        <v>35</v>
      </c>
      <c r="L45">
        <v>10</v>
      </c>
      <c r="M45" t="str">
        <f t="shared" si="0"/>
        <v>6-12 Months</v>
      </c>
      <c r="N45" s="1">
        <v>45044</v>
      </c>
      <c r="O45">
        <v>1</v>
      </c>
      <c r="P45">
        <v>44</v>
      </c>
      <c r="Q45" s="2">
        <v>7.0000000000000007E-2</v>
      </c>
      <c r="R45" t="s">
        <v>27</v>
      </c>
      <c r="S45">
        <v>2023</v>
      </c>
      <c r="T45" t="s">
        <v>32</v>
      </c>
    </row>
    <row r="46" spans="1:20" hidden="1" x14ac:dyDescent="0.3">
      <c r="A46">
        <v>75</v>
      </c>
      <c r="B46">
        <v>428</v>
      </c>
      <c r="C46" t="s">
        <v>40</v>
      </c>
      <c r="D46" t="s">
        <v>25</v>
      </c>
      <c r="E46" t="s">
        <v>26</v>
      </c>
      <c r="F46" s="1">
        <v>44745</v>
      </c>
      <c r="G46" s="1">
        <v>44990</v>
      </c>
      <c r="H46">
        <v>1051</v>
      </c>
      <c r="I46">
        <v>892</v>
      </c>
      <c r="J46">
        <v>159</v>
      </c>
      <c r="K46" t="s">
        <v>54</v>
      </c>
      <c r="L46">
        <v>8</v>
      </c>
      <c r="M46" t="str">
        <f t="shared" si="0"/>
        <v>6-12 Months</v>
      </c>
      <c r="N46" s="1">
        <v>44990</v>
      </c>
      <c r="O46">
        <v>0</v>
      </c>
      <c r="P46">
        <v>45</v>
      </c>
      <c r="Q46" s="2">
        <v>0.15</v>
      </c>
      <c r="R46" t="s">
        <v>27</v>
      </c>
      <c r="S46">
        <v>2023</v>
      </c>
      <c r="T46" t="s">
        <v>38</v>
      </c>
    </row>
    <row r="47" spans="1:20" hidden="1" x14ac:dyDescent="0.3">
      <c r="A47">
        <v>76</v>
      </c>
      <c r="B47">
        <v>482</v>
      </c>
      <c r="C47" t="s">
        <v>45</v>
      </c>
      <c r="D47" t="s">
        <v>29</v>
      </c>
      <c r="E47" t="s">
        <v>20</v>
      </c>
      <c r="F47" s="1">
        <v>44899</v>
      </c>
      <c r="G47" s="1">
        <v>45170</v>
      </c>
      <c r="H47">
        <v>1497</v>
      </c>
      <c r="I47">
        <v>4012.75</v>
      </c>
      <c r="J47">
        <v>2075</v>
      </c>
      <c r="K47" t="s">
        <v>54</v>
      </c>
      <c r="L47">
        <v>8</v>
      </c>
      <c r="M47" t="str">
        <f t="shared" si="0"/>
        <v>6-12 Months</v>
      </c>
      <c r="N47" s="1">
        <v>45170</v>
      </c>
      <c r="O47">
        <v>0</v>
      </c>
      <c r="P47">
        <v>46</v>
      </c>
      <c r="Q47" s="2">
        <v>1.39</v>
      </c>
      <c r="R47" t="s">
        <v>22</v>
      </c>
      <c r="S47">
        <v>2023</v>
      </c>
      <c r="T47" t="s">
        <v>30</v>
      </c>
    </row>
    <row r="48" spans="1:20" hidden="1" x14ac:dyDescent="0.3">
      <c r="A48">
        <v>78</v>
      </c>
      <c r="B48">
        <v>472</v>
      </c>
      <c r="C48" t="s">
        <v>53</v>
      </c>
      <c r="D48" t="s">
        <v>19</v>
      </c>
      <c r="E48" t="s">
        <v>37</v>
      </c>
      <c r="F48" s="1">
        <v>44621</v>
      </c>
      <c r="G48" s="1">
        <v>44965</v>
      </c>
      <c r="H48">
        <v>861</v>
      </c>
      <c r="I48">
        <v>1211</v>
      </c>
      <c r="J48">
        <v>-350</v>
      </c>
      <c r="K48" t="s">
        <v>21</v>
      </c>
      <c r="L48">
        <v>11</v>
      </c>
      <c r="M48" t="str">
        <f t="shared" si="0"/>
        <v>6-12 Months</v>
      </c>
      <c r="N48" s="1">
        <v>44965</v>
      </c>
      <c r="O48">
        <v>1</v>
      </c>
      <c r="P48">
        <v>47</v>
      </c>
      <c r="Q48" s="2">
        <v>-0.41</v>
      </c>
      <c r="R48" t="s">
        <v>27</v>
      </c>
      <c r="S48">
        <v>2023</v>
      </c>
      <c r="T48" t="s">
        <v>43</v>
      </c>
    </row>
    <row r="49" spans="1:20" hidden="1" x14ac:dyDescent="0.3">
      <c r="A49">
        <v>79</v>
      </c>
      <c r="B49">
        <v>380</v>
      </c>
      <c r="C49" t="s">
        <v>39</v>
      </c>
      <c r="D49" t="s">
        <v>34</v>
      </c>
      <c r="E49" t="s">
        <v>20</v>
      </c>
      <c r="F49" s="1">
        <v>44752</v>
      </c>
      <c r="G49" s="1">
        <v>44928</v>
      </c>
      <c r="H49">
        <v>5417</v>
      </c>
      <c r="I49">
        <v>7941</v>
      </c>
      <c r="J49">
        <v>-2524</v>
      </c>
      <c r="K49" t="s">
        <v>54</v>
      </c>
      <c r="L49">
        <v>5</v>
      </c>
      <c r="M49" t="str">
        <f t="shared" si="0"/>
        <v>0-6 Months</v>
      </c>
      <c r="N49" s="1">
        <v>44928</v>
      </c>
      <c r="O49">
        <v>1</v>
      </c>
      <c r="P49">
        <v>48</v>
      </c>
      <c r="Q49" s="2">
        <v>-0.47</v>
      </c>
      <c r="R49" t="s">
        <v>27</v>
      </c>
      <c r="S49">
        <v>2023</v>
      </c>
      <c r="T49" t="s">
        <v>23</v>
      </c>
    </row>
    <row r="50" spans="1:20" hidden="1" x14ac:dyDescent="0.3">
      <c r="A50">
        <v>80</v>
      </c>
      <c r="B50">
        <v>312</v>
      </c>
      <c r="C50" t="s">
        <v>39</v>
      </c>
      <c r="D50" t="s">
        <v>19</v>
      </c>
      <c r="E50" t="s">
        <v>20</v>
      </c>
      <c r="F50" s="1">
        <v>44790</v>
      </c>
      <c r="G50" s="1">
        <v>45188</v>
      </c>
      <c r="H50">
        <v>4967.93</v>
      </c>
      <c r="I50">
        <v>7065</v>
      </c>
      <c r="J50">
        <v>-8712</v>
      </c>
      <c r="K50" t="s">
        <v>54</v>
      </c>
      <c r="L50">
        <v>13</v>
      </c>
      <c r="M50" t="str">
        <f t="shared" si="0"/>
        <v>6-12 Months</v>
      </c>
      <c r="N50" s="1">
        <v>45188</v>
      </c>
      <c r="O50">
        <v>1</v>
      </c>
      <c r="P50">
        <v>49</v>
      </c>
      <c r="Q50" s="2">
        <v>-1.75</v>
      </c>
      <c r="R50" t="s">
        <v>22</v>
      </c>
      <c r="S50">
        <v>2023</v>
      </c>
      <c r="T50" t="s">
        <v>30</v>
      </c>
    </row>
    <row r="51" spans="1:20" x14ac:dyDescent="0.3">
      <c r="A51">
        <v>85</v>
      </c>
      <c r="B51">
        <v>436</v>
      </c>
      <c r="C51" t="s">
        <v>39</v>
      </c>
      <c r="D51" t="s">
        <v>34</v>
      </c>
      <c r="E51" t="s">
        <v>20</v>
      </c>
      <c r="F51" s="1">
        <v>44622</v>
      </c>
      <c r="G51" s="1">
        <v>44684</v>
      </c>
      <c r="H51">
        <v>4967.93</v>
      </c>
      <c r="I51">
        <v>3289</v>
      </c>
      <c r="J51">
        <v>-4561</v>
      </c>
      <c r="K51" t="s">
        <v>35</v>
      </c>
      <c r="L51">
        <v>2</v>
      </c>
      <c r="M51" t="str">
        <f t="shared" si="0"/>
        <v>0-6 Months</v>
      </c>
      <c r="N51" s="1">
        <v>44684</v>
      </c>
      <c r="O51">
        <v>1</v>
      </c>
      <c r="P51">
        <v>50</v>
      </c>
      <c r="Q51" s="2">
        <v>-0.92</v>
      </c>
      <c r="R51" t="s">
        <v>27</v>
      </c>
      <c r="S51">
        <v>2022</v>
      </c>
      <c r="T51" t="s">
        <v>28</v>
      </c>
    </row>
    <row r="52" spans="1:20" hidden="1" x14ac:dyDescent="0.3">
      <c r="A52">
        <v>86</v>
      </c>
      <c r="B52">
        <v>408</v>
      </c>
      <c r="C52" t="s">
        <v>40</v>
      </c>
      <c r="D52" t="s">
        <v>34</v>
      </c>
      <c r="E52" t="s">
        <v>26</v>
      </c>
      <c r="F52" s="1">
        <v>44826</v>
      </c>
      <c r="G52" s="1">
        <v>45232</v>
      </c>
      <c r="H52">
        <v>3417</v>
      </c>
      <c r="I52">
        <v>581</v>
      </c>
      <c r="J52">
        <v>2836</v>
      </c>
      <c r="K52" t="s">
        <v>54</v>
      </c>
      <c r="L52">
        <v>13</v>
      </c>
      <c r="M52" t="str">
        <f t="shared" si="0"/>
        <v>6-12 Months</v>
      </c>
      <c r="N52" s="1">
        <v>45232</v>
      </c>
      <c r="O52">
        <v>0</v>
      </c>
      <c r="P52">
        <v>51</v>
      </c>
      <c r="Q52" s="2">
        <v>0.83</v>
      </c>
      <c r="R52" t="s">
        <v>27</v>
      </c>
      <c r="S52">
        <v>2023</v>
      </c>
      <c r="T52" t="s">
        <v>42</v>
      </c>
    </row>
    <row r="53" spans="1:20" hidden="1" x14ac:dyDescent="0.3">
      <c r="A53">
        <v>87</v>
      </c>
      <c r="B53">
        <v>208</v>
      </c>
      <c r="C53" t="s">
        <v>53</v>
      </c>
      <c r="D53" t="s">
        <v>34</v>
      </c>
      <c r="E53" t="s">
        <v>37</v>
      </c>
      <c r="F53" s="1">
        <v>44776</v>
      </c>
      <c r="G53" s="1">
        <v>45183</v>
      </c>
      <c r="H53">
        <v>393</v>
      </c>
      <c r="I53">
        <v>4166</v>
      </c>
      <c r="J53">
        <v>-3773</v>
      </c>
      <c r="K53" t="s">
        <v>54</v>
      </c>
      <c r="L53">
        <v>13</v>
      </c>
      <c r="M53" t="str">
        <f t="shared" si="0"/>
        <v>6-12 Months</v>
      </c>
      <c r="N53" s="1">
        <v>45183</v>
      </c>
      <c r="O53">
        <v>1</v>
      </c>
      <c r="P53">
        <v>52</v>
      </c>
      <c r="Q53" s="2">
        <v>-9.6</v>
      </c>
      <c r="R53" t="s">
        <v>22</v>
      </c>
      <c r="S53">
        <v>2023</v>
      </c>
      <c r="T53" t="s">
        <v>30</v>
      </c>
    </row>
    <row r="54" spans="1:20" hidden="1" x14ac:dyDescent="0.3">
      <c r="A54">
        <v>88</v>
      </c>
      <c r="B54">
        <v>295</v>
      </c>
      <c r="C54" t="s">
        <v>45</v>
      </c>
      <c r="D54" t="s">
        <v>25</v>
      </c>
      <c r="E54" t="s">
        <v>37</v>
      </c>
      <c r="F54" s="1">
        <v>44856</v>
      </c>
      <c r="G54" s="1">
        <v>45177</v>
      </c>
      <c r="H54">
        <v>5966</v>
      </c>
      <c r="I54">
        <v>430</v>
      </c>
      <c r="J54">
        <v>577.01</v>
      </c>
      <c r="K54" t="s">
        <v>54</v>
      </c>
      <c r="L54">
        <v>10</v>
      </c>
      <c r="M54" t="str">
        <f t="shared" si="0"/>
        <v>6-12 Months</v>
      </c>
      <c r="N54" s="1">
        <v>45177</v>
      </c>
      <c r="O54">
        <v>0</v>
      </c>
      <c r="P54">
        <v>53</v>
      </c>
      <c r="Q54" s="2">
        <v>0.1</v>
      </c>
      <c r="R54" t="s">
        <v>27</v>
      </c>
      <c r="S54">
        <v>2023</v>
      </c>
      <c r="T54" t="s">
        <v>30</v>
      </c>
    </row>
    <row r="55" spans="1:20" hidden="1" x14ac:dyDescent="0.3">
      <c r="A55">
        <v>89</v>
      </c>
      <c r="B55">
        <v>218</v>
      </c>
      <c r="C55" t="s">
        <v>53</v>
      </c>
      <c r="D55" t="s">
        <v>19</v>
      </c>
      <c r="E55" t="s">
        <v>37</v>
      </c>
      <c r="F55" s="1">
        <v>44760</v>
      </c>
      <c r="G55" s="1">
        <v>45277</v>
      </c>
      <c r="H55">
        <v>4967.93</v>
      </c>
      <c r="I55">
        <v>6221</v>
      </c>
      <c r="J55">
        <v>-7849</v>
      </c>
      <c r="K55" t="s">
        <v>21</v>
      </c>
      <c r="L55">
        <v>16</v>
      </c>
      <c r="M55" t="str">
        <f t="shared" si="0"/>
        <v>6-12 Months</v>
      </c>
      <c r="N55" s="1">
        <v>45277</v>
      </c>
      <c r="O55">
        <v>1</v>
      </c>
      <c r="P55">
        <v>54</v>
      </c>
      <c r="Q55" s="2">
        <v>-1.58</v>
      </c>
      <c r="R55" t="s">
        <v>22</v>
      </c>
      <c r="S55">
        <v>2023</v>
      </c>
      <c r="T55" t="s">
        <v>31</v>
      </c>
    </row>
    <row r="56" spans="1:20" hidden="1" x14ac:dyDescent="0.3">
      <c r="A56">
        <v>90</v>
      </c>
      <c r="B56">
        <v>493</v>
      </c>
      <c r="C56" t="s">
        <v>45</v>
      </c>
      <c r="D56" t="s">
        <v>19</v>
      </c>
      <c r="E56" t="s">
        <v>20</v>
      </c>
      <c r="F56" s="1">
        <v>44660</v>
      </c>
      <c r="G56" s="1">
        <v>45203</v>
      </c>
      <c r="H56">
        <v>3420</v>
      </c>
      <c r="I56">
        <v>6478</v>
      </c>
      <c r="J56">
        <v>-3058</v>
      </c>
      <c r="K56" t="s">
        <v>21</v>
      </c>
      <c r="L56">
        <v>17</v>
      </c>
      <c r="M56" t="str">
        <f t="shared" si="0"/>
        <v>6-12 Months</v>
      </c>
      <c r="N56" s="1">
        <v>45203</v>
      </c>
      <c r="O56">
        <v>0</v>
      </c>
      <c r="P56">
        <v>55</v>
      </c>
      <c r="Q56" s="2">
        <v>-0.89</v>
      </c>
      <c r="R56" t="s">
        <v>27</v>
      </c>
      <c r="S56">
        <v>2023</v>
      </c>
      <c r="T56" t="s">
        <v>33</v>
      </c>
    </row>
    <row r="57" spans="1:20" x14ac:dyDescent="0.3">
      <c r="A57">
        <v>91</v>
      </c>
      <c r="B57">
        <v>233</v>
      </c>
      <c r="C57" t="s">
        <v>40</v>
      </c>
      <c r="D57" t="s">
        <v>34</v>
      </c>
      <c r="E57" t="s">
        <v>37</v>
      </c>
      <c r="F57" s="1">
        <v>44693</v>
      </c>
      <c r="G57" s="1">
        <v>44753</v>
      </c>
      <c r="H57">
        <v>4726</v>
      </c>
      <c r="I57">
        <v>2548</v>
      </c>
      <c r="J57">
        <v>2178</v>
      </c>
      <c r="K57" t="s">
        <v>35</v>
      </c>
      <c r="L57">
        <v>1</v>
      </c>
      <c r="M57" t="str">
        <f t="shared" si="0"/>
        <v>0-6 Months</v>
      </c>
      <c r="N57" s="1">
        <v>44753</v>
      </c>
      <c r="O57">
        <v>1</v>
      </c>
      <c r="P57">
        <v>56</v>
      </c>
      <c r="Q57" s="2">
        <v>0.46</v>
      </c>
      <c r="R57" t="s">
        <v>27</v>
      </c>
      <c r="S57">
        <v>2022</v>
      </c>
      <c r="T57" t="s">
        <v>44</v>
      </c>
    </row>
    <row r="58" spans="1:20" hidden="1" x14ac:dyDescent="0.3">
      <c r="A58">
        <v>92</v>
      </c>
      <c r="B58">
        <v>118</v>
      </c>
      <c r="C58" t="s">
        <v>39</v>
      </c>
      <c r="D58" t="s">
        <v>29</v>
      </c>
      <c r="E58" t="s">
        <v>20</v>
      </c>
      <c r="F58" s="1">
        <v>44900</v>
      </c>
      <c r="G58" s="1">
        <v>45373</v>
      </c>
      <c r="H58">
        <v>2383</v>
      </c>
      <c r="I58">
        <v>6332</v>
      </c>
      <c r="J58">
        <v>-3949</v>
      </c>
      <c r="K58" t="s">
        <v>54</v>
      </c>
      <c r="L58">
        <v>15</v>
      </c>
      <c r="M58" t="str">
        <f t="shared" si="0"/>
        <v>6-12 Months</v>
      </c>
      <c r="N58" s="1">
        <v>45373</v>
      </c>
      <c r="O58">
        <v>1</v>
      </c>
      <c r="P58">
        <v>57</v>
      </c>
      <c r="Q58" s="2">
        <v>-1.66</v>
      </c>
      <c r="R58" t="s">
        <v>22</v>
      </c>
      <c r="S58">
        <v>2024</v>
      </c>
      <c r="T58" t="s">
        <v>38</v>
      </c>
    </row>
    <row r="59" spans="1:20" hidden="1" x14ac:dyDescent="0.3">
      <c r="A59">
        <v>95</v>
      </c>
      <c r="B59">
        <v>192</v>
      </c>
      <c r="C59" t="s">
        <v>45</v>
      </c>
      <c r="D59" t="s">
        <v>29</v>
      </c>
      <c r="E59" t="s">
        <v>26</v>
      </c>
      <c r="F59" s="1">
        <v>44791</v>
      </c>
      <c r="G59" s="1">
        <v>45236</v>
      </c>
      <c r="H59">
        <v>1226</v>
      </c>
      <c r="I59">
        <v>5215</v>
      </c>
      <c r="J59">
        <v>-3989</v>
      </c>
      <c r="K59" t="s">
        <v>21</v>
      </c>
      <c r="L59">
        <v>14</v>
      </c>
      <c r="M59" t="str">
        <f t="shared" si="0"/>
        <v>6-12 Months</v>
      </c>
      <c r="N59" s="1">
        <v>45236</v>
      </c>
      <c r="O59">
        <v>1</v>
      </c>
      <c r="P59">
        <v>58</v>
      </c>
      <c r="Q59" s="2">
        <v>-3.25</v>
      </c>
      <c r="R59" t="s">
        <v>22</v>
      </c>
      <c r="S59">
        <v>2023</v>
      </c>
      <c r="T59" t="s">
        <v>42</v>
      </c>
    </row>
    <row r="60" spans="1:20" hidden="1" x14ac:dyDescent="0.3">
      <c r="A60">
        <v>96</v>
      </c>
      <c r="B60">
        <v>140</v>
      </c>
      <c r="C60" t="s">
        <v>45</v>
      </c>
      <c r="D60" t="s">
        <v>25</v>
      </c>
      <c r="E60" t="s">
        <v>26</v>
      </c>
      <c r="F60" s="1">
        <v>44744</v>
      </c>
      <c r="G60" s="1">
        <v>45201</v>
      </c>
      <c r="H60">
        <v>2434</v>
      </c>
      <c r="I60">
        <v>6261</v>
      </c>
      <c r="J60">
        <v>-3827</v>
      </c>
      <c r="K60" t="s">
        <v>54</v>
      </c>
      <c r="L60">
        <v>15</v>
      </c>
      <c r="M60" t="str">
        <f t="shared" si="0"/>
        <v>6-12 Months</v>
      </c>
      <c r="N60" s="1">
        <v>45201</v>
      </c>
      <c r="O60">
        <v>0</v>
      </c>
      <c r="P60">
        <v>59</v>
      </c>
      <c r="Q60" s="2">
        <v>-1.57</v>
      </c>
      <c r="R60" t="s">
        <v>22</v>
      </c>
      <c r="S60">
        <v>2023</v>
      </c>
      <c r="T60" t="s">
        <v>33</v>
      </c>
    </row>
    <row r="61" spans="1:20" hidden="1" x14ac:dyDescent="0.3">
      <c r="A61">
        <v>97</v>
      </c>
      <c r="B61">
        <v>287</v>
      </c>
      <c r="C61" t="s">
        <v>24</v>
      </c>
      <c r="D61" t="s">
        <v>25</v>
      </c>
      <c r="E61" t="s">
        <v>20</v>
      </c>
      <c r="F61" s="1">
        <v>44739</v>
      </c>
      <c r="G61" s="1">
        <v>45313</v>
      </c>
      <c r="H61">
        <v>9736</v>
      </c>
      <c r="I61">
        <v>7700</v>
      </c>
      <c r="J61">
        <v>2036</v>
      </c>
      <c r="K61" t="s">
        <v>54</v>
      </c>
      <c r="L61">
        <v>18</v>
      </c>
      <c r="M61" t="str">
        <f t="shared" si="0"/>
        <v>6-12 Months</v>
      </c>
      <c r="N61" s="1">
        <v>45313</v>
      </c>
      <c r="O61">
        <v>0</v>
      </c>
      <c r="P61">
        <v>60</v>
      </c>
      <c r="Q61" s="2">
        <v>0.21</v>
      </c>
      <c r="R61" t="s">
        <v>27</v>
      </c>
      <c r="S61">
        <v>2024</v>
      </c>
      <c r="T61" t="s">
        <v>23</v>
      </c>
    </row>
    <row r="62" spans="1:20" x14ac:dyDescent="0.3">
      <c r="A62">
        <v>98</v>
      </c>
      <c r="B62">
        <v>296</v>
      </c>
      <c r="C62" t="s">
        <v>39</v>
      </c>
      <c r="D62" t="s">
        <v>34</v>
      </c>
      <c r="E62" t="s">
        <v>20</v>
      </c>
      <c r="F62" s="1">
        <v>44798</v>
      </c>
      <c r="G62" s="1">
        <v>45018</v>
      </c>
      <c r="H62">
        <v>4967.93</v>
      </c>
      <c r="I62">
        <v>1269</v>
      </c>
      <c r="J62">
        <v>-2766</v>
      </c>
      <c r="K62" t="s">
        <v>35</v>
      </c>
      <c r="L62">
        <v>7</v>
      </c>
      <c r="M62" t="str">
        <f t="shared" si="0"/>
        <v>6-12 Months</v>
      </c>
      <c r="N62" s="1">
        <v>45018</v>
      </c>
      <c r="O62">
        <v>1</v>
      </c>
      <c r="P62">
        <v>61</v>
      </c>
      <c r="Q62" s="2">
        <v>-0.56000000000000005</v>
      </c>
      <c r="R62" t="s">
        <v>27</v>
      </c>
      <c r="S62">
        <v>2023</v>
      </c>
      <c r="T62" t="s">
        <v>32</v>
      </c>
    </row>
    <row r="63" spans="1:20" hidden="1" x14ac:dyDescent="0.3">
      <c r="A63">
        <v>101</v>
      </c>
      <c r="B63">
        <v>112</v>
      </c>
      <c r="C63" t="s">
        <v>24</v>
      </c>
      <c r="D63" t="s">
        <v>19</v>
      </c>
      <c r="E63" t="s">
        <v>26</v>
      </c>
      <c r="F63" s="1">
        <v>44728</v>
      </c>
      <c r="G63" s="1">
        <v>45010</v>
      </c>
      <c r="H63">
        <v>5013</v>
      </c>
      <c r="I63">
        <v>4543</v>
      </c>
      <c r="J63">
        <v>470</v>
      </c>
      <c r="K63" t="s">
        <v>54</v>
      </c>
      <c r="L63">
        <v>9</v>
      </c>
      <c r="M63" t="str">
        <f t="shared" si="0"/>
        <v>6-12 Months</v>
      </c>
      <c r="N63" s="1">
        <v>45010</v>
      </c>
      <c r="O63">
        <v>1</v>
      </c>
      <c r="P63">
        <v>62</v>
      </c>
      <c r="Q63" s="2">
        <v>0.09</v>
      </c>
      <c r="R63" t="s">
        <v>27</v>
      </c>
      <c r="S63">
        <v>2023</v>
      </c>
      <c r="T63" t="s">
        <v>38</v>
      </c>
    </row>
    <row r="64" spans="1:20" hidden="1" x14ac:dyDescent="0.3">
      <c r="A64">
        <v>103</v>
      </c>
      <c r="B64">
        <v>252</v>
      </c>
      <c r="C64" t="s">
        <v>24</v>
      </c>
      <c r="D64" t="s">
        <v>34</v>
      </c>
      <c r="E64" t="s">
        <v>26</v>
      </c>
      <c r="F64" s="1">
        <v>44883</v>
      </c>
      <c r="G64" s="1">
        <v>45197</v>
      </c>
      <c r="H64">
        <v>3070</v>
      </c>
      <c r="I64">
        <v>4012.75</v>
      </c>
      <c r="J64">
        <v>3780</v>
      </c>
      <c r="K64" t="s">
        <v>21</v>
      </c>
      <c r="L64">
        <v>10</v>
      </c>
      <c r="M64" t="str">
        <f t="shared" si="0"/>
        <v>6-12 Months</v>
      </c>
      <c r="N64" s="1">
        <v>45197</v>
      </c>
      <c r="O64">
        <v>1</v>
      </c>
      <c r="P64">
        <v>63</v>
      </c>
      <c r="Q64" s="2">
        <v>1.23</v>
      </c>
      <c r="R64" t="s">
        <v>22</v>
      </c>
      <c r="S64">
        <v>2023</v>
      </c>
      <c r="T64" t="s">
        <v>30</v>
      </c>
    </row>
    <row r="65" spans="1:20" hidden="1" x14ac:dyDescent="0.3">
      <c r="A65">
        <v>104</v>
      </c>
      <c r="B65">
        <v>308</v>
      </c>
      <c r="C65" t="s">
        <v>40</v>
      </c>
      <c r="D65" t="s">
        <v>25</v>
      </c>
      <c r="E65" t="s">
        <v>20</v>
      </c>
      <c r="F65" s="1">
        <v>44818</v>
      </c>
      <c r="G65" s="1">
        <v>45305</v>
      </c>
      <c r="H65">
        <v>7648</v>
      </c>
      <c r="I65">
        <v>2611</v>
      </c>
      <c r="J65">
        <v>5037</v>
      </c>
      <c r="K65" t="s">
        <v>21</v>
      </c>
      <c r="L65">
        <v>16</v>
      </c>
      <c r="M65" t="str">
        <f t="shared" si="0"/>
        <v>6-12 Months</v>
      </c>
      <c r="N65" s="1">
        <v>45305</v>
      </c>
      <c r="O65">
        <v>0</v>
      </c>
      <c r="P65">
        <v>64</v>
      </c>
      <c r="Q65" s="2">
        <v>0.66</v>
      </c>
      <c r="R65" t="s">
        <v>27</v>
      </c>
      <c r="S65">
        <v>2024</v>
      </c>
      <c r="T65" t="s">
        <v>23</v>
      </c>
    </row>
    <row r="66" spans="1:20" x14ac:dyDescent="0.3">
      <c r="A66">
        <v>105</v>
      </c>
      <c r="B66">
        <v>492</v>
      </c>
      <c r="C66" t="s">
        <v>53</v>
      </c>
      <c r="D66" t="s">
        <v>25</v>
      </c>
      <c r="E66" t="s">
        <v>20</v>
      </c>
      <c r="F66" s="1">
        <v>44769</v>
      </c>
      <c r="G66" s="1">
        <v>44964</v>
      </c>
      <c r="H66">
        <v>6771</v>
      </c>
      <c r="I66">
        <v>917</v>
      </c>
      <c r="J66">
        <v>5854</v>
      </c>
      <c r="K66" t="s">
        <v>35</v>
      </c>
      <c r="L66">
        <v>6</v>
      </c>
      <c r="M66" t="str">
        <f t="shared" ref="M66:M129" si="1">IF(L66&lt;6,"0-6 Months",IF(L66&gt;6,"6-12 Months","12+ Months"))</f>
        <v>12+ Months</v>
      </c>
      <c r="N66" s="1">
        <v>44964</v>
      </c>
      <c r="O66">
        <v>0</v>
      </c>
      <c r="P66">
        <v>65</v>
      </c>
      <c r="Q66" s="2">
        <v>0.86</v>
      </c>
      <c r="R66" t="s">
        <v>27</v>
      </c>
      <c r="S66">
        <v>2023</v>
      </c>
      <c r="T66" t="s">
        <v>43</v>
      </c>
    </row>
    <row r="67" spans="1:20" hidden="1" x14ac:dyDescent="0.3">
      <c r="A67">
        <v>106</v>
      </c>
      <c r="B67">
        <v>379</v>
      </c>
      <c r="C67" t="s">
        <v>24</v>
      </c>
      <c r="D67" t="s">
        <v>34</v>
      </c>
      <c r="E67" t="s">
        <v>20</v>
      </c>
      <c r="F67" s="1">
        <v>44765</v>
      </c>
      <c r="G67" s="1">
        <v>44931</v>
      </c>
      <c r="H67">
        <v>9755</v>
      </c>
      <c r="I67">
        <v>4012.75</v>
      </c>
      <c r="J67">
        <v>10048</v>
      </c>
      <c r="K67" t="s">
        <v>21</v>
      </c>
      <c r="L67">
        <v>5</v>
      </c>
      <c r="M67" t="str">
        <f t="shared" si="1"/>
        <v>0-6 Months</v>
      </c>
      <c r="N67" s="1">
        <v>44931</v>
      </c>
      <c r="O67">
        <v>0</v>
      </c>
      <c r="P67">
        <v>66</v>
      </c>
      <c r="Q67" s="2">
        <v>1.03</v>
      </c>
      <c r="R67" t="s">
        <v>22</v>
      </c>
      <c r="S67">
        <v>2023</v>
      </c>
      <c r="T67" t="s">
        <v>23</v>
      </c>
    </row>
    <row r="68" spans="1:20" hidden="1" x14ac:dyDescent="0.3">
      <c r="A68">
        <v>109</v>
      </c>
      <c r="B68">
        <v>335</v>
      </c>
      <c r="C68" t="s">
        <v>39</v>
      </c>
      <c r="D68" t="s">
        <v>19</v>
      </c>
      <c r="E68" t="s">
        <v>20</v>
      </c>
      <c r="F68" s="1">
        <v>44808</v>
      </c>
      <c r="G68" s="1">
        <v>44992</v>
      </c>
      <c r="H68">
        <v>8004</v>
      </c>
      <c r="I68">
        <v>3434</v>
      </c>
      <c r="J68">
        <v>577.01</v>
      </c>
      <c r="K68" t="s">
        <v>54</v>
      </c>
      <c r="L68">
        <v>6</v>
      </c>
      <c r="M68" t="str">
        <f t="shared" si="1"/>
        <v>12+ Months</v>
      </c>
      <c r="N68" s="1">
        <v>44992</v>
      </c>
      <c r="O68">
        <v>1</v>
      </c>
      <c r="P68">
        <v>67</v>
      </c>
      <c r="Q68" s="2">
        <v>7.0000000000000007E-2</v>
      </c>
      <c r="R68" t="s">
        <v>27</v>
      </c>
      <c r="S68">
        <v>2023</v>
      </c>
      <c r="T68" t="s">
        <v>38</v>
      </c>
    </row>
    <row r="69" spans="1:20" hidden="1" x14ac:dyDescent="0.3">
      <c r="A69">
        <v>110</v>
      </c>
      <c r="B69">
        <v>451</v>
      </c>
      <c r="C69" t="s">
        <v>45</v>
      </c>
      <c r="D69" t="s">
        <v>34</v>
      </c>
      <c r="E69" t="s">
        <v>37</v>
      </c>
      <c r="F69" s="1">
        <v>44596</v>
      </c>
      <c r="G69" s="1">
        <v>44940</v>
      </c>
      <c r="H69">
        <v>7749</v>
      </c>
      <c r="I69">
        <v>4148</v>
      </c>
      <c r="J69">
        <v>577.01</v>
      </c>
      <c r="K69" t="s">
        <v>54</v>
      </c>
      <c r="L69">
        <v>11</v>
      </c>
      <c r="M69" t="str">
        <f t="shared" si="1"/>
        <v>6-12 Months</v>
      </c>
      <c r="N69" s="1">
        <v>44940</v>
      </c>
      <c r="O69">
        <v>1</v>
      </c>
      <c r="P69">
        <v>68</v>
      </c>
      <c r="Q69" s="2">
        <v>7.0000000000000007E-2</v>
      </c>
      <c r="R69" t="s">
        <v>27</v>
      </c>
      <c r="S69">
        <v>2023</v>
      </c>
      <c r="T69" t="s">
        <v>23</v>
      </c>
    </row>
    <row r="70" spans="1:20" hidden="1" x14ac:dyDescent="0.3">
      <c r="A70">
        <v>112</v>
      </c>
      <c r="B70">
        <v>301</v>
      </c>
      <c r="C70" t="s">
        <v>53</v>
      </c>
      <c r="D70" t="s">
        <v>25</v>
      </c>
      <c r="E70" t="s">
        <v>20</v>
      </c>
      <c r="F70" s="1">
        <v>44622</v>
      </c>
      <c r="G70" s="1">
        <v>45111</v>
      </c>
      <c r="H70">
        <v>6697</v>
      </c>
      <c r="I70">
        <v>3012</v>
      </c>
      <c r="J70">
        <v>3685</v>
      </c>
      <c r="K70" t="s">
        <v>54</v>
      </c>
      <c r="L70">
        <v>16</v>
      </c>
      <c r="M70" t="str">
        <f t="shared" si="1"/>
        <v>6-12 Months</v>
      </c>
      <c r="N70" s="1">
        <v>45111</v>
      </c>
      <c r="O70">
        <v>1</v>
      </c>
      <c r="P70">
        <v>69</v>
      </c>
      <c r="Q70" s="2">
        <v>0.55000000000000004</v>
      </c>
      <c r="R70" t="s">
        <v>27</v>
      </c>
      <c r="S70">
        <v>2023</v>
      </c>
      <c r="T70" t="s">
        <v>44</v>
      </c>
    </row>
    <row r="71" spans="1:20" hidden="1" x14ac:dyDescent="0.3">
      <c r="A71">
        <v>114</v>
      </c>
      <c r="B71">
        <v>278</v>
      </c>
      <c r="C71" t="s">
        <v>24</v>
      </c>
      <c r="D71" t="s">
        <v>34</v>
      </c>
      <c r="E71" t="s">
        <v>37</v>
      </c>
      <c r="F71" s="1">
        <v>44603</v>
      </c>
      <c r="G71" s="1">
        <v>44977</v>
      </c>
      <c r="H71">
        <v>8981</v>
      </c>
      <c r="I71">
        <v>4107</v>
      </c>
      <c r="J71">
        <v>4874</v>
      </c>
      <c r="K71" t="s">
        <v>54</v>
      </c>
      <c r="L71">
        <v>12</v>
      </c>
      <c r="M71" t="str">
        <f t="shared" si="1"/>
        <v>6-12 Months</v>
      </c>
      <c r="N71" s="1">
        <v>44977</v>
      </c>
      <c r="O71">
        <v>1</v>
      </c>
      <c r="P71">
        <v>70</v>
      </c>
      <c r="Q71" s="2">
        <v>0.54</v>
      </c>
      <c r="R71" t="s">
        <v>27</v>
      </c>
      <c r="S71">
        <v>2023</v>
      </c>
      <c r="T71" t="s">
        <v>43</v>
      </c>
    </row>
    <row r="72" spans="1:20" x14ac:dyDescent="0.3">
      <c r="A72">
        <v>117</v>
      </c>
      <c r="B72">
        <v>222</v>
      </c>
      <c r="C72" t="s">
        <v>53</v>
      </c>
      <c r="D72" t="s">
        <v>34</v>
      </c>
      <c r="E72" t="s">
        <v>37</v>
      </c>
      <c r="F72" s="1">
        <v>44764</v>
      </c>
      <c r="G72" s="1">
        <v>44992</v>
      </c>
      <c r="H72">
        <v>5947</v>
      </c>
      <c r="I72">
        <v>7508</v>
      </c>
      <c r="J72">
        <v>-1561</v>
      </c>
      <c r="K72" t="s">
        <v>35</v>
      </c>
      <c r="L72">
        <v>7</v>
      </c>
      <c r="M72" t="str">
        <f t="shared" si="1"/>
        <v>6-12 Months</v>
      </c>
      <c r="N72" s="1">
        <v>44992</v>
      </c>
      <c r="O72">
        <v>1</v>
      </c>
      <c r="P72">
        <v>71</v>
      </c>
      <c r="Q72" s="2">
        <v>-0.26</v>
      </c>
      <c r="R72" t="s">
        <v>27</v>
      </c>
      <c r="S72">
        <v>2023</v>
      </c>
      <c r="T72" t="s">
        <v>38</v>
      </c>
    </row>
    <row r="73" spans="1:20" hidden="1" x14ac:dyDescent="0.3">
      <c r="A73">
        <v>118</v>
      </c>
      <c r="B73">
        <v>223</v>
      </c>
      <c r="C73" t="s">
        <v>40</v>
      </c>
      <c r="D73" t="s">
        <v>34</v>
      </c>
      <c r="E73" t="s">
        <v>37</v>
      </c>
      <c r="F73" s="1">
        <v>44592</v>
      </c>
      <c r="G73" s="1">
        <v>45179</v>
      </c>
      <c r="H73">
        <v>4031</v>
      </c>
      <c r="I73">
        <v>716</v>
      </c>
      <c r="J73">
        <v>3315</v>
      </c>
      <c r="K73" t="s">
        <v>54</v>
      </c>
      <c r="L73">
        <v>19</v>
      </c>
      <c r="M73" t="str">
        <f t="shared" si="1"/>
        <v>6-12 Months</v>
      </c>
      <c r="N73" s="1">
        <v>45179</v>
      </c>
      <c r="O73">
        <v>0</v>
      </c>
      <c r="P73">
        <v>72</v>
      </c>
      <c r="Q73" s="2">
        <v>0.82</v>
      </c>
      <c r="R73" t="s">
        <v>27</v>
      </c>
      <c r="S73">
        <v>2023</v>
      </c>
      <c r="T73" t="s">
        <v>30</v>
      </c>
    </row>
    <row r="74" spans="1:20" hidden="1" x14ac:dyDescent="0.3">
      <c r="A74">
        <v>120</v>
      </c>
      <c r="B74">
        <v>372</v>
      </c>
      <c r="C74" t="s">
        <v>53</v>
      </c>
      <c r="D74" t="s">
        <v>34</v>
      </c>
      <c r="E74" t="s">
        <v>26</v>
      </c>
      <c r="F74" s="1">
        <v>44656</v>
      </c>
      <c r="G74" s="1">
        <v>45125</v>
      </c>
      <c r="H74">
        <v>4705</v>
      </c>
      <c r="I74">
        <v>4012.75</v>
      </c>
      <c r="J74">
        <v>5328</v>
      </c>
      <c r="K74" t="s">
        <v>54</v>
      </c>
      <c r="L74">
        <v>15</v>
      </c>
      <c r="M74" t="str">
        <f t="shared" si="1"/>
        <v>6-12 Months</v>
      </c>
      <c r="N74" s="1">
        <v>45125</v>
      </c>
      <c r="O74">
        <v>1</v>
      </c>
      <c r="P74">
        <v>73</v>
      </c>
      <c r="Q74" s="2">
        <v>1.1299999999999999</v>
      </c>
      <c r="R74" t="s">
        <v>22</v>
      </c>
      <c r="S74">
        <v>2023</v>
      </c>
      <c r="T74" t="s">
        <v>44</v>
      </c>
    </row>
    <row r="75" spans="1:20" hidden="1" x14ac:dyDescent="0.3">
      <c r="A75">
        <v>121</v>
      </c>
      <c r="B75">
        <v>364</v>
      </c>
      <c r="C75" t="s">
        <v>45</v>
      </c>
      <c r="D75" t="s">
        <v>25</v>
      </c>
      <c r="E75" t="s">
        <v>37</v>
      </c>
      <c r="F75" s="1">
        <v>44916</v>
      </c>
      <c r="G75" s="1">
        <v>44965</v>
      </c>
      <c r="H75">
        <v>7645</v>
      </c>
      <c r="I75">
        <v>4012.75</v>
      </c>
      <c r="J75">
        <v>8408</v>
      </c>
      <c r="K75" t="s">
        <v>54</v>
      </c>
      <c r="L75">
        <v>1</v>
      </c>
      <c r="M75" t="str">
        <f t="shared" si="1"/>
        <v>0-6 Months</v>
      </c>
      <c r="N75" s="1">
        <v>44965</v>
      </c>
      <c r="O75">
        <v>1</v>
      </c>
      <c r="P75">
        <v>74</v>
      </c>
      <c r="Q75" s="2">
        <v>1.1000000000000001</v>
      </c>
      <c r="R75" t="s">
        <v>22</v>
      </c>
      <c r="S75">
        <v>2023</v>
      </c>
      <c r="T75" t="s">
        <v>43</v>
      </c>
    </row>
    <row r="76" spans="1:20" x14ac:dyDescent="0.3">
      <c r="A76">
        <v>124</v>
      </c>
      <c r="B76">
        <v>270</v>
      </c>
      <c r="C76" t="s">
        <v>40</v>
      </c>
      <c r="D76" t="s">
        <v>19</v>
      </c>
      <c r="E76" t="s">
        <v>20</v>
      </c>
      <c r="F76" s="1">
        <v>44787</v>
      </c>
      <c r="G76" s="1">
        <v>45099</v>
      </c>
      <c r="H76">
        <v>4967.93</v>
      </c>
      <c r="I76">
        <v>4007</v>
      </c>
      <c r="J76">
        <v>-5022</v>
      </c>
      <c r="K76" t="s">
        <v>35</v>
      </c>
      <c r="L76">
        <v>10</v>
      </c>
      <c r="M76" t="str">
        <f t="shared" si="1"/>
        <v>6-12 Months</v>
      </c>
      <c r="N76" s="1">
        <v>45099</v>
      </c>
      <c r="O76">
        <v>0</v>
      </c>
      <c r="P76">
        <v>75</v>
      </c>
      <c r="Q76" s="2">
        <v>-1.01</v>
      </c>
      <c r="R76" t="s">
        <v>22</v>
      </c>
      <c r="S76">
        <v>2023</v>
      </c>
      <c r="T76" t="s">
        <v>41</v>
      </c>
    </row>
    <row r="77" spans="1:20" x14ac:dyDescent="0.3">
      <c r="A77">
        <v>125</v>
      </c>
      <c r="B77">
        <v>239</v>
      </c>
      <c r="C77" t="s">
        <v>39</v>
      </c>
      <c r="D77" t="s">
        <v>29</v>
      </c>
      <c r="E77" t="s">
        <v>20</v>
      </c>
      <c r="F77" s="1">
        <v>44690</v>
      </c>
      <c r="G77" s="1">
        <v>45138</v>
      </c>
      <c r="H77">
        <v>461</v>
      </c>
      <c r="I77">
        <v>4160</v>
      </c>
      <c r="J77">
        <v>-3699</v>
      </c>
      <c r="K77" t="s">
        <v>35</v>
      </c>
      <c r="L77">
        <v>14</v>
      </c>
      <c r="M77" t="str">
        <f t="shared" si="1"/>
        <v>6-12 Months</v>
      </c>
      <c r="N77" s="1">
        <v>45138</v>
      </c>
      <c r="O77">
        <v>1</v>
      </c>
      <c r="P77">
        <v>76</v>
      </c>
      <c r="Q77" s="2">
        <v>-8.02</v>
      </c>
      <c r="R77" t="s">
        <v>22</v>
      </c>
      <c r="S77">
        <v>2023</v>
      </c>
      <c r="T77" t="s">
        <v>44</v>
      </c>
    </row>
    <row r="78" spans="1:20" hidden="1" x14ac:dyDescent="0.3">
      <c r="A78">
        <v>131</v>
      </c>
      <c r="B78">
        <v>357</v>
      </c>
      <c r="C78" t="s">
        <v>24</v>
      </c>
      <c r="D78" t="s">
        <v>19</v>
      </c>
      <c r="E78" t="s">
        <v>26</v>
      </c>
      <c r="F78" s="1">
        <v>44898</v>
      </c>
      <c r="G78" s="1">
        <v>45150</v>
      </c>
      <c r="H78">
        <v>898</v>
      </c>
      <c r="I78">
        <v>1825</v>
      </c>
      <c r="J78">
        <v>-927</v>
      </c>
      <c r="K78" t="s">
        <v>54</v>
      </c>
      <c r="L78">
        <v>8</v>
      </c>
      <c r="M78" t="str">
        <f t="shared" si="1"/>
        <v>6-12 Months</v>
      </c>
      <c r="N78" s="1">
        <v>45150</v>
      </c>
      <c r="O78">
        <v>0</v>
      </c>
      <c r="P78">
        <v>77</v>
      </c>
      <c r="Q78" s="2">
        <v>-1.03</v>
      </c>
      <c r="R78" t="s">
        <v>22</v>
      </c>
      <c r="S78">
        <v>2023</v>
      </c>
      <c r="T78" t="s">
        <v>36</v>
      </c>
    </row>
    <row r="79" spans="1:20" hidden="1" x14ac:dyDescent="0.3">
      <c r="A79">
        <v>132</v>
      </c>
      <c r="B79">
        <v>268</v>
      </c>
      <c r="C79" t="s">
        <v>53</v>
      </c>
      <c r="D79" t="s">
        <v>34</v>
      </c>
      <c r="E79" t="s">
        <v>20</v>
      </c>
      <c r="F79" s="1">
        <v>44924</v>
      </c>
      <c r="G79" s="1">
        <v>45441</v>
      </c>
      <c r="H79">
        <v>408</v>
      </c>
      <c r="I79">
        <v>3308</v>
      </c>
      <c r="J79">
        <v>-2900</v>
      </c>
      <c r="K79" t="s">
        <v>21</v>
      </c>
      <c r="L79">
        <v>17</v>
      </c>
      <c r="M79" t="str">
        <f t="shared" si="1"/>
        <v>6-12 Months</v>
      </c>
      <c r="N79" s="1">
        <v>45441</v>
      </c>
      <c r="O79">
        <v>1</v>
      </c>
      <c r="P79">
        <v>78</v>
      </c>
      <c r="Q79" s="2">
        <v>-7.11</v>
      </c>
      <c r="R79" t="s">
        <v>22</v>
      </c>
      <c r="S79">
        <v>2024</v>
      </c>
      <c r="T79" t="s">
        <v>28</v>
      </c>
    </row>
    <row r="80" spans="1:20" hidden="1" x14ac:dyDescent="0.3">
      <c r="A80">
        <v>134</v>
      </c>
      <c r="B80">
        <v>231</v>
      </c>
      <c r="C80" t="s">
        <v>39</v>
      </c>
      <c r="D80" t="s">
        <v>25</v>
      </c>
      <c r="E80" t="s">
        <v>26</v>
      </c>
      <c r="F80" s="1">
        <v>44769</v>
      </c>
      <c r="G80" s="1">
        <v>45295</v>
      </c>
      <c r="H80">
        <v>7287</v>
      </c>
      <c r="I80">
        <v>4012.75</v>
      </c>
      <c r="J80">
        <v>7505</v>
      </c>
      <c r="K80" t="s">
        <v>54</v>
      </c>
      <c r="L80">
        <v>17</v>
      </c>
      <c r="M80" t="str">
        <f t="shared" si="1"/>
        <v>6-12 Months</v>
      </c>
      <c r="N80" s="1">
        <v>45295</v>
      </c>
      <c r="O80">
        <v>1</v>
      </c>
      <c r="P80">
        <v>79</v>
      </c>
      <c r="Q80" s="2">
        <v>1.03</v>
      </c>
      <c r="R80" t="s">
        <v>22</v>
      </c>
      <c r="S80">
        <v>2024</v>
      </c>
      <c r="T80" t="s">
        <v>23</v>
      </c>
    </row>
    <row r="81" spans="1:20" x14ac:dyDescent="0.3">
      <c r="A81">
        <v>136</v>
      </c>
      <c r="B81">
        <v>306</v>
      </c>
      <c r="C81" t="s">
        <v>53</v>
      </c>
      <c r="D81" t="s">
        <v>34</v>
      </c>
      <c r="E81" t="s">
        <v>37</v>
      </c>
      <c r="F81" s="1">
        <v>44568</v>
      </c>
      <c r="G81" s="1">
        <v>44958</v>
      </c>
      <c r="H81">
        <v>4081</v>
      </c>
      <c r="I81">
        <v>585</v>
      </c>
      <c r="J81">
        <v>3496</v>
      </c>
      <c r="K81" t="s">
        <v>35</v>
      </c>
      <c r="L81">
        <v>12</v>
      </c>
      <c r="M81" t="str">
        <f t="shared" si="1"/>
        <v>6-12 Months</v>
      </c>
      <c r="N81" s="1">
        <v>44958</v>
      </c>
      <c r="O81">
        <v>1</v>
      </c>
      <c r="P81">
        <v>80</v>
      </c>
      <c r="Q81" s="2">
        <v>0.86</v>
      </c>
      <c r="R81" t="s">
        <v>27</v>
      </c>
      <c r="S81">
        <v>2023</v>
      </c>
      <c r="T81" t="s">
        <v>43</v>
      </c>
    </row>
    <row r="82" spans="1:20" hidden="1" x14ac:dyDescent="0.3">
      <c r="A82">
        <v>137</v>
      </c>
      <c r="B82">
        <v>352</v>
      </c>
      <c r="C82" t="s">
        <v>24</v>
      </c>
      <c r="D82" t="s">
        <v>29</v>
      </c>
      <c r="E82" t="s">
        <v>37</v>
      </c>
      <c r="F82" s="1">
        <v>44784</v>
      </c>
      <c r="G82" s="1">
        <v>44873</v>
      </c>
      <c r="H82">
        <v>8046</v>
      </c>
      <c r="I82">
        <v>7904</v>
      </c>
      <c r="J82">
        <v>142</v>
      </c>
      <c r="K82" t="s">
        <v>54</v>
      </c>
      <c r="L82">
        <v>2</v>
      </c>
      <c r="M82" t="str">
        <f t="shared" si="1"/>
        <v>0-6 Months</v>
      </c>
      <c r="N82" s="1">
        <v>44873</v>
      </c>
      <c r="O82">
        <v>1</v>
      </c>
      <c r="P82">
        <v>81</v>
      </c>
      <c r="Q82" s="2">
        <v>0.02</v>
      </c>
      <c r="R82" t="s">
        <v>27</v>
      </c>
      <c r="S82">
        <v>2022</v>
      </c>
      <c r="T82" t="s">
        <v>42</v>
      </c>
    </row>
    <row r="83" spans="1:20" x14ac:dyDescent="0.3">
      <c r="A83">
        <v>139</v>
      </c>
      <c r="B83">
        <v>396</v>
      </c>
      <c r="C83" t="s">
        <v>39</v>
      </c>
      <c r="D83" t="s">
        <v>19</v>
      </c>
      <c r="E83" t="s">
        <v>26</v>
      </c>
      <c r="F83" s="1">
        <v>44917</v>
      </c>
      <c r="G83" s="1">
        <v>45338</v>
      </c>
      <c r="H83">
        <v>2896</v>
      </c>
      <c r="I83">
        <v>2405</v>
      </c>
      <c r="J83">
        <v>491</v>
      </c>
      <c r="K83" t="s">
        <v>35</v>
      </c>
      <c r="L83">
        <v>13</v>
      </c>
      <c r="M83" t="str">
        <f t="shared" si="1"/>
        <v>6-12 Months</v>
      </c>
      <c r="N83" s="1">
        <v>45338</v>
      </c>
      <c r="O83">
        <v>0</v>
      </c>
      <c r="P83">
        <v>82</v>
      </c>
      <c r="Q83" s="2">
        <v>0.17</v>
      </c>
      <c r="R83" t="s">
        <v>27</v>
      </c>
      <c r="S83">
        <v>2024</v>
      </c>
      <c r="T83" t="s">
        <v>43</v>
      </c>
    </row>
    <row r="84" spans="1:20" hidden="1" x14ac:dyDescent="0.3">
      <c r="A84">
        <v>140</v>
      </c>
      <c r="B84">
        <v>299</v>
      </c>
      <c r="C84" t="s">
        <v>45</v>
      </c>
      <c r="D84" t="s">
        <v>34</v>
      </c>
      <c r="E84" t="s">
        <v>26</v>
      </c>
      <c r="F84" s="1">
        <v>44583</v>
      </c>
      <c r="G84" s="1">
        <v>44755</v>
      </c>
      <c r="H84">
        <v>4967.93</v>
      </c>
      <c r="I84">
        <v>294</v>
      </c>
      <c r="J84">
        <v>-1016</v>
      </c>
      <c r="K84" t="s">
        <v>54</v>
      </c>
      <c r="L84">
        <v>5</v>
      </c>
      <c r="M84" t="str">
        <f t="shared" si="1"/>
        <v>0-6 Months</v>
      </c>
      <c r="N84" s="1">
        <v>44755</v>
      </c>
      <c r="O84">
        <v>0</v>
      </c>
      <c r="P84">
        <v>83</v>
      </c>
      <c r="Q84" s="2">
        <v>-0.2</v>
      </c>
      <c r="R84" t="s">
        <v>27</v>
      </c>
      <c r="S84">
        <v>2022</v>
      </c>
      <c r="T84" t="s">
        <v>44</v>
      </c>
    </row>
    <row r="85" spans="1:20" hidden="1" x14ac:dyDescent="0.3">
      <c r="A85">
        <v>142</v>
      </c>
      <c r="B85">
        <v>200</v>
      </c>
      <c r="C85" t="s">
        <v>45</v>
      </c>
      <c r="D85" t="s">
        <v>34</v>
      </c>
      <c r="E85" t="s">
        <v>20</v>
      </c>
      <c r="F85" s="1">
        <v>44567</v>
      </c>
      <c r="G85" s="1">
        <v>45145</v>
      </c>
      <c r="H85">
        <v>47</v>
      </c>
      <c r="I85">
        <v>302</v>
      </c>
      <c r="J85">
        <v>-255</v>
      </c>
      <c r="K85" t="s">
        <v>21</v>
      </c>
      <c r="L85">
        <v>19</v>
      </c>
      <c r="M85" t="str">
        <f t="shared" si="1"/>
        <v>6-12 Months</v>
      </c>
      <c r="N85" s="1">
        <v>45145</v>
      </c>
      <c r="O85">
        <v>1</v>
      </c>
      <c r="P85">
        <v>84</v>
      </c>
      <c r="Q85" s="2">
        <v>-5.43</v>
      </c>
      <c r="R85" t="s">
        <v>22</v>
      </c>
      <c r="S85">
        <v>2023</v>
      </c>
      <c r="T85" t="s">
        <v>36</v>
      </c>
    </row>
    <row r="86" spans="1:20" hidden="1" x14ac:dyDescent="0.3">
      <c r="A86">
        <v>143</v>
      </c>
      <c r="B86">
        <v>155</v>
      </c>
      <c r="C86" t="s">
        <v>53</v>
      </c>
      <c r="D86" t="s">
        <v>29</v>
      </c>
      <c r="E86" t="s">
        <v>20</v>
      </c>
      <c r="F86" s="1">
        <v>44646</v>
      </c>
      <c r="G86" s="1">
        <v>44938</v>
      </c>
      <c r="H86">
        <v>4967.93</v>
      </c>
      <c r="I86">
        <v>7984</v>
      </c>
      <c r="J86">
        <v>-8448</v>
      </c>
      <c r="K86" t="s">
        <v>54</v>
      </c>
      <c r="L86">
        <v>9</v>
      </c>
      <c r="M86" t="str">
        <f t="shared" si="1"/>
        <v>6-12 Months</v>
      </c>
      <c r="N86" s="1">
        <v>44938</v>
      </c>
      <c r="O86">
        <v>0</v>
      </c>
      <c r="P86">
        <v>85</v>
      </c>
      <c r="Q86" s="2">
        <v>-1.7</v>
      </c>
      <c r="R86" t="s">
        <v>22</v>
      </c>
      <c r="S86">
        <v>2023</v>
      </c>
      <c r="T86" t="s">
        <v>23</v>
      </c>
    </row>
    <row r="87" spans="1:20" hidden="1" x14ac:dyDescent="0.3">
      <c r="A87">
        <v>145</v>
      </c>
      <c r="B87">
        <v>288</v>
      </c>
      <c r="C87" t="s">
        <v>45</v>
      </c>
      <c r="D87" t="s">
        <v>25</v>
      </c>
      <c r="E87" t="s">
        <v>20</v>
      </c>
      <c r="F87" s="1">
        <v>44922</v>
      </c>
      <c r="G87" s="1">
        <v>45368</v>
      </c>
      <c r="H87">
        <v>4967.93</v>
      </c>
      <c r="I87">
        <v>7742</v>
      </c>
      <c r="J87">
        <v>-8677</v>
      </c>
      <c r="K87" t="s">
        <v>54</v>
      </c>
      <c r="L87">
        <v>14</v>
      </c>
      <c r="M87" t="str">
        <f t="shared" si="1"/>
        <v>6-12 Months</v>
      </c>
      <c r="N87" s="1">
        <v>45368</v>
      </c>
      <c r="O87">
        <v>1</v>
      </c>
      <c r="P87">
        <v>86</v>
      </c>
      <c r="Q87" s="2">
        <v>-1.75</v>
      </c>
      <c r="R87" t="s">
        <v>22</v>
      </c>
      <c r="S87">
        <v>2024</v>
      </c>
      <c r="T87" t="s">
        <v>38</v>
      </c>
    </row>
    <row r="88" spans="1:20" x14ac:dyDescent="0.3">
      <c r="A88">
        <v>146</v>
      </c>
      <c r="B88">
        <v>240</v>
      </c>
      <c r="C88" t="s">
        <v>53</v>
      </c>
      <c r="D88" t="s">
        <v>29</v>
      </c>
      <c r="E88" t="s">
        <v>26</v>
      </c>
      <c r="F88" s="1">
        <v>44838</v>
      </c>
      <c r="G88" s="1">
        <v>45074</v>
      </c>
      <c r="H88">
        <v>1892</v>
      </c>
      <c r="I88">
        <v>7655</v>
      </c>
      <c r="J88">
        <v>-5763</v>
      </c>
      <c r="K88" t="s">
        <v>35</v>
      </c>
      <c r="L88">
        <v>7</v>
      </c>
      <c r="M88" t="str">
        <f t="shared" si="1"/>
        <v>6-12 Months</v>
      </c>
      <c r="N88" s="1">
        <v>45074</v>
      </c>
      <c r="O88">
        <v>1</v>
      </c>
      <c r="P88">
        <v>87</v>
      </c>
      <c r="Q88" s="2">
        <v>-3.05</v>
      </c>
      <c r="R88" t="s">
        <v>22</v>
      </c>
      <c r="S88">
        <v>2023</v>
      </c>
      <c r="T88" t="s">
        <v>28</v>
      </c>
    </row>
    <row r="89" spans="1:20" hidden="1" x14ac:dyDescent="0.3">
      <c r="A89">
        <v>147</v>
      </c>
      <c r="B89">
        <v>339</v>
      </c>
      <c r="C89" t="s">
        <v>53</v>
      </c>
      <c r="D89" t="s">
        <v>34</v>
      </c>
      <c r="E89" t="s">
        <v>20</v>
      </c>
      <c r="F89" s="1">
        <v>44857</v>
      </c>
      <c r="G89" s="1">
        <v>45083</v>
      </c>
      <c r="H89">
        <v>4967.93</v>
      </c>
      <c r="I89">
        <v>7875</v>
      </c>
      <c r="J89">
        <v>-9351</v>
      </c>
      <c r="K89" t="s">
        <v>54</v>
      </c>
      <c r="L89">
        <v>7</v>
      </c>
      <c r="M89" t="str">
        <f t="shared" si="1"/>
        <v>6-12 Months</v>
      </c>
      <c r="N89" s="1">
        <v>45083</v>
      </c>
      <c r="O89">
        <v>1</v>
      </c>
      <c r="P89">
        <v>88</v>
      </c>
      <c r="Q89" s="2">
        <v>-1.88</v>
      </c>
      <c r="R89" t="s">
        <v>22</v>
      </c>
      <c r="S89">
        <v>2023</v>
      </c>
      <c r="T89" t="s">
        <v>41</v>
      </c>
    </row>
    <row r="90" spans="1:20" hidden="1" x14ac:dyDescent="0.3">
      <c r="A90">
        <v>148</v>
      </c>
      <c r="B90">
        <v>318</v>
      </c>
      <c r="C90" t="s">
        <v>40</v>
      </c>
      <c r="D90" t="s">
        <v>29</v>
      </c>
      <c r="E90" t="s">
        <v>26</v>
      </c>
      <c r="F90" s="1">
        <v>44820</v>
      </c>
      <c r="G90" s="1">
        <v>45087</v>
      </c>
      <c r="H90">
        <v>722</v>
      </c>
      <c r="I90">
        <v>4012.75</v>
      </c>
      <c r="J90">
        <v>1655</v>
      </c>
      <c r="K90" t="s">
        <v>54</v>
      </c>
      <c r="L90">
        <v>8</v>
      </c>
      <c r="M90" t="str">
        <f t="shared" si="1"/>
        <v>6-12 Months</v>
      </c>
      <c r="N90" s="1">
        <v>45087</v>
      </c>
      <c r="O90">
        <v>1</v>
      </c>
      <c r="P90">
        <v>89</v>
      </c>
      <c r="Q90" s="2">
        <v>2.29</v>
      </c>
      <c r="R90" t="s">
        <v>22</v>
      </c>
      <c r="S90">
        <v>2023</v>
      </c>
      <c r="T90" t="s">
        <v>41</v>
      </c>
    </row>
    <row r="91" spans="1:20" hidden="1" x14ac:dyDescent="0.3">
      <c r="A91">
        <v>149</v>
      </c>
      <c r="B91">
        <v>132</v>
      </c>
      <c r="C91" t="s">
        <v>40</v>
      </c>
      <c r="D91" t="s">
        <v>25</v>
      </c>
      <c r="E91" t="s">
        <v>37</v>
      </c>
      <c r="F91" s="1">
        <v>44734</v>
      </c>
      <c r="G91" s="1">
        <v>45009</v>
      </c>
      <c r="H91">
        <v>8283</v>
      </c>
      <c r="I91">
        <v>294</v>
      </c>
      <c r="J91">
        <v>7989</v>
      </c>
      <c r="K91" t="s">
        <v>54</v>
      </c>
      <c r="L91">
        <v>9</v>
      </c>
      <c r="M91" t="str">
        <f t="shared" si="1"/>
        <v>6-12 Months</v>
      </c>
      <c r="N91" s="1">
        <v>45009</v>
      </c>
      <c r="O91">
        <v>0</v>
      </c>
      <c r="P91">
        <v>90</v>
      </c>
      <c r="Q91" s="2">
        <v>0.96</v>
      </c>
      <c r="R91" t="s">
        <v>27</v>
      </c>
      <c r="S91">
        <v>2023</v>
      </c>
      <c r="T91" t="s">
        <v>38</v>
      </c>
    </row>
    <row r="92" spans="1:20" hidden="1" x14ac:dyDescent="0.3">
      <c r="A92">
        <v>150</v>
      </c>
      <c r="B92">
        <v>230</v>
      </c>
      <c r="C92" t="s">
        <v>24</v>
      </c>
      <c r="D92" t="s">
        <v>34</v>
      </c>
      <c r="E92" t="s">
        <v>37</v>
      </c>
      <c r="F92" s="1">
        <v>44851</v>
      </c>
      <c r="G92" s="1">
        <v>45286</v>
      </c>
      <c r="H92">
        <v>4853</v>
      </c>
      <c r="I92">
        <v>7126</v>
      </c>
      <c r="J92">
        <v>-2273</v>
      </c>
      <c r="K92" t="s">
        <v>54</v>
      </c>
      <c r="L92">
        <v>14</v>
      </c>
      <c r="M92" t="str">
        <f t="shared" si="1"/>
        <v>6-12 Months</v>
      </c>
      <c r="N92" s="1">
        <v>45286</v>
      </c>
      <c r="O92">
        <v>0</v>
      </c>
      <c r="P92">
        <v>91</v>
      </c>
      <c r="Q92" s="2">
        <v>-0.47</v>
      </c>
      <c r="R92" t="s">
        <v>27</v>
      </c>
      <c r="S92">
        <v>2023</v>
      </c>
      <c r="T92" t="s">
        <v>31</v>
      </c>
    </row>
    <row r="93" spans="1:20" hidden="1" x14ac:dyDescent="0.3">
      <c r="A93">
        <v>151</v>
      </c>
      <c r="B93">
        <v>137</v>
      </c>
      <c r="C93" t="s">
        <v>53</v>
      </c>
      <c r="D93" t="s">
        <v>19</v>
      </c>
      <c r="E93" t="s">
        <v>37</v>
      </c>
      <c r="F93" s="1">
        <v>44889</v>
      </c>
      <c r="G93" s="1">
        <v>45231</v>
      </c>
      <c r="H93">
        <v>5442</v>
      </c>
      <c r="I93">
        <v>719</v>
      </c>
      <c r="J93">
        <v>4723</v>
      </c>
      <c r="K93" t="s">
        <v>54</v>
      </c>
      <c r="L93">
        <v>11</v>
      </c>
      <c r="M93" t="str">
        <f t="shared" si="1"/>
        <v>6-12 Months</v>
      </c>
      <c r="N93" s="1">
        <v>45231</v>
      </c>
      <c r="O93">
        <v>1</v>
      </c>
      <c r="P93">
        <v>92</v>
      </c>
      <c r="Q93" s="2">
        <v>0.87</v>
      </c>
      <c r="R93" t="s">
        <v>27</v>
      </c>
      <c r="S93">
        <v>2023</v>
      </c>
      <c r="T93" t="s">
        <v>42</v>
      </c>
    </row>
    <row r="94" spans="1:20" hidden="1" x14ac:dyDescent="0.3">
      <c r="A94">
        <v>152</v>
      </c>
      <c r="B94">
        <v>398</v>
      </c>
      <c r="C94" t="s">
        <v>40</v>
      </c>
      <c r="D94" t="s">
        <v>25</v>
      </c>
      <c r="E94" t="s">
        <v>26</v>
      </c>
      <c r="F94" s="1">
        <v>44852</v>
      </c>
      <c r="G94" s="1">
        <v>45084</v>
      </c>
      <c r="H94">
        <v>762</v>
      </c>
      <c r="I94">
        <v>4763</v>
      </c>
      <c r="J94">
        <v>-4001</v>
      </c>
      <c r="K94" t="s">
        <v>21</v>
      </c>
      <c r="L94">
        <v>7</v>
      </c>
      <c r="M94" t="str">
        <f t="shared" si="1"/>
        <v>6-12 Months</v>
      </c>
      <c r="N94" s="1">
        <v>45084</v>
      </c>
      <c r="O94">
        <v>1</v>
      </c>
      <c r="P94">
        <v>93</v>
      </c>
      <c r="Q94" s="2">
        <v>-5.25</v>
      </c>
      <c r="R94" t="s">
        <v>22</v>
      </c>
      <c r="S94">
        <v>2023</v>
      </c>
      <c r="T94" t="s">
        <v>41</v>
      </c>
    </row>
    <row r="95" spans="1:20" hidden="1" x14ac:dyDescent="0.3">
      <c r="A95">
        <v>153</v>
      </c>
      <c r="B95">
        <v>171</v>
      </c>
      <c r="C95" t="s">
        <v>45</v>
      </c>
      <c r="D95" t="s">
        <v>19</v>
      </c>
      <c r="E95" t="s">
        <v>26</v>
      </c>
      <c r="F95" s="1">
        <v>44794</v>
      </c>
      <c r="G95" s="1">
        <v>44997</v>
      </c>
      <c r="H95">
        <v>3395</v>
      </c>
      <c r="I95">
        <v>6931</v>
      </c>
      <c r="J95">
        <v>-3536</v>
      </c>
      <c r="K95" t="s">
        <v>54</v>
      </c>
      <c r="L95">
        <v>6</v>
      </c>
      <c r="M95" t="str">
        <f t="shared" si="1"/>
        <v>12+ Months</v>
      </c>
      <c r="N95" s="1">
        <v>44997</v>
      </c>
      <c r="O95">
        <v>0</v>
      </c>
      <c r="P95">
        <v>94</v>
      </c>
      <c r="Q95" s="2">
        <v>-1.04</v>
      </c>
      <c r="R95" t="s">
        <v>22</v>
      </c>
      <c r="S95">
        <v>2023</v>
      </c>
      <c r="T95" t="s">
        <v>38</v>
      </c>
    </row>
    <row r="96" spans="1:20" hidden="1" x14ac:dyDescent="0.3">
      <c r="A96">
        <v>154</v>
      </c>
      <c r="B96">
        <v>153</v>
      </c>
      <c r="C96" t="s">
        <v>53</v>
      </c>
      <c r="D96" t="s">
        <v>25</v>
      </c>
      <c r="E96" t="s">
        <v>37</v>
      </c>
      <c r="F96" s="1">
        <v>44873</v>
      </c>
      <c r="G96" s="1">
        <v>44913</v>
      </c>
      <c r="H96">
        <v>3265</v>
      </c>
      <c r="I96">
        <v>4072</v>
      </c>
      <c r="J96">
        <v>-807</v>
      </c>
      <c r="K96" t="s">
        <v>54</v>
      </c>
      <c r="L96">
        <v>1</v>
      </c>
      <c r="M96" t="str">
        <f t="shared" si="1"/>
        <v>0-6 Months</v>
      </c>
      <c r="N96" s="1">
        <v>44913</v>
      </c>
      <c r="O96">
        <v>1</v>
      </c>
      <c r="P96">
        <v>95</v>
      </c>
      <c r="Q96" s="2">
        <v>-0.25</v>
      </c>
      <c r="R96" t="s">
        <v>27</v>
      </c>
      <c r="S96">
        <v>2022</v>
      </c>
      <c r="T96" t="s">
        <v>31</v>
      </c>
    </row>
    <row r="97" spans="1:20" x14ac:dyDescent="0.3">
      <c r="A97">
        <v>156</v>
      </c>
      <c r="B97">
        <v>219</v>
      </c>
      <c r="C97" t="s">
        <v>53</v>
      </c>
      <c r="D97" t="s">
        <v>19</v>
      </c>
      <c r="E97" t="s">
        <v>26</v>
      </c>
      <c r="F97" s="1">
        <v>44567</v>
      </c>
      <c r="G97" s="1">
        <v>44649</v>
      </c>
      <c r="H97">
        <v>5802</v>
      </c>
      <c r="I97">
        <v>1287</v>
      </c>
      <c r="J97">
        <v>4515</v>
      </c>
      <c r="K97" t="s">
        <v>35</v>
      </c>
      <c r="L97">
        <v>2</v>
      </c>
      <c r="M97" t="str">
        <f t="shared" si="1"/>
        <v>0-6 Months</v>
      </c>
      <c r="N97" s="1">
        <v>44649</v>
      </c>
      <c r="O97">
        <v>0</v>
      </c>
      <c r="P97">
        <v>96</v>
      </c>
      <c r="Q97" s="2">
        <v>0.78</v>
      </c>
      <c r="R97" t="s">
        <v>27</v>
      </c>
      <c r="S97">
        <v>2022</v>
      </c>
      <c r="T97" t="s">
        <v>38</v>
      </c>
    </row>
    <row r="98" spans="1:20" hidden="1" x14ac:dyDescent="0.3">
      <c r="A98">
        <v>158</v>
      </c>
      <c r="B98">
        <v>429</v>
      </c>
      <c r="C98" t="s">
        <v>39</v>
      </c>
      <c r="D98" t="s">
        <v>19</v>
      </c>
      <c r="E98" t="s">
        <v>20</v>
      </c>
      <c r="F98" s="1">
        <v>44767</v>
      </c>
      <c r="G98" s="1">
        <v>44949</v>
      </c>
      <c r="H98">
        <v>8778</v>
      </c>
      <c r="I98">
        <v>487</v>
      </c>
      <c r="J98">
        <v>8291</v>
      </c>
      <c r="K98" t="s">
        <v>54</v>
      </c>
      <c r="L98">
        <v>5</v>
      </c>
      <c r="M98" t="str">
        <f t="shared" si="1"/>
        <v>0-6 Months</v>
      </c>
      <c r="N98" s="1">
        <v>44949</v>
      </c>
      <c r="O98">
        <v>0</v>
      </c>
      <c r="P98">
        <v>97</v>
      </c>
      <c r="Q98" s="2">
        <v>0.94</v>
      </c>
      <c r="R98" t="s">
        <v>27</v>
      </c>
      <c r="S98">
        <v>2023</v>
      </c>
      <c r="T98" t="s">
        <v>23</v>
      </c>
    </row>
    <row r="99" spans="1:20" hidden="1" x14ac:dyDescent="0.3">
      <c r="A99">
        <v>159</v>
      </c>
      <c r="B99">
        <v>470</v>
      </c>
      <c r="C99" t="s">
        <v>53</v>
      </c>
      <c r="D99" t="s">
        <v>29</v>
      </c>
      <c r="E99" t="s">
        <v>20</v>
      </c>
      <c r="F99" s="1">
        <v>44624</v>
      </c>
      <c r="G99" s="1">
        <v>44840</v>
      </c>
      <c r="H99">
        <v>9829</v>
      </c>
      <c r="I99">
        <v>5720</v>
      </c>
      <c r="J99">
        <v>4109</v>
      </c>
      <c r="K99" t="s">
        <v>54</v>
      </c>
      <c r="L99">
        <v>7</v>
      </c>
      <c r="M99" t="str">
        <f t="shared" si="1"/>
        <v>6-12 Months</v>
      </c>
      <c r="N99" s="1">
        <v>44840</v>
      </c>
      <c r="O99">
        <v>1</v>
      </c>
      <c r="P99">
        <v>98</v>
      </c>
      <c r="Q99" s="2">
        <v>0.42</v>
      </c>
      <c r="R99" t="s">
        <v>27</v>
      </c>
      <c r="S99">
        <v>2022</v>
      </c>
      <c r="T99" t="s">
        <v>33</v>
      </c>
    </row>
    <row r="100" spans="1:20" hidden="1" x14ac:dyDescent="0.3">
      <c r="A100">
        <v>160</v>
      </c>
      <c r="B100">
        <v>146</v>
      </c>
      <c r="C100" t="s">
        <v>40</v>
      </c>
      <c r="D100" t="s">
        <v>25</v>
      </c>
      <c r="E100" t="s">
        <v>20</v>
      </c>
      <c r="F100" s="1">
        <v>44923</v>
      </c>
      <c r="G100" s="1">
        <v>45090</v>
      </c>
      <c r="H100">
        <v>4403</v>
      </c>
      <c r="I100">
        <v>1269</v>
      </c>
      <c r="J100">
        <v>3134</v>
      </c>
      <c r="K100" t="s">
        <v>54</v>
      </c>
      <c r="L100">
        <v>5</v>
      </c>
      <c r="M100" t="str">
        <f t="shared" si="1"/>
        <v>0-6 Months</v>
      </c>
      <c r="N100" s="1">
        <v>45090</v>
      </c>
      <c r="O100">
        <v>1</v>
      </c>
      <c r="P100">
        <v>99</v>
      </c>
      <c r="Q100" s="2">
        <v>0.71</v>
      </c>
      <c r="R100" t="s">
        <v>27</v>
      </c>
      <c r="S100">
        <v>2023</v>
      </c>
      <c r="T100" t="s">
        <v>41</v>
      </c>
    </row>
    <row r="101" spans="1:20" hidden="1" x14ac:dyDescent="0.3">
      <c r="A101">
        <v>164</v>
      </c>
      <c r="B101">
        <v>327</v>
      </c>
      <c r="C101" t="s">
        <v>24</v>
      </c>
      <c r="D101" t="s">
        <v>19</v>
      </c>
      <c r="E101" t="s">
        <v>37</v>
      </c>
      <c r="F101" s="1">
        <v>44779</v>
      </c>
      <c r="G101" s="1">
        <v>45018</v>
      </c>
      <c r="H101">
        <v>9063</v>
      </c>
      <c r="I101">
        <v>488</v>
      </c>
      <c r="J101">
        <v>8575</v>
      </c>
      <c r="K101" t="s">
        <v>54</v>
      </c>
      <c r="L101">
        <v>7</v>
      </c>
      <c r="M101" t="str">
        <f t="shared" si="1"/>
        <v>6-12 Months</v>
      </c>
      <c r="N101" s="1">
        <v>45018</v>
      </c>
      <c r="O101">
        <v>1</v>
      </c>
      <c r="P101">
        <v>100</v>
      </c>
      <c r="Q101" s="2">
        <v>0.95</v>
      </c>
      <c r="R101" t="s">
        <v>27</v>
      </c>
      <c r="S101">
        <v>2023</v>
      </c>
      <c r="T101" t="s">
        <v>32</v>
      </c>
    </row>
    <row r="102" spans="1:20" hidden="1" x14ac:dyDescent="0.3">
      <c r="A102">
        <v>167</v>
      </c>
      <c r="B102">
        <v>110</v>
      </c>
      <c r="C102" t="s">
        <v>39</v>
      </c>
      <c r="D102" t="s">
        <v>34</v>
      </c>
      <c r="E102" t="s">
        <v>37</v>
      </c>
      <c r="F102" s="1">
        <v>44674</v>
      </c>
      <c r="G102" s="1">
        <v>45211</v>
      </c>
      <c r="H102">
        <v>343</v>
      </c>
      <c r="I102">
        <v>4241</v>
      </c>
      <c r="J102">
        <v>-3898</v>
      </c>
      <c r="K102" t="s">
        <v>54</v>
      </c>
      <c r="L102">
        <v>17</v>
      </c>
      <c r="M102" t="str">
        <f t="shared" si="1"/>
        <v>6-12 Months</v>
      </c>
      <c r="N102" s="1">
        <v>45211</v>
      </c>
      <c r="O102">
        <v>1</v>
      </c>
      <c r="P102">
        <v>101</v>
      </c>
      <c r="Q102" s="2">
        <v>-11.36</v>
      </c>
      <c r="R102" t="s">
        <v>22</v>
      </c>
      <c r="S102">
        <v>2023</v>
      </c>
      <c r="T102" t="s">
        <v>33</v>
      </c>
    </row>
    <row r="103" spans="1:20" x14ac:dyDescent="0.3">
      <c r="A103">
        <v>170</v>
      </c>
      <c r="B103">
        <v>473</v>
      </c>
      <c r="C103" t="s">
        <v>40</v>
      </c>
      <c r="D103" t="s">
        <v>25</v>
      </c>
      <c r="E103" t="s">
        <v>37</v>
      </c>
      <c r="F103" s="1">
        <v>44800</v>
      </c>
      <c r="G103" s="1">
        <v>44959</v>
      </c>
      <c r="H103">
        <v>4468</v>
      </c>
      <c r="I103">
        <v>4000</v>
      </c>
      <c r="J103">
        <v>468</v>
      </c>
      <c r="K103" t="s">
        <v>35</v>
      </c>
      <c r="L103">
        <v>5</v>
      </c>
      <c r="M103" t="str">
        <f t="shared" si="1"/>
        <v>0-6 Months</v>
      </c>
      <c r="N103" s="1">
        <v>44959</v>
      </c>
      <c r="O103">
        <v>1</v>
      </c>
      <c r="P103">
        <v>102</v>
      </c>
      <c r="Q103" s="2">
        <v>0.1</v>
      </c>
      <c r="R103" t="s">
        <v>27</v>
      </c>
      <c r="S103">
        <v>2023</v>
      </c>
      <c r="T103" t="s">
        <v>43</v>
      </c>
    </row>
    <row r="104" spans="1:20" hidden="1" x14ac:dyDescent="0.3">
      <c r="A104">
        <v>171</v>
      </c>
      <c r="B104">
        <v>143</v>
      </c>
      <c r="C104" t="s">
        <v>45</v>
      </c>
      <c r="D104" t="s">
        <v>19</v>
      </c>
      <c r="E104" t="s">
        <v>26</v>
      </c>
      <c r="F104" s="1">
        <v>44771</v>
      </c>
      <c r="G104" s="1">
        <v>45317</v>
      </c>
      <c r="H104">
        <v>5146</v>
      </c>
      <c r="I104">
        <v>3188</v>
      </c>
      <c r="J104">
        <v>1958</v>
      </c>
      <c r="K104" t="s">
        <v>54</v>
      </c>
      <c r="L104">
        <v>17</v>
      </c>
      <c r="M104" t="str">
        <f t="shared" si="1"/>
        <v>6-12 Months</v>
      </c>
      <c r="N104" s="1">
        <v>45317</v>
      </c>
      <c r="O104">
        <v>0</v>
      </c>
      <c r="P104">
        <v>103</v>
      </c>
      <c r="Q104" s="2">
        <v>0.38</v>
      </c>
      <c r="R104" t="s">
        <v>27</v>
      </c>
      <c r="S104">
        <v>2024</v>
      </c>
      <c r="T104" t="s">
        <v>23</v>
      </c>
    </row>
    <row r="105" spans="1:20" hidden="1" x14ac:dyDescent="0.3">
      <c r="A105">
        <v>172</v>
      </c>
      <c r="B105">
        <v>464</v>
      </c>
      <c r="C105" t="s">
        <v>40</v>
      </c>
      <c r="D105" t="s">
        <v>19</v>
      </c>
      <c r="E105" t="s">
        <v>26</v>
      </c>
      <c r="F105" s="1">
        <v>44780</v>
      </c>
      <c r="G105" s="1">
        <v>45138</v>
      </c>
      <c r="H105">
        <v>3274</v>
      </c>
      <c r="I105">
        <v>2821</v>
      </c>
      <c r="J105">
        <v>453</v>
      </c>
      <c r="K105" t="s">
        <v>21</v>
      </c>
      <c r="L105">
        <v>11</v>
      </c>
      <c r="M105" t="str">
        <f t="shared" si="1"/>
        <v>6-12 Months</v>
      </c>
      <c r="N105" s="1">
        <v>45138</v>
      </c>
      <c r="O105">
        <v>1</v>
      </c>
      <c r="P105">
        <v>104</v>
      </c>
      <c r="Q105" s="2">
        <v>0.14000000000000001</v>
      </c>
      <c r="R105" t="s">
        <v>27</v>
      </c>
      <c r="S105">
        <v>2023</v>
      </c>
      <c r="T105" t="s">
        <v>44</v>
      </c>
    </row>
    <row r="106" spans="1:20" x14ac:dyDescent="0.3">
      <c r="A106">
        <v>176</v>
      </c>
      <c r="B106">
        <v>430</v>
      </c>
      <c r="C106" t="s">
        <v>40</v>
      </c>
      <c r="D106" t="s">
        <v>25</v>
      </c>
      <c r="E106" t="s">
        <v>20</v>
      </c>
      <c r="F106" s="1">
        <v>44630</v>
      </c>
      <c r="G106" s="1">
        <v>44738</v>
      </c>
      <c r="H106">
        <v>4320</v>
      </c>
      <c r="I106">
        <v>5028</v>
      </c>
      <c r="J106">
        <v>-708</v>
      </c>
      <c r="K106" t="s">
        <v>35</v>
      </c>
      <c r="L106">
        <v>3</v>
      </c>
      <c r="M106" t="str">
        <f t="shared" si="1"/>
        <v>0-6 Months</v>
      </c>
      <c r="N106" s="1">
        <v>44738</v>
      </c>
      <c r="O106">
        <v>1</v>
      </c>
      <c r="P106">
        <v>105</v>
      </c>
      <c r="Q106" s="2">
        <v>-0.16</v>
      </c>
      <c r="R106" t="s">
        <v>27</v>
      </c>
      <c r="S106">
        <v>2022</v>
      </c>
      <c r="T106" t="s">
        <v>41</v>
      </c>
    </row>
    <row r="107" spans="1:20" hidden="1" x14ac:dyDescent="0.3">
      <c r="A107">
        <v>177</v>
      </c>
      <c r="B107">
        <v>496</v>
      </c>
      <c r="C107" t="s">
        <v>53</v>
      </c>
      <c r="D107" t="s">
        <v>25</v>
      </c>
      <c r="E107" t="s">
        <v>26</v>
      </c>
      <c r="F107" s="1">
        <v>44657</v>
      </c>
      <c r="G107" s="1">
        <v>45032</v>
      </c>
      <c r="H107">
        <v>3021</v>
      </c>
      <c r="I107">
        <v>4005</v>
      </c>
      <c r="J107">
        <v>-984</v>
      </c>
      <c r="K107" t="s">
        <v>54</v>
      </c>
      <c r="L107">
        <v>12</v>
      </c>
      <c r="M107" t="str">
        <f t="shared" si="1"/>
        <v>6-12 Months</v>
      </c>
      <c r="N107" s="1">
        <v>45032</v>
      </c>
      <c r="O107">
        <v>0</v>
      </c>
      <c r="P107">
        <v>106</v>
      </c>
      <c r="Q107" s="2">
        <v>-0.33</v>
      </c>
      <c r="R107" t="s">
        <v>27</v>
      </c>
      <c r="S107">
        <v>2023</v>
      </c>
      <c r="T107" t="s">
        <v>32</v>
      </c>
    </row>
    <row r="108" spans="1:20" hidden="1" x14ac:dyDescent="0.3">
      <c r="A108">
        <v>178</v>
      </c>
      <c r="B108">
        <v>286</v>
      </c>
      <c r="C108" t="s">
        <v>45</v>
      </c>
      <c r="D108" t="s">
        <v>25</v>
      </c>
      <c r="E108" t="s">
        <v>37</v>
      </c>
      <c r="F108" s="1">
        <v>44623</v>
      </c>
      <c r="G108" s="1">
        <v>45150</v>
      </c>
      <c r="H108">
        <v>6598</v>
      </c>
      <c r="I108">
        <v>3532</v>
      </c>
      <c r="J108">
        <v>3066</v>
      </c>
      <c r="K108" t="s">
        <v>21</v>
      </c>
      <c r="L108">
        <v>17</v>
      </c>
      <c r="M108" t="str">
        <f t="shared" si="1"/>
        <v>6-12 Months</v>
      </c>
      <c r="N108" s="1">
        <v>45150</v>
      </c>
      <c r="O108">
        <v>0</v>
      </c>
      <c r="P108">
        <v>107</v>
      </c>
      <c r="Q108" s="2">
        <v>0.46</v>
      </c>
      <c r="R108" t="s">
        <v>27</v>
      </c>
      <c r="S108">
        <v>2023</v>
      </c>
      <c r="T108" t="s">
        <v>36</v>
      </c>
    </row>
    <row r="109" spans="1:20" hidden="1" x14ac:dyDescent="0.3">
      <c r="A109">
        <v>179</v>
      </c>
      <c r="B109">
        <v>244</v>
      </c>
      <c r="C109" t="s">
        <v>24</v>
      </c>
      <c r="D109" t="s">
        <v>34</v>
      </c>
      <c r="E109" t="s">
        <v>20</v>
      </c>
      <c r="F109" s="1">
        <v>44786</v>
      </c>
      <c r="G109" s="1">
        <v>44980</v>
      </c>
      <c r="H109">
        <v>9479</v>
      </c>
      <c r="I109">
        <v>3072</v>
      </c>
      <c r="J109">
        <v>6407</v>
      </c>
      <c r="K109" t="s">
        <v>21</v>
      </c>
      <c r="L109">
        <v>6</v>
      </c>
      <c r="M109" t="str">
        <f t="shared" si="1"/>
        <v>12+ Months</v>
      </c>
      <c r="N109" s="1">
        <v>44980</v>
      </c>
      <c r="O109">
        <v>0</v>
      </c>
      <c r="P109">
        <v>108</v>
      </c>
      <c r="Q109" s="2">
        <v>0.68</v>
      </c>
      <c r="R109" t="s">
        <v>27</v>
      </c>
      <c r="S109">
        <v>2023</v>
      </c>
      <c r="T109" t="s">
        <v>43</v>
      </c>
    </row>
    <row r="110" spans="1:20" hidden="1" x14ac:dyDescent="0.3">
      <c r="A110">
        <v>182</v>
      </c>
      <c r="B110">
        <v>499</v>
      </c>
      <c r="C110" t="s">
        <v>53</v>
      </c>
      <c r="D110" t="s">
        <v>25</v>
      </c>
      <c r="E110" t="s">
        <v>20</v>
      </c>
      <c r="F110" s="1">
        <v>44888</v>
      </c>
      <c r="G110" s="1">
        <v>45159</v>
      </c>
      <c r="H110">
        <v>7639</v>
      </c>
      <c r="I110">
        <v>1980</v>
      </c>
      <c r="J110">
        <v>5659</v>
      </c>
      <c r="K110" t="s">
        <v>21</v>
      </c>
      <c r="L110">
        <v>8</v>
      </c>
      <c r="M110" t="str">
        <f t="shared" si="1"/>
        <v>6-12 Months</v>
      </c>
      <c r="N110" s="1">
        <v>45159</v>
      </c>
      <c r="O110">
        <v>0</v>
      </c>
      <c r="P110">
        <v>109</v>
      </c>
      <c r="Q110" s="2">
        <v>0.74</v>
      </c>
      <c r="R110" t="s">
        <v>27</v>
      </c>
      <c r="S110">
        <v>2023</v>
      </c>
      <c r="T110" t="s">
        <v>36</v>
      </c>
    </row>
    <row r="111" spans="1:20" hidden="1" x14ac:dyDescent="0.3">
      <c r="A111">
        <v>183</v>
      </c>
      <c r="B111">
        <v>166</v>
      </c>
      <c r="C111" t="s">
        <v>24</v>
      </c>
      <c r="D111" t="s">
        <v>34</v>
      </c>
      <c r="E111" t="s">
        <v>20</v>
      </c>
      <c r="F111" s="1">
        <v>44584</v>
      </c>
      <c r="G111" s="1">
        <v>44827</v>
      </c>
      <c r="H111">
        <v>9206</v>
      </c>
      <c r="I111">
        <v>4012.75</v>
      </c>
      <c r="J111">
        <v>9441</v>
      </c>
      <c r="K111" t="s">
        <v>21</v>
      </c>
      <c r="L111">
        <v>8</v>
      </c>
      <c r="M111" t="str">
        <f t="shared" si="1"/>
        <v>6-12 Months</v>
      </c>
      <c r="N111" s="1">
        <v>44827</v>
      </c>
      <c r="O111">
        <v>0</v>
      </c>
      <c r="P111">
        <v>110</v>
      </c>
      <c r="Q111" s="2">
        <v>1.03</v>
      </c>
      <c r="R111" t="s">
        <v>22</v>
      </c>
      <c r="S111">
        <v>2022</v>
      </c>
      <c r="T111" t="s">
        <v>30</v>
      </c>
    </row>
    <row r="112" spans="1:20" hidden="1" x14ac:dyDescent="0.3">
      <c r="A112">
        <v>186</v>
      </c>
      <c r="B112">
        <v>273</v>
      </c>
      <c r="C112" t="s">
        <v>24</v>
      </c>
      <c r="D112" t="s">
        <v>19</v>
      </c>
      <c r="E112" t="s">
        <v>26</v>
      </c>
      <c r="F112" s="1">
        <v>44765</v>
      </c>
      <c r="G112" s="1">
        <v>44882</v>
      </c>
      <c r="H112">
        <v>9104</v>
      </c>
      <c r="I112">
        <v>7631</v>
      </c>
      <c r="J112">
        <v>577.01</v>
      </c>
      <c r="K112" t="s">
        <v>54</v>
      </c>
      <c r="L112">
        <v>3</v>
      </c>
      <c r="M112" t="str">
        <f t="shared" si="1"/>
        <v>0-6 Months</v>
      </c>
      <c r="N112" s="1">
        <v>44882</v>
      </c>
      <c r="O112">
        <v>0</v>
      </c>
      <c r="P112">
        <v>111</v>
      </c>
      <c r="Q112" s="2">
        <v>0.06</v>
      </c>
      <c r="R112" t="s">
        <v>27</v>
      </c>
      <c r="S112">
        <v>2022</v>
      </c>
      <c r="T112" t="s">
        <v>42</v>
      </c>
    </row>
    <row r="113" spans="1:20" hidden="1" x14ac:dyDescent="0.3">
      <c r="A113">
        <v>187</v>
      </c>
      <c r="B113">
        <v>184</v>
      </c>
      <c r="C113" t="s">
        <v>40</v>
      </c>
      <c r="D113" t="s">
        <v>29</v>
      </c>
      <c r="E113" t="s">
        <v>26</v>
      </c>
      <c r="F113" s="1">
        <v>44621</v>
      </c>
      <c r="G113" s="1">
        <v>44754</v>
      </c>
      <c r="H113">
        <v>6248</v>
      </c>
      <c r="I113">
        <v>1832</v>
      </c>
      <c r="J113">
        <v>577.01</v>
      </c>
      <c r="K113" t="s">
        <v>21</v>
      </c>
      <c r="L113">
        <v>4</v>
      </c>
      <c r="M113" t="str">
        <f t="shared" si="1"/>
        <v>0-6 Months</v>
      </c>
      <c r="N113" s="1">
        <v>44754</v>
      </c>
      <c r="O113">
        <v>1</v>
      </c>
      <c r="P113">
        <v>112</v>
      </c>
      <c r="Q113" s="2">
        <v>0.09</v>
      </c>
      <c r="R113" t="s">
        <v>27</v>
      </c>
      <c r="S113">
        <v>2022</v>
      </c>
      <c r="T113" t="s">
        <v>44</v>
      </c>
    </row>
    <row r="114" spans="1:20" x14ac:dyDescent="0.3">
      <c r="A114">
        <v>188</v>
      </c>
      <c r="B114">
        <v>306</v>
      </c>
      <c r="C114" t="s">
        <v>39</v>
      </c>
      <c r="D114" t="s">
        <v>34</v>
      </c>
      <c r="E114" t="s">
        <v>20</v>
      </c>
      <c r="F114" s="1">
        <v>44708</v>
      </c>
      <c r="G114" s="1">
        <v>45204</v>
      </c>
      <c r="H114">
        <v>4122</v>
      </c>
      <c r="I114">
        <v>5363</v>
      </c>
      <c r="J114">
        <v>-1241</v>
      </c>
      <c r="K114" t="s">
        <v>35</v>
      </c>
      <c r="L114">
        <v>16</v>
      </c>
      <c r="M114" t="str">
        <f t="shared" si="1"/>
        <v>6-12 Months</v>
      </c>
      <c r="N114" s="1">
        <v>45204</v>
      </c>
      <c r="O114">
        <v>1</v>
      </c>
      <c r="P114">
        <v>113</v>
      </c>
      <c r="Q114" s="2">
        <v>-0.3</v>
      </c>
      <c r="R114" t="s">
        <v>27</v>
      </c>
      <c r="S114">
        <v>2023</v>
      </c>
      <c r="T114" t="s">
        <v>33</v>
      </c>
    </row>
    <row r="115" spans="1:20" hidden="1" x14ac:dyDescent="0.3">
      <c r="A115">
        <v>189</v>
      </c>
      <c r="B115">
        <v>293</v>
      </c>
      <c r="C115" t="s">
        <v>45</v>
      </c>
      <c r="D115" t="s">
        <v>29</v>
      </c>
      <c r="E115" t="s">
        <v>37</v>
      </c>
      <c r="F115" s="1">
        <v>44867</v>
      </c>
      <c r="G115" s="1">
        <v>45440</v>
      </c>
      <c r="H115">
        <v>8057</v>
      </c>
      <c r="I115">
        <v>594</v>
      </c>
      <c r="J115">
        <v>7463</v>
      </c>
      <c r="K115" t="s">
        <v>21</v>
      </c>
      <c r="L115">
        <v>18</v>
      </c>
      <c r="M115" t="str">
        <f t="shared" si="1"/>
        <v>6-12 Months</v>
      </c>
      <c r="N115" s="1">
        <v>45440</v>
      </c>
      <c r="O115">
        <v>0</v>
      </c>
      <c r="P115">
        <v>114</v>
      </c>
      <c r="Q115" s="2">
        <v>0.93</v>
      </c>
      <c r="R115" t="s">
        <v>27</v>
      </c>
      <c r="S115">
        <v>2024</v>
      </c>
      <c r="T115" t="s">
        <v>28</v>
      </c>
    </row>
    <row r="116" spans="1:20" hidden="1" x14ac:dyDescent="0.3">
      <c r="A116">
        <v>190</v>
      </c>
      <c r="B116">
        <v>328</v>
      </c>
      <c r="C116" t="s">
        <v>24</v>
      </c>
      <c r="D116" t="s">
        <v>25</v>
      </c>
      <c r="E116" t="s">
        <v>20</v>
      </c>
      <c r="F116" s="1">
        <v>44608</v>
      </c>
      <c r="G116" s="1">
        <v>44900</v>
      </c>
      <c r="H116">
        <v>3731</v>
      </c>
      <c r="I116">
        <v>6802</v>
      </c>
      <c r="J116">
        <v>-3071</v>
      </c>
      <c r="K116" t="s">
        <v>21</v>
      </c>
      <c r="L116">
        <v>9</v>
      </c>
      <c r="M116" t="str">
        <f t="shared" si="1"/>
        <v>6-12 Months</v>
      </c>
      <c r="N116" s="1">
        <v>44900</v>
      </c>
      <c r="O116">
        <v>0</v>
      </c>
      <c r="P116">
        <v>115</v>
      </c>
      <c r="Q116" s="2">
        <v>-0.82</v>
      </c>
      <c r="R116" t="s">
        <v>27</v>
      </c>
      <c r="S116">
        <v>2022</v>
      </c>
      <c r="T116" t="s">
        <v>31</v>
      </c>
    </row>
    <row r="117" spans="1:20" hidden="1" x14ac:dyDescent="0.3">
      <c r="A117">
        <v>191</v>
      </c>
      <c r="B117">
        <v>498</v>
      </c>
      <c r="C117" t="s">
        <v>45</v>
      </c>
      <c r="D117" t="s">
        <v>19</v>
      </c>
      <c r="E117" t="s">
        <v>37</v>
      </c>
      <c r="F117" s="1">
        <v>44906</v>
      </c>
      <c r="G117" s="1">
        <v>45454</v>
      </c>
      <c r="H117">
        <v>7182</v>
      </c>
      <c r="I117">
        <v>7580</v>
      </c>
      <c r="J117">
        <v>-398</v>
      </c>
      <c r="K117" t="s">
        <v>54</v>
      </c>
      <c r="L117">
        <v>18</v>
      </c>
      <c r="M117" t="str">
        <f t="shared" si="1"/>
        <v>6-12 Months</v>
      </c>
      <c r="N117" s="1">
        <v>45454</v>
      </c>
      <c r="O117">
        <v>0</v>
      </c>
      <c r="P117">
        <v>116</v>
      </c>
      <c r="Q117" s="2">
        <v>-0.06</v>
      </c>
      <c r="R117" t="s">
        <v>27</v>
      </c>
      <c r="S117">
        <v>2024</v>
      </c>
      <c r="T117" t="s">
        <v>41</v>
      </c>
    </row>
    <row r="118" spans="1:20" x14ac:dyDescent="0.3">
      <c r="A118">
        <v>193</v>
      </c>
      <c r="B118">
        <v>227</v>
      </c>
      <c r="C118" t="s">
        <v>24</v>
      </c>
      <c r="D118" t="s">
        <v>34</v>
      </c>
      <c r="E118" t="s">
        <v>26</v>
      </c>
      <c r="F118" s="1">
        <v>44655</v>
      </c>
      <c r="G118" s="1">
        <v>44837</v>
      </c>
      <c r="H118">
        <v>4967.93</v>
      </c>
      <c r="I118">
        <v>5629</v>
      </c>
      <c r="J118">
        <v>-7240</v>
      </c>
      <c r="K118" t="s">
        <v>35</v>
      </c>
      <c r="L118">
        <v>5</v>
      </c>
      <c r="M118" t="str">
        <f t="shared" si="1"/>
        <v>0-6 Months</v>
      </c>
      <c r="N118" s="1">
        <v>44837</v>
      </c>
      <c r="O118">
        <v>0</v>
      </c>
      <c r="P118">
        <v>117</v>
      </c>
      <c r="Q118" s="2">
        <v>-1.46</v>
      </c>
      <c r="R118" t="s">
        <v>22</v>
      </c>
      <c r="S118">
        <v>2022</v>
      </c>
      <c r="T118" t="s">
        <v>33</v>
      </c>
    </row>
    <row r="119" spans="1:20" hidden="1" x14ac:dyDescent="0.3">
      <c r="A119">
        <v>195</v>
      </c>
      <c r="B119">
        <v>337</v>
      </c>
      <c r="C119" t="s">
        <v>53</v>
      </c>
      <c r="D119" t="s">
        <v>25</v>
      </c>
      <c r="E119" t="s">
        <v>20</v>
      </c>
      <c r="F119" s="1">
        <v>44870</v>
      </c>
      <c r="G119" s="1">
        <v>45046</v>
      </c>
      <c r="H119">
        <v>2540</v>
      </c>
      <c r="I119">
        <v>3282</v>
      </c>
      <c r="J119">
        <v>-742</v>
      </c>
      <c r="K119" t="s">
        <v>54</v>
      </c>
      <c r="L119">
        <v>5</v>
      </c>
      <c r="M119" t="str">
        <f t="shared" si="1"/>
        <v>0-6 Months</v>
      </c>
      <c r="N119" s="1">
        <v>45046</v>
      </c>
      <c r="O119">
        <v>1</v>
      </c>
      <c r="P119">
        <v>118</v>
      </c>
      <c r="Q119" s="2">
        <v>-0.28999999999999998</v>
      </c>
      <c r="R119" t="s">
        <v>27</v>
      </c>
      <c r="S119">
        <v>2023</v>
      </c>
      <c r="T119" t="s">
        <v>32</v>
      </c>
    </row>
    <row r="120" spans="1:20" x14ac:dyDescent="0.3">
      <c r="A120">
        <v>196</v>
      </c>
      <c r="B120">
        <v>458</v>
      </c>
      <c r="C120" t="s">
        <v>24</v>
      </c>
      <c r="D120" t="s">
        <v>29</v>
      </c>
      <c r="E120" t="s">
        <v>37</v>
      </c>
      <c r="F120" s="1">
        <v>44895</v>
      </c>
      <c r="G120" s="1">
        <v>45390</v>
      </c>
      <c r="H120">
        <v>4391</v>
      </c>
      <c r="I120">
        <v>184</v>
      </c>
      <c r="J120">
        <v>4207</v>
      </c>
      <c r="K120" t="s">
        <v>35</v>
      </c>
      <c r="L120">
        <v>16</v>
      </c>
      <c r="M120" t="str">
        <f t="shared" si="1"/>
        <v>6-12 Months</v>
      </c>
      <c r="N120" s="1">
        <v>45390</v>
      </c>
      <c r="O120">
        <v>1</v>
      </c>
      <c r="P120">
        <v>119</v>
      </c>
      <c r="Q120" s="2">
        <v>0.96</v>
      </c>
      <c r="R120" t="s">
        <v>27</v>
      </c>
      <c r="S120">
        <v>2024</v>
      </c>
      <c r="T120" t="s">
        <v>32</v>
      </c>
    </row>
    <row r="121" spans="1:20" x14ac:dyDescent="0.3">
      <c r="A121">
        <v>198</v>
      </c>
      <c r="B121">
        <v>192</v>
      </c>
      <c r="C121" t="s">
        <v>40</v>
      </c>
      <c r="D121" t="s">
        <v>29</v>
      </c>
      <c r="E121" t="s">
        <v>37</v>
      </c>
      <c r="F121" s="1">
        <v>44714</v>
      </c>
      <c r="G121" s="1">
        <v>44865</v>
      </c>
      <c r="H121">
        <v>241</v>
      </c>
      <c r="I121">
        <v>4012.75</v>
      </c>
      <c r="J121">
        <v>1116</v>
      </c>
      <c r="K121" t="s">
        <v>35</v>
      </c>
      <c r="L121">
        <v>4</v>
      </c>
      <c r="M121" t="str">
        <f t="shared" si="1"/>
        <v>0-6 Months</v>
      </c>
      <c r="N121" s="1">
        <v>44865</v>
      </c>
      <c r="O121">
        <v>1</v>
      </c>
      <c r="P121">
        <v>120</v>
      </c>
      <c r="Q121" s="2">
        <v>4.63</v>
      </c>
      <c r="R121" t="s">
        <v>22</v>
      </c>
      <c r="S121">
        <v>2022</v>
      </c>
      <c r="T121" t="s">
        <v>33</v>
      </c>
    </row>
    <row r="122" spans="1:20" hidden="1" x14ac:dyDescent="0.3">
      <c r="A122">
        <v>200</v>
      </c>
      <c r="B122">
        <v>412</v>
      </c>
      <c r="C122" t="s">
        <v>45</v>
      </c>
      <c r="D122" t="s">
        <v>25</v>
      </c>
      <c r="E122" t="s">
        <v>37</v>
      </c>
      <c r="F122" s="1">
        <v>44662</v>
      </c>
      <c r="G122" s="1">
        <v>45246</v>
      </c>
      <c r="H122">
        <v>8343</v>
      </c>
      <c r="I122">
        <v>4666</v>
      </c>
      <c r="J122">
        <v>3677</v>
      </c>
      <c r="K122" t="s">
        <v>21</v>
      </c>
      <c r="L122">
        <v>19</v>
      </c>
      <c r="M122" t="str">
        <f t="shared" si="1"/>
        <v>6-12 Months</v>
      </c>
      <c r="N122" s="1">
        <v>45246</v>
      </c>
      <c r="O122">
        <v>0</v>
      </c>
      <c r="P122">
        <v>121</v>
      </c>
      <c r="Q122" s="2">
        <v>0.44</v>
      </c>
      <c r="R122" t="s">
        <v>27</v>
      </c>
      <c r="S122">
        <v>2023</v>
      </c>
      <c r="T122" t="s">
        <v>42</v>
      </c>
    </row>
    <row r="123" spans="1:20" hidden="1" x14ac:dyDescent="0.3">
      <c r="A123">
        <v>201</v>
      </c>
      <c r="B123">
        <v>457</v>
      </c>
      <c r="C123" t="s">
        <v>24</v>
      </c>
      <c r="D123" t="s">
        <v>29</v>
      </c>
      <c r="E123" t="s">
        <v>37</v>
      </c>
      <c r="F123" s="1">
        <v>44758</v>
      </c>
      <c r="G123" s="1">
        <v>45179</v>
      </c>
      <c r="H123">
        <v>4967.93</v>
      </c>
      <c r="I123">
        <v>7087</v>
      </c>
      <c r="J123">
        <v>-8682</v>
      </c>
      <c r="K123" t="s">
        <v>21</v>
      </c>
      <c r="L123">
        <v>13</v>
      </c>
      <c r="M123" t="str">
        <f t="shared" si="1"/>
        <v>6-12 Months</v>
      </c>
      <c r="N123" s="1">
        <v>45179</v>
      </c>
      <c r="O123">
        <v>1</v>
      </c>
      <c r="P123">
        <v>122</v>
      </c>
      <c r="Q123" s="2">
        <v>-1.75</v>
      </c>
      <c r="R123" t="s">
        <v>22</v>
      </c>
      <c r="S123">
        <v>2023</v>
      </c>
      <c r="T123" t="s">
        <v>30</v>
      </c>
    </row>
    <row r="124" spans="1:20" hidden="1" x14ac:dyDescent="0.3">
      <c r="A124">
        <v>202</v>
      </c>
      <c r="B124">
        <v>184</v>
      </c>
      <c r="C124" t="s">
        <v>39</v>
      </c>
      <c r="D124" t="s">
        <v>34</v>
      </c>
      <c r="E124" t="s">
        <v>37</v>
      </c>
      <c r="F124" s="1">
        <v>44650</v>
      </c>
      <c r="G124" s="1">
        <v>44685</v>
      </c>
      <c r="H124">
        <v>2543</v>
      </c>
      <c r="I124">
        <v>1788</v>
      </c>
      <c r="J124">
        <v>755</v>
      </c>
      <c r="K124" t="s">
        <v>21</v>
      </c>
      <c r="L124">
        <v>1</v>
      </c>
      <c r="M124" t="str">
        <f t="shared" si="1"/>
        <v>0-6 Months</v>
      </c>
      <c r="N124" s="1">
        <v>44685</v>
      </c>
      <c r="O124">
        <v>0</v>
      </c>
      <c r="P124">
        <v>123</v>
      </c>
      <c r="Q124" s="2">
        <v>0.3</v>
      </c>
      <c r="R124" t="s">
        <v>27</v>
      </c>
      <c r="S124">
        <v>2022</v>
      </c>
      <c r="T124" t="s">
        <v>28</v>
      </c>
    </row>
    <row r="125" spans="1:20" hidden="1" x14ac:dyDescent="0.3">
      <c r="A125">
        <v>205</v>
      </c>
      <c r="B125">
        <v>485</v>
      </c>
      <c r="C125" t="s">
        <v>24</v>
      </c>
      <c r="D125" t="s">
        <v>34</v>
      </c>
      <c r="E125" t="s">
        <v>20</v>
      </c>
      <c r="F125" s="1">
        <v>44692</v>
      </c>
      <c r="G125" s="1">
        <v>45153</v>
      </c>
      <c r="H125">
        <v>5463</v>
      </c>
      <c r="I125">
        <v>6798</v>
      </c>
      <c r="J125">
        <v>-1335</v>
      </c>
      <c r="K125" t="s">
        <v>21</v>
      </c>
      <c r="L125">
        <v>15</v>
      </c>
      <c r="M125" t="str">
        <f t="shared" si="1"/>
        <v>6-12 Months</v>
      </c>
      <c r="N125" s="1">
        <v>45153</v>
      </c>
      <c r="O125">
        <v>0</v>
      </c>
      <c r="P125">
        <v>124</v>
      </c>
      <c r="Q125" s="2">
        <v>-0.24</v>
      </c>
      <c r="R125" t="s">
        <v>27</v>
      </c>
      <c r="S125">
        <v>2023</v>
      </c>
      <c r="T125" t="s">
        <v>36</v>
      </c>
    </row>
    <row r="126" spans="1:20" x14ac:dyDescent="0.3">
      <c r="A126">
        <v>206</v>
      </c>
      <c r="B126">
        <v>428</v>
      </c>
      <c r="C126" t="s">
        <v>39</v>
      </c>
      <c r="D126" t="s">
        <v>29</v>
      </c>
      <c r="E126" t="s">
        <v>37</v>
      </c>
      <c r="F126" s="1">
        <v>44607</v>
      </c>
      <c r="G126" s="1">
        <v>44855</v>
      </c>
      <c r="H126">
        <v>9191</v>
      </c>
      <c r="I126">
        <v>3454</v>
      </c>
      <c r="J126">
        <v>5737</v>
      </c>
      <c r="K126" t="s">
        <v>35</v>
      </c>
      <c r="L126">
        <v>8</v>
      </c>
      <c r="M126" t="str">
        <f t="shared" si="1"/>
        <v>6-12 Months</v>
      </c>
      <c r="N126" s="1">
        <v>44855</v>
      </c>
      <c r="O126">
        <v>0</v>
      </c>
      <c r="P126">
        <v>125</v>
      </c>
      <c r="Q126" s="2">
        <v>0.62</v>
      </c>
      <c r="R126" t="s">
        <v>27</v>
      </c>
      <c r="S126">
        <v>2022</v>
      </c>
      <c r="T126" t="s">
        <v>33</v>
      </c>
    </row>
    <row r="127" spans="1:20" hidden="1" x14ac:dyDescent="0.3">
      <c r="A127">
        <v>209</v>
      </c>
      <c r="B127">
        <v>441</v>
      </c>
      <c r="C127" t="s">
        <v>45</v>
      </c>
      <c r="D127" t="s">
        <v>29</v>
      </c>
      <c r="E127" t="s">
        <v>37</v>
      </c>
      <c r="F127" s="1">
        <v>44796</v>
      </c>
      <c r="G127" s="1">
        <v>44927</v>
      </c>
      <c r="H127">
        <v>9191</v>
      </c>
      <c r="I127">
        <v>4969</v>
      </c>
      <c r="J127">
        <v>4222</v>
      </c>
      <c r="K127" t="s">
        <v>54</v>
      </c>
      <c r="L127">
        <v>4</v>
      </c>
      <c r="M127" t="str">
        <f t="shared" si="1"/>
        <v>0-6 Months</v>
      </c>
      <c r="N127" s="1">
        <v>44927</v>
      </c>
      <c r="O127">
        <v>0</v>
      </c>
      <c r="P127">
        <v>126</v>
      </c>
      <c r="Q127" s="2">
        <v>0.46</v>
      </c>
      <c r="R127" t="s">
        <v>27</v>
      </c>
      <c r="S127">
        <v>2023</v>
      </c>
      <c r="T127" t="s">
        <v>23</v>
      </c>
    </row>
    <row r="128" spans="1:20" hidden="1" x14ac:dyDescent="0.3">
      <c r="A128">
        <v>210</v>
      </c>
      <c r="B128">
        <v>380</v>
      </c>
      <c r="C128" t="s">
        <v>40</v>
      </c>
      <c r="D128" t="s">
        <v>29</v>
      </c>
      <c r="E128" t="s">
        <v>26</v>
      </c>
      <c r="F128" s="1">
        <v>44914</v>
      </c>
      <c r="G128" s="1">
        <v>45104</v>
      </c>
      <c r="H128">
        <v>4967.93</v>
      </c>
      <c r="I128">
        <v>748</v>
      </c>
      <c r="J128">
        <v>-1748</v>
      </c>
      <c r="K128" t="s">
        <v>54</v>
      </c>
      <c r="L128">
        <v>6</v>
      </c>
      <c r="M128" t="str">
        <f t="shared" si="1"/>
        <v>12+ Months</v>
      </c>
      <c r="N128" s="1">
        <v>45104</v>
      </c>
      <c r="O128">
        <v>0</v>
      </c>
      <c r="P128">
        <v>127</v>
      </c>
      <c r="Q128" s="2">
        <v>-0.35</v>
      </c>
      <c r="R128" t="s">
        <v>27</v>
      </c>
      <c r="S128">
        <v>2023</v>
      </c>
      <c r="T128" t="s">
        <v>41</v>
      </c>
    </row>
    <row r="129" spans="1:20" hidden="1" x14ac:dyDescent="0.3">
      <c r="A129">
        <v>213</v>
      </c>
      <c r="B129">
        <v>339</v>
      </c>
      <c r="C129" t="s">
        <v>24</v>
      </c>
      <c r="D129" t="s">
        <v>34</v>
      </c>
      <c r="E129" t="s">
        <v>20</v>
      </c>
      <c r="F129" s="1">
        <v>44875</v>
      </c>
      <c r="G129" s="1">
        <v>45464</v>
      </c>
      <c r="H129">
        <v>743</v>
      </c>
      <c r="I129">
        <v>4012.75</v>
      </c>
      <c r="J129">
        <v>1000</v>
      </c>
      <c r="K129" t="s">
        <v>21</v>
      </c>
      <c r="L129">
        <v>19</v>
      </c>
      <c r="M129" t="str">
        <f t="shared" si="1"/>
        <v>6-12 Months</v>
      </c>
      <c r="N129" s="1">
        <v>45464</v>
      </c>
      <c r="O129">
        <v>1</v>
      </c>
      <c r="P129">
        <v>128</v>
      </c>
      <c r="Q129" s="2">
        <v>1.35</v>
      </c>
      <c r="R129" t="s">
        <v>22</v>
      </c>
      <c r="S129">
        <v>2024</v>
      </c>
      <c r="T129" t="s">
        <v>41</v>
      </c>
    </row>
    <row r="130" spans="1:20" x14ac:dyDescent="0.3">
      <c r="A130">
        <v>214</v>
      </c>
      <c r="B130">
        <v>253</v>
      </c>
      <c r="C130" t="s">
        <v>24</v>
      </c>
      <c r="D130" t="s">
        <v>25</v>
      </c>
      <c r="E130" t="s">
        <v>26</v>
      </c>
      <c r="F130" s="1">
        <v>44602</v>
      </c>
      <c r="G130" s="1">
        <v>44817</v>
      </c>
      <c r="H130">
        <v>2830</v>
      </c>
      <c r="I130">
        <v>3813</v>
      </c>
      <c r="J130">
        <v>-983</v>
      </c>
      <c r="K130" t="s">
        <v>35</v>
      </c>
      <c r="L130">
        <v>7</v>
      </c>
      <c r="M130" t="str">
        <f t="shared" ref="M130:M193" si="2">IF(L130&lt;6,"0-6 Months",IF(L130&gt;6,"6-12 Months","12+ Months"))</f>
        <v>6-12 Months</v>
      </c>
      <c r="N130" s="1">
        <v>44817</v>
      </c>
      <c r="O130">
        <v>1</v>
      </c>
      <c r="P130">
        <v>129</v>
      </c>
      <c r="Q130" s="2">
        <v>-0.35</v>
      </c>
      <c r="R130" t="s">
        <v>27</v>
      </c>
      <c r="S130">
        <v>2022</v>
      </c>
      <c r="T130" t="s">
        <v>30</v>
      </c>
    </row>
    <row r="131" spans="1:20" hidden="1" x14ac:dyDescent="0.3">
      <c r="A131">
        <v>215</v>
      </c>
      <c r="B131">
        <v>195</v>
      </c>
      <c r="C131" t="s">
        <v>40</v>
      </c>
      <c r="D131" t="s">
        <v>19</v>
      </c>
      <c r="E131" t="s">
        <v>26</v>
      </c>
      <c r="F131" s="1">
        <v>44799</v>
      </c>
      <c r="G131" s="1">
        <v>45247</v>
      </c>
      <c r="H131">
        <v>981</v>
      </c>
      <c r="I131">
        <v>6276</v>
      </c>
      <c r="J131">
        <v>-5295</v>
      </c>
      <c r="K131" t="s">
        <v>54</v>
      </c>
      <c r="L131">
        <v>14</v>
      </c>
      <c r="M131" t="str">
        <f t="shared" si="2"/>
        <v>6-12 Months</v>
      </c>
      <c r="N131" s="1">
        <v>45247</v>
      </c>
      <c r="O131">
        <v>0</v>
      </c>
      <c r="P131">
        <v>130</v>
      </c>
      <c r="Q131" s="2">
        <v>-5.4</v>
      </c>
      <c r="R131" t="s">
        <v>22</v>
      </c>
      <c r="S131">
        <v>2023</v>
      </c>
      <c r="T131" t="s">
        <v>42</v>
      </c>
    </row>
    <row r="132" spans="1:20" x14ac:dyDescent="0.3">
      <c r="A132">
        <v>217</v>
      </c>
      <c r="B132">
        <v>205</v>
      </c>
      <c r="C132" t="s">
        <v>40</v>
      </c>
      <c r="D132" t="s">
        <v>19</v>
      </c>
      <c r="E132" t="s">
        <v>37</v>
      </c>
      <c r="F132" s="1">
        <v>44685</v>
      </c>
      <c r="G132" s="1">
        <v>44986</v>
      </c>
      <c r="H132">
        <v>32</v>
      </c>
      <c r="I132">
        <v>2944</v>
      </c>
      <c r="J132">
        <v>-2912</v>
      </c>
      <c r="K132" t="s">
        <v>35</v>
      </c>
      <c r="L132">
        <v>9</v>
      </c>
      <c r="M132" t="str">
        <f t="shared" si="2"/>
        <v>6-12 Months</v>
      </c>
      <c r="N132" s="1">
        <v>44986</v>
      </c>
      <c r="O132">
        <v>0</v>
      </c>
      <c r="P132">
        <v>131</v>
      </c>
      <c r="Q132" s="2">
        <v>-91</v>
      </c>
      <c r="R132" t="s">
        <v>22</v>
      </c>
      <c r="S132">
        <v>2023</v>
      </c>
      <c r="T132" t="s">
        <v>38</v>
      </c>
    </row>
    <row r="133" spans="1:20" hidden="1" x14ac:dyDescent="0.3">
      <c r="A133">
        <v>218</v>
      </c>
      <c r="B133">
        <v>182</v>
      </c>
      <c r="C133" t="s">
        <v>24</v>
      </c>
      <c r="D133" t="s">
        <v>19</v>
      </c>
      <c r="E133" t="s">
        <v>26</v>
      </c>
      <c r="F133" s="1">
        <v>44599</v>
      </c>
      <c r="G133" s="1">
        <v>44696</v>
      </c>
      <c r="H133">
        <v>4967.93</v>
      </c>
      <c r="I133">
        <v>7558</v>
      </c>
      <c r="J133">
        <v>-8275</v>
      </c>
      <c r="K133" t="s">
        <v>54</v>
      </c>
      <c r="L133">
        <v>3</v>
      </c>
      <c r="M133" t="str">
        <f t="shared" si="2"/>
        <v>0-6 Months</v>
      </c>
      <c r="N133" s="1">
        <v>44696</v>
      </c>
      <c r="O133">
        <v>0</v>
      </c>
      <c r="P133">
        <v>132</v>
      </c>
      <c r="Q133" s="2">
        <v>-1.67</v>
      </c>
      <c r="R133" t="s">
        <v>22</v>
      </c>
      <c r="S133">
        <v>2022</v>
      </c>
      <c r="T133" t="s">
        <v>28</v>
      </c>
    </row>
    <row r="134" spans="1:20" x14ac:dyDescent="0.3">
      <c r="A134">
        <v>219</v>
      </c>
      <c r="B134">
        <v>488</v>
      </c>
      <c r="C134" t="s">
        <v>24</v>
      </c>
      <c r="D134" t="s">
        <v>29</v>
      </c>
      <c r="E134" t="s">
        <v>26</v>
      </c>
      <c r="F134" s="1">
        <v>44688</v>
      </c>
      <c r="G134" s="1">
        <v>45281</v>
      </c>
      <c r="H134">
        <v>4967.93</v>
      </c>
      <c r="I134">
        <v>5628</v>
      </c>
      <c r="J134">
        <v>-6578</v>
      </c>
      <c r="K134" t="s">
        <v>35</v>
      </c>
      <c r="L134">
        <v>19</v>
      </c>
      <c r="M134" t="str">
        <f t="shared" si="2"/>
        <v>6-12 Months</v>
      </c>
      <c r="N134" s="1">
        <v>45281</v>
      </c>
      <c r="O134">
        <v>1</v>
      </c>
      <c r="P134">
        <v>133</v>
      </c>
      <c r="Q134" s="2">
        <v>-1.32</v>
      </c>
      <c r="R134" t="s">
        <v>22</v>
      </c>
      <c r="S134">
        <v>2023</v>
      </c>
      <c r="T134" t="s">
        <v>31</v>
      </c>
    </row>
    <row r="135" spans="1:20" hidden="1" x14ac:dyDescent="0.3">
      <c r="A135">
        <v>220</v>
      </c>
      <c r="B135">
        <v>150</v>
      </c>
      <c r="C135" t="s">
        <v>45</v>
      </c>
      <c r="D135" t="s">
        <v>19</v>
      </c>
      <c r="E135" t="s">
        <v>20</v>
      </c>
      <c r="F135" s="1">
        <v>44685</v>
      </c>
      <c r="G135" s="1">
        <v>44761</v>
      </c>
      <c r="H135">
        <v>6508</v>
      </c>
      <c r="I135">
        <v>6205</v>
      </c>
      <c r="J135">
        <v>577.01</v>
      </c>
      <c r="K135" t="s">
        <v>21</v>
      </c>
      <c r="L135">
        <v>2</v>
      </c>
      <c r="M135" t="str">
        <f t="shared" si="2"/>
        <v>0-6 Months</v>
      </c>
      <c r="N135" s="1">
        <v>44761</v>
      </c>
      <c r="O135">
        <v>1</v>
      </c>
      <c r="P135">
        <v>134</v>
      </c>
      <c r="Q135" s="2">
        <v>0.09</v>
      </c>
      <c r="R135" t="s">
        <v>27</v>
      </c>
      <c r="S135">
        <v>2022</v>
      </c>
      <c r="T135" t="s">
        <v>44</v>
      </c>
    </row>
    <row r="136" spans="1:20" hidden="1" x14ac:dyDescent="0.3">
      <c r="A136">
        <v>223</v>
      </c>
      <c r="B136">
        <v>322</v>
      </c>
      <c r="C136" t="s">
        <v>40</v>
      </c>
      <c r="D136" t="s">
        <v>19</v>
      </c>
      <c r="E136" t="s">
        <v>37</v>
      </c>
      <c r="F136" s="1">
        <v>44897</v>
      </c>
      <c r="G136" s="1">
        <v>44928</v>
      </c>
      <c r="H136">
        <v>365</v>
      </c>
      <c r="I136">
        <v>5059</v>
      </c>
      <c r="J136">
        <v>-4694</v>
      </c>
      <c r="K136" t="s">
        <v>54</v>
      </c>
      <c r="L136">
        <v>1</v>
      </c>
      <c r="M136" t="str">
        <f t="shared" si="2"/>
        <v>0-6 Months</v>
      </c>
      <c r="N136" s="1">
        <v>44928</v>
      </c>
      <c r="O136">
        <v>1</v>
      </c>
      <c r="P136">
        <v>135</v>
      </c>
      <c r="Q136" s="2">
        <v>-12.86</v>
      </c>
      <c r="R136" t="s">
        <v>22</v>
      </c>
      <c r="S136">
        <v>2023</v>
      </c>
      <c r="T136" t="s">
        <v>23</v>
      </c>
    </row>
    <row r="137" spans="1:20" hidden="1" x14ac:dyDescent="0.3">
      <c r="A137">
        <v>225</v>
      </c>
      <c r="B137">
        <v>405</v>
      </c>
      <c r="C137" t="s">
        <v>45</v>
      </c>
      <c r="D137" t="s">
        <v>25</v>
      </c>
      <c r="E137" t="s">
        <v>26</v>
      </c>
      <c r="F137" s="1">
        <v>44622</v>
      </c>
      <c r="G137" s="1">
        <v>45029</v>
      </c>
      <c r="H137">
        <v>1943</v>
      </c>
      <c r="I137">
        <v>3624</v>
      </c>
      <c r="J137">
        <v>-1681</v>
      </c>
      <c r="K137" t="s">
        <v>21</v>
      </c>
      <c r="L137">
        <v>13</v>
      </c>
      <c r="M137" t="str">
        <f t="shared" si="2"/>
        <v>6-12 Months</v>
      </c>
      <c r="N137" s="1">
        <v>45029</v>
      </c>
      <c r="O137">
        <v>0</v>
      </c>
      <c r="P137">
        <v>136</v>
      </c>
      <c r="Q137" s="2">
        <v>-0.87</v>
      </c>
      <c r="R137" t="s">
        <v>27</v>
      </c>
      <c r="S137">
        <v>2023</v>
      </c>
      <c r="T137" t="s">
        <v>32</v>
      </c>
    </row>
    <row r="138" spans="1:20" hidden="1" x14ac:dyDescent="0.3">
      <c r="A138">
        <v>227</v>
      </c>
      <c r="B138">
        <v>212</v>
      </c>
      <c r="C138" t="s">
        <v>40</v>
      </c>
      <c r="D138" t="s">
        <v>25</v>
      </c>
      <c r="E138" t="s">
        <v>20</v>
      </c>
      <c r="F138" s="1">
        <v>44920</v>
      </c>
      <c r="G138" s="1">
        <v>45209</v>
      </c>
      <c r="H138">
        <v>3946</v>
      </c>
      <c r="I138">
        <v>2792</v>
      </c>
      <c r="J138">
        <v>1154</v>
      </c>
      <c r="K138" t="s">
        <v>21</v>
      </c>
      <c r="L138">
        <v>9</v>
      </c>
      <c r="M138" t="str">
        <f t="shared" si="2"/>
        <v>6-12 Months</v>
      </c>
      <c r="N138" s="1">
        <v>45209</v>
      </c>
      <c r="O138">
        <v>0</v>
      </c>
      <c r="P138">
        <v>137</v>
      </c>
      <c r="Q138" s="2">
        <v>0.28999999999999998</v>
      </c>
      <c r="R138" t="s">
        <v>27</v>
      </c>
      <c r="S138">
        <v>2023</v>
      </c>
      <c r="T138" t="s">
        <v>33</v>
      </c>
    </row>
    <row r="139" spans="1:20" hidden="1" x14ac:dyDescent="0.3">
      <c r="A139">
        <v>228</v>
      </c>
      <c r="B139">
        <v>177</v>
      </c>
      <c r="C139" t="s">
        <v>45</v>
      </c>
      <c r="D139" t="s">
        <v>25</v>
      </c>
      <c r="E139" t="s">
        <v>26</v>
      </c>
      <c r="F139" s="1">
        <v>44797</v>
      </c>
      <c r="G139" s="1">
        <v>45356</v>
      </c>
      <c r="H139">
        <v>5149</v>
      </c>
      <c r="I139">
        <v>4012.75</v>
      </c>
      <c r="J139">
        <v>5417</v>
      </c>
      <c r="K139" t="s">
        <v>54</v>
      </c>
      <c r="L139">
        <v>18</v>
      </c>
      <c r="M139" t="str">
        <f t="shared" si="2"/>
        <v>6-12 Months</v>
      </c>
      <c r="N139" s="1">
        <v>45356</v>
      </c>
      <c r="O139">
        <v>1</v>
      </c>
      <c r="P139">
        <v>138</v>
      </c>
      <c r="Q139" s="2">
        <v>1.05</v>
      </c>
      <c r="R139" t="s">
        <v>22</v>
      </c>
      <c r="S139">
        <v>2024</v>
      </c>
      <c r="T139" t="s">
        <v>38</v>
      </c>
    </row>
    <row r="140" spans="1:20" x14ac:dyDescent="0.3">
      <c r="A140">
        <v>229</v>
      </c>
      <c r="B140">
        <v>295</v>
      </c>
      <c r="C140" t="s">
        <v>53</v>
      </c>
      <c r="D140" t="s">
        <v>19</v>
      </c>
      <c r="E140" t="s">
        <v>20</v>
      </c>
      <c r="F140" s="1">
        <v>44780</v>
      </c>
      <c r="G140" s="1">
        <v>45358</v>
      </c>
      <c r="H140">
        <v>4967.93</v>
      </c>
      <c r="I140">
        <v>3787</v>
      </c>
      <c r="J140">
        <v>-3963</v>
      </c>
      <c r="K140" t="s">
        <v>35</v>
      </c>
      <c r="L140">
        <v>19</v>
      </c>
      <c r="M140" t="str">
        <f t="shared" si="2"/>
        <v>6-12 Months</v>
      </c>
      <c r="N140" s="1">
        <v>45358</v>
      </c>
      <c r="O140">
        <v>1</v>
      </c>
      <c r="P140">
        <v>139</v>
      </c>
      <c r="Q140" s="2">
        <v>-0.8</v>
      </c>
      <c r="R140" t="s">
        <v>27</v>
      </c>
      <c r="S140">
        <v>2024</v>
      </c>
      <c r="T140" t="s">
        <v>38</v>
      </c>
    </row>
    <row r="141" spans="1:20" hidden="1" x14ac:dyDescent="0.3">
      <c r="A141">
        <v>230</v>
      </c>
      <c r="B141">
        <v>452</v>
      </c>
      <c r="C141" t="s">
        <v>45</v>
      </c>
      <c r="D141" t="s">
        <v>29</v>
      </c>
      <c r="E141" t="s">
        <v>26</v>
      </c>
      <c r="F141" s="1">
        <v>44788</v>
      </c>
      <c r="G141" s="1">
        <v>45343</v>
      </c>
      <c r="H141">
        <v>4967.93</v>
      </c>
      <c r="I141">
        <v>4017</v>
      </c>
      <c r="J141">
        <v>-4699</v>
      </c>
      <c r="K141" t="s">
        <v>21</v>
      </c>
      <c r="L141">
        <v>18</v>
      </c>
      <c r="M141" t="str">
        <f t="shared" si="2"/>
        <v>6-12 Months</v>
      </c>
      <c r="N141" s="1">
        <v>45343</v>
      </c>
      <c r="O141">
        <v>0</v>
      </c>
      <c r="P141">
        <v>140</v>
      </c>
      <c r="Q141" s="2">
        <v>-0.95</v>
      </c>
      <c r="R141" t="s">
        <v>27</v>
      </c>
      <c r="S141">
        <v>2024</v>
      </c>
      <c r="T141" t="s">
        <v>43</v>
      </c>
    </row>
    <row r="142" spans="1:20" hidden="1" x14ac:dyDescent="0.3">
      <c r="A142">
        <v>231</v>
      </c>
      <c r="B142">
        <v>193</v>
      </c>
      <c r="C142" t="s">
        <v>45</v>
      </c>
      <c r="D142" t="s">
        <v>34</v>
      </c>
      <c r="E142" t="s">
        <v>37</v>
      </c>
      <c r="F142" s="1">
        <v>44771</v>
      </c>
      <c r="G142" s="1">
        <v>45079</v>
      </c>
      <c r="H142">
        <v>7033</v>
      </c>
      <c r="I142">
        <v>1273</v>
      </c>
      <c r="J142">
        <v>5760</v>
      </c>
      <c r="K142" t="s">
        <v>54</v>
      </c>
      <c r="L142">
        <v>10</v>
      </c>
      <c r="M142" t="str">
        <f t="shared" si="2"/>
        <v>6-12 Months</v>
      </c>
      <c r="N142" s="1">
        <v>45079</v>
      </c>
      <c r="O142">
        <v>0</v>
      </c>
      <c r="P142">
        <v>141</v>
      </c>
      <c r="Q142" s="2">
        <v>0.82</v>
      </c>
      <c r="R142" t="s">
        <v>27</v>
      </c>
      <c r="S142">
        <v>2023</v>
      </c>
      <c r="T142" t="s">
        <v>41</v>
      </c>
    </row>
    <row r="143" spans="1:20" hidden="1" x14ac:dyDescent="0.3">
      <c r="A143">
        <v>232</v>
      </c>
      <c r="B143">
        <v>403</v>
      </c>
      <c r="C143" t="s">
        <v>40</v>
      </c>
      <c r="D143" t="s">
        <v>29</v>
      </c>
      <c r="E143" t="s">
        <v>26</v>
      </c>
      <c r="F143" s="1">
        <v>44670</v>
      </c>
      <c r="G143" s="1">
        <v>45013</v>
      </c>
      <c r="H143">
        <v>4967.93</v>
      </c>
      <c r="I143">
        <v>4542</v>
      </c>
      <c r="J143">
        <v>-5397</v>
      </c>
      <c r="K143" t="s">
        <v>21</v>
      </c>
      <c r="L143">
        <v>11</v>
      </c>
      <c r="M143" t="str">
        <f t="shared" si="2"/>
        <v>6-12 Months</v>
      </c>
      <c r="N143" s="1">
        <v>45013</v>
      </c>
      <c r="O143">
        <v>1</v>
      </c>
      <c r="P143">
        <v>142</v>
      </c>
      <c r="Q143" s="2">
        <v>-1.0900000000000001</v>
      </c>
      <c r="R143" t="s">
        <v>22</v>
      </c>
      <c r="S143">
        <v>2023</v>
      </c>
      <c r="T143" t="s">
        <v>38</v>
      </c>
    </row>
    <row r="144" spans="1:20" hidden="1" x14ac:dyDescent="0.3">
      <c r="A144">
        <v>238</v>
      </c>
      <c r="B144">
        <v>255</v>
      </c>
      <c r="C144" t="s">
        <v>45</v>
      </c>
      <c r="D144" t="s">
        <v>19</v>
      </c>
      <c r="E144" t="s">
        <v>37</v>
      </c>
      <c r="F144" s="1">
        <v>44677</v>
      </c>
      <c r="G144" s="1">
        <v>45078</v>
      </c>
      <c r="H144">
        <v>1734</v>
      </c>
      <c r="I144">
        <v>4816</v>
      </c>
      <c r="J144">
        <v>-3082</v>
      </c>
      <c r="K144" t="s">
        <v>54</v>
      </c>
      <c r="L144">
        <v>13</v>
      </c>
      <c r="M144" t="str">
        <f t="shared" si="2"/>
        <v>6-12 Months</v>
      </c>
      <c r="N144" s="1">
        <v>45078</v>
      </c>
      <c r="O144">
        <v>0</v>
      </c>
      <c r="P144">
        <v>143</v>
      </c>
      <c r="Q144" s="2">
        <v>-1.78</v>
      </c>
      <c r="R144" t="s">
        <v>22</v>
      </c>
      <c r="S144">
        <v>2023</v>
      </c>
      <c r="T144" t="s">
        <v>41</v>
      </c>
    </row>
    <row r="145" spans="1:20" x14ac:dyDescent="0.3">
      <c r="A145">
        <v>239</v>
      </c>
      <c r="B145">
        <v>472</v>
      </c>
      <c r="C145" t="s">
        <v>45</v>
      </c>
      <c r="D145" t="s">
        <v>29</v>
      </c>
      <c r="E145" t="s">
        <v>37</v>
      </c>
      <c r="F145" s="1">
        <v>44784</v>
      </c>
      <c r="G145" s="1">
        <v>44867</v>
      </c>
      <c r="H145">
        <v>9423</v>
      </c>
      <c r="I145">
        <v>885</v>
      </c>
      <c r="J145">
        <v>8538</v>
      </c>
      <c r="K145" t="s">
        <v>35</v>
      </c>
      <c r="L145">
        <v>2</v>
      </c>
      <c r="M145" t="str">
        <f t="shared" si="2"/>
        <v>0-6 Months</v>
      </c>
      <c r="N145" s="1">
        <v>44867</v>
      </c>
      <c r="O145">
        <v>0</v>
      </c>
      <c r="P145">
        <v>144</v>
      </c>
      <c r="Q145" s="2">
        <v>0.91</v>
      </c>
      <c r="R145" t="s">
        <v>27</v>
      </c>
      <c r="S145">
        <v>2022</v>
      </c>
      <c r="T145" t="s">
        <v>42</v>
      </c>
    </row>
    <row r="146" spans="1:20" hidden="1" x14ac:dyDescent="0.3">
      <c r="A146">
        <v>241</v>
      </c>
      <c r="B146">
        <v>246</v>
      </c>
      <c r="C146" t="s">
        <v>39</v>
      </c>
      <c r="D146" t="s">
        <v>25</v>
      </c>
      <c r="E146" t="s">
        <v>26</v>
      </c>
      <c r="F146" s="1">
        <v>44723</v>
      </c>
      <c r="G146" s="1">
        <v>44969</v>
      </c>
      <c r="H146">
        <v>8092</v>
      </c>
      <c r="I146">
        <v>3626</v>
      </c>
      <c r="J146">
        <v>4466</v>
      </c>
      <c r="K146" t="s">
        <v>54</v>
      </c>
      <c r="L146">
        <v>8</v>
      </c>
      <c r="M146" t="str">
        <f t="shared" si="2"/>
        <v>6-12 Months</v>
      </c>
      <c r="N146" s="1">
        <v>44969</v>
      </c>
      <c r="O146">
        <v>1</v>
      </c>
      <c r="P146">
        <v>145</v>
      </c>
      <c r="Q146" s="2">
        <v>0.55000000000000004</v>
      </c>
      <c r="R146" t="s">
        <v>27</v>
      </c>
      <c r="S146">
        <v>2023</v>
      </c>
      <c r="T146" t="s">
        <v>43</v>
      </c>
    </row>
    <row r="147" spans="1:20" hidden="1" x14ac:dyDescent="0.3">
      <c r="A147">
        <v>242</v>
      </c>
      <c r="B147">
        <v>398</v>
      </c>
      <c r="C147" t="s">
        <v>45</v>
      </c>
      <c r="D147" t="s">
        <v>25</v>
      </c>
      <c r="E147" t="s">
        <v>37</v>
      </c>
      <c r="F147" s="1">
        <v>44584</v>
      </c>
      <c r="G147" s="1">
        <v>44870</v>
      </c>
      <c r="H147">
        <v>6266</v>
      </c>
      <c r="I147">
        <v>3293</v>
      </c>
      <c r="J147">
        <v>2973</v>
      </c>
      <c r="K147" t="s">
        <v>54</v>
      </c>
      <c r="L147">
        <v>9</v>
      </c>
      <c r="M147" t="str">
        <f t="shared" si="2"/>
        <v>6-12 Months</v>
      </c>
      <c r="N147" s="1">
        <v>44870</v>
      </c>
      <c r="O147">
        <v>1</v>
      </c>
      <c r="P147">
        <v>146</v>
      </c>
      <c r="Q147" s="2">
        <v>0.47</v>
      </c>
      <c r="R147" t="s">
        <v>27</v>
      </c>
      <c r="S147">
        <v>2022</v>
      </c>
      <c r="T147" t="s">
        <v>42</v>
      </c>
    </row>
    <row r="148" spans="1:20" hidden="1" x14ac:dyDescent="0.3">
      <c r="A148">
        <v>243</v>
      </c>
      <c r="B148">
        <v>333</v>
      </c>
      <c r="C148" t="s">
        <v>40</v>
      </c>
      <c r="D148" t="s">
        <v>34</v>
      </c>
      <c r="E148" t="s">
        <v>37</v>
      </c>
      <c r="F148" s="1">
        <v>44824</v>
      </c>
      <c r="G148" s="1">
        <v>45403</v>
      </c>
      <c r="H148">
        <v>2502</v>
      </c>
      <c r="I148">
        <v>6145</v>
      </c>
      <c r="J148">
        <v>-3643</v>
      </c>
      <c r="K148" t="s">
        <v>54</v>
      </c>
      <c r="L148">
        <v>19</v>
      </c>
      <c r="M148" t="str">
        <f t="shared" si="2"/>
        <v>6-12 Months</v>
      </c>
      <c r="N148" s="1">
        <v>45403</v>
      </c>
      <c r="O148">
        <v>0</v>
      </c>
      <c r="P148">
        <v>147</v>
      </c>
      <c r="Q148" s="2">
        <v>-1.46</v>
      </c>
      <c r="R148" t="s">
        <v>22</v>
      </c>
      <c r="S148">
        <v>2024</v>
      </c>
      <c r="T148" t="s">
        <v>32</v>
      </c>
    </row>
    <row r="149" spans="1:20" x14ac:dyDescent="0.3">
      <c r="A149">
        <v>244</v>
      </c>
      <c r="B149">
        <v>469</v>
      </c>
      <c r="C149" t="s">
        <v>45</v>
      </c>
      <c r="D149" t="s">
        <v>34</v>
      </c>
      <c r="E149" t="s">
        <v>20</v>
      </c>
      <c r="F149" s="1">
        <v>44778</v>
      </c>
      <c r="G149" s="1">
        <v>45149</v>
      </c>
      <c r="H149">
        <v>600</v>
      </c>
      <c r="I149">
        <v>2957</v>
      </c>
      <c r="J149">
        <v>-2357</v>
      </c>
      <c r="K149" t="s">
        <v>35</v>
      </c>
      <c r="L149">
        <v>12</v>
      </c>
      <c r="M149" t="str">
        <f t="shared" si="2"/>
        <v>6-12 Months</v>
      </c>
      <c r="N149" s="1">
        <v>45149</v>
      </c>
      <c r="O149">
        <v>0</v>
      </c>
      <c r="P149">
        <v>148</v>
      </c>
      <c r="Q149" s="2">
        <v>-3.93</v>
      </c>
      <c r="R149" t="s">
        <v>22</v>
      </c>
      <c r="S149">
        <v>2023</v>
      </c>
      <c r="T149" t="s">
        <v>36</v>
      </c>
    </row>
    <row r="150" spans="1:20" hidden="1" x14ac:dyDescent="0.3">
      <c r="A150">
        <v>246</v>
      </c>
      <c r="B150">
        <v>295</v>
      </c>
      <c r="C150" t="s">
        <v>39</v>
      </c>
      <c r="D150" t="s">
        <v>25</v>
      </c>
      <c r="E150" t="s">
        <v>20</v>
      </c>
      <c r="F150" s="1">
        <v>44873</v>
      </c>
      <c r="G150" s="1">
        <v>45065</v>
      </c>
      <c r="H150">
        <v>2058</v>
      </c>
      <c r="I150">
        <v>2053</v>
      </c>
      <c r="J150">
        <v>5</v>
      </c>
      <c r="K150" t="s">
        <v>21</v>
      </c>
      <c r="L150">
        <v>6</v>
      </c>
      <c r="M150" t="str">
        <f t="shared" si="2"/>
        <v>12+ Months</v>
      </c>
      <c r="N150" s="1">
        <v>45065</v>
      </c>
      <c r="O150">
        <v>1</v>
      </c>
      <c r="P150">
        <v>149</v>
      </c>
      <c r="Q150" s="2">
        <v>0</v>
      </c>
      <c r="R150" t="s">
        <v>27</v>
      </c>
      <c r="S150">
        <v>2023</v>
      </c>
      <c r="T150" t="s">
        <v>28</v>
      </c>
    </row>
    <row r="151" spans="1:20" hidden="1" x14ac:dyDescent="0.3">
      <c r="A151">
        <v>248</v>
      </c>
      <c r="B151">
        <v>272</v>
      </c>
      <c r="C151" t="s">
        <v>24</v>
      </c>
      <c r="D151" t="s">
        <v>25</v>
      </c>
      <c r="E151" t="s">
        <v>37</v>
      </c>
      <c r="F151" s="1">
        <v>44614</v>
      </c>
      <c r="G151" s="1">
        <v>44845</v>
      </c>
      <c r="H151">
        <v>1008</v>
      </c>
      <c r="I151">
        <v>3089</v>
      </c>
      <c r="J151">
        <v>-2081</v>
      </c>
      <c r="K151" t="s">
        <v>54</v>
      </c>
      <c r="L151">
        <v>7</v>
      </c>
      <c r="M151" t="str">
        <f t="shared" si="2"/>
        <v>6-12 Months</v>
      </c>
      <c r="N151" s="1">
        <v>44845</v>
      </c>
      <c r="O151">
        <v>0</v>
      </c>
      <c r="P151">
        <v>150</v>
      </c>
      <c r="Q151" s="2">
        <v>-2.06</v>
      </c>
      <c r="R151" t="s">
        <v>22</v>
      </c>
      <c r="S151">
        <v>2022</v>
      </c>
      <c r="T151" t="s">
        <v>33</v>
      </c>
    </row>
    <row r="152" spans="1:20" hidden="1" x14ac:dyDescent="0.3">
      <c r="A152">
        <v>250</v>
      </c>
      <c r="B152">
        <v>466</v>
      </c>
      <c r="C152" t="s">
        <v>45</v>
      </c>
      <c r="D152" t="s">
        <v>25</v>
      </c>
      <c r="E152" t="s">
        <v>37</v>
      </c>
      <c r="F152" s="1">
        <v>44674</v>
      </c>
      <c r="G152" s="1">
        <v>45060</v>
      </c>
      <c r="H152">
        <v>1123</v>
      </c>
      <c r="I152">
        <v>5411</v>
      </c>
      <c r="J152">
        <v>-4288</v>
      </c>
      <c r="K152" t="s">
        <v>54</v>
      </c>
      <c r="L152">
        <v>12</v>
      </c>
      <c r="M152" t="str">
        <f t="shared" si="2"/>
        <v>6-12 Months</v>
      </c>
      <c r="N152" s="1">
        <v>45060</v>
      </c>
      <c r="O152">
        <v>1</v>
      </c>
      <c r="P152">
        <v>151</v>
      </c>
      <c r="Q152" s="2">
        <v>-3.82</v>
      </c>
      <c r="R152" t="s">
        <v>22</v>
      </c>
      <c r="S152">
        <v>2023</v>
      </c>
      <c r="T152" t="s">
        <v>28</v>
      </c>
    </row>
    <row r="153" spans="1:20" hidden="1" x14ac:dyDescent="0.3">
      <c r="A153">
        <v>253</v>
      </c>
      <c r="B153">
        <v>413</v>
      </c>
      <c r="C153" t="s">
        <v>45</v>
      </c>
      <c r="D153" t="s">
        <v>34</v>
      </c>
      <c r="E153" t="s">
        <v>37</v>
      </c>
      <c r="F153" s="1">
        <v>44624</v>
      </c>
      <c r="G153" s="1">
        <v>45209</v>
      </c>
      <c r="H153">
        <v>4967.93</v>
      </c>
      <c r="I153">
        <v>5846</v>
      </c>
      <c r="J153">
        <v>-7107</v>
      </c>
      <c r="K153" t="s">
        <v>54</v>
      </c>
      <c r="L153">
        <v>19</v>
      </c>
      <c r="M153" t="str">
        <f t="shared" si="2"/>
        <v>6-12 Months</v>
      </c>
      <c r="N153" s="1">
        <v>45209</v>
      </c>
      <c r="O153">
        <v>1</v>
      </c>
      <c r="P153">
        <v>152</v>
      </c>
      <c r="Q153" s="2">
        <v>-1.43</v>
      </c>
      <c r="R153" t="s">
        <v>22</v>
      </c>
      <c r="S153">
        <v>2023</v>
      </c>
      <c r="T153" t="s">
        <v>33</v>
      </c>
    </row>
    <row r="154" spans="1:20" hidden="1" x14ac:dyDescent="0.3">
      <c r="A154">
        <v>254</v>
      </c>
      <c r="B154">
        <v>368</v>
      </c>
      <c r="C154" t="s">
        <v>39</v>
      </c>
      <c r="D154" t="s">
        <v>34</v>
      </c>
      <c r="E154" t="s">
        <v>26</v>
      </c>
      <c r="F154" s="1">
        <v>44674</v>
      </c>
      <c r="G154" s="1">
        <v>44777</v>
      </c>
      <c r="H154">
        <v>5068</v>
      </c>
      <c r="I154">
        <v>2420</v>
      </c>
      <c r="J154">
        <v>2648</v>
      </c>
      <c r="K154" t="s">
        <v>54</v>
      </c>
      <c r="L154">
        <v>3</v>
      </c>
      <c r="M154" t="str">
        <f t="shared" si="2"/>
        <v>0-6 Months</v>
      </c>
      <c r="N154" s="1">
        <v>44777</v>
      </c>
      <c r="O154">
        <v>0</v>
      </c>
      <c r="P154">
        <v>153</v>
      </c>
      <c r="Q154" s="2">
        <v>0.52</v>
      </c>
      <c r="R154" t="s">
        <v>27</v>
      </c>
      <c r="S154">
        <v>2022</v>
      </c>
      <c r="T154" t="s">
        <v>36</v>
      </c>
    </row>
    <row r="155" spans="1:20" hidden="1" x14ac:dyDescent="0.3">
      <c r="A155">
        <v>255</v>
      </c>
      <c r="B155">
        <v>364</v>
      </c>
      <c r="C155" t="s">
        <v>39</v>
      </c>
      <c r="D155" t="s">
        <v>19</v>
      </c>
      <c r="E155" t="s">
        <v>37</v>
      </c>
      <c r="F155" s="1">
        <v>44866</v>
      </c>
      <c r="G155" s="1">
        <v>45097</v>
      </c>
      <c r="H155">
        <v>4967.93</v>
      </c>
      <c r="I155">
        <v>5472</v>
      </c>
      <c r="J155">
        <v>577.01</v>
      </c>
      <c r="K155" t="s">
        <v>54</v>
      </c>
      <c r="L155">
        <v>7</v>
      </c>
      <c r="M155" t="str">
        <f t="shared" si="2"/>
        <v>6-12 Months</v>
      </c>
      <c r="N155" s="1">
        <v>45097</v>
      </c>
      <c r="O155">
        <v>0</v>
      </c>
      <c r="P155">
        <v>154</v>
      </c>
      <c r="Q155" s="2">
        <v>0.12</v>
      </c>
      <c r="R155" t="s">
        <v>27</v>
      </c>
      <c r="S155">
        <v>2023</v>
      </c>
      <c r="T155" t="s">
        <v>41</v>
      </c>
    </row>
    <row r="156" spans="1:20" hidden="1" x14ac:dyDescent="0.3">
      <c r="A156">
        <v>256</v>
      </c>
      <c r="B156">
        <v>299</v>
      </c>
      <c r="C156" t="s">
        <v>24</v>
      </c>
      <c r="D156" t="s">
        <v>34</v>
      </c>
      <c r="E156" t="s">
        <v>37</v>
      </c>
      <c r="F156" s="1">
        <v>44692</v>
      </c>
      <c r="G156" s="1">
        <v>44776</v>
      </c>
      <c r="H156">
        <v>6008</v>
      </c>
      <c r="I156">
        <v>4088</v>
      </c>
      <c r="J156">
        <v>1920</v>
      </c>
      <c r="K156" t="s">
        <v>54</v>
      </c>
      <c r="L156">
        <v>2</v>
      </c>
      <c r="M156" t="str">
        <f t="shared" si="2"/>
        <v>0-6 Months</v>
      </c>
      <c r="N156" s="1">
        <v>44776</v>
      </c>
      <c r="O156">
        <v>1</v>
      </c>
      <c r="P156">
        <v>155</v>
      </c>
      <c r="Q156" s="2">
        <v>0.32</v>
      </c>
      <c r="R156" t="s">
        <v>27</v>
      </c>
      <c r="S156">
        <v>2022</v>
      </c>
      <c r="T156" t="s">
        <v>36</v>
      </c>
    </row>
    <row r="157" spans="1:20" x14ac:dyDescent="0.3">
      <c r="A157">
        <v>259</v>
      </c>
      <c r="B157">
        <v>258</v>
      </c>
      <c r="C157" t="s">
        <v>45</v>
      </c>
      <c r="D157" t="s">
        <v>34</v>
      </c>
      <c r="E157" t="s">
        <v>37</v>
      </c>
      <c r="F157" s="1">
        <v>44802</v>
      </c>
      <c r="G157" s="1">
        <v>44948</v>
      </c>
      <c r="H157">
        <v>7012</v>
      </c>
      <c r="I157">
        <v>4342</v>
      </c>
      <c r="J157">
        <v>2670</v>
      </c>
      <c r="K157" t="s">
        <v>35</v>
      </c>
      <c r="L157">
        <v>4</v>
      </c>
      <c r="M157" t="str">
        <f t="shared" si="2"/>
        <v>0-6 Months</v>
      </c>
      <c r="N157" s="1">
        <v>44948</v>
      </c>
      <c r="O157">
        <v>1</v>
      </c>
      <c r="P157">
        <v>156</v>
      </c>
      <c r="Q157" s="2">
        <v>0.38</v>
      </c>
      <c r="R157" t="s">
        <v>27</v>
      </c>
      <c r="S157">
        <v>2023</v>
      </c>
      <c r="T157" t="s">
        <v>23</v>
      </c>
    </row>
    <row r="158" spans="1:20" x14ac:dyDescent="0.3">
      <c r="A158">
        <v>263</v>
      </c>
      <c r="B158">
        <v>380</v>
      </c>
      <c r="C158" t="s">
        <v>53</v>
      </c>
      <c r="D158" t="s">
        <v>19</v>
      </c>
      <c r="E158" t="s">
        <v>20</v>
      </c>
      <c r="F158" s="1">
        <v>44692</v>
      </c>
      <c r="G158" s="1">
        <v>44768</v>
      </c>
      <c r="H158">
        <v>4967.93</v>
      </c>
      <c r="I158">
        <v>5134</v>
      </c>
      <c r="J158">
        <v>-5652</v>
      </c>
      <c r="K158" t="s">
        <v>35</v>
      </c>
      <c r="L158">
        <v>2</v>
      </c>
      <c r="M158" t="str">
        <f t="shared" si="2"/>
        <v>0-6 Months</v>
      </c>
      <c r="N158" s="1">
        <v>44768</v>
      </c>
      <c r="O158">
        <v>0</v>
      </c>
      <c r="P158">
        <v>157</v>
      </c>
      <c r="Q158" s="2">
        <v>-1.1399999999999999</v>
      </c>
      <c r="R158" t="s">
        <v>22</v>
      </c>
      <c r="S158">
        <v>2022</v>
      </c>
      <c r="T158" t="s">
        <v>44</v>
      </c>
    </row>
    <row r="159" spans="1:20" hidden="1" x14ac:dyDescent="0.3">
      <c r="A159">
        <v>267</v>
      </c>
      <c r="B159">
        <v>179</v>
      </c>
      <c r="C159" t="s">
        <v>40</v>
      </c>
      <c r="D159" t="s">
        <v>19</v>
      </c>
      <c r="E159" t="s">
        <v>37</v>
      </c>
      <c r="F159" s="1">
        <v>44596</v>
      </c>
      <c r="G159" s="1">
        <v>45182</v>
      </c>
      <c r="H159">
        <v>7433</v>
      </c>
      <c r="I159">
        <v>159</v>
      </c>
      <c r="J159">
        <v>7274</v>
      </c>
      <c r="K159" t="s">
        <v>54</v>
      </c>
      <c r="L159">
        <v>19</v>
      </c>
      <c r="M159" t="str">
        <f t="shared" si="2"/>
        <v>6-12 Months</v>
      </c>
      <c r="N159" s="1">
        <v>45182</v>
      </c>
      <c r="O159">
        <v>0</v>
      </c>
      <c r="P159">
        <v>158</v>
      </c>
      <c r="Q159" s="2">
        <v>0.98</v>
      </c>
      <c r="R159" t="s">
        <v>27</v>
      </c>
      <c r="S159">
        <v>2023</v>
      </c>
      <c r="T159" t="s">
        <v>30</v>
      </c>
    </row>
    <row r="160" spans="1:20" hidden="1" x14ac:dyDescent="0.3">
      <c r="A160">
        <v>268</v>
      </c>
      <c r="B160">
        <v>348</v>
      </c>
      <c r="C160" t="s">
        <v>24</v>
      </c>
      <c r="D160" t="s">
        <v>34</v>
      </c>
      <c r="E160" t="s">
        <v>20</v>
      </c>
      <c r="F160" s="1">
        <v>44836</v>
      </c>
      <c r="G160" s="1">
        <v>44935</v>
      </c>
      <c r="H160">
        <v>8402</v>
      </c>
      <c r="I160">
        <v>6381</v>
      </c>
      <c r="J160">
        <v>2021</v>
      </c>
      <c r="K160" t="s">
        <v>54</v>
      </c>
      <c r="L160">
        <v>3</v>
      </c>
      <c r="M160" t="str">
        <f t="shared" si="2"/>
        <v>0-6 Months</v>
      </c>
      <c r="N160" s="1">
        <v>44935</v>
      </c>
      <c r="O160">
        <v>1</v>
      </c>
      <c r="P160">
        <v>159</v>
      </c>
      <c r="Q160" s="2">
        <v>0.24</v>
      </c>
      <c r="R160" t="s">
        <v>27</v>
      </c>
      <c r="S160">
        <v>2023</v>
      </c>
      <c r="T160" t="s">
        <v>23</v>
      </c>
    </row>
    <row r="161" spans="1:20" hidden="1" x14ac:dyDescent="0.3">
      <c r="A161">
        <v>269</v>
      </c>
      <c r="B161">
        <v>327</v>
      </c>
      <c r="C161" t="s">
        <v>40</v>
      </c>
      <c r="D161" t="s">
        <v>34</v>
      </c>
      <c r="E161" t="s">
        <v>20</v>
      </c>
      <c r="F161" s="1">
        <v>44778</v>
      </c>
      <c r="G161" s="1">
        <v>45078</v>
      </c>
      <c r="H161">
        <v>4967.93</v>
      </c>
      <c r="I161">
        <v>3802</v>
      </c>
      <c r="J161">
        <v>-4363</v>
      </c>
      <c r="K161" t="s">
        <v>21</v>
      </c>
      <c r="L161">
        <v>9</v>
      </c>
      <c r="M161" t="str">
        <f t="shared" si="2"/>
        <v>6-12 Months</v>
      </c>
      <c r="N161" s="1">
        <v>45078</v>
      </c>
      <c r="O161">
        <v>0</v>
      </c>
      <c r="P161">
        <v>160</v>
      </c>
      <c r="Q161" s="2">
        <v>-0.88</v>
      </c>
      <c r="R161" t="s">
        <v>27</v>
      </c>
      <c r="S161">
        <v>2023</v>
      </c>
      <c r="T161" t="s">
        <v>41</v>
      </c>
    </row>
    <row r="162" spans="1:20" hidden="1" x14ac:dyDescent="0.3">
      <c r="A162">
        <v>272</v>
      </c>
      <c r="B162">
        <v>174</v>
      </c>
      <c r="C162" t="s">
        <v>45</v>
      </c>
      <c r="D162" t="s">
        <v>29</v>
      </c>
      <c r="E162" t="s">
        <v>26</v>
      </c>
      <c r="F162" s="1">
        <v>44749</v>
      </c>
      <c r="G162" s="1">
        <v>44980</v>
      </c>
      <c r="H162">
        <v>2035</v>
      </c>
      <c r="I162">
        <v>4330</v>
      </c>
      <c r="J162">
        <v>-2295</v>
      </c>
      <c r="K162" t="s">
        <v>54</v>
      </c>
      <c r="L162">
        <v>7</v>
      </c>
      <c r="M162" t="str">
        <f t="shared" si="2"/>
        <v>6-12 Months</v>
      </c>
      <c r="N162" s="1">
        <v>44980</v>
      </c>
      <c r="O162">
        <v>1</v>
      </c>
      <c r="P162">
        <v>161</v>
      </c>
      <c r="Q162" s="2">
        <v>-1.1299999999999999</v>
      </c>
      <c r="R162" t="s">
        <v>22</v>
      </c>
      <c r="S162">
        <v>2023</v>
      </c>
      <c r="T162" t="s">
        <v>43</v>
      </c>
    </row>
    <row r="163" spans="1:20" x14ac:dyDescent="0.3">
      <c r="A163">
        <v>273</v>
      </c>
      <c r="B163">
        <v>468</v>
      </c>
      <c r="C163" t="s">
        <v>53</v>
      </c>
      <c r="D163" t="s">
        <v>34</v>
      </c>
      <c r="E163" t="s">
        <v>26</v>
      </c>
      <c r="F163" s="1">
        <v>44608</v>
      </c>
      <c r="G163" s="1">
        <v>45207</v>
      </c>
      <c r="H163">
        <v>7259</v>
      </c>
      <c r="I163">
        <v>6555</v>
      </c>
      <c r="J163">
        <v>704</v>
      </c>
      <c r="K163" t="s">
        <v>35</v>
      </c>
      <c r="L163">
        <v>19</v>
      </c>
      <c r="M163" t="str">
        <f t="shared" si="2"/>
        <v>6-12 Months</v>
      </c>
      <c r="N163" s="1">
        <v>45207</v>
      </c>
      <c r="O163">
        <v>1</v>
      </c>
      <c r="P163">
        <v>162</v>
      </c>
      <c r="Q163" s="2">
        <v>0.1</v>
      </c>
      <c r="R163" t="s">
        <v>27</v>
      </c>
      <c r="S163">
        <v>2023</v>
      </c>
      <c r="T163" t="s">
        <v>33</v>
      </c>
    </row>
    <row r="164" spans="1:20" hidden="1" x14ac:dyDescent="0.3">
      <c r="A164">
        <v>274</v>
      </c>
      <c r="B164">
        <v>469</v>
      </c>
      <c r="C164" t="s">
        <v>40</v>
      </c>
      <c r="D164" t="s">
        <v>19</v>
      </c>
      <c r="E164" t="s">
        <v>37</v>
      </c>
      <c r="F164" s="1">
        <v>44604</v>
      </c>
      <c r="G164" s="1">
        <v>44741</v>
      </c>
      <c r="H164">
        <v>4666</v>
      </c>
      <c r="I164">
        <v>3603</v>
      </c>
      <c r="J164">
        <v>577.01</v>
      </c>
      <c r="K164" t="s">
        <v>54</v>
      </c>
      <c r="L164">
        <v>4</v>
      </c>
      <c r="M164" t="str">
        <f t="shared" si="2"/>
        <v>0-6 Months</v>
      </c>
      <c r="N164" s="1">
        <v>44741</v>
      </c>
      <c r="O164">
        <v>1</v>
      </c>
      <c r="P164">
        <v>163</v>
      </c>
      <c r="Q164" s="2">
        <v>0.12</v>
      </c>
      <c r="R164" t="s">
        <v>27</v>
      </c>
      <c r="S164">
        <v>2022</v>
      </c>
      <c r="T164" t="s">
        <v>41</v>
      </c>
    </row>
    <row r="165" spans="1:20" hidden="1" x14ac:dyDescent="0.3">
      <c r="A165">
        <v>275</v>
      </c>
      <c r="B165">
        <v>204</v>
      </c>
      <c r="C165" t="s">
        <v>39</v>
      </c>
      <c r="D165" t="s">
        <v>29</v>
      </c>
      <c r="E165" t="s">
        <v>37</v>
      </c>
      <c r="F165" s="1">
        <v>44849</v>
      </c>
      <c r="G165" s="1">
        <v>45425</v>
      </c>
      <c r="H165">
        <v>6204</v>
      </c>
      <c r="I165">
        <v>293</v>
      </c>
      <c r="J165">
        <v>5911</v>
      </c>
      <c r="K165" t="s">
        <v>54</v>
      </c>
      <c r="L165">
        <v>18</v>
      </c>
      <c r="M165" t="str">
        <f t="shared" si="2"/>
        <v>6-12 Months</v>
      </c>
      <c r="N165" s="1">
        <v>45425</v>
      </c>
      <c r="O165">
        <v>0</v>
      </c>
      <c r="P165">
        <v>164</v>
      </c>
      <c r="Q165" s="2">
        <v>0.95</v>
      </c>
      <c r="R165" t="s">
        <v>27</v>
      </c>
      <c r="S165">
        <v>2024</v>
      </c>
      <c r="T165" t="s">
        <v>28</v>
      </c>
    </row>
    <row r="166" spans="1:20" hidden="1" x14ac:dyDescent="0.3">
      <c r="A166">
        <v>278</v>
      </c>
      <c r="B166">
        <v>311</v>
      </c>
      <c r="C166" t="s">
        <v>24</v>
      </c>
      <c r="D166" t="s">
        <v>25</v>
      </c>
      <c r="E166" t="s">
        <v>26</v>
      </c>
      <c r="F166" s="1">
        <v>44778</v>
      </c>
      <c r="G166" s="1">
        <v>45262</v>
      </c>
      <c r="H166">
        <v>4967.93</v>
      </c>
      <c r="I166">
        <v>4141</v>
      </c>
      <c r="J166">
        <v>577.01</v>
      </c>
      <c r="K166" t="s">
        <v>54</v>
      </c>
      <c r="L166">
        <v>15</v>
      </c>
      <c r="M166" t="str">
        <f t="shared" si="2"/>
        <v>6-12 Months</v>
      </c>
      <c r="N166" s="1">
        <v>45262</v>
      </c>
      <c r="O166">
        <v>1</v>
      </c>
      <c r="P166">
        <v>165</v>
      </c>
      <c r="Q166" s="2">
        <v>0.12</v>
      </c>
      <c r="R166" t="s">
        <v>27</v>
      </c>
      <c r="S166">
        <v>2023</v>
      </c>
      <c r="T166" t="s">
        <v>31</v>
      </c>
    </row>
    <row r="167" spans="1:20" hidden="1" x14ac:dyDescent="0.3">
      <c r="A167">
        <v>281</v>
      </c>
      <c r="B167">
        <v>196</v>
      </c>
      <c r="C167" t="s">
        <v>39</v>
      </c>
      <c r="D167" t="s">
        <v>25</v>
      </c>
      <c r="E167" t="s">
        <v>37</v>
      </c>
      <c r="F167" s="1">
        <v>44849</v>
      </c>
      <c r="G167" s="1">
        <v>44957</v>
      </c>
      <c r="H167">
        <v>7077</v>
      </c>
      <c r="I167">
        <v>4812</v>
      </c>
      <c r="J167">
        <v>2265</v>
      </c>
      <c r="K167" t="s">
        <v>54</v>
      </c>
      <c r="L167">
        <v>3</v>
      </c>
      <c r="M167" t="str">
        <f t="shared" si="2"/>
        <v>0-6 Months</v>
      </c>
      <c r="N167" s="1">
        <v>44957</v>
      </c>
      <c r="O167">
        <v>0</v>
      </c>
      <c r="P167">
        <v>166</v>
      </c>
      <c r="Q167" s="2">
        <v>0.32</v>
      </c>
      <c r="R167" t="s">
        <v>27</v>
      </c>
      <c r="S167">
        <v>2023</v>
      </c>
      <c r="T167" t="s">
        <v>23</v>
      </c>
    </row>
    <row r="168" spans="1:20" hidden="1" x14ac:dyDescent="0.3">
      <c r="A168">
        <v>283</v>
      </c>
      <c r="B168">
        <v>358</v>
      </c>
      <c r="C168" t="s">
        <v>39</v>
      </c>
      <c r="D168" t="s">
        <v>25</v>
      </c>
      <c r="E168" t="s">
        <v>20</v>
      </c>
      <c r="F168" s="1">
        <v>44672</v>
      </c>
      <c r="G168" s="1">
        <v>45254</v>
      </c>
      <c r="H168">
        <v>6996</v>
      </c>
      <c r="I168">
        <v>6652</v>
      </c>
      <c r="J168">
        <v>344</v>
      </c>
      <c r="K168" t="s">
        <v>54</v>
      </c>
      <c r="L168">
        <v>19</v>
      </c>
      <c r="M168" t="str">
        <f t="shared" si="2"/>
        <v>6-12 Months</v>
      </c>
      <c r="N168" s="1">
        <v>45254</v>
      </c>
      <c r="O168">
        <v>0</v>
      </c>
      <c r="P168">
        <v>167</v>
      </c>
      <c r="Q168" s="2">
        <v>0.05</v>
      </c>
      <c r="R168" t="s">
        <v>27</v>
      </c>
      <c r="S168">
        <v>2023</v>
      </c>
      <c r="T168" t="s">
        <v>42</v>
      </c>
    </row>
    <row r="169" spans="1:20" hidden="1" x14ac:dyDescent="0.3">
      <c r="A169">
        <v>284</v>
      </c>
      <c r="B169">
        <v>203</v>
      </c>
      <c r="C169" t="s">
        <v>45</v>
      </c>
      <c r="D169" t="s">
        <v>29</v>
      </c>
      <c r="E169" t="s">
        <v>37</v>
      </c>
      <c r="F169" s="1">
        <v>44717</v>
      </c>
      <c r="G169" s="1">
        <v>44776</v>
      </c>
      <c r="H169">
        <v>4062</v>
      </c>
      <c r="I169">
        <v>3361</v>
      </c>
      <c r="J169">
        <v>701</v>
      </c>
      <c r="K169" t="s">
        <v>54</v>
      </c>
      <c r="L169">
        <v>1</v>
      </c>
      <c r="M169" t="str">
        <f t="shared" si="2"/>
        <v>0-6 Months</v>
      </c>
      <c r="N169" s="1">
        <v>44776</v>
      </c>
      <c r="O169">
        <v>0</v>
      </c>
      <c r="P169">
        <v>168</v>
      </c>
      <c r="Q169" s="2">
        <v>0.17</v>
      </c>
      <c r="R169" t="s">
        <v>27</v>
      </c>
      <c r="S169">
        <v>2022</v>
      </c>
      <c r="T169" t="s">
        <v>36</v>
      </c>
    </row>
    <row r="170" spans="1:20" hidden="1" x14ac:dyDescent="0.3">
      <c r="A170">
        <v>285</v>
      </c>
      <c r="B170">
        <v>402</v>
      </c>
      <c r="C170" t="s">
        <v>39</v>
      </c>
      <c r="D170" t="s">
        <v>19</v>
      </c>
      <c r="E170" t="s">
        <v>37</v>
      </c>
      <c r="F170" s="1">
        <v>44740</v>
      </c>
      <c r="G170" s="1">
        <v>44783</v>
      </c>
      <c r="H170">
        <v>9717</v>
      </c>
      <c r="I170">
        <v>7474</v>
      </c>
      <c r="J170">
        <v>2243</v>
      </c>
      <c r="K170" t="s">
        <v>54</v>
      </c>
      <c r="L170">
        <v>1</v>
      </c>
      <c r="M170" t="str">
        <f t="shared" si="2"/>
        <v>0-6 Months</v>
      </c>
      <c r="N170" s="1">
        <v>44783</v>
      </c>
      <c r="O170">
        <v>1</v>
      </c>
      <c r="P170">
        <v>169</v>
      </c>
      <c r="Q170" s="2">
        <v>0.23</v>
      </c>
      <c r="R170" t="s">
        <v>27</v>
      </c>
      <c r="S170">
        <v>2022</v>
      </c>
      <c r="T170" t="s">
        <v>36</v>
      </c>
    </row>
    <row r="171" spans="1:20" hidden="1" x14ac:dyDescent="0.3">
      <c r="A171">
        <v>286</v>
      </c>
      <c r="B171">
        <v>136</v>
      </c>
      <c r="C171" t="s">
        <v>39</v>
      </c>
      <c r="D171" t="s">
        <v>34</v>
      </c>
      <c r="E171" t="s">
        <v>37</v>
      </c>
      <c r="F171" s="1">
        <v>44620</v>
      </c>
      <c r="G171" s="1">
        <v>44723</v>
      </c>
      <c r="H171">
        <v>7570</v>
      </c>
      <c r="I171">
        <v>4084</v>
      </c>
      <c r="J171">
        <v>3486</v>
      </c>
      <c r="K171" t="s">
        <v>54</v>
      </c>
      <c r="L171">
        <v>3</v>
      </c>
      <c r="M171" t="str">
        <f t="shared" si="2"/>
        <v>0-6 Months</v>
      </c>
      <c r="N171" s="1">
        <v>44723</v>
      </c>
      <c r="O171">
        <v>0</v>
      </c>
      <c r="P171">
        <v>170</v>
      </c>
      <c r="Q171" s="2">
        <v>0.46</v>
      </c>
      <c r="R171" t="s">
        <v>27</v>
      </c>
      <c r="S171">
        <v>2022</v>
      </c>
      <c r="T171" t="s">
        <v>41</v>
      </c>
    </row>
    <row r="172" spans="1:20" hidden="1" x14ac:dyDescent="0.3">
      <c r="A172">
        <v>288</v>
      </c>
      <c r="B172">
        <v>449</v>
      </c>
      <c r="C172" t="s">
        <v>45</v>
      </c>
      <c r="D172" t="s">
        <v>25</v>
      </c>
      <c r="E172" t="s">
        <v>20</v>
      </c>
      <c r="F172" s="1">
        <v>44793</v>
      </c>
      <c r="G172" s="1">
        <v>44948</v>
      </c>
      <c r="H172">
        <v>9720</v>
      </c>
      <c r="I172">
        <v>6978</v>
      </c>
      <c r="J172">
        <v>2742</v>
      </c>
      <c r="K172" t="s">
        <v>21</v>
      </c>
      <c r="L172">
        <v>5</v>
      </c>
      <c r="M172" t="str">
        <f t="shared" si="2"/>
        <v>0-6 Months</v>
      </c>
      <c r="N172" s="1">
        <v>44948</v>
      </c>
      <c r="O172">
        <v>0</v>
      </c>
      <c r="P172">
        <v>171</v>
      </c>
      <c r="Q172" s="2">
        <v>0.28000000000000003</v>
      </c>
      <c r="R172" t="s">
        <v>27</v>
      </c>
      <c r="S172">
        <v>2023</v>
      </c>
      <c r="T172" t="s">
        <v>23</v>
      </c>
    </row>
    <row r="173" spans="1:20" hidden="1" x14ac:dyDescent="0.3">
      <c r="A173">
        <v>293</v>
      </c>
      <c r="B173">
        <v>319</v>
      </c>
      <c r="C173" t="s">
        <v>39</v>
      </c>
      <c r="D173" t="s">
        <v>29</v>
      </c>
      <c r="E173" t="s">
        <v>37</v>
      </c>
      <c r="F173" s="1">
        <v>44664</v>
      </c>
      <c r="G173" s="1">
        <v>44855</v>
      </c>
      <c r="H173">
        <v>513</v>
      </c>
      <c r="I173">
        <v>4012.75</v>
      </c>
      <c r="J173">
        <v>850</v>
      </c>
      <c r="K173" t="s">
        <v>54</v>
      </c>
      <c r="L173">
        <v>6</v>
      </c>
      <c r="M173" t="str">
        <f t="shared" si="2"/>
        <v>12+ Months</v>
      </c>
      <c r="N173" s="1">
        <v>44855</v>
      </c>
      <c r="O173">
        <v>0</v>
      </c>
      <c r="P173">
        <v>172</v>
      </c>
      <c r="Q173" s="2">
        <v>1.66</v>
      </c>
      <c r="R173" t="s">
        <v>22</v>
      </c>
      <c r="S173">
        <v>2022</v>
      </c>
      <c r="T173" t="s">
        <v>33</v>
      </c>
    </row>
    <row r="174" spans="1:20" hidden="1" x14ac:dyDescent="0.3">
      <c r="A174">
        <v>295</v>
      </c>
      <c r="B174">
        <v>354</v>
      </c>
      <c r="C174" t="s">
        <v>24</v>
      </c>
      <c r="D174" t="s">
        <v>19</v>
      </c>
      <c r="E174" t="s">
        <v>37</v>
      </c>
      <c r="F174" s="1">
        <v>44584</v>
      </c>
      <c r="G174" s="1">
        <v>45038</v>
      </c>
      <c r="H174">
        <v>4967.93</v>
      </c>
      <c r="I174">
        <v>5054</v>
      </c>
      <c r="J174">
        <v>-5067</v>
      </c>
      <c r="K174" t="s">
        <v>21</v>
      </c>
      <c r="L174">
        <v>14</v>
      </c>
      <c r="M174" t="str">
        <f t="shared" si="2"/>
        <v>6-12 Months</v>
      </c>
      <c r="N174" s="1">
        <v>45038</v>
      </c>
      <c r="O174">
        <v>0</v>
      </c>
      <c r="P174">
        <v>173</v>
      </c>
      <c r="Q174" s="2">
        <v>-1.02</v>
      </c>
      <c r="R174" t="s">
        <v>22</v>
      </c>
      <c r="S174">
        <v>2023</v>
      </c>
      <c r="T174" t="s">
        <v>32</v>
      </c>
    </row>
    <row r="175" spans="1:20" hidden="1" x14ac:dyDescent="0.3">
      <c r="A175">
        <v>296</v>
      </c>
      <c r="B175">
        <v>146</v>
      </c>
      <c r="C175" t="s">
        <v>53</v>
      </c>
      <c r="D175" t="s">
        <v>34</v>
      </c>
      <c r="E175" t="s">
        <v>26</v>
      </c>
      <c r="F175" s="1">
        <v>44633</v>
      </c>
      <c r="G175" s="1">
        <v>45101</v>
      </c>
      <c r="H175">
        <v>1004</v>
      </c>
      <c r="I175">
        <v>1310</v>
      </c>
      <c r="J175">
        <v>-306</v>
      </c>
      <c r="K175" t="s">
        <v>54</v>
      </c>
      <c r="L175">
        <v>15</v>
      </c>
      <c r="M175" t="str">
        <f t="shared" si="2"/>
        <v>6-12 Months</v>
      </c>
      <c r="N175" s="1">
        <v>45101</v>
      </c>
      <c r="O175">
        <v>1</v>
      </c>
      <c r="P175">
        <v>174</v>
      </c>
      <c r="Q175" s="2">
        <v>-0.3</v>
      </c>
      <c r="R175" t="s">
        <v>27</v>
      </c>
      <c r="S175">
        <v>2023</v>
      </c>
      <c r="T175" t="s">
        <v>41</v>
      </c>
    </row>
    <row r="176" spans="1:20" hidden="1" x14ac:dyDescent="0.3">
      <c r="A176">
        <v>297</v>
      </c>
      <c r="B176">
        <v>294</v>
      </c>
      <c r="C176" t="s">
        <v>40</v>
      </c>
      <c r="D176" t="s">
        <v>25</v>
      </c>
      <c r="E176" t="s">
        <v>26</v>
      </c>
      <c r="F176" s="1">
        <v>44900</v>
      </c>
      <c r="G176" s="1">
        <v>44951</v>
      </c>
      <c r="H176">
        <v>9919</v>
      </c>
      <c r="I176">
        <v>1398</v>
      </c>
      <c r="J176">
        <v>8521</v>
      </c>
      <c r="K176" t="s">
        <v>54</v>
      </c>
      <c r="L176">
        <v>1</v>
      </c>
      <c r="M176" t="str">
        <f t="shared" si="2"/>
        <v>0-6 Months</v>
      </c>
      <c r="N176" s="1">
        <v>44951</v>
      </c>
      <c r="O176">
        <v>0</v>
      </c>
      <c r="P176">
        <v>175</v>
      </c>
      <c r="Q176" s="2">
        <v>0.86</v>
      </c>
      <c r="R176" t="s">
        <v>27</v>
      </c>
      <c r="S176">
        <v>2023</v>
      </c>
      <c r="T176" t="s">
        <v>23</v>
      </c>
    </row>
    <row r="177" spans="1:20" x14ac:dyDescent="0.3">
      <c r="A177">
        <v>298</v>
      </c>
      <c r="B177">
        <v>116</v>
      </c>
      <c r="C177" t="s">
        <v>45</v>
      </c>
      <c r="D177" t="s">
        <v>34</v>
      </c>
      <c r="E177" t="s">
        <v>37</v>
      </c>
      <c r="F177" s="1">
        <v>44916</v>
      </c>
      <c r="G177" s="1">
        <v>44981</v>
      </c>
      <c r="H177">
        <v>4867</v>
      </c>
      <c r="I177">
        <v>5597</v>
      </c>
      <c r="J177">
        <v>-730</v>
      </c>
      <c r="K177" t="s">
        <v>35</v>
      </c>
      <c r="L177">
        <v>2</v>
      </c>
      <c r="M177" t="str">
        <f t="shared" si="2"/>
        <v>0-6 Months</v>
      </c>
      <c r="N177" s="1">
        <v>44981</v>
      </c>
      <c r="O177">
        <v>0</v>
      </c>
      <c r="P177">
        <v>176</v>
      </c>
      <c r="Q177" s="2">
        <v>-0.15</v>
      </c>
      <c r="R177" t="s">
        <v>27</v>
      </c>
      <c r="S177">
        <v>2023</v>
      </c>
      <c r="T177" t="s">
        <v>43</v>
      </c>
    </row>
    <row r="178" spans="1:20" x14ac:dyDescent="0.3">
      <c r="A178">
        <v>301</v>
      </c>
      <c r="B178">
        <v>259</v>
      </c>
      <c r="C178" t="s">
        <v>53</v>
      </c>
      <c r="D178" t="s">
        <v>34</v>
      </c>
      <c r="E178" t="s">
        <v>20</v>
      </c>
      <c r="F178" s="1">
        <v>44606</v>
      </c>
      <c r="G178" s="1">
        <v>44769</v>
      </c>
      <c r="H178">
        <v>9432</v>
      </c>
      <c r="I178">
        <v>7849</v>
      </c>
      <c r="J178">
        <v>1583</v>
      </c>
      <c r="K178" t="s">
        <v>35</v>
      </c>
      <c r="L178">
        <v>5</v>
      </c>
      <c r="M178" t="str">
        <f t="shared" si="2"/>
        <v>0-6 Months</v>
      </c>
      <c r="N178" s="1">
        <v>44769</v>
      </c>
      <c r="O178">
        <v>0</v>
      </c>
      <c r="P178">
        <v>177</v>
      </c>
      <c r="Q178" s="2">
        <v>0.17</v>
      </c>
      <c r="R178" t="s">
        <v>27</v>
      </c>
      <c r="S178">
        <v>2022</v>
      </c>
      <c r="T178" t="s">
        <v>44</v>
      </c>
    </row>
    <row r="179" spans="1:20" x14ac:dyDescent="0.3">
      <c r="A179">
        <v>302</v>
      </c>
      <c r="B179">
        <v>177</v>
      </c>
      <c r="C179" t="s">
        <v>40</v>
      </c>
      <c r="D179" t="s">
        <v>25</v>
      </c>
      <c r="E179" t="s">
        <v>37</v>
      </c>
      <c r="F179" s="1">
        <v>44581</v>
      </c>
      <c r="G179" s="1">
        <v>45055</v>
      </c>
      <c r="H179">
        <v>6648</v>
      </c>
      <c r="I179">
        <v>4913</v>
      </c>
      <c r="J179">
        <v>1735</v>
      </c>
      <c r="K179" t="s">
        <v>35</v>
      </c>
      <c r="L179">
        <v>15</v>
      </c>
      <c r="M179" t="str">
        <f t="shared" si="2"/>
        <v>6-12 Months</v>
      </c>
      <c r="N179" s="1">
        <v>45055</v>
      </c>
      <c r="O179">
        <v>0</v>
      </c>
      <c r="P179">
        <v>178</v>
      </c>
      <c r="Q179" s="2">
        <v>0.26</v>
      </c>
      <c r="R179" t="s">
        <v>27</v>
      </c>
      <c r="S179">
        <v>2023</v>
      </c>
      <c r="T179" t="s">
        <v>28</v>
      </c>
    </row>
    <row r="180" spans="1:20" hidden="1" x14ac:dyDescent="0.3">
      <c r="A180">
        <v>305</v>
      </c>
      <c r="B180">
        <v>453</v>
      </c>
      <c r="C180" t="s">
        <v>40</v>
      </c>
      <c r="D180" t="s">
        <v>34</v>
      </c>
      <c r="E180" t="s">
        <v>37</v>
      </c>
      <c r="F180" s="1">
        <v>44881</v>
      </c>
      <c r="G180" s="1">
        <v>45231</v>
      </c>
      <c r="H180">
        <v>1724</v>
      </c>
      <c r="I180">
        <v>6599</v>
      </c>
      <c r="J180">
        <v>-4875</v>
      </c>
      <c r="K180" t="s">
        <v>21</v>
      </c>
      <c r="L180">
        <v>11</v>
      </c>
      <c r="M180" t="str">
        <f t="shared" si="2"/>
        <v>6-12 Months</v>
      </c>
      <c r="N180" s="1">
        <v>45231</v>
      </c>
      <c r="O180">
        <v>0</v>
      </c>
      <c r="P180">
        <v>179</v>
      </c>
      <c r="Q180" s="2">
        <v>-2.83</v>
      </c>
      <c r="R180" t="s">
        <v>22</v>
      </c>
      <c r="S180">
        <v>2023</v>
      </c>
      <c r="T180" t="s">
        <v>42</v>
      </c>
    </row>
    <row r="181" spans="1:20" x14ac:dyDescent="0.3">
      <c r="A181">
        <v>307</v>
      </c>
      <c r="B181">
        <v>433</v>
      </c>
      <c r="C181" t="s">
        <v>24</v>
      </c>
      <c r="D181" t="s">
        <v>34</v>
      </c>
      <c r="E181" t="s">
        <v>26</v>
      </c>
      <c r="F181" s="1">
        <v>44914</v>
      </c>
      <c r="G181" s="1">
        <v>45490</v>
      </c>
      <c r="H181">
        <v>2003</v>
      </c>
      <c r="I181">
        <v>5741</v>
      </c>
      <c r="J181">
        <v>-3738</v>
      </c>
      <c r="K181" t="s">
        <v>35</v>
      </c>
      <c r="L181">
        <v>18</v>
      </c>
      <c r="M181" t="str">
        <f t="shared" si="2"/>
        <v>6-12 Months</v>
      </c>
      <c r="N181" s="1">
        <v>45490</v>
      </c>
      <c r="O181">
        <v>0</v>
      </c>
      <c r="P181">
        <v>180</v>
      </c>
      <c r="Q181" s="2">
        <v>-1.87</v>
      </c>
      <c r="R181" t="s">
        <v>22</v>
      </c>
      <c r="S181">
        <v>2024</v>
      </c>
      <c r="T181" t="s">
        <v>44</v>
      </c>
    </row>
    <row r="182" spans="1:20" hidden="1" x14ac:dyDescent="0.3">
      <c r="A182">
        <v>308</v>
      </c>
      <c r="B182">
        <v>419</v>
      </c>
      <c r="C182" t="s">
        <v>39</v>
      </c>
      <c r="D182" t="s">
        <v>34</v>
      </c>
      <c r="E182" t="s">
        <v>26</v>
      </c>
      <c r="F182" s="1">
        <v>44680</v>
      </c>
      <c r="G182" s="1">
        <v>44849</v>
      </c>
      <c r="H182">
        <v>2721</v>
      </c>
      <c r="I182">
        <v>217</v>
      </c>
      <c r="J182">
        <v>2504</v>
      </c>
      <c r="K182" t="s">
        <v>21</v>
      </c>
      <c r="L182">
        <v>5</v>
      </c>
      <c r="M182" t="str">
        <f t="shared" si="2"/>
        <v>0-6 Months</v>
      </c>
      <c r="N182" s="1">
        <v>44849</v>
      </c>
      <c r="O182">
        <v>0</v>
      </c>
      <c r="P182">
        <v>181</v>
      </c>
      <c r="Q182" s="2">
        <v>0.92</v>
      </c>
      <c r="R182" t="s">
        <v>27</v>
      </c>
      <c r="S182">
        <v>2022</v>
      </c>
      <c r="T182" t="s">
        <v>33</v>
      </c>
    </row>
    <row r="183" spans="1:20" hidden="1" x14ac:dyDescent="0.3">
      <c r="A183">
        <v>310</v>
      </c>
      <c r="B183">
        <v>361</v>
      </c>
      <c r="C183" t="s">
        <v>53</v>
      </c>
      <c r="D183" t="s">
        <v>19</v>
      </c>
      <c r="E183" t="s">
        <v>20</v>
      </c>
      <c r="F183" s="1">
        <v>44830</v>
      </c>
      <c r="G183" s="1">
        <v>45400</v>
      </c>
      <c r="H183">
        <v>8248</v>
      </c>
      <c r="I183">
        <v>618</v>
      </c>
      <c r="J183">
        <v>7630</v>
      </c>
      <c r="K183" t="s">
        <v>54</v>
      </c>
      <c r="L183">
        <v>18</v>
      </c>
      <c r="M183" t="str">
        <f t="shared" si="2"/>
        <v>6-12 Months</v>
      </c>
      <c r="N183" s="1">
        <v>45400</v>
      </c>
      <c r="O183">
        <v>0</v>
      </c>
      <c r="P183">
        <v>182</v>
      </c>
      <c r="Q183" s="2">
        <v>0.93</v>
      </c>
      <c r="R183" t="s">
        <v>27</v>
      </c>
      <c r="S183">
        <v>2024</v>
      </c>
      <c r="T183" t="s">
        <v>32</v>
      </c>
    </row>
    <row r="184" spans="1:20" hidden="1" x14ac:dyDescent="0.3">
      <c r="A184">
        <v>312</v>
      </c>
      <c r="B184">
        <v>370</v>
      </c>
      <c r="C184" t="s">
        <v>45</v>
      </c>
      <c r="D184" t="s">
        <v>25</v>
      </c>
      <c r="E184" t="s">
        <v>37</v>
      </c>
      <c r="F184" s="1">
        <v>44676</v>
      </c>
      <c r="G184" s="1">
        <v>45139</v>
      </c>
      <c r="H184">
        <v>2714</v>
      </c>
      <c r="I184">
        <v>3502</v>
      </c>
      <c r="J184">
        <v>-788</v>
      </c>
      <c r="K184" t="s">
        <v>21</v>
      </c>
      <c r="L184">
        <v>15</v>
      </c>
      <c r="M184" t="str">
        <f t="shared" si="2"/>
        <v>6-12 Months</v>
      </c>
      <c r="N184" s="1">
        <v>45139</v>
      </c>
      <c r="O184">
        <v>1</v>
      </c>
      <c r="P184">
        <v>183</v>
      </c>
      <c r="Q184" s="2">
        <v>-0.28999999999999998</v>
      </c>
      <c r="R184" t="s">
        <v>27</v>
      </c>
      <c r="S184">
        <v>2023</v>
      </c>
      <c r="T184" t="s">
        <v>36</v>
      </c>
    </row>
    <row r="185" spans="1:20" x14ac:dyDescent="0.3">
      <c r="A185">
        <v>313</v>
      </c>
      <c r="B185">
        <v>427</v>
      </c>
      <c r="C185" t="s">
        <v>40</v>
      </c>
      <c r="D185" t="s">
        <v>34</v>
      </c>
      <c r="E185" t="s">
        <v>37</v>
      </c>
      <c r="F185" s="1">
        <v>44824</v>
      </c>
      <c r="G185" s="1">
        <v>45024</v>
      </c>
      <c r="H185">
        <v>4268</v>
      </c>
      <c r="I185">
        <v>4462</v>
      </c>
      <c r="J185">
        <v>-194</v>
      </c>
      <c r="K185" t="s">
        <v>35</v>
      </c>
      <c r="L185">
        <v>6</v>
      </c>
      <c r="M185" t="str">
        <f t="shared" si="2"/>
        <v>12+ Months</v>
      </c>
      <c r="N185" s="1">
        <v>45024</v>
      </c>
      <c r="O185">
        <v>0</v>
      </c>
      <c r="P185">
        <v>184</v>
      </c>
      <c r="Q185" s="2">
        <v>-0.05</v>
      </c>
      <c r="R185" t="s">
        <v>27</v>
      </c>
      <c r="S185">
        <v>2023</v>
      </c>
      <c r="T185" t="s">
        <v>32</v>
      </c>
    </row>
    <row r="186" spans="1:20" hidden="1" x14ac:dyDescent="0.3">
      <c r="A186">
        <v>314</v>
      </c>
      <c r="B186">
        <v>352</v>
      </c>
      <c r="C186" t="s">
        <v>53</v>
      </c>
      <c r="D186" t="s">
        <v>34</v>
      </c>
      <c r="E186" t="s">
        <v>37</v>
      </c>
      <c r="F186" s="1">
        <v>44858</v>
      </c>
      <c r="G186" s="1">
        <v>45255</v>
      </c>
      <c r="H186">
        <v>1455</v>
      </c>
      <c r="I186">
        <v>2654</v>
      </c>
      <c r="J186">
        <v>-1199</v>
      </c>
      <c r="K186" t="s">
        <v>54</v>
      </c>
      <c r="L186">
        <v>13</v>
      </c>
      <c r="M186" t="str">
        <f t="shared" si="2"/>
        <v>6-12 Months</v>
      </c>
      <c r="N186" s="1">
        <v>45255</v>
      </c>
      <c r="O186">
        <v>0</v>
      </c>
      <c r="P186">
        <v>185</v>
      </c>
      <c r="Q186" s="2">
        <v>-0.82</v>
      </c>
      <c r="R186" t="s">
        <v>27</v>
      </c>
      <c r="S186">
        <v>2023</v>
      </c>
      <c r="T186" t="s">
        <v>42</v>
      </c>
    </row>
    <row r="187" spans="1:20" hidden="1" x14ac:dyDescent="0.3">
      <c r="A187">
        <v>315</v>
      </c>
      <c r="B187">
        <v>171</v>
      </c>
      <c r="C187" t="s">
        <v>53</v>
      </c>
      <c r="D187" t="s">
        <v>34</v>
      </c>
      <c r="E187" t="s">
        <v>37</v>
      </c>
      <c r="F187" s="1">
        <v>44599</v>
      </c>
      <c r="G187" s="1">
        <v>45046</v>
      </c>
      <c r="H187">
        <v>6310</v>
      </c>
      <c r="I187">
        <v>3356</v>
      </c>
      <c r="J187">
        <v>2954</v>
      </c>
      <c r="K187" t="s">
        <v>54</v>
      </c>
      <c r="L187">
        <v>14</v>
      </c>
      <c r="M187" t="str">
        <f t="shared" si="2"/>
        <v>6-12 Months</v>
      </c>
      <c r="N187" s="1">
        <v>45046</v>
      </c>
      <c r="O187">
        <v>1</v>
      </c>
      <c r="P187">
        <v>186</v>
      </c>
      <c r="Q187" s="2">
        <v>0.47</v>
      </c>
      <c r="R187" t="s">
        <v>27</v>
      </c>
      <c r="S187">
        <v>2023</v>
      </c>
      <c r="T187" t="s">
        <v>32</v>
      </c>
    </row>
    <row r="188" spans="1:20" hidden="1" x14ac:dyDescent="0.3">
      <c r="A188">
        <v>316</v>
      </c>
      <c r="B188">
        <v>287</v>
      </c>
      <c r="C188" t="s">
        <v>39</v>
      </c>
      <c r="D188" t="s">
        <v>34</v>
      </c>
      <c r="E188" t="s">
        <v>26</v>
      </c>
      <c r="F188" s="1">
        <v>44580</v>
      </c>
      <c r="G188" s="1">
        <v>45112</v>
      </c>
      <c r="H188">
        <v>1848</v>
      </c>
      <c r="I188">
        <v>5470</v>
      </c>
      <c r="J188">
        <v>577.01</v>
      </c>
      <c r="K188" t="s">
        <v>54</v>
      </c>
      <c r="L188">
        <v>17</v>
      </c>
      <c r="M188" t="str">
        <f t="shared" si="2"/>
        <v>6-12 Months</v>
      </c>
      <c r="N188" s="1">
        <v>45112</v>
      </c>
      <c r="O188">
        <v>0</v>
      </c>
      <c r="P188">
        <v>187</v>
      </c>
      <c r="Q188" s="2">
        <v>0.31</v>
      </c>
      <c r="R188" t="s">
        <v>27</v>
      </c>
      <c r="S188">
        <v>2023</v>
      </c>
      <c r="T188" t="s">
        <v>44</v>
      </c>
    </row>
    <row r="189" spans="1:20" hidden="1" x14ac:dyDescent="0.3">
      <c r="A189">
        <v>319</v>
      </c>
      <c r="B189">
        <v>199</v>
      </c>
      <c r="C189" t="s">
        <v>45</v>
      </c>
      <c r="D189" t="s">
        <v>29</v>
      </c>
      <c r="E189" t="s">
        <v>26</v>
      </c>
      <c r="F189" s="1">
        <v>44572</v>
      </c>
      <c r="G189" s="1">
        <v>45091</v>
      </c>
      <c r="H189">
        <v>4967.93</v>
      </c>
      <c r="I189">
        <v>5155</v>
      </c>
      <c r="J189">
        <v>-5779</v>
      </c>
      <c r="K189" t="s">
        <v>21</v>
      </c>
      <c r="L189">
        <v>17</v>
      </c>
      <c r="M189" t="str">
        <f t="shared" si="2"/>
        <v>6-12 Months</v>
      </c>
      <c r="N189" s="1">
        <v>45091</v>
      </c>
      <c r="O189">
        <v>1</v>
      </c>
      <c r="P189">
        <v>188</v>
      </c>
      <c r="Q189" s="2">
        <v>-1.1599999999999999</v>
      </c>
      <c r="R189" t="s">
        <v>22</v>
      </c>
      <c r="S189">
        <v>2023</v>
      </c>
      <c r="T189" t="s">
        <v>41</v>
      </c>
    </row>
    <row r="190" spans="1:20" hidden="1" x14ac:dyDescent="0.3">
      <c r="A190">
        <v>321</v>
      </c>
      <c r="B190">
        <v>259</v>
      </c>
      <c r="C190" t="s">
        <v>53</v>
      </c>
      <c r="D190" t="s">
        <v>29</v>
      </c>
      <c r="E190" t="s">
        <v>20</v>
      </c>
      <c r="F190" s="1">
        <v>44863</v>
      </c>
      <c r="G190" s="1">
        <v>45439</v>
      </c>
      <c r="H190">
        <v>9264</v>
      </c>
      <c r="I190">
        <v>1537</v>
      </c>
      <c r="J190">
        <v>7727</v>
      </c>
      <c r="K190" t="s">
        <v>54</v>
      </c>
      <c r="L190">
        <v>18</v>
      </c>
      <c r="M190" t="str">
        <f t="shared" si="2"/>
        <v>6-12 Months</v>
      </c>
      <c r="N190" s="1">
        <v>45439</v>
      </c>
      <c r="O190">
        <v>0</v>
      </c>
      <c r="P190">
        <v>189</v>
      </c>
      <c r="Q190" s="2">
        <v>0.83</v>
      </c>
      <c r="R190" t="s">
        <v>27</v>
      </c>
      <c r="S190">
        <v>2024</v>
      </c>
      <c r="T190" t="s">
        <v>28</v>
      </c>
    </row>
    <row r="191" spans="1:20" x14ac:dyDescent="0.3">
      <c r="A191">
        <v>322</v>
      </c>
      <c r="B191">
        <v>291</v>
      </c>
      <c r="C191" t="s">
        <v>45</v>
      </c>
      <c r="D191" t="s">
        <v>25</v>
      </c>
      <c r="E191" t="s">
        <v>26</v>
      </c>
      <c r="F191" s="1">
        <v>44858</v>
      </c>
      <c r="G191" s="1">
        <v>45148</v>
      </c>
      <c r="H191">
        <v>5064</v>
      </c>
      <c r="I191">
        <v>5984</v>
      </c>
      <c r="J191">
        <v>577.01</v>
      </c>
      <c r="K191" t="s">
        <v>35</v>
      </c>
      <c r="L191">
        <v>9</v>
      </c>
      <c r="M191" t="str">
        <f t="shared" si="2"/>
        <v>6-12 Months</v>
      </c>
      <c r="N191" s="1">
        <v>45148</v>
      </c>
      <c r="O191">
        <v>0</v>
      </c>
      <c r="P191">
        <v>190</v>
      </c>
      <c r="Q191" s="2">
        <v>0.11</v>
      </c>
      <c r="R191" t="s">
        <v>27</v>
      </c>
      <c r="S191">
        <v>2023</v>
      </c>
      <c r="T191" t="s">
        <v>36</v>
      </c>
    </row>
    <row r="192" spans="1:20" hidden="1" x14ac:dyDescent="0.3">
      <c r="A192">
        <v>323</v>
      </c>
      <c r="B192">
        <v>294</v>
      </c>
      <c r="C192" t="s">
        <v>40</v>
      </c>
      <c r="D192" t="s">
        <v>25</v>
      </c>
      <c r="E192" t="s">
        <v>26</v>
      </c>
      <c r="F192" s="1">
        <v>44588</v>
      </c>
      <c r="G192" s="1">
        <v>44757</v>
      </c>
      <c r="H192">
        <v>4009</v>
      </c>
      <c r="I192">
        <v>4012.75</v>
      </c>
      <c r="J192">
        <v>4934</v>
      </c>
      <c r="K192" t="s">
        <v>54</v>
      </c>
      <c r="L192">
        <v>5</v>
      </c>
      <c r="M192" t="str">
        <f t="shared" si="2"/>
        <v>0-6 Months</v>
      </c>
      <c r="N192" s="1">
        <v>44757</v>
      </c>
      <c r="O192">
        <v>0</v>
      </c>
      <c r="P192">
        <v>191</v>
      </c>
      <c r="Q192" s="2">
        <v>1.23</v>
      </c>
      <c r="R192" t="s">
        <v>22</v>
      </c>
      <c r="S192">
        <v>2022</v>
      </c>
      <c r="T192" t="s">
        <v>44</v>
      </c>
    </row>
    <row r="193" spans="1:20" hidden="1" x14ac:dyDescent="0.3">
      <c r="A193">
        <v>324</v>
      </c>
      <c r="B193">
        <v>405</v>
      </c>
      <c r="C193" t="s">
        <v>53</v>
      </c>
      <c r="D193" t="s">
        <v>19</v>
      </c>
      <c r="E193" t="s">
        <v>20</v>
      </c>
      <c r="F193" s="1">
        <v>44682</v>
      </c>
      <c r="G193" s="1">
        <v>45236</v>
      </c>
      <c r="H193">
        <v>7688</v>
      </c>
      <c r="I193">
        <v>5478</v>
      </c>
      <c r="J193">
        <v>2210</v>
      </c>
      <c r="K193" t="s">
        <v>54</v>
      </c>
      <c r="L193">
        <v>18</v>
      </c>
      <c r="M193" t="str">
        <f t="shared" si="2"/>
        <v>6-12 Months</v>
      </c>
      <c r="N193" s="1">
        <v>45236</v>
      </c>
      <c r="O193">
        <v>1</v>
      </c>
      <c r="P193">
        <v>192</v>
      </c>
      <c r="Q193" s="2">
        <v>0.28999999999999998</v>
      </c>
      <c r="R193" t="s">
        <v>27</v>
      </c>
      <c r="S193">
        <v>2023</v>
      </c>
      <c r="T193" t="s">
        <v>42</v>
      </c>
    </row>
    <row r="194" spans="1:20" hidden="1" x14ac:dyDescent="0.3">
      <c r="A194">
        <v>325</v>
      </c>
      <c r="B194">
        <v>432</v>
      </c>
      <c r="C194" t="s">
        <v>24</v>
      </c>
      <c r="D194" t="s">
        <v>25</v>
      </c>
      <c r="E194" t="s">
        <v>26</v>
      </c>
      <c r="F194" s="1">
        <v>44737</v>
      </c>
      <c r="G194" s="1">
        <v>44898</v>
      </c>
      <c r="H194">
        <v>6555</v>
      </c>
      <c r="I194">
        <v>4012.75</v>
      </c>
      <c r="J194">
        <v>7101</v>
      </c>
      <c r="K194" t="s">
        <v>21</v>
      </c>
      <c r="L194">
        <v>5</v>
      </c>
      <c r="M194" t="str">
        <f t="shared" ref="M194:M257" si="3">IF(L194&lt;6,"0-6 Months",IF(L194&gt;6,"6-12 Months","12+ Months"))</f>
        <v>0-6 Months</v>
      </c>
      <c r="N194" s="1">
        <v>44898</v>
      </c>
      <c r="O194">
        <v>1</v>
      </c>
      <c r="P194">
        <v>193</v>
      </c>
      <c r="Q194" s="2">
        <v>1.08</v>
      </c>
      <c r="R194" t="s">
        <v>22</v>
      </c>
      <c r="S194">
        <v>2022</v>
      </c>
      <c r="T194" t="s">
        <v>31</v>
      </c>
    </row>
    <row r="195" spans="1:20" hidden="1" x14ac:dyDescent="0.3">
      <c r="A195">
        <v>326</v>
      </c>
      <c r="B195">
        <v>144</v>
      </c>
      <c r="C195" t="s">
        <v>24</v>
      </c>
      <c r="D195" t="s">
        <v>29</v>
      </c>
      <c r="E195" t="s">
        <v>20</v>
      </c>
      <c r="F195" s="1">
        <v>44829</v>
      </c>
      <c r="G195" s="1">
        <v>45383</v>
      </c>
      <c r="H195">
        <v>5884</v>
      </c>
      <c r="I195">
        <v>7037</v>
      </c>
      <c r="J195">
        <v>-1153</v>
      </c>
      <c r="K195" t="s">
        <v>54</v>
      </c>
      <c r="L195">
        <v>18</v>
      </c>
      <c r="M195" t="str">
        <f t="shared" si="3"/>
        <v>6-12 Months</v>
      </c>
      <c r="N195" s="1">
        <v>45383</v>
      </c>
      <c r="O195">
        <v>0</v>
      </c>
      <c r="P195">
        <v>194</v>
      </c>
      <c r="Q195" s="2">
        <v>-0.2</v>
      </c>
      <c r="R195" t="s">
        <v>27</v>
      </c>
      <c r="S195">
        <v>2024</v>
      </c>
      <c r="T195" t="s">
        <v>32</v>
      </c>
    </row>
    <row r="196" spans="1:20" x14ac:dyDescent="0.3">
      <c r="A196">
        <v>327</v>
      </c>
      <c r="B196">
        <v>301</v>
      </c>
      <c r="C196" t="s">
        <v>40</v>
      </c>
      <c r="D196" t="s">
        <v>34</v>
      </c>
      <c r="E196" t="s">
        <v>20</v>
      </c>
      <c r="F196" s="1">
        <v>44629</v>
      </c>
      <c r="G196" s="1">
        <v>44739</v>
      </c>
      <c r="H196">
        <v>6269</v>
      </c>
      <c r="I196">
        <v>856</v>
      </c>
      <c r="J196">
        <v>5413</v>
      </c>
      <c r="K196" t="s">
        <v>35</v>
      </c>
      <c r="L196">
        <v>3</v>
      </c>
      <c r="M196" t="str">
        <f t="shared" si="3"/>
        <v>0-6 Months</v>
      </c>
      <c r="N196" s="1">
        <v>44739</v>
      </c>
      <c r="O196">
        <v>1</v>
      </c>
      <c r="P196">
        <v>195</v>
      </c>
      <c r="Q196" s="2">
        <v>0.86</v>
      </c>
      <c r="R196" t="s">
        <v>27</v>
      </c>
      <c r="S196">
        <v>2022</v>
      </c>
      <c r="T196" t="s">
        <v>41</v>
      </c>
    </row>
    <row r="197" spans="1:20" hidden="1" x14ac:dyDescent="0.3">
      <c r="A197">
        <v>330</v>
      </c>
      <c r="B197">
        <v>207</v>
      </c>
      <c r="C197" t="s">
        <v>40</v>
      </c>
      <c r="D197" t="s">
        <v>29</v>
      </c>
      <c r="E197" t="s">
        <v>26</v>
      </c>
      <c r="F197" s="1">
        <v>44710</v>
      </c>
      <c r="G197" s="1">
        <v>45220</v>
      </c>
      <c r="H197">
        <v>1870</v>
      </c>
      <c r="I197">
        <v>4553</v>
      </c>
      <c r="J197">
        <v>-2683</v>
      </c>
      <c r="K197" t="s">
        <v>54</v>
      </c>
      <c r="L197">
        <v>16</v>
      </c>
      <c r="M197" t="str">
        <f t="shared" si="3"/>
        <v>6-12 Months</v>
      </c>
      <c r="N197" s="1">
        <v>45220</v>
      </c>
      <c r="O197">
        <v>0</v>
      </c>
      <c r="P197">
        <v>196</v>
      </c>
      <c r="Q197" s="2">
        <v>-1.43</v>
      </c>
      <c r="R197" t="s">
        <v>22</v>
      </c>
      <c r="S197">
        <v>2023</v>
      </c>
      <c r="T197" t="s">
        <v>33</v>
      </c>
    </row>
    <row r="198" spans="1:20" hidden="1" x14ac:dyDescent="0.3">
      <c r="A198">
        <v>332</v>
      </c>
      <c r="B198">
        <v>289</v>
      </c>
      <c r="C198" t="s">
        <v>53</v>
      </c>
      <c r="D198" t="s">
        <v>34</v>
      </c>
      <c r="E198" t="s">
        <v>20</v>
      </c>
      <c r="F198" s="1">
        <v>44816</v>
      </c>
      <c r="G198" s="1">
        <v>45385</v>
      </c>
      <c r="H198">
        <v>8627</v>
      </c>
      <c r="I198">
        <v>5145</v>
      </c>
      <c r="J198">
        <v>3482</v>
      </c>
      <c r="K198" t="s">
        <v>21</v>
      </c>
      <c r="L198">
        <v>18</v>
      </c>
      <c r="M198" t="str">
        <f t="shared" si="3"/>
        <v>6-12 Months</v>
      </c>
      <c r="N198" s="1">
        <v>45385</v>
      </c>
      <c r="O198">
        <v>1</v>
      </c>
      <c r="P198">
        <v>197</v>
      </c>
      <c r="Q198" s="2">
        <v>0.4</v>
      </c>
      <c r="R198" t="s">
        <v>27</v>
      </c>
      <c r="S198">
        <v>2024</v>
      </c>
      <c r="T198" t="s">
        <v>32</v>
      </c>
    </row>
    <row r="199" spans="1:20" hidden="1" x14ac:dyDescent="0.3">
      <c r="A199">
        <v>333</v>
      </c>
      <c r="B199">
        <v>497</v>
      </c>
      <c r="C199" t="s">
        <v>40</v>
      </c>
      <c r="D199" t="s">
        <v>34</v>
      </c>
      <c r="E199" t="s">
        <v>26</v>
      </c>
      <c r="F199" s="1">
        <v>44661</v>
      </c>
      <c r="G199" s="1">
        <v>44983</v>
      </c>
      <c r="H199">
        <v>8054</v>
      </c>
      <c r="I199">
        <v>1171</v>
      </c>
      <c r="J199">
        <v>6883</v>
      </c>
      <c r="K199" t="s">
        <v>54</v>
      </c>
      <c r="L199">
        <v>10</v>
      </c>
      <c r="M199" t="str">
        <f t="shared" si="3"/>
        <v>6-12 Months</v>
      </c>
      <c r="N199" s="1">
        <v>44983</v>
      </c>
      <c r="O199">
        <v>0</v>
      </c>
      <c r="P199">
        <v>198</v>
      </c>
      <c r="Q199" s="2">
        <v>0.85</v>
      </c>
      <c r="R199" t="s">
        <v>27</v>
      </c>
      <c r="S199">
        <v>2023</v>
      </c>
      <c r="T199" t="s">
        <v>43</v>
      </c>
    </row>
    <row r="200" spans="1:20" hidden="1" x14ac:dyDescent="0.3">
      <c r="A200">
        <v>334</v>
      </c>
      <c r="B200">
        <v>434</v>
      </c>
      <c r="C200" t="s">
        <v>39</v>
      </c>
      <c r="D200" t="s">
        <v>19</v>
      </c>
      <c r="E200" t="s">
        <v>37</v>
      </c>
      <c r="F200" s="1">
        <v>44657</v>
      </c>
      <c r="G200" s="1">
        <v>44930</v>
      </c>
      <c r="H200">
        <v>5966</v>
      </c>
      <c r="I200">
        <v>2106</v>
      </c>
      <c r="J200">
        <v>3860</v>
      </c>
      <c r="K200" t="s">
        <v>54</v>
      </c>
      <c r="L200">
        <v>8</v>
      </c>
      <c r="M200" t="str">
        <f t="shared" si="3"/>
        <v>6-12 Months</v>
      </c>
      <c r="N200" s="1">
        <v>44930</v>
      </c>
      <c r="O200">
        <v>1</v>
      </c>
      <c r="P200">
        <v>199</v>
      </c>
      <c r="Q200" s="2">
        <v>0.65</v>
      </c>
      <c r="R200" t="s">
        <v>27</v>
      </c>
      <c r="S200">
        <v>2023</v>
      </c>
      <c r="T200" t="s">
        <v>23</v>
      </c>
    </row>
    <row r="201" spans="1:20" hidden="1" x14ac:dyDescent="0.3">
      <c r="A201">
        <v>336</v>
      </c>
      <c r="B201">
        <v>357</v>
      </c>
      <c r="C201" t="s">
        <v>24</v>
      </c>
      <c r="D201" t="s">
        <v>19</v>
      </c>
      <c r="E201" t="s">
        <v>20</v>
      </c>
      <c r="F201" s="1">
        <v>44684</v>
      </c>
      <c r="G201" s="1">
        <v>44884</v>
      </c>
      <c r="H201">
        <v>3820</v>
      </c>
      <c r="I201">
        <v>2788</v>
      </c>
      <c r="J201">
        <v>1032</v>
      </c>
      <c r="K201" t="s">
        <v>54</v>
      </c>
      <c r="L201">
        <v>6</v>
      </c>
      <c r="M201" t="str">
        <f t="shared" si="3"/>
        <v>12+ Months</v>
      </c>
      <c r="N201" s="1">
        <v>44884</v>
      </c>
      <c r="O201">
        <v>0</v>
      </c>
      <c r="P201">
        <v>200</v>
      </c>
      <c r="Q201" s="2">
        <v>0.27</v>
      </c>
      <c r="R201" t="s">
        <v>27</v>
      </c>
      <c r="S201">
        <v>2022</v>
      </c>
      <c r="T201" t="s">
        <v>42</v>
      </c>
    </row>
    <row r="202" spans="1:20" x14ac:dyDescent="0.3">
      <c r="A202">
        <v>337</v>
      </c>
      <c r="B202">
        <v>190</v>
      </c>
      <c r="C202" t="s">
        <v>45</v>
      </c>
      <c r="D202" t="s">
        <v>29</v>
      </c>
      <c r="E202" t="s">
        <v>20</v>
      </c>
      <c r="F202" s="1">
        <v>44637</v>
      </c>
      <c r="G202" s="1">
        <v>44780</v>
      </c>
      <c r="H202">
        <v>8300</v>
      </c>
      <c r="I202">
        <v>3643</v>
      </c>
      <c r="J202">
        <v>4657</v>
      </c>
      <c r="K202" t="s">
        <v>35</v>
      </c>
      <c r="L202">
        <v>4</v>
      </c>
      <c r="M202" t="str">
        <f t="shared" si="3"/>
        <v>0-6 Months</v>
      </c>
      <c r="N202" s="1">
        <v>44780</v>
      </c>
      <c r="O202">
        <v>0</v>
      </c>
      <c r="P202">
        <v>201</v>
      </c>
      <c r="Q202" s="2">
        <v>0.56000000000000005</v>
      </c>
      <c r="R202" t="s">
        <v>27</v>
      </c>
      <c r="S202">
        <v>2022</v>
      </c>
      <c r="T202" t="s">
        <v>36</v>
      </c>
    </row>
    <row r="203" spans="1:20" hidden="1" x14ac:dyDescent="0.3">
      <c r="A203">
        <v>338</v>
      </c>
      <c r="B203">
        <v>260</v>
      </c>
      <c r="C203" t="s">
        <v>24</v>
      </c>
      <c r="D203" t="s">
        <v>34</v>
      </c>
      <c r="E203" t="s">
        <v>37</v>
      </c>
      <c r="F203" s="1">
        <v>44710</v>
      </c>
      <c r="G203" s="1">
        <v>44787</v>
      </c>
      <c r="H203">
        <v>6558</v>
      </c>
      <c r="I203">
        <v>1628</v>
      </c>
      <c r="J203">
        <v>4930</v>
      </c>
      <c r="K203" t="s">
        <v>21</v>
      </c>
      <c r="L203">
        <v>2</v>
      </c>
      <c r="M203" t="str">
        <f t="shared" si="3"/>
        <v>0-6 Months</v>
      </c>
      <c r="N203" s="1">
        <v>44787</v>
      </c>
      <c r="O203">
        <v>0</v>
      </c>
      <c r="P203">
        <v>202</v>
      </c>
      <c r="Q203" s="2">
        <v>0.75</v>
      </c>
      <c r="R203" t="s">
        <v>27</v>
      </c>
      <c r="S203">
        <v>2022</v>
      </c>
      <c r="T203" t="s">
        <v>36</v>
      </c>
    </row>
    <row r="204" spans="1:20" hidden="1" x14ac:dyDescent="0.3">
      <c r="A204">
        <v>339</v>
      </c>
      <c r="B204">
        <v>145</v>
      </c>
      <c r="C204" t="s">
        <v>24</v>
      </c>
      <c r="D204" t="s">
        <v>34</v>
      </c>
      <c r="E204" t="s">
        <v>20</v>
      </c>
      <c r="F204" s="1">
        <v>44648</v>
      </c>
      <c r="G204" s="1">
        <v>45127</v>
      </c>
      <c r="H204">
        <v>4967.93</v>
      </c>
      <c r="I204">
        <v>5606</v>
      </c>
      <c r="J204">
        <v>577.01</v>
      </c>
      <c r="K204" t="s">
        <v>21</v>
      </c>
      <c r="L204">
        <v>15</v>
      </c>
      <c r="M204" t="str">
        <f t="shared" si="3"/>
        <v>6-12 Months</v>
      </c>
      <c r="N204" s="1">
        <v>45127</v>
      </c>
      <c r="O204">
        <v>1</v>
      </c>
      <c r="P204">
        <v>203</v>
      </c>
      <c r="Q204" s="2">
        <v>0.12</v>
      </c>
      <c r="R204" t="s">
        <v>27</v>
      </c>
      <c r="S204">
        <v>2023</v>
      </c>
      <c r="T204" t="s">
        <v>44</v>
      </c>
    </row>
    <row r="205" spans="1:20" hidden="1" x14ac:dyDescent="0.3">
      <c r="A205">
        <v>340</v>
      </c>
      <c r="B205">
        <v>484</v>
      </c>
      <c r="C205" t="s">
        <v>45</v>
      </c>
      <c r="D205" t="s">
        <v>25</v>
      </c>
      <c r="E205" t="s">
        <v>20</v>
      </c>
      <c r="F205" s="1">
        <v>44701</v>
      </c>
      <c r="G205" s="1">
        <v>44785</v>
      </c>
      <c r="H205">
        <v>7697</v>
      </c>
      <c r="I205">
        <v>2620</v>
      </c>
      <c r="J205">
        <v>5077</v>
      </c>
      <c r="K205" t="s">
        <v>54</v>
      </c>
      <c r="L205">
        <v>2</v>
      </c>
      <c r="M205" t="str">
        <f t="shared" si="3"/>
        <v>0-6 Months</v>
      </c>
      <c r="N205" s="1">
        <v>44785</v>
      </c>
      <c r="O205">
        <v>1</v>
      </c>
      <c r="P205">
        <v>204</v>
      </c>
      <c r="Q205" s="2">
        <v>0.66</v>
      </c>
      <c r="R205" t="s">
        <v>27</v>
      </c>
      <c r="S205">
        <v>2022</v>
      </c>
      <c r="T205" t="s">
        <v>36</v>
      </c>
    </row>
    <row r="206" spans="1:20" hidden="1" x14ac:dyDescent="0.3">
      <c r="A206">
        <v>342</v>
      </c>
      <c r="B206">
        <v>437</v>
      </c>
      <c r="C206" t="s">
        <v>40</v>
      </c>
      <c r="D206" t="s">
        <v>19</v>
      </c>
      <c r="E206" t="s">
        <v>26</v>
      </c>
      <c r="F206" s="1">
        <v>44613</v>
      </c>
      <c r="G206" s="1">
        <v>45003</v>
      </c>
      <c r="H206">
        <v>6460</v>
      </c>
      <c r="I206">
        <v>950</v>
      </c>
      <c r="J206">
        <v>577.01</v>
      </c>
      <c r="K206" t="s">
        <v>54</v>
      </c>
      <c r="L206">
        <v>12</v>
      </c>
      <c r="M206" t="str">
        <f t="shared" si="3"/>
        <v>6-12 Months</v>
      </c>
      <c r="N206" s="1">
        <v>45003</v>
      </c>
      <c r="O206">
        <v>1</v>
      </c>
      <c r="P206">
        <v>205</v>
      </c>
      <c r="Q206" s="2">
        <v>0.09</v>
      </c>
      <c r="R206" t="s">
        <v>27</v>
      </c>
      <c r="S206">
        <v>2023</v>
      </c>
      <c r="T206" t="s">
        <v>38</v>
      </c>
    </row>
    <row r="207" spans="1:20" x14ac:dyDescent="0.3">
      <c r="A207">
        <v>346</v>
      </c>
      <c r="B207">
        <v>439</v>
      </c>
      <c r="C207" t="s">
        <v>39</v>
      </c>
      <c r="D207" t="s">
        <v>25</v>
      </c>
      <c r="E207" t="s">
        <v>20</v>
      </c>
      <c r="F207" s="1">
        <v>44809</v>
      </c>
      <c r="G207" s="1">
        <v>44898</v>
      </c>
      <c r="H207">
        <v>4967.93</v>
      </c>
      <c r="I207">
        <v>7281</v>
      </c>
      <c r="J207">
        <v>-8659</v>
      </c>
      <c r="K207" t="s">
        <v>35</v>
      </c>
      <c r="L207">
        <v>2</v>
      </c>
      <c r="M207" t="str">
        <f t="shared" si="3"/>
        <v>0-6 Months</v>
      </c>
      <c r="N207" s="1">
        <v>44898</v>
      </c>
      <c r="O207">
        <v>1</v>
      </c>
      <c r="P207">
        <v>206</v>
      </c>
      <c r="Q207" s="2">
        <v>-1.74</v>
      </c>
      <c r="R207" t="s">
        <v>22</v>
      </c>
      <c r="S207">
        <v>2022</v>
      </c>
      <c r="T207" t="s">
        <v>31</v>
      </c>
    </row>
    <row r="208" spans="1:20" hidden="1" x14ac:dyDescent="0.3">
      <c r="A208">
        <v>348</v>
      </c>
      <c r="B208">
        <v>391</v>
      </c>
      <c r="C208" t="s">
        <v>45</v>
      </c>
      <c r="D208" t="s">
        <v>29</v>
      </c>
      <c r="E208" t="s">
        <v>37</v>
      </c>
      <c r="F208" s="1">
        <v>44578</v>
      </c>
      <c r="G208" s="1">
        <v>45177</v>
      </c>
      <c r="H208">
        <v>1328</v>
      </c>
      <c r="I208">
        <v>4504</v>
      </c>
      <c r="J208">
        <v>-3176</v>
      </c>
      <c r="K208" t="s">
        <v>21</v>
      </c>
      <c r="L208">
        <v>19</v>
      </c>
      <c r="M208" t="str">
        <f t="shared" si="3"/>
        <v>6-12 Months</v>
      </c>
      <c r="N208" s="1">
        <v>45177</v>
      </c>
      <c r="O208">
        <v>0</v>
      </c>
      <c r="P208">
        <v>207</v>
      </c>
      <c r="Q208" s="2">
        <v>-2.39</v>
      </c>
      <c r="R208" t="s">
        <v>22</v>
      </c>
      <c r="S208">
        <v>2023</v>
      </c>
      <c r="T208" t="s">
        <v>30</v>
      </c>
    </row>
    <row r="209" spans="1:20" hidden="1" x14ac:dyDescent="0.3">
      <c r="A209">
        <v>350</v>
      </c>
      <c r="B209">
        <v>388</v>
      </c>
      <c r="C209" t="s">
        <v>40</v>
      </c>
      <c r="D209" t="s">
        <v>34</v>
      </c>
      <c r="E209" t="s">
        <v>20</v>
      </c>
      <c r="F209" s="1">
        <v>44740</v>
      </c>
      <c r="G209" s="1">
        <v>45308</v>
      </c>
      <c r="H209">
        <v>1908</v>
      </c>
      <c r="I209">
        <v>7888</v>
      </c>
      <c r="J209">
        <v>577.01</v>
      </c>
      <c r="K209" t="s">
        <v>54</v>
      </c>
      <c r="L209">
        <v>18</v>
      </c>
      <c r="M209" t="str">
        <f t="shared" si="3"/>
        <v>6-12 Months</v>
      </c>
      <c r="N209" s="1">
        <v>45308</v>
      </c>
      <c r="O209">
        <v>0</v>
      </c>
      <c r="P209">
        <v>208</v>
      </c>
      <c r="Q209" s="2">
        <v>0.3</v>
      </c>
      <c r="R209" t="s">
        <v>27</v>
      </c>
      <c r="S209">
        <v>2024</v>
      </c>
      <c r="T209" t="s">
        <v>23</v>
      </c>
    </row>
    <row r="210" spans="1:20" hidden="1" x14ac:dyDescent="0.3">
      <c r="A210">
        <v>351</v>
      </c>
      <c r="B210">
        <v>488</v>
      </c>
      <c r="C210" t="s">
        <v>53</v>
      </c>
      <c r="D210" t="s">
        <v>29</v>
      </c>
      <c r="E210" t="s">
        <v>37</v>
      </c>
      <c r="F210" s="1">
        <v>44814</v>
      </c>
      <c r="G210" s="1">
        <v>45276</v>
      </c>
      <c r="H210">
        <v>9831</v>
      </c>
      <c r="I210">
        <v>5280</v>
      </c>
      <c r="J210">
        <v>4551</v>
      </c>
      <c r="K210" t="s">
        <v>54</v>
      </c>
      <c r="L210">
        <v>15</v>
      </c>
      <c r="M210" t="str">
        <f t="shared" si="3"/>
        <v>6-12 Months</v>
      </c>
      <c r="N210" s="1">
        <v>45276</v>
      </c>
      <c r="O210">
        <v>1</v>
      </c>
      <c r="P210">
        <v>209</v>
      </c>
      <c r="Q210" s="2">
        <v>0.46</v>
      </c>
      <c r="R210" t="s">
        <v>27</v>
      </c>
      <c r="S210">
        <v>2023</v>
      </c>
      <c r="T210" t="s">
        <v>31</v>
      </c>
    </row>
    <row r="211" spans="1:20" hidden="1" x14ac:dyDescent="0.3">
      <c r="A211">
        <v>352</v>
      </c>
      <c r="B211">
        <v>300</v>
      </c>
      <c r="C211" t="s">
        <v>39</v>
      </c>
      <c r="D211" t="s">
        <v>29</v>
      </c>
      <c r="E211" t="s">
        <v>37</v>
      </c>
      <c r="F211" s="1">
        <v>44564</v>
      </c>
      <c r="G211" s="1">
        <v>44838</v>
      </c>
      <c r="H211">
        <v>8544</v>
      </c>
      <c r="I211">
        <v>2046</v>
      </c>
      <c r="J211">
        <v>6498</v>
      </c>
      <c r="K211" t="s">
        <v>54</v>
      </c>
      <c r="L211">
        <v>9</v>
      </c>
      <c r="M211" t="str">
        <f t="shared" si="3"/>
        <v>6-12 Months</v>
      </c>
      <c r="N211" s="1">
        <v>44838</v>
      </c>
      <c r="O211">
        <v>1</v>
      </c>
      <c r="P211">
        <v>210</v>
      </c>
      <c r="Q211" s="2">
        <v>0.76</v>
      </c>
      <c r="R211" t="s">
        <v>27</v>
      </c>
      <c r="S211">
        <v>2022</v>
      </c>
      <c r="T211" t="s">
        <v>33</v>
      </c>
    </row>
    <row r="212" spans="1:20" x14ac:dyDescent="0.3">
      <c r="A212">
        <v>356</v>
      </c>
      <c r="B212">
        <v>291</v>
      </c>
      <c r="C212" t="s">
        <v>45</v>
      </c>
      <c r="D212" t="s">
        <v>19</v>
      </c>
      <c r="E212" t="s">
        <v>20</v>
      </c>
      <c r="F212" s="1">
        <v>44829</v>
      </c>
      <c r="G212" s="1">
        <v>45391</v>
      </c>
      <c r="H212">
        <v>3980</v>
      </c>
      <c r="I212">
        <v>1971</v>
      </c>
      <c r="J212">
        <v>2009</v>
      </c>
      <c r="K212" t="s">
        <v>35</v>
      </c>
      <c r="L212">
        <v>18</v>
      </c>
      <c r="M212" t="str">
        <f t="shared" si="3"/>
        <v>6-12 Months</v>
      </c>
      <c r="N212" s="1">
        <v>45391</v>
      </c>
      <c r="O212">
        <v>1</v>
      </c>
      <c r="P212">
        <v>211</v>
      </c>
      <c r="Q212" s="2">
        <v>0.5</v>
      </c>
      <c r="R212" t="s">
        <v>27</v>
      </c>
      <c r="S212">
        <v>2024</v>
      </c>
      <c r="T212" t="s">
        <v>32</v>
      </c>
    </row>
    <row r="213" spans="1:20" hidden="1" x14ac:dyDescent="0.3">
      <c r="A213">
        <v>359</v>
      </c>
      <c r="B213">
        <v>123</v>
      </c>
      <c r="C213" t="s">
        <v>45</v>
      </c>
      <c r="D213" t="s">
        <v>29</v>
      </c>
      <c r="E213" t="s">
        <v>37</v>
      </c>
      <c r="F213" s="1">
        <v>44847</v>
      </c>
      <c r="G213" s="1">
        <v>45015</v>
      </c>
      <c r="H213">
        <v>4869</v>
      </c>
      <c r="I213">
        <v>6061</v>
      </c>
      <c r="J213">
        <v>-1192</v>
      </c>
      <c r="K213" t="s">
        <v>21</v>
      </c>
      <c r="L213">
        <v>5</v>
      </c>
      <c r="M213" t="str">
        <f t="shared" si="3"/>
        <v>0-6 Months</v>
      </c>
      <c r="N213" s="1">
        <v>45015</v>
      </c>
      <c r="O213">
        <v>1</v>
      </c>
      <c r="P213">
        <v>212</v>
      </c>
      <c r="Q213" s="2">
        <v>-0.24</v>
      </c>
      <c r="R213" t="s">
        <v>27</v>
      </c>
      <c r="S213">
        <v>2023</v>
      </c>
      <c r="T213" t="s">
        <v>38</v>
      </c>
    </row>
    <row r="214" spans="1:20" hidden="1" x14ac:dyDescent="0.3">
      <c r="A214">
        <v>360</v>
      </c>
      <c r="B214">
        <v>368</v>
      </c>
      <c r="C214" t="s">
        <v>45</v>
      </c>
      <c r="D214" t="s">
        <v>19</v>
      </c>
      <c r="E214" t="s">
        <v>26</v>
      </c>
      <c r="F214" s="1">
        <v>44691</v>
      </c>
      <c r="G214" s="1">
        <v>45036</v>
      </c>
      <c r="H214">
        <v>6648</v>
      </c>
      <c r="I214">
        <v>3071</v>
      </c>
      <c r="J214">
        <v>3577</v>
      </c>
      <c r="K214" t="s">
        <v>54</v>
      </c>
      <c r="L214">
        <v>11</v>
      </c>
      <c r="M214" t="str">
        <f t="shared" si="3"/>
        <v>6-12 Months</v>
      </c>
      <c r="N214" s="1">
        <v>45036</v>
      </c>
      <c r="O214">
        <v>0</v>
      </c>
      <c r="P214">
        <v>213</v>
      </c>
      <c r="Q214" s="2">
        <v>0.54</v>
      </c>
      <c r="R214" t="s">
        <v>27</v>
      </c>
      <c r="S214">
        <v>2023</v>
      </c>
      <c r="T214" t="s">
        <v>32</v>
      </c>
    </row>
    <row r="215" spans="1:20" hidden="1" x14ac:dyDescent="0.3">
      <c r="A215">
        <v>362</v>
      </c>
      <c r="B215">
        <v>437</v>
      </c>
      <c r="C215" t="s">
        <v>45</v>
      </c>
      <c r="D215" t="s">
        <v>29</v>
      </c>
      <c r="E215" t="s">
        <v>20</v>
      </c>
      <c r="F215" s="1">
        <v>44909</v>
      </c>
      <c r="G215" s="1">
        <v>45019</v>
      </c>
      <c r="H215">
        <v>1462</v>
      </c>
      <c r="I215">
        <v>6247</v>
      </c>
      <c r="J215">
        <v>-4785</v>
      </c>
      <c r="K215" t="s">
        <v>54</v>
      </c>
      <c r="L215">
        <v>3</v>
      </c>
      <c r="M215" t="str">
        <f t="shared" si="3"/>
        <v>0-6 Months</v>
      </c>
      <c r="N215" s="1">
        <v>45019</v>
      </c>
      <c r="O215">
        <v>1</v>
      </c>
      <c r="P215">
        <v>214</v>
      </c>
      <c r="Q215" s="2">
        <v>-3.27</v>
      </c>
      <c r="R215" t="s">
        <v>22</v>
      </c>
      <c r="S215">
        <v>2023</v>
      </c>
      <c r="T215" t="s">
        <v>32</v>
      </c>
    </row>
    <row r="216" spans="1:20" hidden="1" x14ac:dyDescent="0.3">
      <c r="A216">
        <v>363</v>
      </c>
      <c r="B216">
        <v>456</v>
      </c>
      <c r="C216" t="s">
        <v>39</v>
      </c>
      <c r="D216" t="s">
        <v>19</v>
      </c>
      <c r="E216" t="s">
        <v>20</v>
      </c>
      <c r="F216" s="1">
        <v>44769</v>
      </c>
      <c r="G216" s="1">
        <v>44816</v>
      </c>
      <c r="H216">
        <v>5019</v>
      </c>
      <c r="I216">
        <v>4012.75</v>
      </c>
      <c r="J216">
        <v>5144</v>
      </c>
      <c r="K216" t="s">
        <v>54</v>
      </c>
      <c r="L216">
        <v>1</v>
      </c>
      <c r="M216" t="str">
        <f t="shared" si="3"/>
        <v>0-6 Months</v>
      </c>
      <c r="N216" s="1">
        <v>44816</v>
      </c>
      <c r="O216">
        <v>0</v>
      </c>
      <c r="P216">
        <v>215</v>
      </c>
      <c r="Q216" s="2">
        <v>1.02</v>
      </c>
      <c r="R216" t="s">
        <v>22</v>
      </c>
      <c r="S216">
        <v>2022</v>
      </c>
      <c r="T216" t="s">
        <v>30</v>
      </c>
    </row>
    <row r="217" spans="1:20" hidden="1" x14ac:dyDescent="0.3">
      <c r="A217">
        <v>364</v>
      </c>
      <c r="B217">
        <v>402</v>
      </c>
      <c r="C217" t="s">
        <v>40</v>
      </c>
      <c r="D217" t="s">
        <v>19</v>
      </c>
      <c r="E217" t="s">
        <v>26</v>
      </c>
      <c r="F217" s="1">
        <v>44697</v>
      </c>
      <c r="G217" s="1">
        <v>45247</v>
      </c>
      <c r="H217">
        <v>4967.93</v>
      </c>
      <c r="I217">
        <v>6481</v>
      </c>
      <c r="J217">
        <v>-6500</v>
      </c>
      <c r="K217" t="s">
        <v>21</v>
      </c>
      <c r="L217">
        <v>18</v>
      </c>
      <c r="M217" t="str">
        <f t="shared" si="3"/>
        <v>6-12 Months</v>
      </c>
      <c r="N217" s="1">
        <v>45247</v>
      </c>
      <c r="O217">
        <v>1</v>
      </c>
      <c r="P217">
        <v>216</v>
      </c>
      <c r="Q217" s="2">
        <v>-1.31</v>
      </c>
      <c r="R217" t="s">
        <v>22</v>
      </c>
      <c r="S217">
        <v>2023</v>
      </c>
      <c r="T217" t="s">
        <v>42</v>
      </c>
    </row>
    <row r="218" spans="1:20" x14ac:dyDescent="0.3">
      <c r="A218">
        <v>365</v>
      </c>
      <c r="B218">
        <v>107</v>
      </c>
      <c r="C218" t="s">
        <v>53</v>
      </c>
      <c r="D218" t="s">
        <v>19</v>
      </c>
      <c r="E218" t="s">
        <v>20</v>
      </c>
      <c r="F218" s="1">
        <v>44684</v>
      </c>
      <c r="G218" s="1">
        <v>45025</v>
      </c>
      <c r="H218">
        <v>9635</v>
      </c>
      <c r="I218">
        <v>4012.75</v>
      </c>
      <c r="J218">
        <v>10553</v>
      </c>
      <c r="K218" t="s">
        <v>35</v>
      </c>
      <c r="L218">
        <v>11</v>
      </c>
      <c r="M218" t="str">
        <f t="shared" si="3"/>
        <v>6-12 Months</v>
      </c>
      <c r="N218" s="1">
        <v>45025</v>
      </c>
      <c r="O218">
        <v>1</v>
      </c>
      <c r="P218">
        <v>217</v>
      </c>
      <c r="Q218" s="2">
        <v>1.1000000000000001</v>
      </c>
      <c r="R218" t="s">
        <v>22</v>
      </c>
      <c r="S218">
        <v>2023</v>
      </c>
      <c r="T218" t="s">
        <v>32</v>
      </c>
    </row>
    <row r="219" spans="1:20" hidden="1" x14ac:dyDescent="0.3">
      <c r="A219">
        <v>368</v>
      </c>
      <c r="B219">
        <v>364</v>
      </c>
      <c r="C219" t="s">
        <v>24</v>
      </c>
      <c r="D219" t="s">
        <v>19</v>
      </c>
      <c r="E219" t="s">
        <v>37</v>
      </c>
      <c r="F219" s="1">
        <v>44690</v>
      </c>
      <c r="G219" s="1">
        <v>45020</v>
      </c>
      <c r="H219">
        <v>4597</v>
      </c>
      <c r="I219">
        <v>3680</v>
      </c>
      <c r="J219">
        <v>917</v>
      </c>
      <c r="K219" t="s">
        <v>21</v>
      </c>
      <c r="L219">
        <v>10</v>
      </c>
      <c r="M219" t="str">
        <f t="shared" si="3"/>
        <v>6-12 Months</v>
      </c>
      <c r="N219" s="1">
        <v>45020</v>
      </c>
      <c r="O219">
        <v>0</v>
      </c>
      <c r="P219">
        <v>218</v>
      </c>
      <c r="Q219" s="2">
        <v>0.2</v>
      </c>
      <c r="R219" t="s">
        <v>27</v>
      </c>
      <c r="S219">
        <v>2023</v>
      </c>
      <c r="T219" t="s">
        <v>32</v>
      </c>
    </row>
    <row r="220" spans="1:20" hidden="1" x14ac:dyDescent="0.3">
      <c r="A220">
        <v>371</v>
      </c>
      <c r="B220">
        <v>146</v>
      </c>
      <c r="C220" t="s">
        <v>39</v>
      </c>
      <c r="D220" t="s">
        <v>19</v>
      </c>
      <c r="E220" t="s">
        <v>26</v>
      </c>
      <c r="F220" s="1">
        <v>44585</v>
      </c>
      <c r="G220" s="1">
        <v>44784</v>
      </c>
      <c r="H220">
        <v>4967.93</v>
      </c>
      <c r="I220">
        <v>2617</v>
      </c>
      <c r="J220">
        <v>-3622</v>
      </c>
      <c r="K220" t="s">
        <v>21</v>
      </c>
      <c r="L220">
        <v>6</v>
      </c>
      <c r="M220" t="str">
        <f t="shared" si="3"/>
        <v>12+ Months</v>
      </c>
      <c r="N220" s="1">
        <v>44784</v>
      </c>
      <c r="O220">
        <v>1</v>
      </c>
      <c r="P220">
        <v>219</v>
      </c>
      <c r="Q220" s="2">
        <v>-0.73</v>
      </c>
      <c r="R220" t="s">
        <v>27</v>
      </c>
      <c r="S220">
        <v>2022</v>
      </c>
      <c r="T220" t="s">
        <v>36</v>
      </c>
    </row>
    <row r="221" spans="1:20" hidden="1" x14ac:dyDescent="0.3">
      <c r="A221">
        <v>372</v>
      </c>
      <c r="B221">
        <v>309</v>
      </c>
      <c r="C221" t="s">
        <v>24</v>
      </c>
      <c r="D221" t="s">
        <v>34</v>
      </c>
      <c r="E221" t="s">
        <v>26</v>
      </c>
      <c r="F221" s="1">
        <v>44706</v>
      </c>
      <c r="G221" s="1">
        <v>45267</v>
      </c>
      <c r="H221">
        <v>4968</v>
      </c>
      <c r="I221">
        <v>527</v>
      </c>
      <c r="J221">
        <v>4441</v>
      </c>
      <c r="K221" t="s">
        <v>54</v>
      </c>
      <c r="L221">
        <v>18</v>
      </c>
      <c r="M221" t="str">
        <f t="shared" si="3"/>
        <v>6-12 Months</v>
      </c>
      <c r="N221" s="1">
        <v>45267</v>
      </c>
      <c r="O221">
        <v>1</v>
      </c>
      <c r="P221">
        <v>220</v>
      </c>
      <c r="Q221" s="2">
        <v>0.89</v>
      </c>
      <c r="R221" t="s">
        <v>27</v>
      </c>
      <c r="S221">
        <v>2023</v>
      </c>
      <c r="T221" t="s">
        <v>31</v>
      </c>
    </row>
    <row r="222" spans="1:20" hidden="1" x14ac:dyDescent="0.3">
      <c r="A222">
        <v>373</v>
      </c>
      <c r="B222">
        <v>417</v>
      </c>
      <c r="C222" t="s">
        <v>45</v>
      </c>
      <c r="D222" t="s">
        <v>19</v>
      </c>
      <c r="E222" t="s">
        <v>20</v>
      </c>
      <c r="F222" s="1">
        <v>44576</v>
      </c>
      <c r="G222" s="1">
        <v>44932</v>
      </c>
      <c r="H222">
        <v>4967.93</v>
      </c>
      <c r="I222">
        <v>5451</v>
      </c>
      <c r="J222">
        <v>-6350</v>
      </c>
      <c r="K222" t="s">
        <v>54</v>
      </c>
      <c r="L222">
        <v>11</v>
      </c>
      <c r="M222" t="str">
        <f t="shared" si="3"/>
        <v>6-12 Months</v>
      </c>
      <c r="N222" s="1">
        <v>44932</v>
      </c>
      <c r="O222">
        <v>1</v>
      </c>
      <c r="P222">
        <v>221</v>
      </c>
      <c r="Q222" s="2">
        <v>-1.28</v>
      </c>
      <c r="R222" t="s">
        <v>22</v>
      </c>
      <c r="S222">
        <v>2023</v>
      </c>
      <c r="T222" t="s">
        <v>23</v>
      </c>
    </row>
    <row r="223" spans="1:20" x14ac:dyDescent="0.3">
      <c r="A223">
        <v>374</v>
      </c>
      <c r="B223">
        <v>485</v>
      </c>
      <c r="C223" t="s">
        <v>53</v>
      </c>
      <c r="D223" t="s">
        <v>34</v>
      </c>
      <c r="E223" t="s">
        <v>37</v>
      </c>
      <c r="F223" s="1">
        <v>44686</v>
      </c>
      <c r="G223" s="1">
        <v>45222</v>
      </c>
      <c r="H223">
        <v>5679</v>
      </c>
      <c r="I223">
        <v>4744</v>
      </c>
      <c r="J223">
        <v>935</v>
      </c>
      <c r="K223" t="s">
        <v>35</v>
      </c>
      <c r="L223">
        <v>17</v>
      </c>
      <c r="M223" t="str">
        <f t="shared" si="3"/>
        <v>6-12 Months</v>
      </c>
      <c r="N223" s="1">
        <v>45222</v>
      </c>
      <c r="O223">
        <v>0</v>
      </c>
      <c r="P223">
        <v>222</v>
      </c>
      <c r="Q223" s="2">
        <v>0.16</v>
      </c>
      <c r="R223" t="s">
        <v>27</v>
      </c>
      <c r="S223">
        <v>2023</v>
      </c>
      <c r="T223" t="s">
        <v>33</v>
      </c>
    </row>
    <row r="224" spans="1:20" hidden="1" x14ac:dyDescent="0.3">
      <c r="A224">
        <v>375</v>
      </c>
      <c r="B224">
        <v>330</v>
      </c>
      <c r="C224" t="s">
        <v>53</v>
      </c>
      <c r="D224" t="s">
        <v>19</v>
      </c>
      <c r="E224" t="s">
        <v>20</v>
      </c>
      <c r="F224" s="1">
        <v>44879</v>
      </c>
      <c r="G224" s="1">
        <v>45372</v>
      </c>
      <c r="H224">
        <v>5406</v>
      </c>
      <c r="I224">
        <v>575</v>
      </c>
      <c r="J224">
        <v>4831</v>
      </c>
      <c r="K224" t="s">
        <v>54</v>
      </c>
      <c r="L224">
        <v>16</v>
      </c>
      <c r="M224" t="str">
        <f t="shared" si="3"/>
        <v>6-12 Months</v>
      </c>
      <c r="N224" s="1">
        <v>45372</v>
      </c>
      <c r="O224">
        <v>1</v>
      </c>
      <c r="P224">
        <v>223</v>
      </c>
      <c r="Q224" s="2">
        <v>0.89</v>
      </c>
      <c r="R224" t="s">
        <v>27</v>
      </c>
      <c r="S224">
        <v>2024</v>
      </c>
      <c r="T224" t="s">
        <v>38</v>
      </c>
    </row>
    <row r="225" spans="1:20" x14ac:dyDescent="0.3">
      <c r="A225">
        <v>376</v>
      </c>
      <c r="B225">
        <v>329</v>
      </c>
      <c r="C225" t="s">
        <v>40</v>
      </c>
      <c r="D225" t="s">
        <v>34</v>
      </c>
      <c r="E225" t="s">
        <v>20</v>
      </c>
      <c r="F225" s="1">
        <v>44850</v>
      </c>
      <c r="G225" s="1">
        <v>45412</v>
      </c>
      <c r="H225">
        <v>3469</v>
      </c>
      <c r="I225">
        <v>6091</v>
      </c>
      <c r="J225">
        <v>-2622</v>
      </c>
      <c r="K225" t="s">
        <v>35</v>
      </c>
      <c r="L225">
        <v>18</v>
      </c>
      <c r="M225" t="str">
        <f t="shared" si="3"/>
        <v>6-12 Months</v>
      </c>
      <c r="N225" s="1">
        <v>45412</v>
      </c>
      <c r="O225">
        <v>0</v>
      </c>
      <c r="P225">
        <v>224</v>
      </c>
      <c r="Q225" s="2">
        <v>-0.76</v>
      </c>
      <c r="R225" t="s">
        <v>27</v>
      </c>
      <c r="S225">
        <v>2024</v>
      </c>
      <c r="T225" t="s">
        <v>32</v>
      </c>
    </row>
    <row r="226" spans="1:20" hidden="1" x14ac:dyDescent="0.3">
      <c r="A226">
        <v>377</v>
      </c>
      <c r="B226">
        <v>197</v>
      </c>
      <c r="C226" t="s">
        <v>24</v>
      </c>
      <c r="D226" t="s">
        <v>34</v>
      </c>
      <c r="E226" t="s">
        <v>26</v>
      </c>
      <c r="F226" s="1">
        <v>44901</v>
      </c>
      <c r="G226" s="1">
        <v>45189</v>
      </c>
      <c r="H226">
        <v>2540</v>
      </c>
      <c r="I226">
        <v>4711</v>
      </c>
      <c r="J226">
        <v>-2171</v>
      </c>
      <c r="K226" t="s">
        <v>21</v>
      </c>
      <c r="L226">
        <v>9</v>
      </c>
      <c r="M226" t="str">
        <f t="shared" si="3"/>
        <v>6-12 Months</v>
      </c>
      <c r="N226" s="1">
        <v>45189</v>
      </c>
      <c r="O226">
        <v>0</v>
      </c>
      <c r="P226">
        <v>225</v>
      </c>
      <c r="Q226" s="2">
        <v>-0.85</v>
      </c>
      <c r="R226" t="s">
        <v>27</v>
      </c>
      <c r="S226">
        <v>2023</v>
      </c>
      <c r="T226" t="s">
        <v>30</v>
      </c>
    </row>
    <row r="227" spans="1:20" x14ac:dyDescent="0.3">
      <c r="A227">
        <v>379</v>
      </c>
      <c r="B227">
        <v>421</v>
      </c>
      <c r="C227" t="s">
        <v>24</v>
      </c>
      <c r="D227" t="s">
        <v>34</v>
      </c>
      <c r="E227" t="s">
        <v>20</v>
      </c>
      <c r="F227" s="1">
        <v>44727</v>
      </c>
      <c r="G227" s="1">
        <v>44905</v>
      </c>
      <c r="H227">
        <v>2016</v>
      </c>
      <c r="I227">
        <v>5561</v>
      </c>
      <c r="J227">
        <v>-3545</v>
      </c>
      <c r="K227" t="s">
        <v>35</v>
      </c>
      <c r="L227">
        <v>5</v>
      </c>
      <c r="M227" t="str">
        <f t="shared" si="3"/>
        <v>0-6 Months</v>
      </c>
      <c r="N227" s="1">
        <v>44905</v>
      </c>
      <c r="O227">
        <v>0</v>
      </c>
      <c r="P227">
        <v>226</v>
      </c>
      <c r="Q227" s="2">
        <v>-1.76</v>
      </c>
      <c r="R227" t="s">
        <v>22</v>
      </c>
      <c r="S227">
        <v>2022</v>
      </c>
      <c r="T227" t="s">
        <v>31</v>
      </c>
    </row>
    <row r="228" spans="1:20" hidden="1" x14ac:dyDescent="0.3">
      <c r="A228">
        <v>381</v>
      </c>
      <c r="B228">
        <v>489</v>
      </c>
      <c r="C228" t="s">
        <v>53</v>
      </c>
      <c r="D228" t="s">
        <v>34</v>
      </c>
      <c r="E228" t="s">
        <v>26</v>
      </c>
      <c r="F228" s="1">
        <v>44809</v>
      </c>
      <c r="G228" s="1">
        <v>44944</v>
      </c>
      <c r="H228">
        <v>1939</v>
      </c>
      <c r="I228">
        <v>4012.75</v>
      </c>
      <c r="J228">
        <v>2643</v>
      </c>
      <c r="K228" t="s">
        <v>54</v>
      </c>
      <c r="L228">
        <v>4</v>
      </c>
      <c r="M228" t="str">
        <f t="shared" si="3"/>
        <v>0-6 Months</v>
      </c>
      <c r="N228" s="1">
        <v>44944</v>
      </c>
      <c r="O228">
        <v>1</v>
      </c>
      <c r="P228">
        <v>227</v>
      </c>
      <c r="Q228" s="2">
        <v>1.36</v>
      </c>
      <c r="R228" t="s">
        <v>22</v>
      </c>
      <c r="S228">
        <v>2023</v>
      </c>
      <c r="T228" t="s">
        <v>23</v>
      </c>
    </row>
    <row r="229" spans="1:20" hidden="1" x14ac:dyDescent="0.3">
      <c r="A229">
        <v>382</v>
      </c>
      <c r="B229">
        <v>159</v>
      </c>
      <c r="C229" t="s">
        <v>53</v>
      </c>
      <c r="D229" t="s">
        <v>34</v>
      </c>
      <c r="E229" t="s">
        <v>20</v>
      </c>
      <c r="F229" s="1">
        <v>44751</v>
      </c>
      <c r="G229" s="1">
        <v>45247</v>
      </c>
      <c r="H229">
        <v>3803</v>
      </c>
      <c r="I229">
        <v>7737</v>
      </c>
      <c r="J229">
        <v>-3934</v>
      </c>
      <c r="K229" t="s">
        <v>21</v>
      </c>
      <c r="L229">
        <v>16</v>
      </c>
      <c r="M229" t="str">
        <f t="shared" si="3"/>
        <v>6-12 Months</v>
      </c>
      <c r="N229" s="1">
        <v>45247</v>
      </c>
      <c r="O229">
        <v>1</v>
      </c>
      <c r="P229">
        <v>228</v>
      </c>
      <c r="Q229" s="2">
        <v>-1.03</v>
      </c>
      <c r="R229" t="s">
        <v>22</v>
      </c>
      <c r="S229">
        <v>2023</v>
      </c>
      <c r="T229" t="s">
        <v>42</v>
      </c>
    </row>
    <row r="230" spans="1:20" x14ac:dyDescent="0.3">
      <c r="A230">
        <v>384</v>
      </c>
      <c r="B230">
        <v>487</v>
      </c>
      <c r="C230" t="s">
        <v>24</v>
      </c>
      <c r="D230" t="s">
        <v>29</v>
      </c>
      <c r="E230" t="s">
        <v>20</v>
      </c>
      <c r="F230" s="1">
        <v>44613</v>
      </c>
      <c r="G230" s="1">
        <v>45193</v>
      </c>
      <c r="H230">
        <v>1788</v>
      </c>
      <c r="I230">
        <v>5236</v>
      </c>
      <c r="J230">
        <v>-3448</v>
      </c>
      <c r="K230" t="s">
        <v>35</v>
      </c>
      <c r="L230">
        <v>19</v>
      </c>
      <c r="M230" t="str">
        <f t="shared" si="3"/>
        <v>6-12 Months</v>
      </c>
      <c r="N230" s="1">
        <v>45193</v>
      </c>
      <c r="O230">
        <v>0</v>
      </c>
      <c r="P230">
        <v>229</v>
      </c>
      <c r="Q230" s="2">
        <v>-1.93</v>
      </c>
      <c r="R230" t="s">
        <v>22</v>
      </c>
      <c r="S230">
        <v>2023</v>
      </c>
      <c r="T230" t="s">
        <v>30</v>
      </c>
    </row>
    <row r="231" spans="1:20" hidden="1" x14ac:dyDescent="0.3">
      <c r="A231">
        <v>386</v>
      </c>
      <c r="B231">
        <v>181</v>
      </c>
      <c r="C231" t="s">
        <v>39</v>
      </c>
      <c r="D231" t="s">
        <v>29</v>
      </c>
      <c r="E231" t="s">
        <v>20</v>
      </c>
      <c r="F231" s="1">
        <v>44661</v>
      </c>
      <c r="G231" s="1">
        <v>44969</v>
      </c>
      <c r="H231">
        <v>4967.93</v>
      </c>
      <c r="I231">
        <v>4223</v>
      </c>
      <c r="J231">
        <v>-5347</v>
      </c>
      <c r="K231" t="s">
        <v>54</v>
      </c>
      <c r="L231">
        <v>10</v>
      </c>
      <c r="M231" t="str">
        <f t="shared" si="3"/>
        <v>6-12 Months</v>
      </c>
      <c r="N231" s="1">
        <v>44969</v>
      </c>
      <c r="O231">
        <v>1</v>
      </c>
      <c r="P231">
        <v>230</v>
      </c>
      <c r="Q231" s="2">
        <v>-1.08</v>
      </c>
      <c r="R231" t="s">
        <v>22</v>
      </c>
      <c r="S231">
        <v>2023</v>
      </c>
      <c r="T231" t="s">
        <v>43</v>
      </c>
    </row>
    <row r="232" spans="1:20" hidden="1" x14ac:dyDescent="0.3">
      <c r="A232">
        <v>388</v>
      </c>
      <c r="B232">
        <v>265</v>
      </c>
      <c r="C232" t="s">
        <v>24</v>
      </c>
      <c r="D232" t="s">
        <v>34</v>
      </c>
      <c r="E232" t="s">
        <v>26</v>
      </c>
      <c r="F232" s="1">
        <v>44864</v>
      </c>
      <c r="G232" s="1">
        <v>45269</v>
      </c>
      <c r="H232">
        <v>2459</v>
      </c>
      <c r="I232">
        <v>2287</v>
      </c>
      <c r="J232">
        <v>172</v>
      </c>
      <c r="K232" t="s">
        <v>21</v>
      </c>
      <c r="L232">
        <v>13</v>
      </c>
      <c r="M232" t="str">
        <f t="shared" si="3"/>
        <v>6-12 Months</v>
      </c>
      <c r="N232" s="1">
        <v>45269</v>
      </c>
      <c r="O232">
        <v>1</v>
      </c>
      <c r="P232">
        <v>231</v>
      </c>
      <c r="Q232" s="2">
        <v>7.0000000000000007E-2</v>
      </c>
      <c r="R232" t="s">
        <v>27</v>
      </c>
      <c r="S232">
        <v>2023</v>
      </c>
      <c r="T232" t="s">
        <v>31</v>
      </c>
    </row>
    <row r="233" spans="1:20" x14ac:dyDescent="0.3">
      <c r="A233">
        <v>389</v>
      </c>
      <c r="B233">
        <v>444</v>
      </c>
      <c r="C233" t="s">
        <v>40</v>
      </c>
      <c r="D233" t="s">
        <v>29</v>
      </c>
      <c r="E233" t="s">
        <v>20</v>
      </c>
      <c r="F233" s="1">
        <v>44793</v>
      </c>
      <c r="G233" s="1">
        <v>44904</v>
      </c>
      <c r="H233">
        <v>9717</v>
      </c>
      <c r="I233">
        <v>4012.75</v>
      </c>
      <c r="J233">
        <v>10230</v>
      </c>
      <c r="K233" t="s">
        <v>35</v>
      </c>
      <c r="L233">
        <v>3</v>
      </c>
      <c r="M233" t="str">
        <f t="shared" si="3"/>
        <v>0-6 Months</v>
      </c>
      <c r="N233" s="1">
        <v>44904</v>
      </c>
      <c r="O233">
        <v>0</v>
      </c>
      <c r="P233">
        <v>232</v>
      </c>
      <c r="Q233" s="2">
        <v>1.05</v>
      </c>
      <c r="R233" t="s">
        <v>22</v>
      </c>
      <c r="S233">
        <v>2022</v>
      </c>
      <c r="T233" t="s">
        <v>31</v>
      </c>
    </row>
    <row r="234" spans="1:20" hidden="1" x14ac:dyDescent="0.3">
      <c r="A234">
        <v>390</v>
      </c>
      <c r="B234">
        <v>380</v>
      </c>
      <c r="C234" t="s">
        <v>24</v>
      </c>
      <c r="D234" t="s">
        <v>25</v>
      </c>
      <c r="E234" t="s">
        <v>26</v>
      </c>
      <c r="F234" s="1">
        <v>44860</v>
      </c>
      <c r="G234" s="1">
        <v>45249</v>
      </c>
      <c r="H234">
        <v>2255</v>
      </c>
      <c r="I234">
        <v>2025</v>
      </c>
      <c r="J234">
        <v>577.01</v>
      </c>
      <c r="K234" t="s">
        <v>21</v>
      </c>
      <c r="L234">
        <v>12</v>
      </c>
      <c r="M234" t="str">
        <f t="shared" si="3"/>
        <v>6-12 Months</v>
      </c>
      <c r="N234" s="1">
        <v>45249</v>
      </c>
      <c r="O234">
        <v>1</v>
      </c>
      <c r="P234">
        <v>233</v>
      </c>
      <c r="Q234" s="2">
        <v>0.26</v>
      </c>
      <c r="R234" t="s">
        <v>27</v>
      </c>
      <c r="S234">
        <v>2023</v>
      </c>
      <c r="T234" t="s">
        <v>42</v>
      </c>
    </row>
    <row r="235" spans="1:20" x14ac:dyDescent="0.3">
      <c r="A235">
        <v>392</v>
      </c>
      <c r="B235">
        <v>419</v>
      </c>
      <c r="C235" t="s">
        <v>45</v>
      </c>
      <c r="D235" t="s">
        <v>29</v>
      </c>
      <c r="E235" t="s">
        <v>37</v>
      </c>
      <c r="F235" s="1">
        <v>44617</v>
      </c>
      <c r="G235" s="1">
        <v>45052</v>
      </c>
      <c r="H235">
        <v>2171</v>
      </c>
      <c r="I235">
        <v>397</v>
      </c>
      <c r="J235">
        <v>1774</v>
      </c>
      <c r="K235" t="s">
        <v>35</v>
      </c>
      <c r="L235">
        <v>14</v>
      </c>
      <c r="M235" t="str">
        <f t="shared" si="3"/>
        <v>6-12 Months</v>
      </c>
      <c r="N235" s="1">
        <v>45052</v>
      </c>
      <c r="O235">
        <v>0</v>
      </c>
      <c r="P235">
        <v>234</v>
      </c>
      <c r="Q235" s="2">
        <v>0.82</v>
      </c>
      <c r="R235" t="s">
        <v>27</v>
      </c>
      <c r="S235">
        <v>2023</v>
      </c>
      <c r="T235" t="s">
        <v>28</v>
      </c>
    </row>
    <row r="236" spans="1:20" hidden="1" x14ac:dyDescent="0.3">
      <c r="A236">
        <v>393</v>
      </c>
      <c r="B236">
        <v>169</v>
      </c>
      <c r="C236" t="s">
        <v>24</v>
      </c>
      <c r="D236" t="s">
        <v>29</v>
      </c>
      <c r="E236" t="s">
        <v>20</v>
      </c>
      <c r="F236" s="1">
        <v>44875</v>
      </c>
      <c r="G236" s="1">
        <v>45468</v>
      </c>
      <c r="H236">
        <v>4967.93</v>
      </c>
      <c r="I236">
        <v>7247</v>
      </c>
      <c r="J236">
        <v>-8287</v>
      </c>
      <c r="K236" t="s">
        <v>54</v>
      </c>
      <c r="L236">
        <v>19</v>
      </c>
      <c r="M236" t="str">
        <f t="shared" si="3"/>
        <v>6-12 Months</v>
      </c>
      <c r="N236" s="1">
        <v>45468</v>
      </c>
      <c r="O236">
        <v>1</v>
      </c>
      <c r="P236">
        <v>235</v>
      </c>
      <c r="Q236" s="2">
        <v>-1.67</v>
      </c>
      <c r="R236" t="s">
        <v>22</v>
      </c>
      <c r="S236">
        <v>2024</v>
      </c>
      <c r="T236" t="s">
        <v>41</v>
      </c>
    </row>
    <row r="237" spans="1:20" hidden="1" x14ac:dyDescent="0.3">
      <c r="A237">
        <v>398</v>
      </c>
      <c r="B237">
        <v>371</v>
      </c>
      <c r="C237" t="s">
        <v>40</v>
      </c>
      <c r="D237" t="s">
        <v>34</v>
      </c>
      <c r="E237" t="s">
        <v>37</v>
      </c>
      <c r="F237" s="1">
        <v>44571</v>
      </c>
      <c r="G237" s="1">
        <v>45121</v>
      </c>
      <c r="H237">
        <v>4967.93</v>
      </c>
      <c r="I237">
        <v>4827</v>
      </c>
      <c r="J237">
        <v>-5799</v>
      </c>
      <c r="K237" t="s">
        <v>21</v>
      </c>
      <c r="L237">
        <v>18</v>
      </c>
      <c r="M237" t="str">
        <f t="shared" si="3"/>
        <v>6-12 Months</v>
      </c>
      <c r="N237" s="1">
        <v>45121</v>
      </c>
      <c r="O237">
        <v>1</v>
      </c>
      <c r="P237">
        <v>236</v>
      </c>
      <c r="Q237" s="2">
        <v>-1.17</v>
      </c>
      <c r="R237" t="s">
        <v>22</v>
      </c>
      <c r="S237">
        <v>2023</v>
      </c>
      <c r="T237" t="s">
        <v>44</v>
      </c>
    </row>
    <row r="238" spans="1:20" hidden="1" x14ac:dyDescent="0.3">
      <c r="A238">
        <v>399</v>
      </c>
      <c r="B238">
        <v>327</v>
      </c>
      <c r="C238" t="s">
        <v>53</v>
      </c>
      <c r="D238" t="s">
        <v>29</v>
      </c>
      <c r="E238" t="s">
        <v>37</v>
      </c>
      <c r="F238" s="1">
        <v>44793</v>
      </c>
      <c r="G238" s="1">
        <v>45254</v>
      </c>
      <c r="H238">
        <v>5749</v>
      </c>
      <c r="I238">
        <v>1121</v>
      </c>
      <c r="J238">
        <v>4628</v>
      </c>
      <c r="K238" t="s">
        <v>54</v>
      </c>
      <c r="L238">
        <v>15</v>
      </c>
      <c r="M238" t="str">
        <f t="shared" si="3"/>
        <v>6-12 Months</v>
      </c>
      <c r="N238" s="1">
        <v>45254</v>
      </c>
      <c r="O238">
        <v>0</v>
      </c>
      <c r="P238">
        <v>237</v>
      </c>
      <c r="Q238" s="2">
        <v>0.81</v>
      </c>
      <c r="R238" t="s">
        <v>27</v>
      </c>
      <c r="S238">
        <v>2023</v>
      </c>
      <c r="T238" t="s">
        <v>42</v>
      </c>
    </row>
    <row r="239" spans="1:20" hidden="1" x14ac:dyDescent="0.3">
      <c r="A239">
        <v>400</v>
      </c>
      <c r="B239">
        <v>327</v>
      </c>
      <c r="C239" t="s">
        <v>53</v>
      </c>
      <c r="D239" t="s">
        <v>34</v>
      </c>
      <c r="E239" t="s">
        <v>26</v>
      </c>
      <c r="F239" s="1">
        <v>44731</v>
      </c>
      <c r="G239" s="1">
        <v>45129</v>
      </c>
      <c r="H239">
        <v>3322</v>
      </c>
      <c r="I239">
        <v>3580</v>
      </c>
      <c r="J239">
        <v>577.01</v>
      </c>
      <c r="K239" t="s">
        <v>21</v>
      </c>
      <c r="L239">
        <v>13</v>
      </c>
      <c r="M239" t="str">
        <f t="shared" si="3"/>
        <v>6-12 Months</v>
      </c>
      <c r="N239" s="1">
        <v>45129</v>
      </c>
      <c r="O239">
        <v>0</v>
      </c>
      <c r="P239">
        <v>238</v>
      </c>
      <c r="Q239" s="2">
        <v>0.17</v>
      </c>
      <c r="R239" t="s">
        <v>27</v>
      </c>
      <c r="S239">
        <v>2023</v>
      </c>
      <c r="T239" t="s">
        <v>44</v>
      </c>
    </row>
    <row r="240" spans="1:20" hidden="1" x14ac:dyDescent="0.3">
      <c r="A240">
        <v>401</v>
      </c>
      <c r="B240">
        <v>130</v>
      </c>
      <c r="C240" t="s">
        <v>39</v>
      </c>
      <c r="D240" t="s">
        <v>34</v>
      </c>
      <c r="E240" t="s">
        <v>37</v>
      </c>
      <c r="F240" s="1">
        <v>44683</v>
      </c>
      <c r="G240" s="1">
        <v>44851</v>
      </c>
      <c r="H240">
        <v>7936</v>
      </c>
      <c r="I240">
        <v>4243</v>
      </c>
      <c r="J240">
        <v>3693</v>
      </c>
      <c r="K240" t="s">
        <v>21</v>
      </c>
      <c r="L240">
        <v>5</v>
      </c>
      <c r="M240" t="str">
        <f t="shared" si="3"/>
        <v>0-6 Months</v>
      </c>
      <c r="N240" s="1">
        <v>44851</v>
      </c>
      <c r="O240">
        <v>1</v>
      </c>
      <c r="P240">
        <v>239</v>
      </c>
      <c r="Q240" s="2">
        <v>0.47</v>
      </c>
      <c r="R240" t="s">
        <v>27</v>
      </c>
      <c r="S240">
        <v>2022</v>
      </c>
      <c r="T240" t="s">
        <v>33</v>
      </c>
    </row>
    <row r="241" spans="1:20" hidden="1" x14ac:dyDescent="0.3">
      <c r="A241">
        <v>402</v>
      </c>
      <c r="B241">
        <v>101</v>
      </c>
      <c r="C241" t="s">
        <v>24</v>
      </c>
      <c r="D241" t="s">
        <v>19</v>
      </c>
      <c r="E241" t="s">
        <v>37</v>
      </c>
      <c r="F241" s="1">
        <v>44711</v>
      </c>
      <c r="G241" s="1">
        <v>45222</v>
      </c>
      <c r="H241">
        <v>2599</v>
      </c>
      <c r="I241">
        <v>357</v>
      </c>
      <c r="J241">
        <v>2242</v>
      </c>
      <c r="K241" t="s">
        <v>54</v>
      </c>
      <c r="L241">
        <v>16</v>
      </c>
      <c r="M241" t="str">
        <f t="shared" si="3"/>
        <v>6-12 Months</v>
      </c>
      <c r="N241" s="1">
        <v>45222</v>
      </c>
      <c r="O241">
        <v>1</v>
      </c>
      <c r="P241">
        <v>240</v>
      </c>
      <c r="Q241" s="2">
        <v>0.86</v>
      </c>
      <c r="R241" t="s">
        <v>27</v>
      </c>
      <c r="S241">
        <v>2023</v>
      </c>
      <c r="T241" t="s">
        <v>33</v>
      </c>
    </row>
    <row r="242" spans="1:20" hidden="1" x14ac:dyDescent="0.3">
      <c r="A242">
        <v>403</v>
      </c>
      <c r="B242">
        <v>356</v>
      </c>
      <c r="C242" t="s">
        <v>53</v>
      </c>
      <c r="D242" t="s">
        <v>34</v>
      </c>
      <c r="E242" t="s">
        <v>20</v>
      </c>
      <c r="F242" s="1">
        <v>44805</v>
      </c>
      <c r="G242" s="1">
        <v>45090</v>
      </c>
      <c r="H242">
        <v>3015</v>
      </c>
      <c r="I242">
        <v>2646</v>
      </c>
      <c r="J242">
        <v>369</v>
      </c>
      <c r="K242" t="s">
        <v>21</v>
      </c>
      <c r="L242">
        <v>9</v>
      </c>
      <c r="M242" t="str">
        <f t="shared" si="3"/>
        <v>6-12 Months</v>
      </c>
      <c r="N242" s="1">
        <v>45090</v>
      </c>
      <c r="O242">
        <v>1</v>
      </c>
      <c r="P242">
        <v>241</v>
      </c>
      <c r="Q242" s="2">
        <v>0.12</v>
      </c>
      <c r="R242" t="s">
        <v>27</v>
      </c>
      <c r="S242">
        <v>2023</v>
      </c>
      <c r="T242" t="s">
        <v>41</v>
      </c>
    </row>
    <row r="243" spans="1:20" x14ac:dyDescent="0.3">
      <c r="A243">
        <v>406</v>
      </c>
      <c r="B243">
        <v>230</v>
      </c>
      <c r="C243" t="s">
        <v>24</v>
      </c>
      <c r="D243" t="s">
        <v>25</v>
      </c>
      <c r="E243" t="s">
        <v>20</v>
      </c>
      <c r="F243" s="1">
        <v>44699</v>
      </c>
      <c r="G243" s="1">
        <v>45145</v>
      </c>
      <c r="H243">
        <v>4778</v>
      </c>
      <c r="I243">
        <v>7461</v>
      </c>
      <c r="J243">
        <v>-2683</v>
      </c>
      <c r="K243" t="s">
        <v>35</v>
      </c>
      <c r="L243">
        <v>14</v>
      </c>
      <c r="M243" t="str">
        <f t="shared" si="3"/>
        <v>6-12 Months</v>
      </c>
      <c r="N243" s="1">
        <v>45145</v>
      </c>
      <c r="O243">
        <v>1</v>
      </c>
      <c r="P243">
        <v>242</v>
      </c>
      <c r="Q243" s="2">
        <v>-0.56000000000000005</v>
      </c>
      <c r="R243" t="s">
        <v>27</v>
      </c>
      <c r="S243">
        <v>2023</v>
      </c>
      <c r="T243" t="s">
        <v>36</v>
      </c>
    </row>
    <row r="244" spans="1:20" hidden="1" x14ac:dyDescent="0.3">
      <c r="A244">
        <v>408</v>
      </c>
      <c r="B244">
        <v>341</v>
      </c>
      <c r="C244" t="s">
        <v>24</v>
      </c>
      <c r="D244" t="s">
        <v>34</v>
      </c>
      <c r="E244" t="s">
        <v>26</v>
      </c>
      <c r="F244" s="1">
        <v>44747</v>
      </c>
      <c r="G244" s="1">
        <v>45331</v>
      </c>
      <c r="H244">
        <v>324</v>
      </c>
      <c r="I244">
        <v>7173</v>
      </c>
      <c r="J244">
        <v>-6849</v>
      </c>
      <c r="K244" t="s">
        <v>54</v>
      </c>
      <c r="L244">
        <v>19</v>
      </c>
      <c r="M244" t="str">
        <f t="shared" si="3"/>
        <v>6-12 Months</v>
      </c>
      <c r="N244" s="1">
        <v>45331</v>
      </c>
      <c r="O244">
        <v>0</v>
      </c>
      <c r="P244">
        <v>243</v>
      </c>
      <c r="Q244" s="2">
        <v>-21.14</v>
      </c>
      <c r="R244" t="s">
        <v>22</v>
      </c>
      <c r="S244">
        <v>2024</v>
      </c>
      <c r="T244" t="s">
        <v>43</v>
      </c>
    </row>
    <row r="245" spans="1:20" hidden="1" x14ac:dyDescent="0.3">
      <c r="A245">
        <v>409</v>
      </c>
      <c r="B245">
        <v>198</v>
      </c>
      <c r="C245" t="s">
        <v>39</v>
      </c>
      <c r="D245" t="s">
        <v>29</v>
      </c>
      <c r="E245" t="s">
        <v>20</v>
      </c>
      <c r="F245" s="1">
        <v>44697</v>
      </c>
      <c r="G245" s="1">
        <v>45247</v>
      </c>
      <c r="H245">
        <v>5030</v>
      </c>
      <c r="I245">
        <v>6655</v>
      </c>
      <c r="J245">
        <v>-1625</v>
      </c>
      <c r="K245" t="s">
        <v>54</v>
      </c>
      <c r="L245">
        <v>18</v>
      </c>
      <c r="M245" t="str">
        <f t="shared" si="3"/>
        <v>6-12 Months</v>
      </c>
      <c r="N245" s="1">
        <v>45247</v>
      </c>
      <c r="O245">
        <v>1</v>
      </c>
      <c r="P245">
        <v>244</v>
      </c>
      <c r="Q245" s="2">
        <v>-0.32</v>
      </c>
      <c r="R245" t="s">
        <v>27</v>
      </c>
      <c r="S245">
        <v>2023</v>
      </c>
      <c r="T245" t="s">
        <v>42</v>
      </c>
    </row>
    <row r="246" spans="1:20" hidden="1" x14ac:dyDescent="0.3">
      <c r="A246">
        <v>410</v>
      </c>
      <c r="B246">
        <v>499</v>
      </c>
      <c r="C246" t="s">
        <v>40</v>
      </c>
      <c r="D246" t="s">
        <v>25</v>
      </c>
      <c r="E246" t="s">
        <v>26</v>
      </c>
      <c r="F246" s="1">
        <v>44851</v>
      </c>
      <c r="G246" s="1">
        <v>45236</v>
      </c>
      <c r="H246">
        <v>4967.93</v>
      </c>
      <c r="I246">
        <v>4012.75</v>
      </c>
      <c r="J246">
        <v>-416</v>
      </c>
      <c r="K246" t="s">
        <v>21</v>
      </c>
      <c r="L246">
        <v>12</v>
      </c>
      <c r="M246" t="str">
        <f t="shared" si="3"/>
        <v>6-12 Months</v>
      </c>
      <c r="N246" s="1">
        <v>45236</v>
      </c>
      <c r="O246">
        <v>1</v>
      </c>
      <c r="P246">
        <v>245</v>
      </c>
      <c r="Q246" s="2">
        <v>-0.08</v>
      </c>
      <c r="R246" t="s">
        <v>27</v>
      </c>
      <c r="S246">
        <v>2023</v>
      </c>
      <c r="T246" t="s">
        <v>42</v>
      </c>
    </row>
    <row r="247" spans="1:20" hidden="1" x14ac:dyDescent="0.3">
      <c r="A247">
        <v>413</v>
      </c>
      <c r="B247">
        <v>257</v>
      </c>
      <c r="C247" t="s">
        <v>24</v>
      </c>
      <c r="D247" t="s">
        <v>34</v>
      </c>
      <c r="E247" t="s">
        <v>20</v>
      </c>
      <c r="F247" s="1">
        <v>44634</v>
      </c>
      <c r="G247" s="1">
        <v>45096</v>
      </c>
      <c r="H247">
        <v>479</v>
      </c>
      <c r="I247">
        <v>259</v>
      </c>
      <c r="J247">
        <v>220</v>
      </c>
      <c r="K247" t="s">
        <v>54</v>
      </c>
      <c r="L247">
        <v>15</v>
      </c>
      <c r="M247" t="str">
        <f t="shared" si="3"/>
        <v>6-12 Months</v>
      </c>
      <c r="N247" s="1">
        <v>45096</v>
      </c>
      <c r="O247">
        <v>1</v>
      </c>
      <c r="P247">
        <v>246</v>
      </c>
      <c r="Q247" s="2">
        <v>0.46</v>
      </c>
      <c r="R247" t="s">
        <v>27</v>
      </c>
      <c r="S247">
        <v>2023</v>
      </c>
      <c r="T247" t="s">
        <v>41</v>
      </c>
    </row>
    <row r="248" spans="1:20" hidden="1" x14ac:dyDescent="0.3">
      <c r="A248">
        <v>418</v>
      </c>
      <c r="B248">
        <v>284</v>
      </c>
      <c r="C248" t="s">
        <v>24</v>
      </c>
      <c r="D248" t="s">
        <v>19</v>
      </c>
      <c r="E248" t="s">
        <v>20</v>
      </c>
      <c r="F248" s="1">
        <v>44903</v>
      </c>
      <c r="G248" s="1">
        <v>45069</v>
      </c>
      <c r="H248">
        <v>7553</v>
      </c>
      <c r="I248">
        <v>1664</v>
      </c>
      <c r="J248">
        <v>5889</v>
      </c>
      <c r="K248" t="s">
        <v>54</v>
      </c>
      <c r="L248">
        <v>5</v>
      </c>
      <c r="M248" t="str">
        <f t="shared" si="3"/>
        <v>0-6 Months</v>
      </c>
      <c r="N248" s="1">
        <v>45069</v>
      </c>
      <c r="O248">
        <v>1</v>
      </c>
      <c r="P248">
        <v>247</v>
      </c>
      <c r="Q248" s="2">
        <v>0.78</v>
      </c>
      <c r="R248" t="s">
        <v>27</v>
      </c>
      <c r="S248">
        <v>2023</v>
      </c>
      <c r="T248" t="s">
        <v>28</v>
      </c>
    </row>
    <row r="249" spans="1:20" hidden="1" x14ac:dyDescent="0.3">
      <c r="A249">
        <v>420</v>
      </c>
      <c r="B249">
        <v>468</v>
      </c>
      <c r="C249" t="s">
        <v>53</v>
      </c>
      <c r="D249" t="s">
        <v>29</v>
      </c>
      <c r="E249" t="s">
        <v>20</v>
      </c>
      <c r="F249" s="1">
        <v>44650</v>
      </c>
      <c r="G249" s="1">
        <v>45074</v>
      </c>
      <c r="H249">
        <v>7045</v>
      </c>
      <c r="I249">
        <v>5451</v>
      </c>
      <c r="J249">
        <v>1594</v>
      </c>
      <c r="K249" t="s">
        <v>21</v>
      </c>
      <c r="L249">
        <v>13</v>
      </c>
      <c r="M249" t="str">
        <f t="shared" si="3"/>
        <v>6-12 Months</v>
      </c>
      <c r="N249" s="1">
        <v>45074</v>
      </c>
      <c r="O249">
        <v>1</v>
      </c>
      <c r="P249">
        <v>248</v>
      </c>
      <c r="Q249" s="2">
        <v>0.23</v>
      </c>
      <c r="R249" t="s">
        <v>27</v>
      </c>
      <c r="S249">
        <v>2023</v>
      </c>
      <c r="T249" t="s">
        <v>28</v>
      </c>
    </row>
    <row r="250" spans="1:20" x14ac:dyDescent="0.3">
      <c r="A250">
        <v>421</v>
      </c>
      <c r="B250">
        <v>265</v>
      </c>
      <c r="C250" t="s">
        <v>40</v>
      </c>
      <c r="D250" t="s">
        <v>34</v>
      </c>
      <c r="E250" t="s">
        <v>26</v>
      </c>
      <c r="F250" s="1">
        <v>44796</v>
      </c>
      <c r="G250" s="1">
        <v>45181</v>
      </c>
      <c r="H250">
        <v>4967.93</v>
      </c>
      <c r="I250">
        <v>7305</v>
      </c>
      <c r="J250">
        <v>-8923</v>
      </c>
      <c r="K250" t="s">
        <v>35</v>
      </c>
      <c r="L250">
        <v>12</v>
      </c>
      <c r="M250" t="str">
        <f t="shared" si="3"/>
        <v>6-12 Months</v>
      </c>
      <c r="N250" s="1">
        <v>45181</v>
      </c>
      <c r="O250">
        <v>0</v>
      </c>
      <c r="P250">
        <v>249</v>
      </c>
      <c r="Q250" s="2">
        <v>-1.8</v>
      </c>
      <c r="R250" t="s">
        <v>22</v>
      </c>
      <c r="S250">
        <v>2023</v>
      </c>
      <c r="T250" t="s">
        <v>30</v>
      </c>
    </row>
    <row r="251" spans="1:20" hidden="1" x14ac:dyDescent="0.3">
      <c r="A251">
        <v>422</v>
      </c>
      <c r="B251">
        <v>234</v>
      </c>
      <c r="C251" t="s">
        <v>40</v>
      </c>
      <c r="D251" t="s">
        <v>19</v>
      </c>
      <c r="E251" t="s">
        <v>20</v>
      </c>
      <c r="F251" s="1">
        <v>44768</v>
      </c>
      <c r="G251" s="1">
        <v>45190</v>
      </c>
      <c r="H251">
        <v>6867</v>
      </c>
      <c r="I251">
        <v>859</v>
      </c>
      <c r="J251">
        <v>577.01</v>
      </c>
      <c r="K251" t="s">
        <v>21</v>
      </c>
      <c r="L251">
        <v>13</v>
      </c>
      <c r="M251" t="str">
        <f t="shared" si="3"/>
        <v>6-12 Months</v>
      </c>
      <c r="N251" s="1">
        <v>45190</v>
      </c>
      <c r="O251">
        <v>1</v>
      </c>
      <c r="P251">
        <v>250</v>
      </c>
      <c r="Q251" s="2">
        <v>0.08</v>
      </c>
      <c r="R251" t="s">
        <v>27</v>
      </c>
      <c r="S251">
        <v>2023</v>
      </c>
      <c r="T251" t="s">
        <v>30</v>
      </c>
    </row>
    <row r="252" spans="1:20" hidden="1" x14ac:dyDescent="0.3">
      <c r="A252">
        <v>423</v>
      </c>
      <c r="B252">
        <v>222</v>
      </c>
      <c r="C252" t="s">
        <v>24</v>
      </c>
      <c r="D252" t="s">
        <v>25</v>
      </c>
      <c r="E252" t="s">
        <v>20</v>
      </c>
      <c r="F252" s="1">
        <v>44565</v>
      </c>
      <c r="G252" s="1">
        <v>44902</v>
      </c>
      <c r="H252">
        <v>6287</v>
      </c>
      <c r="I252">
        <v>4012.75</v>
      </c>
      <c r="J252">
        <v>7158</v>
      </c>
      <c r="K252" t="s">
        <v>54</v>
      </c>
      <c r="L252">
        <v>11</v>
      </c>
      <c r="M252" t="str">
        <f t="shared" si="3"/>
        <v>6-12 Months</v>
      </c>
      <c r="N252" s="1">
        <v>44902</v>
      </c>
      <c r="O252">
        <v>0</v>
      </c>
      <c r="P252">
        <v>251</v>
      </c>
      <c r="Q252" s="2">
        <v>1.1399999999999999</v>
      </c>
      <c r="R252" t="s">
        <v>22</v>
      </c>
      <c r="S252">
        <v>2022</v>
      </c>
      <c r="T252" t="s">
        <v>31</v>
      </c>
    </row>
    <row r="253" spans="1:20" hidden="1" x14ac:dyDescent="0.3">
      <c r="A253">
        <v>426</v>
      </c>
      <c r="B253">
        <v>397</v>
      </c>
      <c r="C253" t="s">
        <v>24</v>
      </c>
      <c r="D253" t="s">
        <v>29</v>
      </c>
      <c r="E253" t="s">
        <v>37</v>
      </c>
      <c r="F253" s="1">
        <v>44669</v>
      </c>
      <c r="G253" s="1">
        <v>44981</v>
      </c>
      <c r="H253">
        <v>6829</v>
      </c>
      <c r="I253">
        <v>4012.75</v>
      </c>
      <c r="J253">
        <v>7367</v>
      </c>
      <c r="K253" t="s">
        <v>21</v>
      </c>
      <c r="L253">
        <v>10</v>
      </c>
      <c r="M253" t="str">
        <f t="shared" si="3"/>
        <v>6-12 Months</v>
      </c>
      <c r="N253" s="1">
        <v>44981</v>
      </c>
      <c r="O253">
        <v>0</v>
      </c>
      <c r="P253">
        <v>252</v>
      </c>
      <c r="Q253" s="2">
        <v>1.08</v>
      </c>
      <c r="R253" t="s">
        <v>22</v>
      </c>
      <c r="S253">
        <v>2023</v>
      </c>
      <c r="T253" t="s">
        <v>43</v>
      </c>
    </row>
    <row r="254" spans="1:20" hidden="1" x14ac:dyDescent="0.3">
      <c r="A254">
        <v>429</v>
      </c>
      <c r="B254">
        <v>454</v>
      </c>
      <c r="C254" t="s">
        <v>39</v>
      </c>
      <c r="D254" t="s">
        <v>25</v>
      </c>
      <c r="E254" t="s">
        <v>37</v>
      </c>
      <c r="F254" s="1">
        <v>44656</v>
      </c>
      <c r="G254" s="1">
        <v>45126</v>
      </c>
      <c r="H254">
        <v>3774</v>
      </c>
      <c r="I254">
        <v>6183</v>
      </c>
      <c r="J254">
        <v>-2409</v>
      </c>
      <c r="K254" t="s">
        <v>21</v>
      </c>
      <c r="L254">
        <v>15</v>
      </c>
      <c r="M254" t="str">
        <f t="shared" si="3"/>
        <v>6-12 Months</v>
      </c>
      <c r="N254" s="1">
        <v>45126</v>
      </c>
      <c r="O254">
        <v>0</v>
      </c>
      <c r="P254">
        <v>253</v>
      </c>
      <c r="Q254" s="2">
        <v>-0.64</v>
      </c>
      <c r="R254" t="s">
        <v>27</v>
      </c>
      <c r="S254">
        <v>2023</v>
      </c>
      <c r="T254" t="s">
        <v>44</v>
      </c>
    </row>
    <row r="255" spans="1:20" hidden="1" x14ac:dyDescent="0.3">
      <c r="A255">
        <v>431</v>
      </c>
      <c r="B255">
        <v>202</v>
      </c>
      <c r="C255" t="s">
        <v>40</v>
      </c>
      <c r="D255" t="s">
        <v>19</v>
      </c>
      <c r="E255" t="s">
        <v>37</v>
      </c>
      <c r="F255" s="1">
        <v>44891</v>
      </c>
      <c r="G255" s="1">
        <v>44936</v>
      </c>
      <c r="H255">
        <v>1644</v>
      </c>
      <c r="I255">
        <v>1232</v>
      </c>
      <c r="J255">
        <v>412</v>
      </c>
      <c r="K255" t="s">
        <v>54</v>
      </c>
      <c r="L255">
        <v>1</v>
      </c>
      <c r="M255" t="str">
        <f t="shared" si="3"/>
        <v>0-6 Months</v>
      </c>
      <c r="N255" s="1">
        <v>44936</v>
      </c>
      <c r="O255">
        <v>1</v>
      </c>
      <c r="P255">
        <v>254</v>
      </c>
      <c r="Q255" s="2">
        <v>0.25</v>
      </c>
      <c r="R255" t="s">
        <v>27</v>
      </c>
      <c r="S255">
        <v>2023</v>
      </c>
      <c r="T255" t="s">
        <v>23</v>
      </c>
    </row>
    <row r="256" spans="1:20" hidden="1" x14ac:dyDescent="0.3">
      <c r="A256">
        <v>432</v>
      </c>
      <c r="B256">
        <v>463</v>
      </c>
      <c r="C256" t="s">
        <v>24</v>
      </c>
      <c r="D256" t="s">
        <v>29</v>
      </c>
      <c r="E256" t="s">
        <v>26</v>
      </c>
      <c r="F256" s="1">
        <v>44700</v>
      </c>
      <c r="G256" s="1">
        <v>44787</v>
      </c>
      <c r="H256">
        <v>5360</v>
      </c>
      <c r="I256">
        <v>4012.75</v>
      </c>
      <c r="J256">
        <v>5643</v>
      </c>
      <c r="K256" t="s">
        <v>21</v>
      </c>
      <c r="L256">
        <v>2</v>
      </c>
      <c r="M256" t="str">
        <f t="shared" si="3"/>
        <v>0-6 Months</v>
      </c>
      <c r="N256" s="1">
        <v>44787</v>
      </c>
      <c r="O256">
        <v>0</v>
      </c>
      <c r="P256">
        <v>255</v>
      </c>
      <c r="Q256" s="2">
        <v>1.05</v>
      </c>
      <c r="R256" t="s">
        <v>22</v>
      </c>
      <c r="S256">
        <v>2022</v>
      </c>
      <c r="T256" t="s">
        <v>36</v>
      </c>
    </row>
    <row r="257" spans="1:20" hidden="1" x14ac:dyDescent="0.3">
      <c r="A257">
        <v>435</v>
      </c>
      <c r="B257">
        <v>265</v>
      </c>
      <c r="C257" t="s">
        <v>24</v>
      </c>
      <c r="D257" t="s">
        <v>34</v>
      </c>
      <c r="E257" t="s">
        <v>26</v>
      </c>
      <c r="F257" s="1">
        <v>44676</v>
      </c>
      <c r="G257" s="1">
        <v>44935</v>
      </c>
      <c r="H257">
        <v>8293</v>
      </c>
      <c r="I257">
        <v>3971</v>
      </c>
      <c r="J257">
        <v>4322</v>
      </c>
      <c r="K257" t="s">
        <v>21</v>
      </c>
      <c r="L257">
        <v>8</v>
      </c>
      <c r="M257" t="str">
        <f t="shared" si="3"/>
        <v>6-12 Months</v>
      </c>
      <c r="N257" s="1">
        <v>44935</v>
      </c>
      <c r="O257">
        <v>1</v>
      </c>
      <c r="P257">
        <v>256</v>
      </c>
      <c r="Q257" s="2">
        <v>0.52</v>
      </c>
      <c r="R257" t="s">
        <v>27</v>
      </c>
      <c r="S257">
        <v>2023</v>
      </c>
      <c r="T257" t="s">
        <v>23</v>
      </c>
    </row>
    <row r="258" spans="1:20" hidden="1" x14ac:dyDescent="0.3">
      <c r="A258">
        <v>436</v>
      </c>
      <c r="B258">
        <v>383</v>
      </c>
      <c r="C258" t="s">
        <v>53</v>
      </c>
      <c r="D258" t="s">
        <v>34</v>
      </c>
      <c r="E258" t="s">
        <v>26</v>
      </c>
      <c r="F258" s="1">
        <v>44676</v>
      </c>
      <c r="G258" s="1">
        <v>45160</v>
      </c>
      <c r="H258">
        <v>7756</v>
      </c>
      <c r="I258">
        <v>6223</v>
      </c>
      <c r="J258">
        <v>1533</v>
      </c>
      <c r="K258" t="s">
        <v>54</v>
      </c>
      <c r="L258">
        <v>15</v>
      </c>
      <c r="M258" t="str">
        <f t="shared" ref="M258:M321" si="4">IF(L258&lt;6,"0-6 Months",IF(L258&gt;6,"6-12 Months","12+ Months"))</f>
        <v>6-12 Months</v>
      </c>
      <c r="N258" s="1">
        <v>45160</v>
      </c>
      <c r="O258">
        <v>1</v>
      </c>
      <c r="P258">
        <v>257</v>
      </c>
      <c r="Q258" s="2">
        <v>0.2</v>
      </c>
      <c r="R258" t="s">
        <v>27</v>
      </c>
      <c r="S258">
        <v>2023</v>
      </c>
      <c r="T258" t="s">
        <v>36</v>
      </c>
    </row>
    <row r="259" spans="1:20" x14ac:dyDescent="0.3">
      <c r="A259">
        <v>437</v>
      </c>
      <c r="B259">
        <v>220</v>
      </c>
      <c r="C259" t="s">
        <v>40</v>
      </c>
      <c r="D259" t="s">
        <v>19</v>
      </c>
      <c r="E259" t="s">
        <v>37</v>
      </c>
      <c r="F259" s="1">
        <v>44909</v>
      </c>
      <c r="G259" s="1">
        <v>45117</v>
      </c>
      <c r="H259">
        <v>4458</v>
      </c>
      <c r="I259">
        <v>6333</v>
      </c>
      <c r="J259">
        <v>577.01</v>
      </c>
      <c r="K259" t="s">
        <v>35</v>
      </c>
      <c r="L259">
        <v>6</v>
      </c>
      <c r="M259" t="str">
        <f t="shared" si="4"/>
        <v>12+ Months</v>
      </c>
      <c r="N259" s="1">
        <v>45117</v>
      </c>
      <c r="O259">
        <v>0</v>
      </c>
      <c r="P259">
        <v>258</v>
      </c>
      <c r="Q259" s="2">
        <v>0.13</v>
      </c>
      <c r="R259" t="s">
        <v>27</v>
      </c>
      <c r="S259">
        <v>2023</v>
      </c>
      <c r="T259" t="s">
        <v>44</v>
      </c>
    </row>
    <row r="260" spans="1:20" hidden="1" x14ac:dyDescent="0.3">
      <c r="A260">
        <v>440</v>
      </c>
      <c r="B260">
        <v>446</v>
      </c>
      <c r="C260" t="s">
        <v>53</v>
      </c>
      <c r="D260" t="s">
        <v>29</v>
      </c>
      <c r="E260" t="s">
        <v>26</v>
      </c>
      <c r="F260" s="1">
        <v>44660</v>
      </c>
      <c r="G260" s="1">
        <v>45063</v>
      </c>
      <c r="H260">
        <v>1674</v>
      </c>
      <c r="I260">
        <v>5765</v>
      </c>
      <c r="J260">
        <v>-4091</v>
      </c>
      <c r="K260" t="s">
        <v>54</v>
      </c>
      <c r="L260">
        <v>13</v>
      </c>
      <c r="M260" t="str">
        <f t="shared" si="4"/>
        <v>6-12 Months</v>
      </c>
      <c r="N260" s="1">
        <v>45063</v>
      </c>
      <c r="O260">
        <v>1</v>
      </c>
      <c r="P260">
        <v>259</v>
      </c>
      <c r="Q260" s="2">
        <v>-2.44</v>
      </c>
      <c r="R260" t="s">
        <v>22</v>
      </c>
      <c r="S260">
        <v>2023</v>
      </c>
      <c r="T260" t="s">
        <v>28</v>
      </c>
    </row>
    <row r="261" spans="1:20" hidden="1" x14ac:dyDescent="0.3">
      <c r="A261">
        <v>441</v>
      </c>
      <c r="B261">
        <v>251</v>
      </c>
      <c r="C261" t="s">
        <v>24</v>
      </c>
      <c r="D261" t="s">
        <v>25</v>
      </c>
      <c r="E261" t="s">
        <v>37</v>
      </c>
      <c r="F261" s="1">
        <v>44687</v>
      </c>
      <c r="G261" s="1">
        <v>44922</v>
      </c>
      <c r="H261">
        <v>9178</v>
      </c>
      <c r="I261">
        <v>888</v>
      </c>
      <c r="J261">
        <v>577.01</v>
      </c>
      <c r="K261" t="s">
        <v>54</v>
      </c>
      <c r="L261">
        <v>7</v>
      </c>
      <c r="M261" t="str">
        <f t="shared" si="4"/>
        <v>6-12 Months</v>
      </c>
      <c r="N261" s="1">
        <v>44922</v>
      </c>
      <c r="O261">
        <v>0</v>
      </c>
      <c r="P261">
        <v>260</v>
      </c>
      <c r="Q261" s="2">
        <v>0.06</v>
      </c>
      <c r="R261" t="s">
        <v>27</v>
      </c>
      <c r="S261">
        <v>2022</v>
      </c>
      <c r="T261" t="s">
        <v>31</v>
      </c>
    </row>
    <row r="262" spans="1:20" hidden="1" x14ac:dyDescent="0.3">
      <c r="A262">
        <v>442</v>
      </c>
      <c r="B262">
        <v>155</v>
      </c>
      <c r="C262" t="s">
        <v>39</v>
      </c>
      <c r="D262" t="s">
        <v>29</v>
      </c>
      <c r="E262" t="s">
        <v>20</v>
      </c>
      <c r="F262" s="1">
        <v>44603</v>
      </c>
      <c r="G262" s="1">
        <v>44962</v>
      </c>
      <c r="H262">
        <v>3475</v>
      </c>
      <c r="I262">
        <v>7564</v>
      </c>
      <c r="J262">
        <v>-4089</v>
      </c>
      <c r="K262" t="s">
        <v>54</v>
      </c>
      <c r="L262">
        <v>11</v>
      </c>
      <c r="M262" t="str">
        <f t="shared" si="4"/>
        <v>6-12 Months</v>
      </c>
      <c r="N262" s="1">
        <v>44962</v>
      </c>
      <c r="O262">
        <v>1</v>
      </c>
      <c r="P262">
        <v>261</v>
      </c>
      <c r="Q262" s="2">
        <v>-1.18</v>
      </c>
      <c r="R262" t="s">
        <v>22</v>
      </c>
      <c r="S262">
        <v>2023</v>
      </c>
      <c r="T262" t="s">
        <v>43</v>
      </c>
    </row>
    <row r="263" spans="1:20" hidden="1" x14ac:dyDescent="0.3">
      <c r="A263">
        <v>443</v>
      </c>
      <c r="B263">
        <v>333</v>
      </c>
      <c r="C263" t="s">
        <v>39</v>
      </c>
      <c r="D263" t="s">
        <v>34</v>
      </c>
      <c r="E263" t="s">
        <v>37</v>
      </c>
      <c r="F263" s="1">
        <v>44876</v>
      </c>
      <c r="G263" s="1">
        <v>45014</v>
      </c>
      <c r="H263">
        <v>7546</v>
      </c>
      <c r="I263">
        <v>4012.75</v>
      </c>
      <c r="J263">
        <v>8450</v>
      </c>
      <c r="K263" t="s">
        <v>21</v>
      </c>
      <c r="L263">
        <v>4</v>
      </c>
      <c r="M263" t="str">
        <f t="shared" si="4"/>
        <v>0-6 Months</v>
      </c>
      <c r="N263" s="1">
        <v>45014</v>
      </c>
      <c r="O263">
        <v>1</v>
      </c>
      <c r="P263">
        <v>262</v>
      </c>
      <c r="Q263" s="2">
        <v>1.1200000000000001</v>
      </c>
      <c r="R263" t="s">
        <v>22</v>
      </c>
      <c r="S263">
        <v>2023</v>
      </c>
      <c r="T263" t="s">
        <v>38</v>
      </c>
    </row>
    <row r="264" spans="1:20" hidden="1" x14ac:dyDescent="0.3">
      <c r="A264">
        <v>445</v>
      </c>
      <c r="B264">
        <v>130</v>
      </c>
      <c r="C264" t="s">
        <v>24</v>
      </c>
      <c r="D264" t="s">
        <v>19</v>
      </c>
      <c r="E264" t="s">
        <v>26</v>
      </c>
      <c r="F264" s="1">
        <v>44884</v>
      </c>
      <c r="G264" s="1">
        <v>45339</v>
      </c>
      <c r="H264">
        <v>15</v>
      </c>
      <c r="I264">
        <v>3275</v>
      </c>
      <c r="J264">
        <v>-3260</v>
      </c>
      <c r="K264" t="s">
        <v>54</v>
      </c>
      <c r="L264">
        <v>14</v>
      </c>
      <c r="M264" t="str">
        <f t="shared" si="4"/>
        <v>6-12 Months</v>
      </c>
      <c r="N264" s="1">
        <v>45339</v>
      </c>
      <c r="O264">
        <v>0</v>
      </c>
      <c r="P264">
        <v>263</v>
      </c>
      <c r="Q264" s="2">
        <v>-217.33</v>
      </c>
      <c r="R264" t="s">
        <v>22</v>
      </c>
      <c r="S264">
        <v>2024</v>
      </c>
      <c r="T264" t="s">
        <v>43</v>
      </c>
    </row>
    <row r="265" spans="1:20" x14ac:dyDescent="0.3">
      <c r="A265">
        <v>454</v>
      </c>
      <c r="B265">
        <v>185</v>
      </c>
      <c r="C265" t="s">
        <v>40</v>
      </c>
      <c r="D265" t="s">
        <v>29</v>
      </c>
      <c r="E265" t="s">
        <v>37</v>
      </c>
      <c r="F265" s="1">
        <v>44866</v>
      </c>
      <c r="G265" s="1">
        <v>45427</v>
      </c>
      <c r="H265">
        <v>3430</v>
      </c>
      <c r="I265">
        <v>4717</v>
      </c>
      <c r="J265">
        <v>-1287</v>
      </c>
      <c r="K265" t="s">
        <v>35</v>
      </c>
      <c r="L265">
        <v>18</v>
      </c>
      <c r="M265" t="str">
        <f t="shared" si="4"/>
        <v>6-12 Months</v>
      </c>
      <c r="N265" s="1">
        <v>45427</v>
      </c>
      <c r="O265">
        <v>0</v>
      </c>
      <c r="P265">
        <v>264</v>
      </c>
      <c r="Q265" s="2">
        <v>-0.38</v>
      </c>
      <c r="R265" t="s">
        <v>27</v>
      </c>
      <c r="S265">
        <v>2024</v>
      </c>
      <c r="T265" t="s">
        <v>28</v>
      </c>
    </row>
    <row r="266" spans="1:20" x14ac:dyDescent="0.3">
      <c r="A266">
        <v>456</v>
      </c>
      <c r="B266">
        <v>226</v>
      </c>
      <c r="C266" t="s">
        <v>45</v>
      </c>
      <c r="D266" t="s">
        <v>29</v>
      </c>
      <c r="E266" t="s">
        <v>20</v>
      </c>
      <c r="F266" s="1">
        <v>44692</v>
      </c>
      <c r="G266" s="1">
        <v>45019</v>
      </c>
      <c r="H266">
        <v>1971</v>
      </c>
      <c r="I266">
        <v>6055</v>
      </c>
      <c r="J266">
        <v>-4084</v>
      </c>
      <c r="K266" t="s">
        <v>35</v>
      </c>
      <c r="L266">
        <v>10</v>
      </c>
      <c r="M266" t="str">
        <f t="shared" si="4"/>
        <v>6-12 Months</v>
      </c>
      <c r="N266" s="1">
        <v>45019</v>
      </c>
      <c r="O266">
        <v>0</v>
      </c>
      <c r="P266">
        <v>265</v>
      </c>
      <c r="Q266" s="2">
        <v>-2.0699999999999998</v>
      </c>
      <c r="R266" t="s">
        <v>22</v>
      </c>
      <c r="S266">
        <v>2023</v>
      </c>
      <c r="T266" t="s">
        <v>32</v>
      </c>
    </row>
    <row r="267" spans="1:20" hidden="1" x14ac:dyDescent="0.3">
      <c r="A267">
        <v>457</v>
      </c>
      <c r="B267">
        <v>235</v>
      </c>
      <c r="C267" t="s">
        <v>40</v>
      </c>
      <c r="D267" t="s">
        <v>19</v>
      </c>
      <c r="E267" t="s">
        <v>20</v>
      </c>
      <c r="F267" s="1">
        <v>44794</v>
      </c>
      <c r="G267" s="1">
        <v>45161</v>
      </c>
      <c r="H267">
        <v>5833</v>
      </c>
      <c r="I267">
        <v>4920</v>
      </c>
      <c r="J267">
        <v>577.01</v>
      </c>
      <c r="K267" t="s">
        <v>54</v>
      </c>
      <c r="L267">
        <v>12</v>
      </c>
      <c r="M267" t="str">
        <f t="shared" si="4"/>
        <v>6-12 Months</v>
      </c>
      <c r="N267" s="1">
        <v>45161</v>
      </c>
      <c r="O267">
        <v>1</v>
      </c>
      <c r="P267">
        <v>266</v>
      </c>
      <c r="Q267" s="2">
        <v>0.1</v>
      </c>
      <c r="R267" t="s">
        <v>27</v>
      </c>
      <c r="S267">
        <v>2023</v>
      </c>
      <c r="T267" t="s">
        <v>36</v>
      </c>
    </row>
    <row r="268" spans="1:20" x14ac:dyDescent="0.3">
      <c r="A268">
        <v>460</v>
      </c>
      <c r="B268">
        <v>155</v>
      </c>
      <c r="C268" t="s">
        <v>40</v>
      </c>
      <c r="D268" t="s">
        <v>25</v>
      </c>
      <c r="E268" t="s">
        <v>37</v>
      </c>
      <c r="F268" s="1">
        <v>44669</v>
      </c>
      <c r="G268" s="1">
        <v>44919</v>
      </c>
      <c r="H268">
        <v>1926</v>
      </c>
      <c r="I268">
        <v>1150</v>
      </c>
      <c r="J268">
        <v>776</v>
      </c>
      <c r="K268" t="s">
        <v>35</v>
      </c>
      <c r="L268">
        <v>8</v>
      </c>
      <c r="M268" t="str">
        <f t="shared" si="4"/>
        <v>6-12 Months</v>
      </c>
      <c r="N268" s="1">
        <v>44919</v>
      </c>
      <c r="O268">
        <v>0</v>
      </c>
      <c r="P268">
        <v>267</v>
      </c>
      <c r="Q268" s="2">
        <v>0.4</v>
      </c>
      <c r="R268" t="s">
        <v>27</v>
      </c>
      <c r="S268">
        <v>2022</v>
      </c>
      <c r="T268" t="s">
        <v>31</v>
      </c>
    </row>
    <row r="269" spans="1:20" hidden="1" x14ac:dyDescent="0.3">
      <c r="A269">
        <v>463</v>
      </c>
      <c r="B269">
        <v>246</v>
      </c>
      <c r="C269" t="s">
        <v>53</v>
      </c>
      <c r="D269" t="s">
        <v>19</v>
      </c>
      <c r="E269" t="s">
        <v>26</v>
      </c>
      <c r="F269" s="1">
        <v>44770</v>
      </c>
      <c r="G269" s="1">
        <v>45225</v>
      </c>
      <c r="H269">
        <v>2205</v>
      </c>
      <c r="I269">
        <v>6897</v>
      </c>
      <c r="J269">
        <v>-4692</v>
      </c>
      <c r="K269" t="s">
        <v>54</v>
      </c>
      <c r="L269">
        <v>14</v>
      </c>
      <c r="M269" t="str">
        <f t="shared" si="4"/>
        <v>6-12 Months</v>
      </c>
      <c r="N269" s="1">
        <v>45225</v>
      </c>
      <c r="O269">
        <v>1</v>
      </c>
      <c r="P269">
        <v>268</v>
      </c>
      <c r="Q269" s="2">
        <v>-2.13</v>
      </c>
      <c r="R269" t="s">
        <v>22</v>
      </c>
      <c r="S269">
        <v>2023</v>
      </c>
      <c r="T269" t="s">
        <v>33</v>
      </c>
    </row>
    <row r="270" spans="1:20" hidden="1" x14ac:dyDescent="0.3">
      <c r="A270">
        <v>465</v>
      </c>
      <c r="B270">
        <v>155</v>
      </c>
      <c r="C270" t="s">
        <v>53</v>
      </c>
      <c r="D270" t="s">
        <v>25</v>
      </c>
      <c r="E270" t="s">
        <v>26</v>
      </c>
      <c r="F270" s="1">
        <v>44646</v>
      </c>
      <c r="G270" s="1">
        <v>44807</v>
      </c>
      <c r="H270">
        <v>8099</v>
      </c>
      <c r="I270">
        <v>3170</v>
      </c>
      <c r="J270">
        <v>4929</v>
      </c>
      <c r="K270" t="s">
        <v>54</v>
      </c>
      <c r="L270">
        <v>5</v>
      </c>
      <c r="M270" t="str">
        <f t="shared" si="4"/>
        <v>0-6 Months</v>
      </c>
      <c r="N270" s="1">
        <v>44807</v>
      </c>
      <c r="O270">
        <v>0</v>
      </c>
      <c r="P270">
        <v>269</v>
      </c>
      <c r="Q270" s="2">
        <v>0.61</v>
      </c>
      <c r="R270" t="s">
        <v>27</v>
      </c>
      <c r="S270">
        <v>2022</v>
      </c>
      <c r="T270" t="s">
        <v>30</v>
      </c>
    </row>
    <row r="271" spans="1:20" hidden="1" x14ac:dyDescent="0.3">
      <c r="A271">
        <v>466</v>
      </c>
      <c r="B271">
        <v>454</v>
      </c>
      <c r="C271" t="s">
        <v>40</v>
      </c>
      <c r="D271" t="s">
        <v>19</v>
      </c>
      <c r="E271" t="s">
        <v>37</v>
      </c>
      <c r="F271" s="1">
        <v>44702</v>
      </c>
      <c r="G271" s="1">
        <v>44825</v>
      </c>
      <c r="H271">
        <v>2677</v>
      </c>
      <c r="I271">
        <v>2636</v>
      </c>
      <c r="J271">
        <v>41</v>
      </c>
      <c r="K271" t="s">
        <v>54</v>
      </c>
      <c r="L271">
        <v>4</v>
      </c>
      <c r="M271" t="str">
        <f t="shared" si="4"/>
        <v>0-6 Months</v>
      </c>
      <c r="N271" s="1">
        <v>44825</v>
      </c>
      <c r="O271">
        <v>1</v>
      </c>
      <c r="P271">
        <v>270</v>
      </c>
      <c r="Q271" s="2">
        <v>0.02</v>
      </c>
      <c r="R271" t="s">
        <v>27</v>
      </c>
      <c r="S271">
        <v>2022</v>
      </c>
      <c r="T271" t="s">
        <v>30</v>
      </c>
    </row>
    <row r="272" spans="1:20" x14ac:dyDescent="0.3">
      <c r="A272">
        <v>468</v>
      </c>
      <c r="B272">
        <v>410</v>
      </c>
      <c r="C272" t="s">
        <v>40</v>
      </c>
      <c r="D272" t="s">
        <v>34</v>
      </c>
      <c r="E272" t="s">
        <v>26</v>
      </c>
      <c r="F272" s="1">
        <v>44773</v>
      </c>
      <c r="G272" s="1">
        <v>44812</v>
      </c>
      <c r="H272">
        <v>1400</v>
      </c>
      <c r="I272">
        <v>745</v>
      </c>
      <c r="J272">
        <v>655</v>
      </c>
      <c r="K272" t="s">
        <v>35</v>
      </c>
      <c r="L272">
        <v>1</v>
      </c>
      <c r="M272" t="str">
        <f t="shared" si="4"/>
        <v>0-6 Months</v>
      </c>
      <c r="N272" s="1">
        <v>44812</v>
      </c>
      <c r="O272">
        <v>0</v>
      </c>
      <c r="P272">
        <v>271</v>
      </c>
      <c r="Q272" s="2">
        <v>0.47</v>
      </c>
      <c r="R272" t="s">
        <v>27</v>
      </c>
      <c r="S272">
        <v>2022</v>
      </c>
      <c r="T272" t="s">
        <v>30</v>
      </c>
    </row>
    <row r="273" spans="1:20" hidden="1" x14ac:dyDescent="0.3">
      <c r="A273">
        <v>469</v>
      </c>
      <c r="B273">
        <v>474</v>
      </c>
      <c r="C273" t="s">
        <v>39</v>
      </c>
      <c r="D273" t="s">
        <v>25</v>
      </c>
      <c r="E273" t="s">
        <v>37</v>
      </c>
      <c r="F273" s="1">
        <v>44818</v>
      </c>
      <c r="G273" s="1">
        <v>45195</v>
      </c>
      <c r="H273">
        <v>4967.93</v>
      </c>
      <c r="I273">
        <v>3703</v>
      </c>
      <c r="J273">
        <v>-5399</v>
      </c>
      <c r="K273" t="s">
        <v>54</v>
      </c>
      <c r="L273">
        <v>12</v>
      </c>
      <c r="M273" t="str">
        <f t="shared" si="4"/>
        <v>6-12 Months</v>
      </c>
      <c r="N273" s="1">
        <v>45195</v>
      </c>
      <c r="O273">
        <v>0</v>
      </c>
      <c r="P273">
        <v>272</v>
      </c>
      <c r="Q273" s="2">
        <v>-1.0900000000000001</v>
      </c>
      <c r="R273" t="s">
        <v>22</v>
      </c>
      <c r="S273">
        <v>2023</v>
      </c>
      <c r="T273" t="s">
        <v>30</v>
      </c>
    </row>
    <row r="274" spans="1:20" hidden="1" x14ac:dyDescent="0.3">
      <c r="A274">
        <v>471</v>
      </c>
      <c r="B274">
        <v>434</v>
      </c>
      <c r="C274" t="s">
        <v>24</v>
      </c>
      <c r="D274" t="s">
        <v>29</v>
      </c>
      <c r="E274" t="s">
        <v>20</v>
      </c>
      <c r="F274" s="1">
        <v>44802</v>
      </c>
      <c r="G274" s="1">
        <v>44933</v>
      </c>
      <c r="H274">
        <v>4967.93</v>
      </c>
      <c r="I274">
        <v>7041</v>
      </c>
      <c r="J274">
        <v>-8997</v>
      </c>
      <c r="K274" t="s">
        <v>54</v>
      </c>
      <c r="L274">
        <v>4</v>
      </c>
      <c r="M274" t="str">
        <f t="shared" si="4"/>
        <v>0-6 Months</v>
      </c>
      <c r="N274" s="1">
        <v>44933</v>
      </c>
      <c r="O274">
        <v>0</v>
      </c>
      <c r="P274">
        <v>273</v>
      </c>
      <c r="Q274" s="2">
        <v>-1.81</v>
      </c>
      <c r="R274" t="s">
        <v>22</v>
      </c>
      <c r="S274">
        <v>2023</v>
      </c>
      <c r="T274" t="s">
        <v>23</v>
      </c>
    </row>
    <row r="275" spans="1:20" hidden="1" x14ac:dyDescent="0.3">
      <c r="A275">
        <v>472</v>
      </c>
      <c r="B275">
        <v>181</v>
      </c>
      <c r="C275" t="s">
        <v>39</v>
      </c>
      <c r="D275" t="s">
        <v>19</v>
      </c>
      <c r="E275" t="s">
        <v>20</v>
      </c>
      <c r="F275" s="1">
        <v>44608</v>
      </c>
      <c r="G275" s="1">
        <v>44950</v>
      </c>
      <c r="H275">
        <v>5025</v>
      </c>
      <c r="I275">
        <v>1457</v>
      </c>
      <c r="J275">
        <v>3568</v>
      </c>
      <c r="K275" t="s">
        <v>54</v>
      </c>
      <c r="L275">
        <v>11</v>
      </c>
      <c r="M275" t="str">
        <f t="shared" si="4"/>
        <v>6-12 Months</v>
      </c>
      <c r="N275" s="1">
        <v>44950</v>
      </c>
      <c r="O275">
        <v>1</v>
      </c>
      <c r="P275">
        <v>274</v>
      </c>
      <c r="Q275" s="2">
        <v>0.71</v>
      </c>
      <c r="R275" t="s">
        <v>27</v>
      </c>
      <c r="S275">
        <v>2023</v>
      </c>
      <c r="T275" t="s">
        <v>23</v>
      </c>
    </row>
    <row r="276" spans="1:20" x14ac:dyDescent="0.3">
      <c r="A276">
        <v>473</v>
      </c>
      <c r="B276">
        <v>457</v>
      </c>
      <c r="C276" t="s">
        <v>39</v>
      </c>
      <c r="D276" t="s">
        <v>29</v>
      </c>
      <c r="E276" t="s">
        <v>20</v>
      </c>
      <c r="F276" s="1">
        <v>44703</v>
      </c>
      <c r="G276" s="1">
        <v>45033</v>
      </c>
      <c r="H276">
        <v>1561</v>
      </c>
      <c r="I276">
        <v>5346</v>
      </c>
      <c r="J276">
        <v>-3785</v>
      </c>
      <c r="K276" t="s">
        <v>35</v>
      </c>
      <c r="L276">
        <v>10</v>
      </c>
      <c r="M276" t="str">
        <f t="shared" si="4"/>
        <v>6-12 Months</v>
      </c>
      <c r="N276" s="1">
        <v>45033</v>
      </c>
      <c r="O276">
        <v>0</v>
      </c>
      <c r="P276">
        <v>275</v>
      </c>
      <c r="Q276" s="2">
        <v>-2.42</v>
      </c>
      <c r="R276" t="s">
        <v>22</v>
      </c>
      <c r="S276">
        <v>2023</v>
      </c>
      <c r="T276" t="s">
        <v>32</v>
      </c>
    </row>
    <row r="277" spans="1:20" x14ac:dyDescent="0.3">
      <c r="A277">
        <v>474</v>
      </c>
      <c r="B277">
        <v>418</v>
      </c>
      <c r="C277" t="s">
        <v>39</v>
      </c>
      <c r="D277" t="s">
        <v>19</v>
      </c>
      <c r="E277" t="s">
        <v>37</v>
      </c>
      <c r="F277" s="1">
        <v>44858</v>
      </c>
      <c r="G277" s="1">
        <v>45283</v>
      </c>
      <c r="H277">
        <v>2214</v>
      </c>
      <c r="I277">
        <v>7258</v>
      </c>
      <c r="J277">
        <v>-5044</v>
      </c>
      <c r="K277" t="s">
        <v>35</v>
      </c>
      <c r="L277">
        <v>13</v>
      </c>
      <c r="M277" t="str">
        <f t="shared" si="4"/>
        <v>6-12 Months</v>
      </c>
      <c r="N277" s="1">
        <v>45283</v>
      </c>
      <c r="O277">
        <v>1</v>
      </c>
      <c r="P277">
        <v>276</v>
      </c>
      <c r="Q277" s="2">
        <v>-2.2799999999999998</v>
      </c>
      <c r="R277" t="s">
        <v>22</v>
      </c>
      <c r="S277">
        <v>2023</v>
      </c>
      <c r="T277" t="s">
        <v>31</v>
      </c>
    </row>
    <row r="278" spans="1:20" hidden="1" x14ac:dyDescent="0.3">
      <c r="A278">
        <v>475</v>
      </c>
      <c r="B278">
        <v>315</v>
      </c>
      <c r="C278" t="s">
        <v>24</v>
      </c>
      <c r="D278" t="s">
        <v>25</v>
      </c>
      <c r="E278" t="s">
        <v>20</v>
      </c>
      <c r="F278" s="1">
        <v>44887</v>
      </c>
      <c r="G278" s="1">
        <v>45455</v>
      </c>
      <c r="H278">
        <v>7048</v>
      </c>
      <c r="I278">
        <v>5641</v>
      </c>
      <c r="J278">
        <v>1407</v>
      </c>
      <c r="K278" t="s">
        <v>54</v>
      </c>
      <c r="L278">
        <v>18</v>
      </c>
      <c r="M278" t="str">
        <f t="shared" si="4"/>
        <v>6-12 Months</v>
      </c>
      <c r="N278" s="1">
        <v>45455</v>
      </c>
      <c r="O278">
        <v>1</v>
      </c>
      <c r="P278">
        <v>277</v>
      </c>
      <c r="Q278" s="2">
        <v>0.2</v>
      </c>
      <c r="R278" t="s">
        <v>27</v>
      </c>
      <c r="S278">
        <v>2024</v>
      </c>
      <c r="T278" t="s">
        <v>41</v>
      </c>
    </row>
    <row r="279" spans="1:20" hidden="1" x14ac:dyDescent="0.3">
      <c r="A279">
        <v>477</v>
      </c>
      <c r="B279">
        <v>259</v>
      </c>
      <c r="C279" t="s">
        <v>45</v>
      </c>
      <c r="D279" t="s">
        <v>19</v>
      </c>
      <c r="E279" t="s">
        <v>26</v>
      </c>
      <c r="F279" s="1">
        <v>44684</v>
      </c>
      <c r="G279" s="1">
        <v>44972</v>
      </c>
      <c r="H279">
        <v>136</v>
      </c>
      <c r="I279">
        <v>2788</v>
      </c>
      <c r="J279">
        <v>-2652</v>
      </c>
      <c r="K279" t="s">
        <v>54</v>
      </c>
      <c r="L279">
        <v>9</v>
      </c>
      <c r="M279" t="str">
        <f t="shared" si="4"/>
        <v>6-12 Months</v>
      </c>
      <c r="N279" s="1">
        <v>44972</v>
      </c>
      <c r="O279">
        <v>1</v>
      </c>
      <c r="P279">
        <v>278</v>
      </c>
      <c r="Q279" s="2">
        <v>-19.5</v>
      </c>
      <c r="R279" t="s">
        <v>22</v>
      </c>
      <c r="S279">
        <v>2023</v>
      </c>
      <c r="T279" t="s">
        <v>43</v>
      </c>
    </row>
    <row r="280" spans="1:20" hidden="1" x14ac:dyDescent="0.3">
      <c r="A280">
        <v>483</v>
      </c>
      <c r="B280">
        <v>257</v>
      </c>
      <c r="C280" t="s">
        <v>53</v>
      </c>
      <c r="D280" t="s">
        <v>25</v>
      </c>
      <c r="E280" t="s">
        <v>26</v>
      </c>
      <c r="F280" s="1">
        <v>44815</v>
      </c>
      <c r="G280" s="1">
        <v>45148</v>
      </c>
      <c r="H280">
        <v>6191</v>
      </c>
      <c r="I280">
        <v>6915</v>
      </c>
      <c r="J280">
        <v>-724</v>
      </c>
      <c r="K280" t="s">
        <v>21</v>
      </c>
      <c r="L280">
        <v>10</v>
      </c>
      <c r="M280" t="str">
        <f t="shared" si="4"/>
        <v>6-12 Months</v>
      </c>
      <c r="N280" s="1">
        <v>45148</v>
      </c>
      <c r="O280">
        <v>1</v>
      </c>
      <c r="P280">
        <v>279</v>
      </c>
      <c r="Q280" s="2">
        <v>-0.12</v>
      </c>
      <c r="R280" t="s">
        <v>27</v>
      </c>
      <c r="S280">
        <v>2023</v>
      </c>
      <c r="T280" t="s">
        <v>36</v>
      </c>
    </row>
    <row r="281" spans="1:20" hidden="1" x14ac:dyDescent="0.3">
      <c r="A281">
        <v>484</v>
      </c>
      <c r="B281">
        <v>205</v>
      </c>
      <c r="C281" t="s">
        <v>45</v>
      </c>
      <c r="D281" t="s">
        <v>25</v>
      </c>
      <c r="E281" t="s">
        <v>26</v>
      </c>
      <c r="F281" s="1">
        <v>44658</v>
      </c>
      <c r="G281" s="1">
        <v>44694</v>
      </c>
      <c r="H281">
        <v>6522</v>
      </c>
      <c r="I281">
        <v>2510</v>
      </c>
      <c r="J281">
        <v>4012</v>
      </c>
      <c r="K281" t="s">
        <v>54</v>
      </c>
      <c r="L281">
        <v>1</v>
      </c>
      <c r="M281" t="str">
        <f t="shared" si="4"/>
        <v>0-6 Months</v>
      </c>
      <c r="N281" s="1">
        <v>44694</v>
      </c>
      <c r="O281">
        <v>0</v>
      </c>
      <c r="P281">
        <v>280</v>
      </c>
      <c r="Q281" s="2">
        <v>0.62</v>
      </c>
      <c r="R281" t="s">
        <v>27</v>
      </c>
      <c r="S281">
        <v>2022</v>
      </c>
      <c r="T281" t="s">
        <v>28</v>
      </c>
    </row>
    <row r="282" spans="1:20" x14ac:dyDescent="0.3">
      <c r="A282">
        <v>485</v>
      </c>
      <c r="B282">
        <v>412</v>
      </c>
      <c r="C282" t="s">
        <v>39</v>
      </c>
      <c r="D282" t="s">
        <v>19</v>
      </c>
      <c r="E282" t="s">
        <v>26</v>
      </c>
      <c r="F282" s="1">
        <v>44591</v>
      </c>
      <c r="G282" s="1">
        <v>44936</v>
      </c>
      <c r="H282">
        <v>2540</v>
      </c>
      <c r="I282">
        <v>4012.75</v>
      </c>
      <c r="J282">
        <v>2722</v>
      </c>
      <c r="K282" t="s">
        <v>35</v>
      </c>
      <c r="L282">
        <v>11</v>
      </c>
      <c r="M282" t="str">
        <f t="shared" si="4"/>
        <v>6-12 Months</v>
      </c>
      <c r="N282" s="1">
        <v>44936</v>
      </c>
      <c r="O282">
        <v>1</v>
      </c>
      <c r="P282">
        <v>281</v>
      </c>
      <c r="Q282" s="2">
        <v>1.07</v>
      </c>
      <c r="R282" t="s">
        <v>22</v>
      </c>
      <c r="S282">
        <v>2023</v>
      </c>
      <c r="T282" t="s">
        <v>23</v>
      </c>
    </row>
    <row r="283" spans="1:20" hidden="1" x14ac:dyDescent="0.3">
      <c r="A283">
        <v>486</v>
      </c>
      <c r="B283">
        <v>252</v>
      </c>
      <c r="C283" t="s">
        <v>53</v>
      </c>
      <c r="D283" t="s">
        <v>19</v>
      </c>
      <c r="E283" t="s">
        <v>37</v>
      </c>
      <c r="F283" s="1">
        <v>44829</v>
      </c>
      <c r="G283" s="1">
        <v>45427</v>
      </c>
      <c r="H283">
        <v>4868</v>
      </c>
      <c r="I283">
        <v>6186</v>
      </c>
      <c r="J283">
        <v>-1318</v>
      </c>
      <c r="K283" t="s">
        <v>54</v>
      </c>
      <c r="L283">
        <v>19</v>
      </c>
      <c r="M283" t="str">
        <f t="shared" si="4"/>
        <v>6-12 Months</v>
      </c>
      <c r="N283" s="1">
        <v>45427</v>
      </c>
      <c r="O283">
        <v>1</v>
      </c>
      <c r="P283">
        <v>282</v>
      </c>
      <c r="Q283" s="2">
        <v>-0.27</v>
      </c>
      <c r="R283" t="s">
        <v>27</v>
      </c>
      <c r="S283">
        <v>2024</v>
      </c>
      <c r="T283" t="s">
        <v>28</v>
      </c>
    </row>
    <row r="284" spans="1:20" hidden="1" x14ac:dyDescent="0.3">
      <c r="A284">
        <v>488</v>
      </c>
      <c r="B284">
        <v>119</v>
      </c>
      <c r="C284" t="s">
        <v>53</v>
      </c>
      <c r="D284" t="s">
        <v>34</v>
      </c>
      <c r="E284" t="s">
        <v>26</v>
      </c>
      <c r="F284" s="1">
        <v>44918</v>
      </c>
      <c r="G284" s="1">
        <v>45238</v>
      </c>
      <c r="H284">
        <v>2235</v>
      </c>
      <c r="I284">
        <v>4012.75</v>
      </c>
      <c r="J284">
        <v>577.01</v>
      </c>
      <c r="K284" t="s">
        <v>54</v>
      </c>
      <c r="L284">
        <v>10</v>
      </c>
      <c r="M284" t="str">
        <f t="shared" si="4"/>
        <v>6-12 Months</v>
      </c>
      <c r="N284" s="1">
        <v>45238</v>
      </c>
      <c r="O284">
        <v>0</v>
      </c>
      <c r="P284">
        <v>283</v>
      </c>
      <c r="Q284" s="2">
        <v>0.26</v>
      </c>
      <c r="R284" t="s">
        <v>27</v>
      </c>
      <c r="S284">
        <v>2023</v>
      </c>
      <c r="T284" t="s">
        <v>42</v>
      </c>
    </row>
    <row r="285" spans="1:20" hidden="1" x14ac:dyDescent="0.3">
      <c r="A285">
        <v>489</v>
      </c>
      <c r="B285">
        <v>394</v>
      </c>
      <c r="C285" t="s">
        <v>40</v>
      </c>
      <c r="D285" t="s">
        <v>19</v>
      </c>
      <c r="E285" t="s">
        <v>37</v>
      </c>
      <c r="F285" s="1">
        <v>44564</v>
      </c>
      <c r="G285" s="1">
        <v>45137</v>
      </c>
      <c r="H285">
        <v>1772</v>
      </c>
      <c r="I285">
        <v>2906</v>
      </c>
      <c r="J285">
        <v>-1134</v>
      </c>
      <c r="K285" t="s">
        <v>54</v>
      </c>
      <c r="L285">
        <v>18</v>
      </c>
      <c r="M285" t="str">
        <f t="shared" si="4"/>
        <v>6-12 Months</v>
      </c>
      <c r="N285" s="1">
        <v>45137</v>
      </c>
      <c r="O285">
        <v>1</v>
      </c>
      <c r="P285">
        <v>284</v>
      </c>
      <c r="Q285" s="2">
        <v>-0.64</v>
      </c>
      <c r="R285" t="s">
        <v>27</v>
      </c>
      <c r="S285">
        <v>2023</v>
      </c>
      <c r="T285" t="s">
        <v>44</v>
      </c>
    </row>
    <row r="286" spans="1:20" hidden="1" x14ac:dyDescent="0.3">
      <c r="A286">
        <v>490</v>
      </c>
      <c r="B286">
        <v>416</v>
      </c>
      <c r="C286" t="s">
        <v>40</v>
      </c>
      <c r="D286" t="s">
        <v>29</v>
      </c>
      <c r="E286" t="s">
        <v>20</v>
      </c>
      <c r="F286" s="1">
        <v>44787</v>
      </c>
      <c r="G286" s="1">
        <v>45160</v>
      </c>
      <c r="H286">
        <v>5244</v>
      </c>
      <c r="I286">
        <v>7838</v>
      </c>
      <c r="J286">
        <v>577.01</v>
      </c>
      <c r="K286" t="s">
        <v>54</v>
      </c>
      <c r="L286">
        <v>12</v>
      </c>
      <c r="M286" t="str">
        <f t="shared" si="4"/>
        <v>6-12 Months</v>
      </c>
      <c r="N286" s="1">
        <v>45160</v>
      </c>
      <c r="O286">
        <v>1</v>
      </c>
      <c r="P286">
        <v>285</v>
      </c>
      <c r="Q286" s="2">
        <v>0.11</v>
      </c>
      <c r="R286" t="s">
        <v>27</v>
      </c>
      <c r="S286">
        <v>2023</v>
      </c>
      <c r="T286" t="s">
        <v>36</v>
      </c>
    </row>
    <row r="287" spans="1:20" x14ac:dyDescent="0.3">
      <c r="A287">
        <v>491</v>
      </c>
      <c r="B287">
        <v>197</v>
      </c>
      <c r="C287" t="s">
        <v>24</v>
      </c>
      <c r="D287" t="s">
        <v>19</v>
      </c>
      <c r="E287" t="s">
        <v>20</v>
      </c>
      <c r="F287" s="1">
        <v>44634</v>
      </c>
      <c r="G287" s="1">
        <v>45195</v>
      </c>
      <c r="H287">
        <v>8416</v>
      </c>
      <c r="I287">
        <v>4091</v>
      </c>
      <c r="J287">
        <v>4325</v>
      </c>
      <c r="K287" t="s">
        <v>35</v>
      </c>
      <c r="L287">
        <v>18</v>
      </c>
      <c r="M287" t="str">
        <f t="shared" si="4"/>
        <v>6-12 Months</v>
      </c>
      <c r="N287" s="1">
        <v>45195</v>
      </c>
      <c r="O287">
        <v>0</v>
      </c>
      <c r="P287">
        <v>286</v>
      </c>
      <c r="Q287" s="2">
        <v>0.51</v>
      </c>
      <c r="R287" t="s">
        <v>27</v>
      </c>
      <c r="S287">
        <v>2023</v>
      </c>
      <c r="T287" t="s">
        <v>30</v>
      </c>
    </row>
    <row r="288" spans="1:20" hidden="1" x14ac:dyDescent="0.3">
      <c r="A288">
        <v>492</v>
      </c>
      <c r="B288">
        <v>105</v>
      </c>
      <c r="C288" t="s">
        <v>53</v>
      </c>
      <c r="D288" t="s">
        <v>29</v>
      </c>
      <c r="E288" t="s">
        <v>26</v>
      </c>
      <c r="F288" s="1">
        <v>44685</v>
      </c>
      <c r="G288" s="1">
        <v>44745</v>
      </c>
      <c r="H288">
        <v>4967.93</v>
      </c>
      <c r="I288">
        <v>3960</v>
      </c>
      <c r="J288">
        <v>577.01</v>
      </c>
      <c r="K288" t="s">
        <v>54</v>
      </c>
      <c r="L288">
        <v>1</v>
      </c>
      <c r="M288" t="str">
        <f t="shared" si="4"/>
        <v>0-6 Months</v>
      </c>
      <c r="N288" s="1">
        <v>44745</v>
      </c>
      <c r="O288">
        <v>0</v>
      </c>
      <c r="P288">
        <v>287</v>
      </c>
      <c r="Q288" s="2">
        <v>0.12</v>
      </c>
      <c r="R288" t="s">
        <v>27</v>
      </c>
      <c r="S288">
        <v>2022</v>
      </c>
      <c r="T288" t="s">
        <v>44</v>
      </c>
    </row>
    <row r="289" spans="1:20" hidden="1" x14ac:dyDescent="0.3">
      <c r="A289">
        <v>493</v>
      </c>
      <c r="B289">
        <v>329</v>
      </c>
      <c r="C289" t="s">
        <v>24</v>
      </c>
      <c r="D289" t="s">
        <v>29</v>
      </c>
      <c r="E289" t="s">
        <v>37</v>
      </c>
      <c r="F289" s="1">
        <v>44841</v>
      </c>
      <c r="G289" s="1">
        <v>45378</v>
      </c>
      <c r="H289">
        <v>4967.93</v>
      </c>
      <c r="I289">
        <v>1695</v>
      </c>
      <c r="J289">
        <v>-2377</v>
      </c>
      <c r="K289" t="s">
        <v>21</v>
      </c>
      <c r="L289">
        <v>17</v>
      </c>
      <c r="M289" t="str">
        <f t="shared" si="4"/>
        <v>6-12 Months</v>
      </c>
      <c r="N289" s="1">
        <v>45378</v>
      </c>
      <c r="O289">
        <v>1</v>
      </c>
      <c r="P289">
        <v>288</v>
      </c>
      <c r="Q289" s="2">
        <v>-0.48</v>
      </c>
      <c r="R289" t="s">
        <v>27</v>
      </c>
      <c r="S289">
        <v>2024</v>
      </c>
      <c r="T289" t="s">
        <v>38</v>
      </c>
    </row>
    <row r="290" spans="1:20" hidden="1" x14ac:dyDescent="0.3">
      <c r="A290">
        <v>494</v>
      </c>
      <c r="B290">
        <v>213</v>
      </c>
      <c r="C290" t="s">
        <v>53</v>
      </c>
      <c r="D290" t="s">
        <v>29</v>
      </c>
      <c r="E290" t="s">
        <v>26</v>
      </c>
      <c r="F290" s="1">
        <v>44746</v>
      </c>
      <c r="G290" s="1">
        <v>44942</v>
      </c>
      <c r="H290">
        <v>4967.93</v>
      </c>
      <c r="I290">
        <v>6150</v>
      </c>
      <c r="J290">
        <v>-7783</v>
      </c>
      <c r="K290" t="s">
        <v>21</v>
      </c>
      <c r="L290">
        <v>6</v>
      </c>
      <c r="M290" t="str">
        <f t="shared" si="4"/>
        <v>12+ Months</v>
      </c>
      <c r="N290" s="1">
        <v>44942</v>
      </c>
      <c r="O290">
        <v>0</v>
      </c>
      <c r="P290">
        <v>289</v>
      </c>
      <c r="Q290" s="2">
        <v>-1.57</v>
      </c>
      <c r="R290" t="s">
        <v>22</v>
      </c>
      <c r="S290">
        <v>2023</v>
      </c>
      <c r="T290" t="s">
        <v>23</v>
      </c>
    </row>
    <row r="291" spans="1:20" hidden="1" x14ac:dyDescent="0.3">
      <c r="A291">
        <v>497</v>
      </c>
      <c r="B291">
        <v>377</v>
      </c>
      <c r="C291" t="s">
        <v>39</v>
      </c>
      <c r="D291" t="s">
        <v>34</v>
      </c>
      <c r="E291" t="s">
        <v>37</v>
      </c>
      <c r="F291" s="1">
        <v>44765</v>
      </c>
      <c r="G291" s="1">
        <v>44965</v>
      </c>
      <c r="H291">
        <v>5305</v>
      </c>
      <c r="I291">
        <v>6618</v>
      </c>
      <c r="J291">
        <v>-1313</v>
      </c>
      <c r="K291" t="s">
        <v>21</v>
      </c>
      <c r="L291">
        <v>6</v>
      </c>
      <c r="M291" t="str">
        <f t="shared" si="4"/>
        <v>12+ Months</v>
      </c>
      <c r="N291" s="1">
        <v>44965</v>
      </c>
      <c r="O291">
        <v>0</v>
      </c>
      <c r="P291">
        <v>290</v>
      </c>
      <c r="Q291" s="2">
        <v>-0.25</v>
      </c>
      <c r="R291" t="s">
        <v>27</v>
      </c>
      <c r="S291">
        <v>2023</v>
      </c>
      <c r="T291" t="s">
        <v>43</v>
      </c>
    </row>
    <row r="292" spans="1:20" hidden="1" x14ac:dyDescent="0.3">
      <c r="A292">
        <v>498</v>
      </c>
      <c r="B292">
        <v>474</v>
      </c>
      <c r="C292" t="s">
        <v>39</v>
      </c>
      <c r="D292" t="s">
        <v>25</v>
      </c>
      <c r="E292" t="s">
        <v>37</v>
      </c>
      <c r="F292" s="1">
        <v>44634</v>
      </c>
      <c r="G292" s="1">
        <v>45087</v>
      </c>
      <c r="H292">
        <v>7865</v>
      </c>
      <c r="I292">
        <v>3776</v>
      </c>
      <c r="J292">
        <v>4089</v>
      </c>
      <c r="K292" t="s">
        <v>54</v>
      </c>
      <c r="L292">
        <v>14</v>
      </c>
      <c r="M292" t="str">
        <f t="shared" si="4"/>
        <v>6-12 Months</v>
      </c>
      <c r="N292" s="1">
        <v>45087</v>
      </c>
      <c r="O292">
        <v>1</v>
      </c>
      <c r="P292">
        <v>291</v>
      </c>
      <c r="Q292" s="2">
        <v>0.52</v>
      </c>
      <c r="R292" t="s">
        <v>27</v>
      </c>
      <c r="S292">
        <v>2023</v>
      </c>
      <c r="T292" t="s">
        <v>41</v>
      </c>
    </row>
    <row r="293" spans="1:20" hidden="1" x14ac:dyDescent="0.3">
      <c r="A293">
        <v>501</v>
      </c>
      <c r="B293">
        <v>224</v>
      </c>
      <c r="C293" t="s">
        <v>39</v>
      </c>
      <c r="D293" t="s">
        <v>29</v>
      </c>
      <c r="E293" t="s">
        <v>37</v>
      </c>
      <c r="F293" s="1">
        <v>44614</v>
      </c>
      <c r="G293" s="1">
        <v>44763</v>
      </c>
      <c r="H293">
        <v>7274</v>
      </c>
      <c r="I293">
        <v>1064</v>
      </c>
      <c r="J293">
        <v>6210</v>
      </c>
      <c r="K293" t="s">
        <v>54</v>
      </c>
      <c r="L293">
        <v>4</v>
      </c>
      <c r="M293" t="str">
        <f t="shared" si="4"/>
        <v>0-6 Months</v>
      </c>
      <c r="N293" s="1">
        <v>44763</v>
      </c>
      <c r="O293">
        <v>1</v>
      </c>
      <c r="P293">
        <v>292</v>
      </c>
      <c r="Q293" s="2">
        <v>0.85</v>
      </c>
      <c r="R293" t="s">
        <v>27</v>
      </c>
      <c r="S293">
        <v>2022</v>
      </c>
      <c r="T293" t="s">
        <v>44</v>
      </c>
    </row>
    <row r="294" spans="1:20" hidden="1" x14ac:dyDescent="0.3">
      <c r="A294">
        <v>502</v>
      </c>
      <c r="B294">
        <v>185</v>
      </c>
      <c r="C294" t="s">
        <v>24</v>
      </c>
      <c r="D294" t="s">
        <v>25</v>
      </c>
      <c r="E294" t="s">
        <v>37</v>
      </c>
      <c r="F294" s="1">
        <v>44839</v>
      </c>
      <c r="G294" s="1">
        <v>45290</v>
      </c>
      <c r="H294">
        <v>3628</v>
      </c>
      <c r="I294">
        <v>3677</v>
      </c>
      <c r="J294">
        <v>-49</v>
      </c>
      <c r="K294" t="s">
        <v>54</v>
      </c>
      <c r="L294">
        <v>14</v>
      </c>
      <c r="M294" t="str">
        <f t="shared" si="4"/>
        <v>6-12 Months</v>
      </c>
      <c r="N294" s="1">
        <v>45290</v>
      </c>
      <c r="O294">
        <v>0</v>
      </c>
      <c r="P294">
        <v>293</v>
      </c>
      <c r="Q294" s="2">
        <v>-0.01</v>
      </c>
      <c r="R294" t="s">
        <v>27</v>
      </c>
      <c r="S294">
        <v>2023</v>
      </c>
      <c r="T294" t="s">
        <v>31</v>
      </c>
    </row>
    <row r="295" spans="1:20" hidden="1" x14ac:dyDescent="0.3">
      <c r="A295">
        <v>504</v>
      </c>
      <c r="B295">
        <v>242</v>
      </c>
      <c r="C295" t="s">
        <v>45</v>
      </c>
      <c r="D295" t="s">
        <v>29</v>
      </c>
      <c r="E295" t="s">
        <v>20</v>
      </c>
      <c r="F295" s="1">
        <v>44787</v>
      </c>
      <c r="G295" s="1">
        <v>44921</v>
      </c>
      <c r="H295">
        <v>4443</v>
      </c>
      <c r="I295">
        <v>5832</v>
      </c>
      <c r="J295">
        <v>-1389</v>
      </c>
      <c r="K295" t="s">
        <v>54</v>
      </c>
      <c r="L295">
        <v>4</v>
      </c>
      <c r="M295" t="str">
        <f t="shared" si="4"/>
        <v>0-6 Months</v>
      </c>
      <c r="N295" s="1">
        <v>44921</v>
      </c>
      <c r="O295">
        <v>0</v>
      </c>
      <c r="P295">
        <v>294</v>
      </c>
      <c r="Q295" s="2">
        <v>-0.31</v>
      </c>
      <c r="R295" t="s">
        <v>27</v>
      </c>
      <c r="S295">
        <v>2022</v>
      </c>
      <c r="T295" t="s">
        <v>31</v>
      </c>
    </row>
    <row r="296" spans="1:20" x14ac:dyDescent="0.3">
      <c r="A296">
        <v>505</v>
      </c>
      <c r="B296">
        <v>454</v>
      </c>
      <c r="C296" t="s">
        <v>39</v>
      </c>
      <c r="D296" t="s">
        <v>25</v>
      </c>
      <c r="E296" t="s">
        <v>20</v>
      </c>
      <c r="F296" s="1">
        <v>44832</v>
      </c>
      <c r="G296" s="1">
        <v>45414</v>
      </c>
      <c r="H296">
        <v>8953</v>
      </c>
      <c r="I296">
        <v>13</v>
      </c>
      <c r="J296">
        <v>8940</v>
      </c>
      <c r="K296" t="s">
        <v>35</v>
      </c>
      <c r="L296">
        <v>19</v>
      </c>
      <c r="M296" t="str">
        <f t="shared" si="4"/>
        <v>6-12 Months</v>
      </c>
      <c r="N296" s="1">
        <v>45414</v>
      </c>
      <c r="O296">
        <v>0</v>
      </c>
      <c r="P296">
        <v>295</v>
      </c>
      <c r="Q296" s="2">
        <v>1</v>
      </c>
      <c r="R296" t="s">
        <v>27</v>
      </c>
      <c r="S296">
        <v>2024</v>
      </c>
      <c r="T296" t="s">
        <v>28</v>
      </c>
    </row>
    <row r="297" spans="1:20" hidden="1" x14ac:dyDescent="0.3">
      <c r="A297">
        <v>506</v>
      </c>
      <c r="B297">
        <v>195</v>
      </c>
      <c r="C297" t="s">
        <v>39</v>
      </c>
      <c r="D297" t="s">
        <v>29</v>
      </c>
      <c r="E297" t="s">
        <v>37</v>
      </c>
      <c r="F297" s="1">
        <v>44801</v>
      </c>
      <c r="G297" s="1">
        <v>45096</v>
      </c>
      <c r="H297">
        <v>5139</v>
      </c>
      <c r="I297">
        <v>2278</v>
      </c>
      <c r="J297">
        <v>2861</v>
      </c>
      <c r="K297" t="s">
        <v>54</v>
      </c>
      <c r="L297">
        <v>9</v>
      </c>
      <c r="M297" t="str">
        <f t="shared" si="4"/>
        <v>6-12 Months</v>
      </c>
      <c r="N297" s="1">
        <v>45096</v>
      </c>
      <c r="O297">
        <v>1</v>
      </c>
      <c r="P297">
        <v>296</v>
      </c>
      <c r="Q297" s="2">
        <v>0.56000000000000005</v>
      </c>
      <c r="R297" t="s">
        <v>27</v>
      </c>
      <c r="S297">
        <v>2023</v>
      </c>
      <c r="T297" t="s">
        <v>41</v>
      </c>
    </row>
    <row r="298" spans="1:20" hidden="1" x14ac:dyDescent="0.3">
      <c r="A298">
        <v>508</v>
      </c>
      <c r="B298">
        <v>366</v>
      </c>
      <c r="C298" t="s">
        <v>45</v>
      </c>
      <c r="D298" t="s">
        <v>25</v>
      </c>
      <c r="E298" t="s">
        <v>20</v>
      </c>
      <c r="F298" s="1">
        <v>44704</v>
      </c>
      <c r="G298" s="1">
        <v>44839</v>
      </c>
      <c r="H298">
        <v>8764</v>
      </c>
      <c r="I298">
        <v>2867</v>
      </c>
      <c r="J298">
        <v>5897</v>
      </c>
      <c r="K298" t="s">
        <v>21</v>
      </c>
      <c r="L298">
        <v>4</v>
      </c>
      <c r="M298" t="str">
        <f t="shared" si="4"/>
        <v>0-6 Months</v>
      </c>
      <c r="N298" s="1">
        <v>44839</v>
      </c>
      <c r="O298">
        <v>0</v>
      </c>
      <c r="P298">
        <v>297</v>
      </c>
      <c r="Q298" s="2">
        <v>0.67</v>
      </c>
      <c r="R298" t="s">
        <v>27</v>
      </c>
      <c r="S298">
        <v>2022</v>
      </c>
      <c r="T298" t="s">
        <v>33</v>
      </c>
    </row>
    <row r="299" spans="1:20" hidden="1" x14ac:dyDescent="0.3">
      <c r="A299">
        <v>509</v>
      </c>
      <c r="B299">
        <v>419</v>
      </c>
      <c r="C299" t="s">
        <v>45</v>
      </c>
      <c r="D299" t="s">
        <v>34</v>
      </c>
      <c r="E299" t="s">
        <v>20</v>
      </c>
      <c r="F299" s="1">
        <v>44771</v>
      </c>
      <c r="G299" s="1">
        <v>44936</v>
      </c>
      <c r="H299">
        <v>4967.93</v>
      </c>
      <c r="I299">
        <v>4012.75</v>
      </c>
      <c r="J299">
        <v>293</v>
      </c>
      <c r="K299" t="s">
        <v>54</v>
      </c>
      <c r="L299">
        <v>5</v>
      </c>
      <c r="M299" t="str">
        <f t="shared" si="4"/>
        <v>0-6 Months</v>
      </c>
      <c r="N299" s="1">
        <v>44936</v>
      </c>
      <c r="O299">
        <v>1</v>
      </c>
      <c r="P299">
        <v>298</v>
      </c>
      <c r="Q299" s="2">
        <v>0.06</v>
      </c>
      <c r="R299" t="s">
        <v>27</v>
      </c>
      <c r="S299">
        <v>2023</v>
      </c>
      <c r="T299" t="s">
        <v>23</v>
      </c>
    </row>
    <row r="300" spans="1:20" hidden="1" x14ac:dyDescent="0.3">
      <c r="A300">
        <v>510</v>
      </c>
      <c r="B300">
        <v>261</v>
      </c>
      <c r="C300" t="s">
        <v>40</v>
      </c>
      <c r="D300" t="s">
        <v>34</v>
      </c>
      <c r="E300" t="s">
        <v>26</v>
      </c>
      <c r="F300" s="1">
        <v>44784</v>
      </c>
      <c r="G300" s="1">
        <v>45271</v>
      </c>
      <c r="H300">
        <v>9833</v>
      </c>
      <c r="I300">
        <v>5501</v>
      </c>
      <c r="J300">
        <v>4332</v>
      </c>
      <c r="K300" t="s">
        <v>21</v>
      </c>
      <c r="L300">
        <v>16</v>
      </c>
      <c r="M300" t="str">
        <f t="shared" si="4"/>
        <v>6-12 Months</v>
      </c>
      <c r="N300" s="1">
        <v>45271</v>
      </c>
      <c r="O300">
        <v>1</v>
      </c>
      <c r="P300">
        <v>299</v>
      </c>
      <c r="Q300" s="2">
        <v>0.44</v>
      </c>
      <c r="R300" t="s">
        <v>27</v>
      </c>
      <c r="S300">
        <v>2023</v>
      </c>
      <c r="T300" t="s">
        <v>31</v>
      </c>
    </row>
    <row r="301" spans="1:20" hidden="1" x14ac:dyDescent="0.3">
      <c r="A301">
        <v>511</v>
      </c>
      <c r="B301">
        <v>237</v>
      </c>
      <c r="C301" t="s">
        <v>40</v>
      </c>
      <c r="D301" t="s">
        <v>25</v>
      </c>
      <c r="E301" t="s">
        <v>26</v>
      </c>
      <c r="F301" s="1">
        <v>44841</v>
      </c>
      <c r="G301" s="1">
        <v>45253</v>
      </c>
      <c r="H301">
        <v>8651</v>
      </c>
      <c r="I301">
        <v>4042</v>
      </c>
      <c r="J301">
        <v>4609</v>
      </c>
      <c r="K301" t="s">
        <v>54</v>
      </c>
      <c r="L301">
        <v>13</v>
      </c>
      <c r="M301" t="str">
        <f t="shared" si="4"/>
        <v>6-12 Months</v>
      </c>
      <c r="N301" s="1">
        <v>45253</v>
      </c>
      <c r="O301">
        <v>0</v>
      </c>
      <c r="P301">
        <v>300</v>
      </c>
      <c r="Q301" s="2">
        <v>0.53</v>
      </c>
      <c r="R301" t="s">
        <v>27</v>
      </c>
      <c r="S301">
        <v>2023</v>
      </c>
      <c r="T301" t="s">
        <v>42</v>
      </c>
    </row>
    <row r="302" spans="1:20" x14ac:dyDescent="0.3">
      <c r="A302">
        <v>513</v>
      </c>
      <c r="B302">
        <v>132</v>
      </c>
      <c r="C302" t="s">
        <v>40</v>
      </c>
      <c r="D302" t="s">
        <v>34</v>
      </c>
      <c r="E302" t="s">
        <v>26</v>
      </c>
      <c r="F302" s="1">
        <v>44759</v>
      </c>
      <c r="G302" s="1">
        <v>44939</v>
      </c>
      <c r="H302">
        <v>738</v>
      </c>
      <c r="I302">
        <v>5906</v>
      </c>
      <c r="J302">
        <v>-5168</v>
      </c>
      <c r="K302" t="s">
        <v>35</v>
      </c>
      <c r="L302">
        <v>5</v>
      </c>
      <c r="M302" t="str">
        <f t="shared" si="4"/>
        <v>0-6 Months</v>
      </c>
      <c r="N302" s="1">
        <v>44939</v>
      </c>
      <c r="O302">
        <v>1</v>
      </c>
      <c r="P302">
        <v>301</v>
      </c>
      <c r="Q302" s="2">
        <v>-7</v>
      </c>
      <c r="R302" t="s">
        <v>22</v>
      </c>
      <c r="S302">
        <v>2023</v>
      </c>
      <c r="T302" t="s">
        <v>23</v>
      </c>
    </row>
    <row r="303" spans="1:20" x14ac:dyDescent="0.3">
      <c r="A303">
        <v>515</v>
      </c>
      <c r="B303">
        <v>260</v>
      </c>
      <c r="C303" t="s">
        <v>53</v>
      </c>
      <c r="D303" t="s">
        <v>25</v>
      </c>
      <c r="E303" t="s">
        <v>20</v>
      </c>
      <c r="F303" s="1">
        <v>44818</v>
      </c>
      <c r="G303" s="1">
        <v>45388</v>
      </c>
      <c r="H303">
        <v>1001</v>
      </c>
      <c r="I303">
        <v>15</v>
      </c>
      <c r="J303">
        <v>986</v>
      </c>
      <c r="K303" t="s">
        <v>35</v>
      </c>
      <c r="L303">
        <v>18</v>
      </c>
      <c r="M303" t="str">
        <f t="shared" si="4"/>
        <v>6-12 Months</v>
      </c>
      <c r="N303" s="1">
        <v>45388</v>
      </c>
      <c r="O303">
        <v>0</v>
      </c>
      <c r="P303">
        <v>302</v>
      </c>
      <c r="Q303" s="2">
        <v>0.99</v>
      </c>
      <c r="R303" t="s">
        <v>27</v>
      </c>
      <c r="S303">
        <v>2024</v>
      </c>
      <c r="T303" t="s">
        <v>32</v>
      </c>
    </row>
    <row r="304" spans="1:20" x14ac:dyDescent="0.3">
      <c r="A304">
        <v>516</v>
      </c>
      <c r="B304">
        <v>237</v>
      </c>
      <c r="C304" t="s">
        <v>53</v>
      </c>
      <c r="D304" t="s">
        <v>25</v>
      </c>
      <c r="E304" t="s">
        <v>37</v>
      </c>
      <c r="F304" s="1">
        <v>44820</v>
      </c>
      <c r="G304" s="1">
        <v>44937</v>
      </c>
      <c r="H304">
        <v>634</v>
      </c>
      <c r="I304">
        <v>3176</v>
      </c>
      <c r="J304">
        <v>577.01</v>
      </c>
      <c r="K304" t="s">
        <v>35</v>
      </c>
      <c r="L304">
        <v>3</v>
      </c>
      <c r="M304" t="str">
        <f t="shared" si="4"/>
        <v>0-6 Months</v>
      </c>
      <c r="N304" s="1">
        <v>44937</v>
      </c>
      <c r="O304">
        <v>0</v>
      </c>
      <c r="P304">
        <v>303</v>
      </c>
      <c r="Q304" s="2">
        <v>0.91</v>
      </c>
      <c r="R304" t="s">
        <v>27</v>
      </c>
      <c r="S304">
        <v>2023</v>
      </c>
      <c r="T304" t="s">
        <v>23</v>
      </c>
    </row>
    <row r="305" spans="1:20" hidden="1" x14ac:dyDescent="0.3">
      <c r="A305">
        <v>518</v>
      </c>
      <c r="B305">
        <v>436</v>
      </c>
      <c r="C305" t="s">
        <v>24</v>
      </c>
      <c r="D305" t="s">
        <v>29</v>
      </c>
      <c r="E305" t="s">
        <v>26</v>
      </c>
      <c r="F305" s="1">
        <v>44721</v>
      </c>
      <c r="G305" s="1">
        <v>44843</v>
      </c>
      <c r="H305">
        <v>1850</v>
      </c>
      <c r="I305">
        <v>1133</v>
      </c>
      <c r="J305">
        <v>717</v>
      </c>
      <c r="K305" t="s">
        <v>54</v>
      </c>
      <c r="L305">
        <v>4</v>
      </c>
      <c r="M305" t="str">
        <f t="shared" si="4"/>
        <v>0-6 Months</v>
      </c>
      <c r="N305" s="1">
        <v>44843</v>
      </c>
      <c r="O305">
        <v>1</v>
      </c>
      <c r="P305">
        <v>304</v>
      </c>
      <c r="Q305" s="2">
        <v>0.39</v>
      </c>
      <c r="R305" t="s">
        <v>27</v>
      </c>
      <c r="S305">
        <v>2022</v>
      </c>
      <c r="T305" t="s">
        <v>33</v>
      </c>
    </row>
    <row r="306" spans="1:20" hidden="1" x14ac:dyDescent="0.3">
      <c r="A306">
        <v>521</v>
      </c>
      <c r="B306">
        <v>381</v>
      </c>
      <c r="C306" t="s">
        <v>40</v>
      </c>
      <c r="D306" t="s">
        <v>25</v>
      </c>
      <c r="E306" t="s">
        <v>37</v>
      </c>
      <c r="F306" s="1">
        <v>44742</v>
      </c>
      <c r="G306" s="1">
        <v>45272</v>
      </c>
      <c r="H306">
        <v>6150</v>
      </c>
      <c r="I306">
        <v>279</v>
      </c>
      <c r="J306">
        <v>577.01</v>
      </c>
      <c r="K306" t="s">
        <v>54</v>
      </c>
      <c r="L306">
        <v>17</v>
      </c>
      <c r="M306" t="str">
        <f t="shared" si="4"/>
        <v>6-12 Months</v>
      </c>
      <c r="N306" s="1">
        <v>45272</v>
      </c>
      <c r="O306">
        <v>0</v>
      </c>
      <c r="P306">
        <v>305</v>
      </c>
      <c r="Q306" s="2">
        <v>0.09</v>
      </c>
      <c r="R306" t="s">
        <v>27</v>
      </c>
      <c r="S306">
        <v>2023</v>
      </c>
      <c r="T306" t="s">
        <v>31</v>
      </c>
    </row>
    <row r="307" spans="1:20" hidden="1" x14ac:dyDescent="0.3">
      <c r="A307">
        <v>523</v>
      </c>
      <c r="B307">
        <v>196</v>
      </c>
      <c r="C307" t="s">
        <v>40</v>
      </c>
      <c r="D307" t="s">
        <v>34</v>
      </c>
      <c r="E307" t="s">
        <v>20</v>
      </c>
      <c r="F307" s="1">
        <v>44801</v>
      </c>
      <c r="G307" s="1">
        <v>45315</v>
      </c>
      <c r="H307">
        <v>6259</v>
      </c>
      <c r="I307">
        <v>4012.75</v>
      </c>
      <c r="J307">
        <v>6521</v>
      </c>
      <c r="K307" t="s">
        <v>54</v>
      </c>
      <c r="L307">
        <v>16</v>
      </c>
      <c r="M307" t="str">
        <f t="shared" si="4"/>
        <v>6-12 Months</v>
      </c>
      <c r="N307" s="1">
        <v>45315</v>
      </c>
      <c r="O307">
        <v>1</v>
      </c>
      <c r="P307">
        <v>306</v>
      </c>
      <c r="Q307" s="2">
        <v>1.04</v>
      </c>
      <c r="R307" t="s">
        <v>22</v>
      </c>
      <c r="S307">
        <v>2024</v>
      </c>
      <c r="T307" t="s">
        <v>23</v>
      </c>
    </row>
    <row r="308" spans="1:20" hidden="1" x14ac:dyDescent="0.3">
      <c r="A308">
        <v>525</v>
      </c>
      <c r="B308">
        <v>191</v>
      </c>
      <c r="C308" t="s">
        <v>40</v>
      </c>
      <c r="D308" t="s">
        <v>34</v>
      </c>
      <c r="E308" t="s">
        <v>37</v>
      </c>
      <c r="F308" s="1">
        <v>44846</v>
      </c>
      <c r="G308" s="1">
        <v>45113</v>
      </c>
      <c r="H308">
        <v>4091</v>
      </c>
      <c r="I308">
        <v>3600</v>
      </c>
      <c r="J308">
        <v>491</v>
      </c>
      <c r="K308" t="s">
        <v>54</v>
      </c>
      <c r="L308">
        <v>8</v>
      </c>
      <c r="M308" t="str">
        <f t="shared" si="4"/>
        <v>6-12 Months</v>
      </c>
      <c r="N308" s="1">
        <v>45113</v>
      </c>
      <c r="O308">
        <v>0</v>
      </c>
      <c r="P308">
        <v>307</v>
      </c>
      <c r="Q308" s="2">
        <v>0.12</v>
      </c>
      <c r="R308" t="s">
        <v>27</v>
      </c>
      <c r="S308">
        <v>2023</v>
      </c>
      <c r="T308" t="s">
        <v>44</v>
      </c>
    </row>
    <row r="309" spans="1:20" x14ac:dyDescent="0.3">
      <c r="A309">
        <v>526</v>
      </c>
      <c r="B309">
        <v>216</v>
      </c>
      <c r="C309" t="s">
        <v>24</v>
      </c>
      <c r="D309" t="s">
        <v>34</v>
      </c>
      <c r="E309" t="s">
        <v>26</v>
      </c>
      <c r="F309" s="1">
        <v>44588</v>
      </c>
      <c r="G309" s="1">
        <v>44829</v>
      </c>
      <c r="H309">
        <v>2060</v>
      </c>
      <c r="I309">
        <v>4012.75</v>
      </c>
      <c r="J309">
        <v>2835</v>
      </c>
      <c r="K309" t="s">
        <v>35</v>
      </c>
      <c r="L309">
        <v>7</v>
      </c>
      <c r="M309" t="str">
        <f t="shared" si="4"/>
        <v>6-12 Months</v>
      </c>
      <c r="N309" s="1">
        <v>44829</v>
      </c>
      <c r="O309">
        <v>1</v>
      </c>
      <c r="P309">
        <v>308</v>
      </c>
      <c r="Q309" s="2">
        <v>1.38</v>
      </c>
      <c r="R309" t="s">
        <v>22</v>
      </c>
      <c r="S309">
        <v>2022</v>
      </c>
      <c r="T309" t="s">
        <v>30</v>
      </c>
    </row>
    <row r="310" spans="1:20" x14ac:dyDescent="0.3">
      <c r="A310">
        <v>528</v>
      </c>
      <c r="B310">
        <v>223</v>
      </c>
      <c r="C310" t="s">
        <v>40</v>
      </c>
      <c r="D310" t="s">
        <v>25</v>
      </c>
      <c r="E310" t="s">
        <v>37</v>
      </c>
      <c r="F310" s="1">
        <v>44910</v>
      </c>
      <c r="G310" s="1">
        <v>45214</v>
      </c>
      <c r="H310">
        <v>9374</v>
      </c>
      <c r="I310">
        <v>3725</v>
      </c>
      <c r="J310">
        <v>5649</v>
      </c>
      <c r="K310" t="s">
        <v>35</v>
      </c>
      <c r="L310">
        <v>10</v>
      </c>
      <c r="M310" t="str">
        <f t="shared" si="4"/>
        <v>6-12 Months</v>
      </c>
      <c r="N310" s="1">
        <v>45214</v>
      </c>
      <c r="O310">
        <v>0</v>
      </c>
      <c r="P310">
        <v>309</v>
      </c>
      <c r="Q310" s="2">
        <v>0.6</v>
      </c>
      <c r="R310" t="s">
        <v>27</v>
      </c>
      <c r="S310">
        <v>2023</v>
      </c>
      <c r="T310" t="s">
        <v>33</v>
      </c>
    </row>
    <row r="311" spans="1:20" hidden="1" x14ac:dyDescent="0.3">
      <c r="A311">
        <v>529</v>
      </c>
      <c r="B311">
        <v>201</v>
      </c>
      <c r="C311" t="s">
        <v>40</v>
      </c>
      <c r="D311" t="s">
        <v>29</v>
      </c>
      <c r="E311" t="s">
        <v>20</v>
      </c>
      <c r="F311" s="1">
        <v>44796</v>
      </c>
      <c r="G311" s="1">
        <v>45270</v>
      </c>
      <c r="H311">
        <v>4967.93</v>
      </c>
      <c r="I311">
        <v>7730</v>
      </c>
      <c r="J311">
        <v>-8420</v>
      </c>
      <c r="K311" t="s">
        <v>54</v>
      </c>
      <c r="L311">
        <v>15</v>
      </c>
      <c r="M311" t="str">
        <f t="shared" si="4"/>
        <v>6-12 Months</v>
      </c>
      <c r="N311" s="1">
        <v>45270</v>
      </c>
      <c r="O311">
        <v>0</v>
      </c>
      <c r="P311">
        <v>310</v>
      </c>
      <c r="Q311" s="2">
        <v>-1.69</v>
      </c>
      <c r="R311" t="s">
        <v>22</v>
      </c>
      <c r="S311">
        <v>2023</v>
      </c>
      <c r="T311" t="s">
        <v>31</v>
      </c>
    </row>
    <row r="312" spans="1:20" hidden="1" x14ac:dyDescent="0.3">
      <c r="A312">
        <v>532</v>
      </c>
      <c r="B312">
        <v>273</v>
      </c>
      <c r="C312" t="s">
        <v>39</v>
      </c>
      <c r="D312" t="s">
        <v>19</v>
      </c>
      <c r="E312" t="s">
        <v>37</v>
      </c>
      <c r="F312" s="1">
        <v>44620</v>
      </c>
      <c r="G312" s="1">
        <v>44837</v>
      </c>
      <c r="H312">
        <v>6521</v>
      </c>
      <c r="I312">
        <v>4664</v>
      </c>
      <c r="J312">
        <v>1857</v>
      </c>
      <c r="K312" t="s">
        <v>21</v>
      </c>
      <c r="L312">
        <v>7</v>
      </c>
      <c r="M312" t="str">
        <f t="shared" si="4"/>
        <v>6-12 Months</v>
      </c>
      <c r="N312" s="1">
        <v>44837</v>
      </c>
      <c r="O312">
        <v>1</v>
      </c>
      <c r="P312">
        <v>311</v>
      </c>
      <c r="Q312" s="2">
        <v>0.28000000000000003</v>
      </c>
      <c r="R312" t="s">
        <v>27</v>
      </c>
      <c r="S312">
        <v>2022</v>
      </c>
      <c r="T312" t="s">
        <v>33</v>
      </c>
    </row>
    <row r="313" spans="1:20" x14ac:dyDescent="0.3">
      <c r="A313">
        <v>534</v>
      </c>
      <c r="B313">
        <v>209</v>
      </c>
      <c r="C313" t="s">
        <v>40</v>
      </c>
      <c r="D313" t="s">
        <v>19</v>
      </c>
      <c r="E313" t="s">
        <v>26</v>
      </c>
      <c r="F313" s="1">
        <v>44746</v>
      </c>
      <c r="G313" s="1">
        <v>45180</v>
      </c>
      <c r="H313">
        <v>5960</v>
      </c>
      <c r="I313">
        <v>3196</v>
      </c>
      <c r="J313">
        <v>577.01</v>
      </c>
      <c r="K313" t="s">
        <v>35</v>
      </c>
      <c r="L313">
        <v>14</v>
      </c>
      <c r="M313" t="str">
        <f t="shared" si="4"/>
        <v>6-12 Months</v>
      </c>
      <c r="N313" s="1">
        <v>45180</v>
      </c>
      <c r="O313">
        <v>1</v>
      </c>
      <c r="P313">
        <v>312</v>
      </c>
      <c r="Q313" s="2">
        <v>0.1</v>
      </c>
      <c r="R313" t="s">
        <v>27</v>
      </c>
      <c r="S313">
        <v>2023</v>
      </c>
      <c r="T313" t="s">
        <v>30</v>
      </c>
    </row>
    <row r="314" spans="1:20" x14ac:dyDescent="0.3">
      <c r="A314">
        <v>535</v>
      </c>
      <c r="B314">
        <v>125</v>
      </c>
      <c r="C314" t="s">
        <v>40</v>
      </c>
      <c r="D314" t="s">
        <v>25</v>
      </c>
      <c r="E314" t="s">
        <v>37</v>
      </c>
      <c r="F314" s="1">
        <v>44632</v>
      </c>
      <c r="G314" s="1">
        <v>44731</v>
      </c>
      <c r="H314">
        <v>4967.93</v>
      </c>
      <c r="I314">
        <v>6264</v>
      </c>
      <c r="J314">
        <v>-8054</v>
      </c>
      <c r="K314" t="s">
        <v>35</v>
      </c>
      <c r="L314">
        <v>3</v>
      </c>
      <c r="M314" t="str">
        <f t="shared" si="4"/>
        <v>0-6 Months</v>
      </c>
      <c r="N314" s="1">
        <v>44731</v>
      </c>
      <c r="O314">
        <v>0</v>
      </c>
      <c r="P314">
        <v>313</v>
      </c>
      <c r="Q314" s="2">
        <v>-1.62</v>
      </c>
      <c r="R314" t="s">
        <v>22</v>
      </c>
      <c r="S314">
        <v>2022</v>
      </c>
      <c r="T314" t="s">
        <v>41</v>
      </c>
    </row>
    <row r="315" spans="1:20" hidden="1" x14ac:dyDescent="0.3">
      <c r="A315">
        <v>537</v>
      </c>
      <c r="B315">
        <v>402</v>
      </c>
      <c r="C315" t="s">
        <v>24</v>
      </c>
      <c r="D315" t="s">
        <v>29</v>
      </c>
      <c r="E315" t="s">
        <v>37</v>
      </c>
      <c r="F315" s="1">
        <v>44766</v>
      </c>
      <c r="G315" s="1">
        <v>45342</v>
      </c>
      <c r="H315">
        <v>4967.93</v>
      </c>
      <c r="I315">
        <v>758</v>
      </c>
      <c r="J315">
        <v>-1727</v>
      </c>
      <c r="K315" t="s">
        <v>54</v>
      </c>
      <c r="L315">
        <v>18</v>
      </c>
      <c r="M315" t="str">
        <f t="shared" si="4"/>
        <v>6-12 Months</v>
      </c>
      <c r="N315" s="1">
        <v>45342</v>
      </c>
      <c r="O315">
        <v>1</v>
      </c>
      <c r="P315">
        <v>314</v>
      </c>
      <c r="Q315" s="2">
        <v>-0.35</v>
      </c>
      <c r="R315" t="s">
        <v>27</v>
      </c>
      <c r="S315">
        <v>2024</v>
      </c>
      <c r="T315" t="s">
        <v>43</v>
      </c>
    </row>
    <row r="316" spans="1:20" hidden="1" x14ac:dyDescent="0.3">
      <c r="A316">
        <v>539</v>
      </c>
      <c r="B316">
        <v>366</v>
      </c>
      <c r="C316" t="s">
        <v>40</v>
      </c>
      <c r="D316" t="s">
        <v>19</v>
      </c>
      <c r="E316" t="s">
        <v>26</v>
      </c>
      <c r="F316" s="1">
        <v>44693</v>
      </c>
      <c r="G316" s="1">
        <v>45118</v>
      </c>
      <c r="H316">
        <v>3883</v>
      </c>
      <c r="I316">
        <v>3100</v>
      </c>
      <c r="J316">
        <v>783</v>
      </c>
      <c r="K316" t="s">
        <v>54</v>
      </c>
      <c r="L316">
        <v>13</v>
      </c>
      <c r="M316" t="str">
        <f t="shared" si="4"/>
        <v>6-12 Months</v>
      </c>
      <c r="N316" s="1">
        <v>45118</v>
      </c>
      <c r="O316">
        <v>1</v>
      </c>
      <c r="P316">
        <v>315</v>
      </c>
      <c r="Q316" s="2">
        <v>0.2</v>
      </c>
      <c r="R316" t="s">
        <v>27</v>
      </c>
      <c r="S316">
        <v>2023</v>
      </c>
      <c r="T316" t="s">
        <v>44</v>
      </c>
    </row>
    <row r="317" spans="1:20" hidden="1" x14ac:dyDescent="0.3">
      <c r="A317">
        <v>542</v>
      </c>
      <c r="B317">
        <v>494</v>
      </c>
      <c r="C317" t="s">
        <v>45</v>
      </c>
      <c r="D317" t="s">
        <v>25</v>
      </c>
      <c r="E317" t="s">
        <v>37</v>
      </c>
      <c r="F317" s="1">
        <v>44568</v>
      </c>
      <c r="G317" s="1">
        <v>44825</v>
      </c>
      <c r="H317">
        <v>4967.93</v>
      </c>
      <c r="I317">
        <v>7857</v>
      </c>
      <c r="J317">
        <v>-8726</v>
      </c>
      <c r="K317" t="s">
        <v>54</v>
      </c>
      <c r="L317">
        <v>8</v>
      </c>
      <c r="M317" t="str">
        <f t="shared" si="4"/>
        <v>6-12 Months</v>
      </c>
      <c r="N317" s="1">
        <v>44825</v>
      </c>
      <c r="O317">
        <v>1</v>
      </c>
      <c r="P317">
        <v>316</v>
      </c>
      <c r="Q317" s="2">
        <v>-1.76</v>
      </c>
      <c r="R317" t="s">
        <v>22</v>
      </c>
      <c r="S317">
        <v>2022</v>
      </c>
      <c r="T317" t="s">
        <v>30</v>
      </c>
    </row>
    <row r="318" spans="1:20" hidden="1" x14ac:dyDescent="0.3">
      <c r="A318">
        <v>548</v>
      </c>
      <c r="B318">
        <v>154</v>
      </c>
      <c r="C318" t="s">
        <v>24</v>
      </c>
      <c r="D318" t="s">
        <v>19</v>
      </c>
      <c r="E318" t="s">
        <v>20</v>
      </c>
      <c r="F318" s="1">
        <v>44597</v>
      </c>
      <c r="G318" s="1">
        <v>45048</v>
      </c>
      <c r="H318">
        <v>3246</v>
      </c>
      <c r="I318">
        <v>1929</v>
      </c>
      <c r="J318">
        <v>1317</v>
      </c>
      <c r="K318" t="s">
        <v>54</v>
      </c>
      <c r="L318">
        <v>14</v>
      </c>
      <c r="M318" t="str">
        <f t="shared" si="4"/>
        <v>6-12 Months</v>
      </c>
      <c r="N318" s="1">
        <v>45048</v>
      </c>
      <c r="O318">
        <v>0</v>
      </c>
      <c r="P318">
        <v>317</v>
      </c>
      <c r="Q318" s="2">
        <v>0.41</v>
      </c>
      <c r="R318" t="s">
        <v>27</v>
      </c>
      <c r="S318">
        <v>2023</v>
      </c>
      <c r="T318" t="s">
        <v>28</v>
      </c>
    </row>
    <row r="319" spans="1:20" hidden="1" x14ac:dyDescent="0.3">
      <c r="A319">
        <v>549</v>
      </c>
      <c r="B319">
        <v>301</v>
      </c>
      <c r="C319" t="s">
        <v>40</v>
      </c>
      <c r="D319" t="s">
        <v>25</v>
      </c>
      <c r="E319" t="s">
        <v>26</v>
      </c>
      <c r="F319" s="1">
        <v>44613</v>
      </c>
      <c r="G319" s="1">
        <v>45073</v>
      </c>
      <c r="H319">
        <v>4967.93</v>
      </c>
      <c r="I319">
        <v>7413</v>
      </c>
      <c r="J319">
        <v>577.01</v>
      </c>
      <c r="K319" t="s">
        <v>54</v>
      </c>
      <c r="L319">
        <v>15</v>
      </c>
      <c r="M319" t="str">
        <f t="shared" si="4"/>
        <v>6-12 Months</v>
      </c>
      <c r="N319" s="1">
        <v>45073</v>
      </c>
      <c r="O319">
        <v>1</v>
      </c>
      <c r="P319">
        <v>318</v>
      </c>
      <c r="Q319" s="2">
        <v>0.12</v>
      </c>
      <c r="R319" t="s">
        <v>27</v>
      </c>
      <c r="S319">
        <v>2023</v>
      </c>
      <c r="T319" t="s">
        <v>28</v>
      </c>
    </row>
    <row r="320" spans="1:20" x14ac:dyDescent="0.3">
      <c r="A320">
        <v>555</v>
      </c>
      <c r="B320">
        <v>470</v>
      </c>
      <c r="C320" t="s">
        <v>24</v>
      </c>
      <c r="D320" t="s">
        <v>19</v>
      </c>
      <c r="E320" t="s">
        <v>37</v>
      </c>
      <c r="F320" s="1">
        <v>44636</v>
      </c>
      <c r="G320" s="1">
        <v>44724</v>
      </c>
      <c r="H320">
        <v>8802</v>
      </c>
      <c r="I320">
        <v>4012.75</v>
      </c>
      <c r="J320">
        <v>577.01</v>
      </c>
      <c r="K320" t="s">
        <v>35</v>
      </c>
      <c r="L320">
        <v>2</v>
      </c>
      <c r="M320" t="str">
        <f t="shared" si="4"/>
        <v>0-6 Months</v>
      </c>
      <c r="N320" s="1">
        <v>44724</v>
      </c>
      <c r="O320">
        <v>0</v>
      </c>
      <c r="P320">
        <v>319</v>
      </c>
      <c r="Q320" s="2">
        <v>7.0000000000000007E-2</v>
      </c>
      <c r="R320" t="s">
        <v>27</v>
      </c>
      <c r="S320">
        <v>2022</v>
      </c>
      <c r="T320" t="s">
        <v>41</v>
      </c>
    </row>
    <row r="321" spans="1:20" hidden="1" x14ac:dyDescent="0.3">
      <c r="A321">
        <v>557</v>
      </c>
      <c r="B321">
        <v>290</v>
      </c>
      <c r="C321" t="s">
        <v>24</v>
      </c>
      <c r="D321" t="s">
        <v>29</v>
      </c>
      <c r="E321" t="s">
        <v>37</v>
      </c>
      <c r="F321" s="1">
        <v>44754</v>
      </c>
      <c r="G321" s="1">
        <v>45186</v>
      </c>
      <c r="H321">
        <v>1646</v>
      </c>
      <c r="I321">
        <v>2078</v>
      </c>
      <c r="J321">
        <v>-432</v>
      </c>
      <c r="K321" t="s">
        <v>54</v>
      </c>
      <c r="L321">
        <v>14</v>
      </c>
      <c r="M321" t="str">
        <f t="shared" si="4"/>
        <v>6-12 Months</v>
      </c>
      <c r="N321" s="1">
        <v>45186</v>
      </c>
      <c r="O321">
        <v>0</v>
      </c>
      <c r="P321">
        <v>320</v>
      </c>
      <c r="Q321" s="2">
        <v>-0.26</v>
      </c>
      <c r="R321" t="s">
        <v>27</v>
      </c>
      <c r="S321">
        <v>2023</v>
      </c>
      <c r="T321" t="s">
        <v>30</v>
      </c>
    </row>
    <row r="322" spans="1:20" x14ac:dyDescent="0.3">
      <c r="A322">
        <v>559</v>
      </c>
      <c r="B322">
        <v>181</v>
      </c>
      <c r="C322" t="s">
        <v>45</v>
      </c>
      <c r="D322" t="s">
        <v>29</v>
      </c>
      <c r="E322" t="s">
        <v>26</v>
      </c>
      <c r="F322" s="1">
        <v>44654</v>
      </c>
      <c r="G322" s="1">
        <v>44731</v>
      </c>
      <c r="H322">
        <v>8192</v>
      </c>
      <c r="I322">
        <v>2678</v>
      </c>
      <c r="J322">
        <v>5514</v>
      </c>
      <c r="K322" t="s">
        <v>35</v>
      </c>
      <c r="L322">
        <v>2</v>
      </c>
      <c r="M322" t="str">
        <f t="shared" ref="M322:M385" si="5">IF(L322&lt;6,"0-6 Months",IF(L322&gt;6,"6-12 Months","12+ Months"))</f>
        <v>0-6 Months</v>
      </c>
      <c r="N322" s="1">
        <v>44731</v>
      </c>
      <c r="O322">
        <v>0</v>
      </c>
      <c r="P322">
        <v>321</v>
      </c>
      <c r="Q322" s="2">
        <v>0.67</v>
      </c>
      <c r="R322" t="s">
        <v>27</v>
      </c>
      <c r="S322">
        <v>2022</v>
      </c>
      <c r="T322" t="s">
        <v>41</v>
      </c>
    </row>
    <row r="323" spans="1:20" hidden="1" x14ac:dyDescent="0.3">
      <c r="A323">
        <v>562</v>
      </c>
      <c r="B323">
        <v>253</v>
      </c>
      <c r="C323" t="s">
        <v>53</v>
      </c>
      <c r="D323" t="s">
        <v>25</v>
      </c>
      <c r="E323" t="s">
        <v>20</v>
      </c>
      <c r="F323" s="1">
        <v>44889</v>
      </c>
      <c r="G323" s="1">
        <v>45307</v>
      </c>
      <c r="H323">
        <v>4967.93</v>
      </c>
      <c r="I323">
        <v>4012.75</v>
      </c>
      <c r="J323">
        <v>-375</v>
      </c>
      <c r="K323" t="s">
        <v>54</v>
      </c>
      <c r="L323">
        <v>13</v>
      </c>
      <c r="M323" t="str">
        <f t="shared" si="5"/>
        <v>6-12 Months</v>
      </c>
      <c r="N323" s="1">
        <v>45307</v>
      </c>
      <c r="O323">
        <v>1</v>
      </c>
      <c r="P323">
        <v>322</v>
      </c>
      <c r="Q323" s="2">
        <v>-0.08</v>
      </c>
      <c r="R323" t="s">
        <v>27</v>
      </c>
      <c r="S323">
        <v>2024</v>
      </c>
      <c r="T323" t="s">
        <v>23</v>
      </c>
    </row>
    <row r="324" spans="1:20" hidden="1" x14ac:dyDescent="0.3">
      <c r="A324">
        <v>565</v>
      </c>
      <c r="B324">
        <v>317</v>
      </c>
      <c r="C324" t="s">
        <v>24</v>
      </c>
      <c r="D324" t="s">
        <v>29</v>
      </c>
      <c r="E324" t="s">
        <v>20</v>
      </c>
      <c r="F324" s="1">
        <v>44850</v>
      </c>
      <c r="G324" s="1">
        <v>45239</v>
      </c>
      <c r="H324">
        <v>7800</v>
      </c>
      <c r="I324">
        <v>5002</v>
      </c>
      <c r="J324">
        <v>2798</v>
      </c>
      <c r="K324" t="s">
        <v>54</v>
      </c>
      <c r="L324">
        <v>12</v>
      </c>
      <c r="M324" t="str">
        <f t="shared" si="5"/>
        <v>6-12 Months</v>
      </c>
      <c r="N324" s="1">
        <v>45239</v>
      </c>
      <c r="O324">
        <v>1</v>
      </c>
      <c r="P324">
        <v>323</v>
      </c>
      <c r="Q324" s="2">
        <v>0.36</v>
      </c>
      <c r="R324" t="s">
        <v>27</v>
      </c>
      <c r="S324">
        <v>2023</v>
      </c>
      <c r="T324" t="s">
        <v>42</v>
      </c>
    </row>
    <row r="325" spans="1:20" hidden="1" x14ac:dyDescent="0.3">
      <c r="A325">
        <v>566</v>
      </c>
      <c r="B325">
        <v>386</v>
      </c>
      <c r="C325" t="s">
        <v>24</v>
      </c>
      <c r="D325" t="s">
        <v>25</v>
      </c>
      <c r="E325" t="s">
        <v>20</v>
      </c>
      <c r="F325" s="1">
        <v>44691</v>
      </c>
      <c r="G325" s="1">
        <v>44722</v>
      </c>
      <c r="H325">
        <v>4967.93</v>
      </c>
      <c r="I325">
        <v>7087</v>
      </c>
      <c r="J325">
        <v>-7679</v>
      </c>
      <c r="K325" t="s">
        <v>21</v>
      </c>
      <c r="L325">
        <v>1</v>
      </c>
      <c r="M325" t="str">
        <f t="shared" si="5"/>
        <v>0-6 Months</v>
      </c>
      <c r="N325" s="1">
        <v>44722</v>
      </c>
      <c r="O325">
        <v>0</v>
      </c>
      <c r="P325">
        <v>324</v>
      </c>
      <c r="Q325" s="2">
        <v>-1.55</v>
      </c>
      <c r="R325" t="s">
        <v>22</v>
      </c>
      <c r="S325">
        <v>2022</v>
      </c>
      <c r="T325" t="s">
        <v>41</v>
      </c>
    </row>
    <row r="326" spans="1:20" hidden="1" x14ac:dyDescent="0.3">
      <c r="A326">
        <v>567</v>
      </c>
      <c r="B326">
        <v>185</v>
      </c>
      <c r="C326" t="s">
        <v>24</v>
      </c>
      <c r="D326" t="s">
        <v>25</v>
      </c>
      <c r="E326" t="s">
        <v>26</v>
      </c>
      <c r="F326" s="1">
        <v>44812</v>
      </c>
      <c r="G326" s="1">
        <v>44981</v>
      </c>
      <c r="H326">
        <v>4967.93</v>
      </c>
      <c r="I326">
        <v>6799</v>
      </c>
      <c r="J326">
        <v>-7262</v>
      </c>
      <c r="K326" t="s">
        <v>54</v>
      </c>
      <c r="L326">
        <v>5</v>
      </c>
      <c r="M326" t="str">
        <f t="shared" si="5"/>
        <v>0-6 Months</v>
      </c>
      <c r="N326" s="1">
        <v>44981</v>
      </c>
      <c r="O326">
        <v>1</v>
      </c>
      <c r="P326">
        <v>325</v>
      </c>
      <c r="Q326" s="2">
        <v>-1.46</v>
      </c>
      <c r="R326" t="s">
        <v>22</v>
      </c>
      <c r="S326">
        <v>2023</v>
      </c>
      <c r="T326" t="s">
        <v>43</v>
      </c>
    </row>
    <row r="327" spans="1:20" hidden="1" x14ac:dyDescent="0.3">
      <c r="A327">
        <v>568</v>
      </c>
      <c r="B327">
        <v>310</v>
      </c>
      <c r="C327" t="s">
        <v>45</v>
      </c>
      <c r="D327" t="s">
        <v>34</v>
      </c>
      <c r="E327" t="s">
        <v>20</v>
      </c>
      <c r="F327" s="1">
        <v>44911</v>
      </c>
      <c r="G327" s="1">
        <v>45342</v>
      </c>
      <c r="H327">
        <v>2547</v>
      </c>
      <c r="I327">
        <v>6970</v>
      </c>
      <c r="J327">
        <v>-4423</v>
      </c>
      <c r="K327" t="s">
        <v>54</v>
      </c>
      <c r="L327">
        <v>14</v>
      </c>
      <c r="M327" t="str">
        <f t="shared" si="5"/>
        <v>6-12 Months</v>
      </c>
      <c r="N327" s="1">
        <v>45342</v>
      </c>
      <c r="O327">
        <v>0</v>
      </c>
      <c r="P327">
        <v>326</v>
      </c>
      <c r="Q327" s="2">
        <v>-1.74</v>
      </c>
      <c r="R327" t="s">
        <v>22</v>
      </c>
      <c r="S327">
        <v>2024</v>
      </c>
      <c r="T327" t="s">
        <v>43</v>
      </c>
    </row>
    <row r="328" spans="1:20" hidden="1" x14ac:dyDescent="0.3">
      <c r="A328">
        <v>570</v>
      </c>
      <c r="B328">
        <v>351</v>
      </c>
      <c r="C328" t="s">
        <v>45</v>
      </c>
      <c r="D328" t="s">
        <v>34</v>
      </c>
      <c r="E328" t="s">
        <v>26</v>
      </c>
      <c r="F328" s="1">
        <v>44926</v>
      </c>
      <c r="G328" s="1">
        <v>45266</v>
      </c>
      <c r="H328">
        <v>4967.93</v>
      </c>
      <c r="I328">
        <v>223</v>
      </c>
      <c r="J328">
        <v>-1194</v>
      </c>
      <c r="K328" t="s">
        <v>54</v>
      </c>
      <c r="L328">
        <v>11</v>
      </c>
      <c r="M328" t="str">
        <f t="shared" si="5"/>
        <v>6-12 Months</v>
      </c>
      <c r="N328" s="1">
        <v>45266</v>
      </c>
      <c r="O328">
        <v>0</v>
      </c>
      <c r="P328">
        <v>327</v>
      </c>
      <c r="Q328" s="2">
        <v>-0.24</v>
      </c>
      <c r="R328" t="s">
        <v>27</v>
      </c>
      <c r="S328">
        <v>2023</v>
      </c>
      <c r="T328" t="s">
        <v>31</v>
      </c>
    </row>
    <row r="329" spans="1:20" hidden="1" x14ac:dyDescent="0.3">
      <c r="A329">
        <v>572</v>
      </c>
      <c r="B329">
        <v>269</v>
      </c>
      <c r="C329" t="s">
        <v>45</v>
      </c>
      <c r="D329" t="s">
        <v>29</v>
      </c>
      <c r="E329" t="s">
        <v>26</v>
      </c>
      <c r="F329" s="1">
        <v>44704</v>
      </c>
      <c r="G329" s="1">
        <v>45140</v>
      </c>
      <c r="H329">
        <v>7046</v>
      </c>
      <c r="I329">
        <v>2930</v>
      </c>
      <c r="J329">
        <v>4116</v>
      </c>
      <c r="K329" t="s">
        <v>54</v>
      </c>
      <c r="L329">
        <v>14</v>
      </c>
      <c r="M329" t="str">
        <f t="shared" si="5"/>
        <v>6-12 Months</v>
      </c>
      <c r="N329" s="1">
        <v>45140</v>
      </c>
      <c r="O329">
        <v>0</v>
      </c>
      <c r="P329">
        <v>328</v>
      </c>
      <c r="Q329" s="2">
        <v>0.57999999999999996</v>
      </c>
      <c r="R329" t="s">
        <v>27</v>
      </c>
      <c r="S329">
        <v>2023</v>
      </c>
      <c r="T329" t="s">
        <v>36</v>
      </c>
    </row>
    <row r="330" spans="1:20" x14ac:dyDescent="0.3">
      <c r="A330">
        <v>574</v>
      </c>
      <c r="B330">
        <v>131</v>
      </c>
      <c r="C330" t="s">
        <v>45</v>
      </c>
      <c r="D330" t="s">
        <v>29</v>
      </c>
      <c r="E330" t="s">
        <v>26</v>
      </c>
      <c r="F330" s="1">
        <v>44635</v>
      </c>
      <c r="G330" s="1">
        <v>45003</v>
      </c>
      <c r="H330">
        <v>2805</v>
      </c>
      <c r="I330">
        <v>4886</v>
      </c>
      <c r="J330">
        <v>577.01</v>
      </c>
      <c r="K330" t="s">
        <v>35</v>
      </c>
      <c r="L330">
        <v>12</v>
      </c>
      <c r="M330" t="str">
        <f t="shared" si="5"/>
        <v>6-12 Months</v>
      </c>
      <c r="N330" s="1">
        <v>45003</v>
      </c>
      <c r="O330">
        <v>1</v>
      </c>
      <c r="P330">
        <v>329</v>
      </c>
      <c r="Q330" s="2">
        <v>0.21</v>
      </c>
      <c r="R330" t="s">
        <v>27</v>
      </c>
      <c r="S330">
        <v>2023</v>
      </c>
      <c r="T330" t="s">
        <v>38</v>
      </c>
    </row>
    <row r="331" spans="1:20" hidden="1" x14ac:dyDescent="0.3">
      <c r="A331">
        <v>575</v>
      </c>
      <c r="B331">
        <v>354</v>
      </c>
      <c r="C331" t="s">
        <v>40</v>
      </c>
      <c r="D331" t="s">
        <v>34</v>
      </c>
      <c r="E331" t="s">
        <v>20</v>
      </c>
      <c r="F331" s="1">
        <v>44645</v>
      </c>
      <c r="G331" s="1">
        <v>45178</v>
      </c>
      <c r="H331">
        <v>6101</v>
      </c>
      <c r="I331">
        <v>2024</v>
      </c>
      <c r="J331">
        <v>577.01</v>
      </c>
      <c r="K331" t="s">
        <v>21</v>
      </c>
      <c r="L331">
        <v>17</v>
      </c>
      <c r="M331" t="str">
        <f t="shared" si="5"/>
        <v>6-12 Months</v>
      </c>
      <c r="N331" s="1">
        <v>45178</v>
      </c>
      <c r="O331">
        <v>0</v>
      </c>
      <c r="P331">
        <v>330</v>
      </c>
      <c r="Q331" s="2">
        <v>0.09</v>
      </c>
      <c r="R331" t="s">
        <v>27</v>
      </c>
      <c r="S331">
        <v>2023</v>
      </c>
      <c r="T331" t="s">
        <v>30</v>
      </c>
    </row>
    <row r="332" spans="1:20" hidden="1" x14ac:dyDescent="0.3">
      <c r="A332">
        <v>577</v>
      </c>
      <c r="B332">
        <v>105</v>
      </c>
      <c r="C332" t="s">
        <v>39</v>
      </c>
      <c r="D332" t="s">
        <v>34</v>
      </c>
      <c r="E332" t="s">
        <v>37</v>
      </c>
      <c r="F332" s="1">
        <v>44790</v>
      </c>
      <c r="G332" s="1">
        <v>45010</v>
      </c>
      <c r="H332">
        <v>7979</v>
      </c>
      <c r="I332">
        <v>3014</v>
      </c>
      <c r="J332">
        <v>4965</v>
      </c>
      <c r="K332" t="s">
        <v>21</v>
      </c>
      <c r="L332">
        <v>7</v>
      </c>
      <c r="M332" t="str">
        <f t="shared" si="5"/>
        <v>6-12 Months</v>
      </c>
      <c r="N332" s="1">
        <v>45010</v>
      </c>
      <c r="O332">
        <v>0</v>
      </c>
      <c r="P332">
        <v>331</v>
      </c>
      <c r="Q332" s="2">
        <v>0.62</v>
      </c>
      <c r="R332" t="s">
        <v>27</v>
      </c>
      <c r="S332">
        <v>2023</v>
      </c>
      <c r="T332" t="s">
        <v>38</v>
      </c>
    </row>
    <row r="333" spans="1:20" hidden="1" x14ac:dyDescent="0.3">
      <c r="A333">
        <v>580</v>
      </c>
      <c r="B333">
        <v>435</v>
      </c>
      <c r="C333" t="s">
        <v>24</v>
      </c>
      <c r="D333" t="s">
        <v>34</v>
      </c>
      <c r="E333" t="s">
        <v>37</v>
      </c>
      <c r="F333" s="1">
        <v>44826</v>
      </c>
      <c r="G333" s="1">
        <v>45198</v>
      </c>
      <c r="H333">
        <v>3576</v>
      </c>
      <c r="I333">
        <v>411</v>
      </c>
      <c r="J333">
        <v>3165</v>
      </c>
      <c r="K333" t="s">
        <v>54</v>
      </c>
      <c r="L333">
        <v>12</v>
      </c>
      <c r="M333" t="str">
        <f t="shared" si="5"/>
        <v>6-12 Months</v>
      </c>
      <c r="N333" s="1">
        <v>45198</v>
      </c>
      <c r="O333">
        <v>1</v>
      </c>
      <c r="P333">
        <v>332</v>
      </c>
      <c r="Q333" s="2">
        <v>0.89</v>
      </c>
      <c r="R333" t="s">
        <v>27</v>
      </c>
      <c r="S333">
        <v>2023</v>
      </c>
      <c r="T333" t="s">
        <v>30</v>
      </c>
    </row>
    <row r="334" spans="1:20" hidden="1" x14ac:dyDescent="0.3">
      <c r="A334">
        <v>581</v>
      </c>
      <c r="B334">
        <v>365</v>
      </c>
      <c r="C334" t="s">
        <v>45</v>
      </c>
      <c r="D334" t="s">
        <v>19</v>
      </c>
      <c r="E334" t="s">
        <v>20</v>
      </c>
      <c r="F334" s="1">
        <v>44703</v>
      </c>
      <c r="G334" s="1">
        <v>45108</v>
      </c>
      <c r="H334">
        <v>7849</v>
      </c>
      <c r="I334">
        <v>4012.75</v>
      </c>
      <c r="J334">
        <v>577.01</v>
      </c>
      <c r="K334" t="s">
        <v>54</v>
      </c>
      <c r="L334">
        <v>13</v>
      </c>
      <c r="M334" t="str">
        <f t="shared" si="5"/>
        <v>6-12 Months</v>
      </c>
      <c r="N334" s="1">
        <v>45108</v>
      </c>
      <c r="O334">
        <v>1</v>
      </c>
      <c r="P334">
        <v>333</v>
      </c>
      <c r="Q334" s="2">
        <v>7.0000000000000007E-2</v>
      </c>
      <c r="R334" t="s">
        <v>27</v>
      </c>
      <c r="S334">
        <v>2023</v>
      </c>
      <c r="T334" t="s">
        <v>44</v>
      </c>
    </row>
    <row r="335" spans="1:20" hidden="1" x14ac:dyDescent="0.3">
      <c r="A335">
        <v>582</v>
      </c>
      <c r="B335">
        <v>107</v>
      </c>
      <c r="C335" t="s">
        <v>24</v>
      </c>
      <c r="D335" t="s">
        <v>19</v>
      </c>
      <c r="E335" t="s">
        <v>37</v>
      </c>
      <c r="F335" s="1">
        <v>44904</v>
      </c>
      <c r="G335" s="1">
        <v>45378</v>
      </c>
      <c r="H335">
        <v>5267</v>
      </c>
      <c r="I335">
        <v>4419</v>
      </c>
      <c r="J335">
        <v>848</v>
      </c>
      <c r="K335" t="s">
        <v>54</v>
      </c>
      <c r="L335">
        <v>15</v>
      </c>
      <c r="M335" t="str">
        <f t="shared" si="5"/>
        <v>6-12 Months</v>
      </c>
      <c r="N335" s="1">
        <v>45378</v>
      </c>
      <c r="O335">
        <v>0</v>
      </c>
      <c r="P335">
        <v>334</v>
      </c>
      <c r="Q335" s="2">
        <v>0.16</v>
      </c>
      <c r="R335" t="s">
        <v>27</v>
      </c>
      <c r="S335">
        <v>2024</v>
      </c>
      <c r="T335" t="s">
        <v>38</v>
      </c>
    </row>
    <row r="336" spans="1:20" hidden="1" x14ac:dyDescent="0.3">
      <c r="A336">
        <v>584</v>
      </c>
      <c r="B336">
        <v>193</v>
      </c>
      <c r="C336" t="s">
        <v>53</v>
      </c>
      <c r="D336" t="s">
        <v>25</v>
      </c>
      <c r="E336" t="s">
        <v>37</v>
      </c>
      <c r="F336" s="1">
        <v>44653</v>
      </c>
      <c r="G336" s="1">
        <v>45049</v>
      </c>
      <c r="H336">
        <v>9004</v>
      </c>
      <c r="I336">
        <v>2672</v>
      </c>
      <c r="J336">
        <v>6332</v>
      </c>
      <c r="K336" t="s">
        <v>54</v>
      </c>
      <c r="L336">
        <v>13</v>
      </c>
      <c r="M336" t="str">
        <f t="shared" si="5"/>
        <v>6-12 Months</v>
      </c>
      <c r="N336" s="1">
        <v>45049</v>
      </c>
      <c r="O336">
        <v>0</v>
      </c>
      <c r="P336">
        <v>335</v>
      </c>
      <c r="Q336" s="2">
        <v>0.7</v>
      </c>
      <c r="R336" t="s">
        <v>27</v>
      </c>
      <c r="S336">
        <v>2023</v>
      </c>
      <c r="T336" t="s">
        <v>28</v>
      </c>
    </row>
    <row r="337" spans="1:20" x14ac:dyDescent="0.3">
      <c r="A337">
        <v>586</v>
      </c>
      <c r="B337">
        <v>337</v>
      </c>
      <c r="C337" t="s">
        <v>24</v>
      </c>
      <c r="D337" t="s">
        <v>34</v>
      </c>
      <c r="E337" t="s">
        <v>20</v>
      </c>
      <c r="F337" s="1">
        <v>44839</v>
      </c>
      <c r="G337" s="1">
        <v>45423</v>
      </c>
      <c r="H337">
        <v>5388</v>
      </c>
      <c r="I337">
        <v>6010</v>
      </c>
      <c r="J337">
        <v>-622</v>
      </c>
      <c r="K337" t="s">
        <v>35</v>
      </c>
      <c r="L337">
        <v>19</v>
      </c>
      <c r="M337" t="str">
        <f t="shared" si="5"/>
        <v>6-12 Months</v>
      </c>
      <c r="N337" s="1">
        <v>45423</v>
      </c>
      <c r="O337">
        <v>1</v>
      </c>
      <c r="P337">
        <v>336</v>
      </c>
      <c r="Q337" s="2">
        <v>-0.12</v>
      </c>
      <c r="R337" t="s">
        <v>27</v>
      </c>
      <c r="S337">
        <v>2024</v>
      </c>
      <c r="T337" t="s">
        <v>28</v>
      </c>
    </row>
    <row r="338" spans="1:20" x14ac:dyDescent="0.3">
      <c r="A338">
        <v>588</v>
      </c>
      <c r="B338">
        <v>205</v>
      </c>
      <c r="C338" t="s">
        <v>39</v>
      </c>
      <c r="D338" t="s">
        <v>25</v>
      </c>
      <c r="E338" t="s">
        <v>37</v>
      </c>
      <c r="F338" s="1">
        <v>44871</v>
      </c>
      <c r="G338" s="1">
        <v>44910</v>
      </c>
      <c r="H338">
        <v>4909</v>
      </c>
      <c r="I338">
        <v>215</v>
      </c>
      <c r="J338">
        <v>4694</v>
      </c>
      <c r="K338" t="s">
        <v>35</v>
      </c>
      <c r="L338">
        <v>1</v>
      </c>
      <c r="M338" t="str">
        <f t="shared" si="5"/>
        <v>0-6 Months</v>
      </c>
      <c r="N338" s="1">
        <v>44910</v>
      </c>
      <c r="O338">
        <v>0</v>
      </c>
      <c r="P338">
        <v>337</v>
      </c>
      <c r="Q338" s="2">
        <v>0.96</v>
      </c>
      <c r="R338" t="s">
        <v>27</v>
      </c>
      <c r="S338">
        <v>2022</v>
      </c>
      <c r="T338" t="s">
        <v>31</v>
      </c>
    </row>
    <row r="339" spans="1:20" hidden="1" x14ac:dyDescent="0.3">
      <c r="A339">
        <v>593</v>
      </c>
      <c r="B339">
        <v>252</v>
      </c>
      <c r="C339" t="s">
        <v>39</v>
      </c>
      <c r="D339" t="s">
        <v>25</v>
      </c>
      <c r="E339" t="s">
        <v>37</v>
      </c>
      <c r="F339" s="1">
        <v>44642</v>
      </c>
      <c r="G339" s="1">
        <v>44980</v>
      </c>
      <c r="H339">
        <v>8691</v>
      </c>
      <c r="I339">
        <v>6132</v>
      </c>
      <c r="J339">
        <v>577.01</v>
      </c>
      <c r="K339" t="s">
        <v>54</v>
      </c>
      <c r="L339">
        <v>11</v>
      </c>
      <c r="M339" t="str">
        <f t="shared" si="5"/>
        <v>6-12 Months</v>
      </c>
      <c r="N339" s="1">
        <v>44980</v>
      </c>
      <c r="O339">
        <v>0</v>
      </c>
      <c r="P339">
        <v>338</v>
      </c>
      <c r="Q339" s="2">
        <v>7.0000000000000007E-2</v>
      </c>
      <c r="R339" t="s">
        <v>27</v>
      </c>
      <c r="S339">
        <v>2023</v>
      </c>
      <c r="T339" t="s">
        <v>43</v>
      </c>
    </row>
    <row r="340" spans="1:20" x14ac:dyDescent="0.3">
      <c r="A340">
        <v>594</v>
      </c>
      <c r="B340">
        <v>243</v>
      </c>
      <c r="C340" t="s">
        <v>39</v>
      </c>
      <c r="D340" t="s">
        <v>25</v>
      </c>
      <c r="E340" t="s">
        <v>26</v>
      </c>
      <c r="F340" s="1">
        <v>44589</v>
      </c>
      <c r="G340" s="1">
        <v>45039</v>
      </c>
      <c r="H340">
        <v>1252</v>
      </c>
      <c r="I340">
        <v>5887</v>
      </c>
      <c r="J340">
        <v>-4635</v>
      </c>
      <c r="K340" t="s">
        <v>35</v>
      </c>
      <c r="L340">
        <v>14</v>
      </c>
      <c r="M340" t="str">
        <f t="shared" si="5"/>
        <v>6-12 Months</v>
      </c>
      <c r="N340" s="1">
        <v>45039</v>
      </c>
      <c r="O340">
        <v>0</v>
      </c>
      <c r="P340">
        <v>339</v>
      </c>
      <c r="Q340" s="2">
        <v>-3.7</v>
      </c>
      <c r="R340" t="s">
        <v>22</v>
      </c>
      <c r="S340">
        <v>2023</v>
      </c>
      <c r="T340" t="s">
        <v>32</v>
      </c>
    </row>
    <row r="341" spans="1:20" x14ac:dyDescent="0.3">
      <c r="A341">
        <v>595</v>
      </c>
      <c r="B341">
        <v>179</v>
      </c>
      <c r="C341" t="s">
        <v>24</v>
      </c>
      <c r="D341" t="s">
        <v>34</v>
      </c>
      <c r="E341" t="s">
        <v>26</v>
      </c>
      <c r="F341" s="1">
        <v>44884</v>
      </c>
      <c r="G341" s="1">
        <v>45077</v>
      </c>
      <c r="H341">
        <v>4431</v>
      </c>
      <c r="I341">
        <v>6075</v>
      </c>
      <c r="J341">
        <v>-1644</v>
      </c>
      <c r="K341" t="s">
        <v>35</v>
      </c>
      <c r="L341">
        <v>6</v>
      </c>
      <c r="M341" t="str">
        <f t="shared" si="5"/>
        <v>12+ Months</v>
      </c>
      <c r="N341" s="1">
        <v>45077</v>
      </c>
      <c r="O341">
        <v>1</v>
      </c>
      <c r="P341">
        <v>340</v>
      </c>
      <c r="Q341" s="2">
        <v>-0.37</v>
      </c>
      <c r="R341" t="s">
        <v>27</v>
      </c>
      <c r="S341">
        <v>2023</v>
      </c>
      <c r="T341" t="s">
        <v>28</v>
      </c>
    </row>
    <row r="342" spans="1:20" hidden="1" x14ac:dyDescent="0.3">
      <c r="A342">
        <v>596</v>
      </c>
      <c r="B342">
        <v>135</v>
      </c>
      <c r="C342" t="s">
        <v>53</v>
      </c>
      <c r="D342" t="s">
        <v>19</v>
      </c>
      <c r="E342" t="s">
        <v>37</v>
      </c>
      <c r="F342" s="1">
        <v>44611</v>
      </c>
      <c r="G342" s="1">
        <v>45208</v>
      </c>
      <c r="H342">
        <v>3995</v>
      </c>
      <c r="I342">
        <v>2283</v>
      </c>
      <c r="J342">
        <v>1712</v>
      </c>
      <c r="K342" t="s">
        <v>54</v>
      </c>
      <c r="L342">
        <v>19</v>
      </c>
      <c r="M342" t="str">
        <f t="shared" si="5"/>
        <v>6-12 Months</v>
      </c>
      <c r="N342" s="1">
        <v>45208</v>
      </c>
      <c r="O342">
        <v>1</v>
      </c>
      <c r="P342">
        <v>341</v>
      </c>
      <c r="Q342" s="2">
        <v>0.43</v>
      </c>
      <c r="R342" t="s">
        <v>27</v>
      </c>
      <c r="S342">
        <v>2023</v>
      </c>
      <c r="T342" t="s">
        <v>33</v>
      </c>
    </row>
    <row r="343" spans="1:20" hidden="1" x14ac:dyDescent="0.3">
      <c r="A343">
        <v>598</v>
      </c>
      <c r="B343">
        <v>436</v>
      </c>
      <c r="C343" t="s">
        <v>40</v>
      </c>
      <c r="D343" t="s">
        <v>29</v>
      </c>
      <c r="E343" t="s">
        <v>37</v>
      </c>
      <c r="F343" s="1">
        <v>44754</v>
      </c>
      <c r="G343" s="1">
        <v>44931</v>
      </c>
      <c r="H343">
        <v>2890</v>
      </c>
      <c r="I343">
        <v>4603</v>
      </c>
      <c r="J343">
        <v>-1713</v>
      </c>
      <c r="K343" t="s">
        <v>54</v>
      </c>
      <c r="L343">
        <v>5</v>
      </c>
      <c r="M343" t="str">
        <f t="shared" si="5"/>
        <v>0-6 Months</v>
      </c>
      <c r="N343" s="1">
        <v>44931</v>
      </c>
      <c r="O343">
        <v>0</v>
      </c>
      <c r="P343">
        <v>342</v>
      </c>
      <c r="Q343" s="2">
        <v>-0.59</v>
      </c>
      <c r="R343" t="s">
        <v>27</v>
      </c>
      <c r="S343">
        <v>2023</v>
      </c>
      <c r="T343" t="s">
        <v>23</v>
      </c>
    </row>
    <row r="344" spans="1:20" hidden="1" x14ac:dyDescent="0.3">
      <c r="A344">
        <v>600</v>
      </c>
      <c r="B344">
        <v>265</v>
      </c>
      <c r="C344" t="s">
        <v>45</v>
      </c>
      <c r="D344" t="s">
        <v>29</v>
      </c>
      <c r="E344" t="s">
        <v>26</v>
      </c>
      <c r="F344" s="1">
        <v>44686</v>
      </c>
      <c r="G344" s="1">
        <v>45271</v>
      </c>
      <c r="H344">
        <v>6227</v>
      </c>
      <c r="I344">
        <v>4736</v>
      </c>
      <c r="J344">
        <v>1491</v>
      </c>
      <c r="K344" t="s">
        <v>21</v>
      </c>
      <c r="L344">
        <v>19</v>
      </c>
      <c r="M344" t="str">
        <f t="shared" si="5"/>
        <v>6-12 Months</v>
      </c>
      <c r="N344" s="1">
        <v>45271</v>
      </c>
      <c r="O344">
        <v>0</v>
      </c>
      <c r="P344">
        <v>343</v>
      </c>
      <c r="Q344" s="2">
        <v>0.24</v>
      </c>
      <c r="R344" t="s">
        <v>27</v>
      </c>
      <c r="S344">
        <v>2023</v>
      </c>
      <c r="T344" t="s">
        <v>31</v>
      </c>
    </row>
    <row r="345" spans="1:20" hidden="1" x14ac:dyDescent="0.3">
      <c r="A345">
        <v>601</v>
      </c>
      <c r="B345">
        <v>300</v>
      </c>
      <c r="C345" t="s">
        <v>45</v>
      </c>
      <c r="D345" t="s">
        <v>19</v>
      </c>
      <c r="E345" t="s">
        <v>37</v>
      </c>
      <c r="F345" s="1">
        <v>44807</v>
      </c>
      <c r="G345" s="1">
        <v>44929</v>
      </c>
      <c r="H345">
        <v>55</v>
      </c>
      <c r="I345">
        <v>4012.75</v>
      </c>
      <c r="J345">
        <v>187</v>
      </c>
      <c r="K345" t="s">
        <v>54</v>
      </c>
      <c r="L345">
        <v>4</v>
      </c>
      <c r="M345" t="str">
        <f t="shared" si="5"/>
        <v>0-6 Months</v>
      </c>
      <c r="N345" s="1">
        <v>44929</v>
      </c>
      <c r="O345">
        <v>0</v>
      </c>
      <c r="P345">
        <v>344</v>
      </c>
      <c r="Q345" s="2">
        <v>3.4</v>
      </c>
      <c r="R345" t="s">
        <v>22</v>
      </c>
      <c r="S345">
        <v>2023</v>
      </c>
      <c r="T345" t="s">
        <v>23</v>
      </c>
    </row>
    <row r="346" spans="1:20" hidden="1" x14ac:dyDescent="0.3">
      <c r="A346">
        <v>603</v>
      </c>
      <c r="B346">
        <v>358</v>
      </c>
      <c r="C346" t="s">
        <v>24</v>
      </c>
      <c r="D346" t="s">
        <v>34</v>
      </c>
      <c r="E346" t="s">
        <v>20</v>
      </c>
      <c r="F346" s="1">
        <v>44594</v>
      </c>
      <c r="G346" s="1">
        <v>44644</v>
      </c>
      <c r="H346">
        <v>8453</v>
      </c>
      <c r="I346">
        <v>7263</v>
      </c>
      <c r="J346">
        <v>1190</v>
      </c>
      <c r="K346" t="s">
        <v>54</v>
      </c>
      <c r="L346">
        <v>1</v>
      </c>
      <c r="M346" t="str">
        <f t="shared" si="5"/>
        <v>0-6 Months</v>
      </c>
      <c r="N346" s="1">
        <v>44644</v>
      </c>
      <c r="O346">
        <v>1</v>
      </c>
      <c r="P346">
        <v>345</v>
      </c>
      <c r="Q346" s="2">
        <v>0.14000000000000001</v>
      </c>
      <c r="R346" t="s">
        <v>27</v>
      </c>
      <c r="S346">
        <v>2022</v>
      </c>
      <c r="T346" t="s">
        <v>38</v>
      </c>
    </row>
    <row r="347" spans="1:20" x14ac:dyDescent="0.3">
      <c r="A347">
        <v>606</v>
      </c>
      <c r="B347">
        <v>401</v>
      </c>
      <c r="C347" t="s">
        <v>24</v>
      </c>
      <c r="D347" t="s">
        <v>25</v>
      </c>
      <c r="E347" t="s">
        <v>20</v>
      </c>
      <c r="F347" s="1">
        <v>44746</v>
      </c>
      <c r="G347" s="1">
        <v>45175</v>
      </c>
      <c r="H347">
        <v>2036</v>
      </c>
      <c r="I347">
        <v>3302</v>
      </c>
      <c r="J347">
        <v>-1266</v>
      </c>
      <c r="K347" t="s">
        <v>35</v>
      </c>
      <c r="L347">
        <v>14</v>
      </c>
      <c r="M347" t="str">
        <f t="shared" si="5"/>
        <v>6-12 Months</v>
      </c>
      <c r="N347" s="1">
        <v>45175</v>
      </c>
      <c r="O347">
        <v>1</v>
      </c>
      <c r="P347">
        <v>346</v>
      </c>
      <c r="Q347" s="2">
        <v>-0.62</v>
      </c>
      <c r="R347" t="s">
        <v>27</v>
      </c>
      <c r="S347">
        <v>2023</v>
      </c>
      <c r="T347" t="s">
        <v>30</v>
      </c>
    </row>
    <row r="348" spans="1:20" x14ac:dyDescent="0.3">
      <c r="A348">
        <v>607</v>
      </c>
      <c r="B348">
        <v>492</v>
      </c>
      <c r="C348" t="s">
        <v>39</v>
      </c>
      <c r="D348" t="s">
        <v>19</v>
      </c>
      <c r="E348" t="s">
        <v>37</v>
      </c>
      <c r="F348" s="1">
        <v>44881</v>
      </c>
      <c r="G348" s="1">
        <v>45460</v>
      </c>
      <c r="H348">
        <v>6742</v>
      </c>
      <c r="I348">
        <v>1993</v>
      </c>
      <c r="J348">
        <v>4749</v>
      </c>
      <c r="K348" t="s">
        <v>35</v>
      </c>
      <c r="L348">
        <v>19</v>
      </c>
      <c r="M348" t="str">
        <f t="shared" si="5"/>
        <v>6-12 Months</v>
      </c>
      <c r="N348" s="1">
        <v>45460</v>
      </c>
      <c r="O348">
        <v>0</v>
      </c>
      <c r="P348">
        <v>347</v>
      </c>
      <c r="Q348" s="2">
        <v>0.7</v>
      </c>
      <c r="R348" t="s">
        <v>27</v>
      </c>
      <c r="S348">
        <v>2024</v>
      </c>
      <c r="T348" t="s">
        <v>41</v>
      </c>
    </row>
    <row r="349" spans="1:20" x14ac:dyDescent="0.3">
      <c r="A349">
        <v>611</v>
      </c>
      <c r="B349">
        <v>415</v>
      </c>
      <c r="C349" t="s">
        <v>53</v>
      </c>
      <c r="D349" t="s">
        <v>25</v>
      </c>
      <c r="E349" t="s">
        <v>26</v>
      </c>
      <c r="F349" s="1">
        <v>44628</v>
      </c>
      <c r="G349" s="1">
        <v>44864</v>
      </c>
      <c r="H349">
        <v>4967.93</v>
      </c>
      <c r="I349">
        <v>3175</v>
      </c>
      <c r="J349">
        <v>-3454</v>
      </c>
      <c r="K349" t="s">
        <v>35</v>
      </c>
      <c r="L349">
        <v>7</v>
      </c>
      <c r="M349" t="str">
        <f t="shared" si="5"/>
        <v>6-12 Months</v>
      </c>
      <c r="N349" s="1">
        <v>44864</v>
      </c>
      <c r="O349">
        <v>1</v>
      </c>
      <c r="P349">
        <v>348</v>
      </c>
      <c r="Q349" s="2">
        <v>-0.7</v>
      </c>
      <c r="R349" t="s">
        <v>27</v>
      </c>
      <c r="S349">
        <v>2022</v>
      </c>
      <c r="T349" t="s">
        <v>33</v>
      </c>
    </row>
    <row r="350" spans="1:20" hidden="1" x14ac:dyDescent="0.3">
      <c r="A350">
        <v>612</v>
      </c>
      <c r="B350">
        <v>239</v>
      </c>
      <c r="C350" t="s">
        <v>45</v>
      </c>
      <c r="D350" t="s">
        <v>19</v>
      </c>
      <c r="E350" t="s">
        <v>37</v>
      </c>
      <c r="F350" s="1">
        <v>44794</v>
      </c>
      <c r="G350" s="1">
        <v>45388</v>
      </c>
      <c r="H350">
        <v>5179</v>
      </c>
      <c r="I350">
        <v>1532</v>
      </c>
      <c r="J350">
        <v>3647</v>
      </c>
      <c r="K350" t="s">
        <v>21</v>
      </c>
      <c r="L350">
        <v>19</v>
      </c>
      <c r="M350" t="str">
        <f t="shared" si="5"/>
        <v>6-12 Months</v>
      </c>
      <c r="N350" s="1">
        <v>45388</v>
      </c>
      <c r="O350">
        <v>1</v>
      </c>
      <c r="P350">
        <v>349</v>
      </c>
      <c r="Q350" s="2">
        <v>0.7</v>
      </c>
      <c r="R350" t="s">
        <v>27</v>
      </c>
      <c r="S350">
        <v>2024</v>
      </c>
      <c r="T350" t="s">
        <v>32</v>
      </c>
    </row>
    <row r="351" spans="1:20" x14ac:dyDescent="0.3">
      <c r="A351">
        <v>613</v>
      </c>
      <c r="B351">
        <v>445</v>
      </c>
      <c r="C351" t="s">
        <v>39</v>
      </c>
      <c r="D351" t="s">
        <v>29</v>
      </c>
      <c r="E351" t="s">
        <v>26</v>
      </c>
      <c r="F351" s="1">
        <v>44671</v>
      </c>
      <c r="G351" s="1">
        <v>45028</v>
      </c>
      <c r="H351">
        <v>7340</v>
      </c>
      <c r="I351">
        <v>6791</v>
      </c>
      <c r="J351">
        <v>549</v>
      </c>
      <c r="K351" t="s">
        <v>35</v>
      </c>
      <c r="L351">
        <v>11</v>
      </c>
      <c r="M351" t="str">
        <f t="shared" si="5"/>
        <v>6-12 Months</v>
      </c>
      <c r="N351" s="1">
        <v>45028</v>
      </c>
      <c r="O351">
        <v>0</v>
      </c>
      <c r="P351">
        <v>350</v>
      </c>
      <c r="Q351" s="2">
        <v>7.0000000000000007E-2</v>
      </c>
      <c r="R351" t="s">
        <v>27</v>
      </c>
      <c r="S351">
        <v>2023</v>
      </c>
      <c r="T351" t="s">
        <v>32</v>
      </c>
    </row>
    <row r="352" spans="1:20" x14ac:dyDescent="0.3">
      <c r="A352">
        <v>614</v>
      </c>
      <c r="B352">
        <v>433</v>
      </c>
      <c r="C352" t="s">
        <v>45</v>
      </c>
      <c r="D352" t="s">
        <v>25</v>
      </c>
      <c r="E352" t="s">
        <v>26</v>
      </c>
      <c r="F352" s="1">
        <v>44710</v>
      </c>
      <c r="G352" s="1">
        <v>44987</v>
      </c>
      <c r="H352">
        <v>1303</v>
      </c>
      <c r="I352">
        <v>2398</v>
      </c>
      <c r="J352">
        <v>-1095</v>
      </c>
      <c r="K352" t="s">
        <v>35</v>
      </c>
      <c r="L352">
        <v>9</v>
      </c>
      <c r="M352" t="str">
        <f t="shared" si="5"/>
        <v>6-12 Months</v>
      </c>
      <c r="N352" s="1">
        <v>44987</v>
      </c>
      <c r="O352">
        <v>1</v>
      </c>
      <c r="P352">
        <v>351</v>
      </c>
      <c r="Q352" s="2">
        <v>-0.84</v>
      </c>
      <c r="R352" t="s">
        <v>27</v>
      </c>
      <c r="S352">
        <v>2023</v>
      </c>
      <c r="T352" t="s">
        <v>38</v>
      </c>
    </row>
    <row r="353" spans="1:20" x14ac:dyDescent="0.3">
      <c r="A353">
        <v>615</v>
      </c>
      <c r="B353">
        <v>336</v>
      </c>
      <c r="C353" t="s">
        <v>53</v>
      </c>
      <c r="D353" t="s">
        <v>34</v>
      </c>
      <c r="E353" t="s">
        <v>37</v>
      </c>
      <c r="F353" s="1">
        <v>44645</v>
      </c>
      <c r="G353" s="1">
        <v>45073</v>
      </c>
      <c r="H353">
        <v>4967.93</v>
      </c>
      <c r="I353">
        <v>4342</v>
      </c>
      <c r="J353">
        <v>-4508</v>
      </c>
      <c r="K353" t="s">
        <v>35</v>
      </c>
      <c r="L353">
        <v>14</v>
      </c>
      <c r="M353" t="str">
        <f t="shared" si="5"/>
        <v>6-12 Months</v>
      </c>
      <c r="N353" s="1">
        <v>45073</v>
      </c>
      <c r="O353">
        <v>1</v>
      </c>
      <c r="P353">
        <v>352</v>
      </c>
      <c r="Q353" s="2">
        <v>-0.91</v>
      </c>
      <c r="R353" t="s">
        <v>27</v>
      </c>
      <c r="S353">
        <v>2023</v>
      </c>
      <c r="T353" t="s">
        <v>28</v>
      </c>
    </row>
    <row r="354" spans="1:20" x14ac:dyDescent="0.3">
      <c r="A354">
        <v>616</v>
      </c>
      <c r="B354">
        <v>232</v>
      </c>
      <c r="C354" t="s">
        <v>40</v>
      </c>
      <c r="D354" t="s">
        <v>34</v>
      </c>
      <c r="E354" t="s">
        <v>20</v>
      </c>
      <c r="F354" s="1">
        <v>44598</v>
      </c>
      <c r="G354" s="1">
        <v>44793</v>
      </c>
      <c r="H354">
        <v>2908</v>
      </c>
      <c r="I354">
        <v>7268</v>
      </c>
      <c r="J354">
        <v>-4360</v>
      </c>
      <c r="K354" t="s">
        <v>35</v>
      </c>
      <c r="L354">
        <v>6</v>
      </c>
      <c r="M354" t="str">
        <f t="shared" si="5"/>
        <v>12+ Months</v>
      </c>
      <c r="N354" s="1">
        <v>44793</v>
      </c>
      <c r="O354">
        <v>0</v>
      </c>
      <c r="P354">
        <v>353</v>
      </c>
      <c r="Q354" s="2">
        <v>-1.5</v>
      </c>
      <c r="R354" t="s">
        <v>22</v>
      </c>
      <c r="S354">
        <v>2022</v>
      </c>
      <c r="T354" t="s">
        <v>36</v>
      </c>
    </row>
    <row r="355" spans="1:20" hidden="1" x14ac:dyDescent="0.3">
      <c r="A355">
        <v>617</v>
      </c>
      <c r="B355">
        <v>383</v>
      </c>
      <c r="C355" t="s">
        <v>40</v>
      </c>
      <c r="D355" t="s">
        <v>19</v>
      </c>
      <c r="E355" t="s">
        <v>26</v>
      </c>
      <c r="F355" s="1">
        <v>44804</v>
      </c>
      <c r="G355" s="1">
        <v>45167</v>
      </c>
      <c r="H355">
        <v>5593</v>
      </c>
      <c r="I355">
        <v>1946</v>
      </c>
      <c r="J355">
        <v>3647</v>
      </c>
      <c r="K355" t="s">
        <v>54</v>
      </c>
      <c r="L355">
        <v>11</v>
      </c>
      <c r="M355" t="str">
        <f t="shared" si="5"/>
        <v>6-12 Months</v>
      </c>
      <c r="N355" s="1">
        <v>45167</v>
      </c>
      <c r="O355">
        <v>0</v>
      </c>
      <c r="P355">
        <v>354</v>
      </c>
      <c r="Q355" s="2">
        <v>0.65</v>
      </c>
      <c r="R355" t="s">
        <v>27</v>
      </c>
      <c r="S355">
        <v>2023</v>
      </c>
      <c r="T355" t="s">
        <v>36</v>
      </c>
    </row>
    <row r="356" spans="1:20" x14ac:dyDescent="0.3">
      <c r="A356">
        <v>618</v>
      </c>
      <c r="B356">
        <v>463</v>
      </c>
      <c r="C356" t="s">
        <v>40</v>
      </c>
      <c r="D356" t="s">
        <v>19</v>
      </c>
      <c r="E356" t="s">
        <v>37</v>
      </c>
      <c r="F356" s="1">
        <v>44697</v>
      </c>
      <c r="G356" s="1">
        <v>45020</v>
      </c>
      <c r="H356">
        <v>8373</v>
      </c>
      <c r="I356">
        <v>7479</v>
      </c>
      <c r="J356">
        <v>894</v>
      </c>
      <c r="K356" t="s">
        <v>35</v>
      </c>
      <c r="L356">
        <v>10</v>
      </c>
      <c r="M356" t="str">
        <f t="shared" si="5"/>
        <v>6-12 Months</v>
      </c>
      <c r="N356" s="1">
        <v>45020</v>
      </c>
      <c r="O356">
        <v>1</v>
      </c>
      <c r="P356">
        <v>355</v>
      </c>
      <c r="Q356" s="2">
        <v>0.11</v>
      </c>
      <c r="R356" t="s">
        <v>27</v>
      </c>
      <c r="S356">
        <v>2023</v>
      </c>
      <c r="T356" t="s">
        <v>32</v>
      </c>
    </row>
    <row r="357" spans="1:20" hidden="1" x14ac:dyDescent="0.3">
      <c r="A357">
        <v>619</v>
      </c>
      <c r="B357">
        <v>337</v>
      </c>
      <c r="C357" t="s">
        <v>45</v>
      </c>
      <c r="D357" t="s">
        <v>19</v>
      </c>
      <c r="E357" t="s">
        <v>37</v>
      </c>
      <c r="F357" s="1">
        <v>44684</v>
      </c>
      <c r="G357" s="1">
        <v>45136</v>
      </c>
      <c r="H357">
        <v>8166</v>
      </c>
      <c r="I357">
        <v>1669</v>
      </c>
      <c r="J357">
        <v>6497</v>
      </c>
      <c r="K357" t="s">
        <v>54</v>
      </c>
      <c r="L357">
        <v>14</v>
      </c>
      <c r="M357" t="str">
        <f t="shared" si="5"/>
        <v>6-12 Months</v>
      </c>
      <c r="N357" s="1">
        <v>45136</v>
      </c>
      <c r="O357">
        <v>0</v>
      </c>
      <c r="P357">
        <v>356</v>
      </c>
      <c r="Q357" s="2">
        <v>0.8</v>
      </c>
      <c r="R357" t="s">
        <v>27</v>
      </c>
      <c r="S357">
        <v>2023</v>
      </c>
      <c r="T357" t="s">
        <v>44</v>
      </c>
    </row>
    <row r="358" spans="1:20" x14ac:dyDescent="0.3">
      <c r="A358">
        <v>620</v>
      </c>
      <c r="B358">
        <v>433</v>
      </c>
      <c r="C358" t="s">
        <v>53</v>
      </c>
      <c r="D358" t="s">
        <v>19</v>
      </c>
      <c r="E358" t="s">
        <v>20</v>
      </c>
      <c r="F358" s="1">
        <v>44913</v>
      </c>
      <c r="G358" s="1">
        <v>45000</v>
      </c>
      <c r="H358">
        <v>4967.93</v>
      </c>
      <c r="I358">
        <v>3869</v>
      </c>
      <c r="J358">
        <v>-5169</v>
      </c>
      <c r="K358" t="s">
        <v>35</v>
      </c>
      <c r="L358">
        <v>2</v>
      </c>
      <c r="M358" t="str">
        <f t="shared" si="5"/>
        <v>0-6 Months</v>
      </c>
      <c r="N358" s="1">
        <v>45000</v>
      </c>
      <c r="O358">
        <v>1</v>
      </c>
      <c r="P358">
        <v>357</v>
      </c>
      <c r="Q358" s="2">
        <v>-1.04</v>
      </c>
      <c r="R358" t="s">
        <v>22</v>
      </c>
      <c r="S358">
        <v>2023</v>
      </c>
      <c r="T358" t="s">
        <v>38</v>
      </c>
    </row>
    <row r="359" spans="1:20" hidden="1" x14ac:dyDescent="0.3">
      <c r="A359">
        <v>624</v>
      </c>
      <c r="B359">
        <v>268</v>
      </c>
      <c r="C359" t="s">
        <v>53</v>
      </c>
      <c r="D359" t="s">
        <v>25</v>
      </c>
      <c r="E359" t="s">
        <v>20</v>
      </c>
      <c r="F359" s="1">
        <v>44588</v>
      </c>
      <c r="G359" s="1">
        <v>44913</v>
      </c>
      <c r="H359">
        <v>1523</v>
      </c>
      <c r="I359">
        <v>6753</v>
      </c>
      <c r="J359">
        <v>-5230</v>
      </c>
      <c r="K359" t="s">
        <v>54</v>
      </c>
      <c r="L359">
        <v>10</v>
      </c>
      <c r="M359" t="str">
        <f t="shared" si="5"/>
        <v>6-12 Months</v>
      </c>
      <c r="N359" s="1">
        <v>44913</v>
      </c>
      <c r="O359">
        <v>1</v>
      </c>
      <c r="P359">
        <v>358</v>
      </c>
      <c r="Q359" s="2">
        <v>-3.43</v>
      </c>
      <c r="R359" t="s">
        <v>22</v>
      </c>
      <c r="S359">
        <v>2022</v>
      </c>
      <c r="T359" t="s">
        <v>31</v>
      </c>
    </row>
    <row r="360" spans="1:20" hidden="1" x14ac:dyDescent="0.3">
      <c r="A360">
        <v>626</v>
      </c>
      <c r="B360">
        <v>318</v>
      </c>
      <c r="C360" t="s">
        <v>53</v>
      </c>
      <c r="D360" t="s">
        <v>29</v>
      </c>
      <c r="E360" t="s">
        <v>20</v>
      </c>
      <c r="F360" s="1">
        <v>44721</v>
      </c>
      <c r="G360" s="1">
        <v>44800</v>
      </c>
      <c r="H360">
        <v>8041</v>
      </c>
      <c r="I360">
        <v>1015</v>
      </c>
      <c r="J360">
        <v>7026</v>
      </c>
      <c r="K360" t="s">
        <v>21</v>
      </c>
      <c r="L360">
        <v>2</v>
      </c>
      <c r="M360" t="str">
        <f t="shared" si="5"/>
        <v>0-6 Months</v>
      </c>
      <c r="N360" s="1">
        <v>44800</v>
      </c>
      <c r="O360">
        <v>1</v>
      </c>
      <c r="P360">
        <v>359</v>
      </c>
      <c r="Q360" s="2">
        <v>0.87</v>
      </c>
      <c r="R360" t="s">
        <v>27</v>
      </c>
      <c r="S360">
        <v>2022</v>
      </c>
      <c r="T360" t="s">
        <v>36</v>
      </c>
    </row>
    <row r="361" spans="1:20" hidden="1" x14ac:dyDescent="0.3">
      <c r="A361">
        <v>628</v>
      </c>
      <c r="B361">
        <v>158</v>
      </c>
      <c r="C361" t="s">
        <v>39</v>
      </c>
      <c r="D361" t="s">
        <v>29</v>
      </c>
      <c r="E361" t="s">
        <v>37</v>
      </c>
      <c r="F361" s="1">
        <v>44712</v>
      </c>
      <c r="G361" s="1">
        <v>44927</v>
      </c>
      <c r="H361">
        <v>5401</v>
      </c>
      <c r="I361">
        <v>6046</v>
      </c>
      <c r="J361">
        <v>-645</v>
      </c>
      <c r="K361" t="s">
        <v>21</v>
      </c>
      <c r="L361">
        <v>7</v>
      </c>
      <c r="M361" t="str">
        <f t="shared" si="5"/>
        <v>6-12 Months</v>
      </c>
      <c r="N361" s="1">
        <v>44927</v>
      </c>
      <c r="O361">
        <v>1</v>
      </c>
      <c r="P361">
        <v>360</v>
      </c>
      <c r="Q361" s="2">
        <v>-0.12</v>
      </c>
      <c r="R361" t="s">
        <v>27</v>
      </c>
      <c r="S361">
        <v>2023</v>
      </c>
      <c r="T361" t="s">
        <v>23</v>
      </c>
    </row>
    <row r="362" spans="1:20" hidden="1" x14ac:dyDescent="0.3">
      <c r="A362">
        <v>629</v>
      </c>
      <c r="B362">
        <v>268</v>
      </c>
      <c r="C362" t="s">
        <v>24</v>
      </c>
      <c r="D362" t="s">
        <v>25</v>
      </c>
      <c r="E362" t="s">
        <v>26</v>
      </c>
      <c r="F362" s="1">
        <v>44884</v>
      </c>
      <c r="G362" s="1">
        <v>45380</v>
      </c>
      <c r="H362">
        <v>4967.93</v>
      </c>
      <c r="I362">
        <v>6756</v>
      </c>
      <c r="J362">
        <v>-6776</v>
      </c>
      <c r="K362" t="s">
        <v>54</v>
      </c>
      <c r="L362">
        <v>16</v>
      </c>
      <c r="M362" t="str">
        <f t="shared" si="5"/>
        <v>6-12 Months</v>
      </c>
      <c r="N362" s="1">
        <v>45380</v>
      </c>
      <c r="O362">
        <v>1</v>
      </c>
      <c r="P362">
        <v>361</v>
      </c>
      <c r="Q362" s="2">
        <v>-1.36</v>
      </c>
      <c r="R362" t="s">
        <v>22</v>
      </c>
      <c r="S362">
        <v>2024</v>
      </c>
      <c r="T362" t="s">
        <v>38</v>
      </c>
    </row>
    <row r="363" spans="1:20" hidden="1" x14ac:dyDescent="0.3">
      <c r="A363">
        <v>630</v>
      </c>
      <c r="B363">
        <v>471</v>
      </c>
      <c r="C363" t="s">
        <v>45</v>
      </c>
      <c r="D363" t="s">
        <v>19</v>
      </c>
      <c r="E363" t="s">
        <v>20</v>
      </c>
      <c r="F363" s="1">
        <v>44842</v>
      </c>
      <c r="G363" s="1">
        <v>45317</v>
      </c>
      <c r="H363">
        <v>4967.93</v>
      </c>
      <c r="I363">
        <v>699</v>
      </c>
      <c r="J363">
        <v>-2647</v>
      </c>
      <c r="K363" t="s">
        <v>54</v>
      </c>
      <c r="L363">
        <v>15</v>
      </c>
      <c r="M363" t="str">
        <f t="shared" si="5"/>
        <v>6-12 Months</v>
      </c>
      <c r="N363" s="1">
        <v>45317</v>
      </c>
      <c r="O363">
        <v>1</v>
      </c>
      <c r="P363">
        <v>362</v>
      </c>
      <c r="Q363" s="2">
        <v>-0.53</v>
      </c>
      <c r="R363" t="s">
        <v>27</v>
      </c>
      <c r="S363">
        <v>2024</v>
      </c>
      <c r="T363" t="s">
        <v>23</v>
      </c>
    </row>
    <row r="364" spans="1:20" x14ac:dyDescent="0.3">
      <c r="A364">
        <v>631</v>
      </c>
      <c r="B364">
        <v>151</v>
      </c>
      <c r="C364" t="s">
        <v>53</v>
      </c>
      <c r="D364" t="s">
        <v>29</v>
      </c>
      <c r="E364" t="s">
        <v>20</v>
      </c>
      <c r="F364" s="1">
        <v>44737</v>
      </c>
      <c r="G364" s="1">
        <v>45150</v>
      </c>
      <c r="H364">
        <v>3570</v>
      </c>
      <c r="I364">
        <v>4012.75</v>
      </c>
      <c r="J364">
        <v>3932</v>
      </c>
      <c r="K364" t="s">
        <v>35</v>
      </c>
      <c r="L364">
        <v>13</v>
      </c>
      <c r="M364" t="str">
        <f t="shared" si="5"/>
        <v>6-12 Months</v>
      </c>
      <c r="N364" s="1">
        <v>45150</v>
      </c>
      <c r="O364">
        <v>0</v>
      </c>
      <c r="P364">
        <v>363</v>
      </c>
      <c r="Q364" s="2">
        <v>1.1000000000000001</v>
      </c>
      <c r="R364" t="s">
        <v>22</v>
      </c>
      <c r="S364">
        <v>2023</v>
      </c>
      <c r="T364" t="s">
        <v>36</v>
      </c>
    </row>
    <row r="365" spans="1:20" hidden="1" x14ac:dyDescent="0.3">
      <c r="A365">
        <v>634</v>
      </c>
      <c r="B365">
        <v>453</v>
      </c>
      <c r="C365" t="s">
        <v>45</v>
      </c>
      <c r="D365" t="s">
        <v>34</v>
      </c>
      <c r="E365" t="s">
        <v>26</v>
      </c>
      <c r="F365" s="1">
        <v>44745</v>
      </c>
      <c r="G365" s="1">
        <v>45033</v>
      </c>
      <c r="H365">
        <v>4967.93</v>
      </c>
      <c r="I365">
        <v>4012.75</v>
      </c>
      <c r="J365">
        <v>-879</v>
      </c>
      <c r="K365" t="s">
        <v>54</v>
      </c>
      <c r="L365">
        <v>9</v>
      </c>
      <c r="M365" t="str">
        <f t="shared" si="5"/>
        <v>6-12 Months</v>
      </c>
      <c r="N365" s="1">
        <v>45033</v>
      </c>
      <c r="O365">
        <v>1</v>
      </c>
      <c r="P365">
        <v>364</v>
      </c>
      <c r="Q365" s="2">
        <v>-0.18</v>
      </c>
      <c r="R365" t="s">
        <v>27</v>
      </c>
      <c r="S365">
        <v>2023</v>
      </c>
      <c r="T365" t="s">
        <v>32</v>
      </c>
    </row>
    <row r="366" spans="1:20" hidden="1" x14ac:dyDescent="0.3">
      <c r="A366">
        <v>636</v>
      </c>
      <c r="B366">
        <v>126</v>
      </c>
      <c r="C366" t="s">
        <v>40</v>
      </c>
      <c r="D366" t="s">
        <v>34</v>
      </c>
      <c r="E366" t="s">
        <v>37</v>
      </c>
      <c r="F366" s="1">
        <v>44607</v>
      </c>
      <c r="G366" s="1">
        <v>45016</v>
      </c>
      <c r="H366">
        <v>5</v>
      </c>
      <c r="I366">
        <v>6111</v>
      </c>
      <c r="J366">
        <v>-6106</v>
      </c>
      <c r="K366" t="s">
        <v>21</v>
      </c>
      <c r="L366">
        <v>13</v>
      </c>
      <c r="M366" t="str">
        <f t="shared" si="5"/>
        <v>6-12 Months</v>
      </c>
      <c r="N366" s="1">
        <v>45016</v>
      </c>
      <c r="O366">
        <v>1</v>
      </c>
      <c r="P366">
        <v>365</v>
      </c>
      <c r="Q366" s="2">
        <v>-1221.2</v>
      </c>
      <c r="R366" t="s">
        <v>22</v>
      </c>
      <c r="S366">
        <v>2023</v>
      </c>
      <c r="T366" t="s">
        <v>38</v>
      </c>
    </row>
    <row r="367" spans="1:20" hidden="1" x14ac:dyDescent="0.3">
      <c r="A367">
        <v>637</v>
      </c>
      <c r="B367">
        <v>325</v>
      </c>
      <c r="C367" t="s">
        <v>24</v>
      </c>
      <c r="D367" t="s">
        <v>25</v>
      </c>
      <c r="E367" t="s">
        <v>26</v>
      </c>
      <c r="F367" s="1">
        <v>44758</v>
      </c>
      <c r="G367" s="1">
        <v>44932</v>
      </c>
      <c r="H367">
        <v>3008</v>
      </c>
      <c r="I367">
        <v>6537</v>
      </c>
      <c r="J367">
        <v>-3529</v>
      </c>
      <c r="K367" t="s">
        <v>54</v>
      </c>
      <c r="L367">
        <v>5</v>
      </c>
      <c r="M367" t="str">
        <f t="shared" si="5"/>
        <v>0-6 Months</v>
      </c>
      <c r="N367" s="1">
        <v>44932</v>
      </c>
      <c r="O367">
        <v>1</v>
      </c>
      <c r="P367">
        <v>366</v>
      </c>
      <c r="Q367" s="2">
        <v>-1.17</v>
      </c>
      <c r="R367" t="s">
        <v>22</v>
      </c>
      <c r="S367">
        <v>2023</v>
      </c>
      <c r="T367" t="s">
        <v>23</v>
      </c>
    </row>
    <row r="368" spans="1:20" hidden="1" x14ac:dyDescent="0.3">
      <c r="A368">
        <v>639</v>
      </c>
      <c r="B368">
        <v>103</v>
      </c>
      <c r="C368" t="s">
        <v>40</v>
      </c>
      <c r="D368" t="s">
        <v>29</v>
      </c>
      <c r="E368" t="s">
        <v>26</v>
      </c>
      <c r="F368" s="1">
        <v>44598</v>
      </c>
      <c r="G368" s="1">
        <v>44715</v>
      </c>
      <c r="H368">
        <v>8497</v>
      </c>
      <c r="I368">
        <v>6498</v>
      </c>
      <c r="J368">
        <v>1999</v>
      </c>
      <c r="K368" t="s">
        <v>54</v>
      </c>
      <c r="L368">
        <v>3</v>
      </c>
      <c r="M368" t="str">
        <f t="shared" si="5"/>
        <v>0-6 Months</v>
      </c>
      <c r="N368" s="1">
        <v>44715</v>
      </c>
      <c r="O368">
        <v>0</v>
      </c>
      <c r="P368">
        <v>367</v>
      </c>
      <c r="Q368" s="2">
        <v>0.24</v>
      </c>
      <c r="R368" t="s">
        <v>27</v>
      </c>
      <c r="S368">
        <v>2022</v>
      </c>
      <c r="T368" t="s">
        <v>41</v>
      </c>
    </row>
    <row r="369" spans="1:20" x14ac:dyDescent="0.3">
      <c r="A369">
        <v>640</v>
      </c>
      <c r="B369">
        <v>460</v>
      </c>
      <c r="C369" t="s">
        <v>45</v>
      </c>
      <c r="D369" t="s">
        <v>29</v>
      </c>
      <c r="E369" t="s">
        <v>37</v>
      </c>
      <c r="F369" s="1">
        <v>44648</v>
      </c>
      <c r="G369" s="1">
        <v>45071</v>
      </c>
      <c r="H369">
        <v>3515</v>
      </c>
      <c r="I369">
        <v>6593</v>
      </c>
      <c r="J369">
        <v>-3078</v>
      </c>
      <c r="K369" t="s">
        <v>35</v>
      </c>
      <c r="L369">
        <v>13</v>
      </c>
      <c r="M369" t="str">
        <f t="shared" si="5"/>
        <v>6-12 Months</v>
      </c>
      <c r="N369" s="1">
        <v>45071</v>
      </c>
      <c r="O369">
        <v>0</v>
      </c>
      <c r="P369">
        <v>368</v>
      </c>
      <c r="Q369" s="2">
        <v>-0.88</v>
      </c>
      <c r="R369" t="s">
        <v>27</v>
      </c>
      <c r="S369">
        <v>2023</v>
      </c>
      <c r="T369" t="s">
        <v>28</v>
      </c>
    </row>
    <row r="370" spans="1:20" hidden="1" x14ac:dyDescent="0.3">
      <c r="A370">
        <v>641</v>
      </c>
      <c r="B370">
        <v>158</v>
      </c>
      <c r="C370" t="s">
        <v>40</v>
      </c>
      <c r="D370" t="s">
        <v>34</v>
      </c>
      <c r="E370" t="s">
        <v>20</v>
      </c>
      <c r="F370" s="1">
        <v>44671</v>
      </c>
      <c r="G370" s="1">
        <v>44796</v>
      </c>
      <c r="H370">
        <v>2675</v>
      </c>
      <c r="I370">
        <v>7391</v>
      </c>
      <c r="J370">
        <v>577.01</v>
      </c>
      <c r="K370" t="s">
        <v>54</v>
      </c>
      <c r="L370">
        <v>4</v>
      </c>
      <c r="M370" t="str">
        <f t="shared" si="5"/>
        <v>0-6 Months</v>
      </c>
      <c r="N370" s="1">
        <v>44796</v>
      </c>
      <c r="O370">
        <v>1</v>
      </c>
      <c r="P370">
        <v>369</v>
      </c>
      <c r="Q370" s="2">
        <v>0.22</v>
      </c>
      <c r="R370" t="s">
        <v>27</v>
      </c>
      <c r="S370">
        <v>2022</v>
      </c>
      <c r="T370" t="s">
        <v>36</v>
      </c>
    </row>
    <row r="371" spans="1:20" hidden="1" x14ac:dyDescent="0.3">
      <c r="A371">
        <v>642</v>
      </c>
      <c r="B371">
        <v>374</v>
      </c>
      <c r="C371" t="s">
        <v>24</v>
      </c>
      <c r="D371" t="s">
        <v>19</v>
      </c>
      <c r="E371" t="s">
        <v>20</v>
      </c>
      <c r="F371" s="1">
        <v>44620</v>
      </c>
      <c r="G371" s="1">
        <v>45154</v>
      </c>
      <c r="H371">
        <v>3475</v>
      </c>
      <c r="I371">
        <v>3742</v>
      </c>
      <c r="J371">
        <v>-267</v>
      </c>
      <c r="K371" t="s">
        <v>21</v>
      </c>
      <c r="L371">
        <v>17</v>
      </c>
      <c r="M371" t="str">
        <f t="shared" si="5"/>
        <v>6-12 Months</v>
      </c>
      <c r="N371" s="1">
        <v>45154</v>
      </c>
      <c r="O371">
        <v>0</v>
      </c>
      <c r="P371">
        <v>370</v>
      </c>
      <c r="Q371" s="2">
        <v>-0.08</v>
      </c>
      <c r="R371" t="s">
        <v>27</v>
      </c>
      <c r="S371">
        <v>2023</v>
      </c>
      <c r="T371" t="s">
        <v>36</v>
      </c>
    </row>
    <row r="372" spans="1:20" hidden="1" x14ac:dyDescent="0.3">
      <c r="A372">
        <v>645</v>
      </c>
      <c r="B372">
        <v>164</v>
      </c>
      <c r="C372" t="s">
        <v>45</v>
      </c>
      <c r="D372" t="s">
        <v>29</v>
      </c>
      <c r="E372" t="s">
        <v>37</v>
      </c>
      <c r="F372" s="1">
        <v>44779</v>
      </c>
      <c r="G372" s="1">
        <v>45175</v>
      </c>
      <c r="H372">
        <v>4967.93</v>
      </c>
      <c r="I372">
        <v>271</v>
      </c>
      <c r="J372">
        <v>-691</v>
      </c>
      <c r="K372" t="s">
        <v>21</v>
      </c>
      <c r="L372">
        <v>13</v>
      </c>
      <c r="M372" t="str">
        <f t="shared" si="5"/>
        <v>6-12 Months</v>
      </c>
      <c r="N372" s="1">
        <v>45175</v>
      </c>
      <c r="O372">
        <v>0</v>
      </c>
      <c r="P372">
        <v>371</v>
      </c>
      <c r="Q372" s="2">
        <v>-0.14000000000000001</v>
      </c>
      <c r="R372" t="s">
        <v>27</v>
      </c>
      <c r="S372">
        <v>2023</v>
      </c>
      <c r="T372" t="s">
        <v>30</v>
      </c>
    </row>
    <row r="373" spans="1:20" hidden="1" x14ac:dyDescent="0.3">
      <c r="A373">
        <v>646</v>
      </c>
      <c r="B373">
        <v>259</v>
      </c>
      <c r="C373" t="s">
        <v>53</v>
      </c>
      <c r="D373" t="s">
        <v>34</v>
      </c>
      <c r="E373" t="s">
        <v>37</v>
      </c>
      <c r="F373" s="1">
        <v>44684</v>
      </c>
      <c r="G373" s="1">
        <v>44759</v>
      </c>
      <c r="H373">
        <v>8283</v>
      </c>
      <c r="I373">
        <v>1204</v>
      </c>
      <c r="J373">
        <v>577.01</v>
      </c>
      <c r="K373" t="s">
        <v>54</v>
      </c>
      <c r="L373">
        <v>2</v>
      </c>
      <c r="M373" t="str">
        <f t="shared" si="5"/>
        <v>0-6 Months</v>
      </c>
      <c r="N373" s="1">
        <v>44759</v>
      </c>
      <c r="O373">
        <v>0</v>
      </c>
      <c r="P373">
        <v>372</v>
      </c>
      <c r="Q373" s="2">
        <v>7.0000000000000007E-2</v>
      </c>
      <c r="R373" t="s">
        <v>27</v>
      </c>
      <c r="S373">
        <v>2022</v>
      </c>
      <c r="T373" t="s">
        <v>44</v>
      </c>
    </row>
    <row r="374" spans="1:20" hidden="1" x14ac:dyDescent="0.3">
      <c r="A374">
        <v>647</v>
      </c>
      <c r="B374">
        <v>278</v>
      </c>
      <c r="C374" t="s">
        <v>24</v>
      </c>
      <c r="D374" t="s">
        <v>19</v>
      </c>
      <c r="E374" t="s">
        <v>37</v>
      </c>
      <c r="F374" s="1">
        <v>44901</v>
      </c>
      <c r="G374" s="1">
        <v>45487</v>
      </c>
      <c r="H374">
        <v>2436</v>
      </c>
      <c r="I374">
        <v>7473</v>
      </c>
      <c r="J374">
        <v>-5037</v>
      </c>
      <c r="K374" t="s">
        <v>54</v>
      </c>
      <c r="L374">
        <v>19</v>
      </c>
      <c r="M374" t="str">
        <f t="shared" si="5"/>
        <v>6-12 Months</v>
      </c>
      <c r="N374" s="1">
        <v>45487</v>
      </c>
      <c r="O374">
        <v>1</v>
      </c>
      <c r="P374">
        <v>373</v>
      </c>
      <c r="Q374" s="2">
        <v>-2.0699999999999998</v>
      </c>
      <c r="R374" t="s">
        <v>22</v>
      </c>
      <c r="S374">
        <v>2024</v>
      </c>
      <c r="T374" t="s">
        <v>44</v>
      </c>
    </row>
    <row r="375" spans="1:20" hidden="1" x14ac:dyDescent="0.3">
      <c r="A375">
        <v>648</v>
      </c>
      <c r="B375">
        <v>343</v>
      </c>
      <c r="C375" t="s">
        <v>40</v>
      </c>
      <c r="D375" t="s">
        <v>25</v>
      </c>
      <c r="E375" t="s">
        <v>37</v>
      </c>
      <c r="F375" s="1">
        <v>44871</v>
      </c>
      <c r="G375" s="1">
        <v>45459</v>
      </c>
      <c r="H375">
        <v>1247</v>
      </c>
      <c r="I375">
        <v>4447</v>
      </c>
      <c r="J375">
        <v>-3200</v>
      </c>
      <c r="K375" t="s">
        <v>54</v>
      </c>
      <c r="L375">
        <v>19</v>
      </c>
      <c r="M375" t="str">
        <f t="shared" si="5"/>
        <v>6-12 Months</v>
      </c>
      <c r="N375" s="1">
        <v>45459</v>
      </c>
      <c r="O375">
        <v>0</v>
      </c>
      <c r="P375">
        <v>374</v>
      </c>
      <c r="Q375" s="2">
        <v>-2.57</v>
      </c>
      <c r="R375" t="s">
        <v>22</v>
      </c>
      <c r="S375">
        <v>2024</v>
      </c>
      <c r="T375" t="s">
        <v>41</v>
      </c>
    </row>
    <row r="376" spans="1:20" hidden="1" x14ac:dyDescent="0.3">
      <c r="A376">
        <v>649</v>
      </c>
      <c r="B376">
        <v>480</v>
      </c>
      <c r="C376" t="s">
        <v>39</v>
      </c>
      <c r="D376" t="s">
        <v>29</v>
      </c>
      <c r="E376" t="s">
        <v>20</v>
      </c>
      <c r="F376" s="1">
        <v>44658</v>
      </c>
      <c r="G376" s="1">
        <v>44795</v>
      </c>
      <c r="H376">
        <v>3971</v>
      </c>
      <c r="I376">
        <v>2779</v>
      </c>
      <c r="J376">
        <v>1192</v>
      </c>
      <c r="K376" t="s">
        <v>54</v>
      </c>
      <c r="L376">
        <v>4</v>
      </c>
      <c r="M376" t="str">
        <f t="shared" si="5"/>
        <v>0-6 Months</v>
      </c>
      <c r="N376" s="1">
        <v>44795</v>
      </c>
      <c r="O376">
        <v>0</v>
      </c>
      <c r="P376">
        <v>375</v>
      </c>
      <c r="Q376" s="2">
        <v>0.3</v>
      </c>
      <c r="R376" t="s">
        <v>27</v>
      </c>
      <c r="S376">
        <v>2022</v>
      </c>
      <c r="T376" t="s">
        <v>36</v>
      </c>
    </row>
    <row r="377" spans="1:20" hidden="1" x14ac:dyDescent="0.3">
      <c r="A377">
        <v>650</v>
      </c>
      <c r="B377">
        <v>445</v>
      </c>
      <c r="C377" t="s">
        <v>45</v>
      </c>
      <c r="D377" t="s">
        <v>29</v>
      </c>
      <c r="E377" t="s">
        <v>26</v>
      </c>
      <c r="F377" s="1">
        <v>44728</v>
      </c>
      <c r="G377" s="1">
        <v>45182</v>
      </c>
      <c r="H377">
        <v>7461</v>
      </c>
      <c r="I377">
        <v>5453</v>
      </c>
      <c r="J377">
        <v>2008</v>
      </c>
      <c r="K377" t="s">
        <v>54</v>
      </c>
      <c r="L377">
        <v>14</v>
      </c>
      <c r="M377" t="str">
        <f t="shared" si="5"/>
        <v>6-12 Months</v>
      </c>
      <c r="N377" s="1">
        <v>45182</v>
      </c>
      <c r="O377">
        <v>0</v>
      </c>
      <c r="P377">
        <v>376</v>
      </c>
      <c r="Q377" s="2">
        <v>0.27</v>
      </c>
      <c r="R377" t="s">
        <v>27</v>
      </c>
      <c r="S377">
        <v>2023</v>
      </c>
      <c r="T377" t="s">
        <v>30</v>
      </c>
    </row>
    <row r="378" spans="1:20" hidden="1" x14ac:dyDescent="0.3">
      <c r="A378">
        <v>653</v>
      </c>
      <c r="B378">
        <v>196</v>
      </c>
      <c r="C378" t="s">
        <v>40</v>
      </c>
      <c r="D378" t="s">
        <v>29</v>
      </c>
      <c r="E378" t="s">
        <v>37</v>
      </c>
      <c r="F378" s="1">
        <v>44907</v>
      </c>
      <c r="G378" s="1">
        <v>45017</v>
      </c>
      <c r="H378">
        <v>8897</v>
      </c>
      <c r="I378">
        <v>630</v>
      </c>
      <c r="J378">
        <v>8267</v>
      </c>
      <c r="K378" t="s">
        <v>21</v>
      </c>
      <c r="L378">
        <v>3</v>
      </c>
      <c r="M378" t="str">
        <f t="shared" si="5"/>
        <v>0-6 Months</v>
      </c>
      <c r="N378" s="1">
        <v>45017</v>
      </c>
      <c r="O378">
        <v>1</v>
      </c>
      <c r="P378">
        <v>377</v>
      </c>
      <c r="Q378" s="2">
        <v>0.93</v>
      </c>
      <c r="R378" t="s">
        <v>27</v>
      </c>
      <c r="S378">
        <v>2023</v>
      </c>
      <c r="T378" t="s">
        <v>32</v>
      </c>
    </row>
    <row r="379" spans="1:20" hidden="1" x14ac:dyDescent="0.3">
      <c r="A379">
        <v>656</v>
      </c>
      <c r="B379">
        <v>113</v>
      </c>
      <c r="C379" t="s">
        <v>53</v>
      </c>
      <c r="D379" t="s">
        <v>25</v>
      </c>
      <c r="E379" t="s">
        <v>20</v>
      </c>
      <c r="F379" s="1">
        <v>44682</v>
      </c>
      <c r="G379" s="1">
        <v>45062</v>
      </c>
      <c r="H379">
        <v>996</v>
      </c>
      <c r="I379">
        <v>3374</v>
      </c>
      <c r="J379">
        <v>-2378</v>
      </c>
      <c r="K379" t="s">
        <v>54</v>
      </c>
      <c r="L379">
        <v>12</v>
      </c>
      <c r="M379" t="str">
        <f t="shared" si="5"/>
        <v>6-12 Months</v>
      </c>
      <c r="N379" s="1">
        <v>45062</v>
      </c>
      <c r="O379">
        <v>0</v>
      </c>
      <c r="P379">
        <v>378</v>
      </c>
      <c r="Q379" s="2">
        <v>-2.39</v>
      </c>
      <c r="R379" t="s">
        <v>22</v>
      </c>
      <c r="S379">
        <v>2023</v>
      </c>
      <c r="T379" t="s">
        <v>28</v>
      </c>
    </row>
    <row r="380" spans="1:20" hidden="1" x14ac:dyDescent="0.3">
      <c r="A380">
        <v>657</v>
      </c>
      <c r="B380">
        <v>141</v>
      </c>
      <c r="C380" t="s">
        <v>39</v>
      </c>
      <c r="D380" t="s">
        <v>19</v>
      </c>
      <c r="E380" t="s">
        <v>26</v>
      </c>
      <c r="F380" s="1">
        <v>44694</v>
      </c>
      <c r="G380" s="1">
        <v>44852</v>
      </c>
      <c r="H380">
        <v>5176</v>
      </c>
      <c r="I380">
        <v>4599</v>
      </c>
      <c r="J380">
        <v>577</v>
      </c>
      <c r="K380" t="s">
        <v>21</v>
      </c>
      <c r="L380">
        <v>5</v>
      </c>
      <c r="M380" t="str">
        <f t="shared" si="5"/>
        <v>0-6 Months</v>
      </c>
      <c r="N380" s="1">
        <v>44852</v>
      </c>
      <c r="O380">
        <v>0</v>
      </c>
      <c r="P380">
        <v>379</v>
      </c>
      <c r="Q380" s="2">
        <v>0.11</v>
      </c>
      <c r="R380" t="s">
        <v>27</v>
      </c>
      <c r="S380">
        <v>2022</v>
      </c>
      <c r="T380" t="s">
        <v>33</v>
      </c>
    </row>
    <row r="381" spans="1:20" hidden="1" x14ac:dyDescent="0.3">
      <c r="A381">
        <v>659</v>
      </c>
      <c r="B381">
        <v>285</v>
      </c>
      <c r="C381" t="s">
        <v>24</v>
      </c>
      <c r="D381" t="s">
        <v>34</v>
      </c>
      <c r="E381" t="s">
        <v>20</v>
      </c>
      <c r="F381" s="1">
        <v>44620</v>
      </c>
      <c r="G381" s="1">
        <v>45149</v>
      </c>
      <c r="H381">
        <v>8334</v>
      </c>
      <c r="I381">
        <v>6977</v>
      </c>
      <c r="J381">
        <v>1357</v>
      </c>
      <c r="K381" t="s">
        <v>54</v>
      </c>
      <c r="L381">
        <v>17</v>
      </c>
      <c r="M381" t="str">
        <f t="shared" si="5"/>
        <v>6-12 Months</v>
      </c>
      <c r="N381" s="1">
        <v>45149</v>
      </c>
      <c r="O381">
        <v>0</v>
      </c>
      <c r="P381">
        <v>380</v>
      </c>
      <c r="Q381" s="2">
        <v>0.16</v>
      </c>
      <c r="R381" t="s">
        <v>27</v>
      </c>
      <c r="S381">
        <v>2023</v>
      </c>
      <c r="T381" t="s">
        <v>36</v>
      </c>
    </row>
    <row r="382" spans="1:20" hidden="1" x14ac:dyDescent="0.3">
      <c r="A382">
        <v>660</v>
      </c>
      <c r="B382">
        <v>403</v>
      </c>
      <c r="C382" t="s">
        <v>24</v>
      </c>
      <c r="D382" t="s">
        <v>19</v>
      </c>
      <c r="E382" t="s">
        <v>20</v>
      </c>
      <c r="F382" s="1">
        <v>44767</v>
      </c>
      <c r="G382" s="1">
        <v>45101</v>
      </c>
      <c r="H382">
        <v>4741</v>
      </c>
      <c r="I382">
        <v>7386</v>
      </c>
      <c r="J382">
        <v>-2645</v>
      </c>
      <c r="K382" t="s">
        <v>54</v>
      </c>
      <c r="L382">
        <v>10</v>
      </c>
      <c r="M382" t="str">
        <f t="shared" si="5"/>
        <v>6-12 Months</v>
      </c>
      <c r="N382" s="1">
        <v>45101</v>
      </c>
      <c r="O382">
        <v>0</v>
      </c>
      <c r="P382">
        <v>381</v>
      </c>
      <c r="Q382" s="2">
        <v>-0.56000000000000005</v>
      </c>
      <c r="R382" t="s">
        <v>27</v>
      </c>
      <c r="S382">
        <v>2023</v>
      </c>
      <c r="T382" t="s">
        <v>41</v>
      </c>
    </row>
    <row r="383" spans="1:20" hidden="1" x14ac:dyDescent="0.3">
      <c r="A383">
        <v>661</v>
      </c>
      <c r="B383">
        <v>126</v>
      </c>
      <c r="C383" t="s">
        <v>45</v>
      </c>
      <c r="D383" t="s">
        <v>29</v>
      </c>
      <c r="E383" t="s">
        <v>26</v>
      </c>
      <c r="F383" s="1">
        <v>44841</v>
      </c>
      <c r="G383" s="1">
        <v>45361</v>
      </c>
      <c r="H383">
        <v>2974</v>
      </c>
      <c r="I383">
        <v>2452</v>
      </c>
      <c r="J383">
        <v>522</v>
      </c>
      <c r="K383" t="s">
        <v>54</v>
      </c>
      <c r="L383">
        <v>17</v>
      </c>
      <c r="M383" t="str">
        <f t="shared" si="5"/>
        <v>6-12 Months</v>
      </c>
      <c r="N383" s="1">
        <v>45361</v>
      </c>
      <c r="O383">
        <v>1</v>
      </c>
      <c r="P383">
        <v>382</v>
      </c>
      <c r="Q383" s="2">
        <v>0.18</v>
      </c>
      <c r="R383" t="s">
        <v>27</v>
      </c>
      <c r="S383">
        <v>2024</v>
      </c>
      <c r="T383" t="s">
        <v>38</v>
      </c>
    </row>
    <row r="384" spans="1:20" hidden="1" x14ac:dyDescent="0.3">
      <c r="A384">
        <v>662</v>
      </c>
      <c r="B384">
        <v>337</v>
      </c>
      <c r="C384" t="s">
        <v>53</v>
      </c>
      <c r="D384" t="s">
        <v>29</v>
      </c>
      <c r="E384" t="s">
        <v>26</v>
      </c>
      <c r="F384" s="1">
        <v>44838</v>
      </c>
      <c r="G384" s="1">
        <v>45169</v>
      </c>
      <c r="H384">
        <v>4708</v>
      </c>
      <c r="I384">
        <v>7330</v>
      </c>
      <c r="J384">
        <v>-2622</v>
      </c>
      <c r="K384" t="s">
        <v>54</v>
      </c>
      <c r="L384">
        <v>10</v>
      </c>
      <c r="M384" t="str">
        <f t="shared" si="5"/>
        <v>6-12 Months</v>
      </c>
      <c r="N384" s="1">
        <v>45169</v>
      </c>
      <c r="O384">
        <v>1</v>
      </c>
      <c r="P384">
        <v>383</v>
      </c>
      <c r="Q384" s="2">
        <v>-0.56000000000000005</v>
      </c>
      <c r="R384" t="s">
        <v>27</v>
      </c>
      <c r="S384">
        <v>2023</v>
      </c>
      <c r="T384" t="s">
        <v>36</v>
      </c>
    </row>
    <row r="385" spans="1:20" hidden="1" x14ac:dyDescent="0.3">
      <c r="A385">
        <v>665</v>
      </c>
      <c r="B385">
        <v>215</v>
      </c>
      <c r="C385" t="s">
        <v>39</v>
      </c>
      <c r="D385" t="s">
        <v>29</v>
      </c>
      <c r="E385" t="s">
        <v>37</v>
      </c>
      <c r="F385" s="1">
        <v>44590</v>
      </c>
      <c r="G385" s="1">
        <v>44884</v>
      </c>
      <c r="H385">
        <v>588</v>
      </c>
      <c r="I385">
        <v>4101</v>
      </c>
      <c r="J385">
        <v>-3513</v>
      </c>
      <c r="K385" t="s">
        <v>21</v>
      </c>
      <c r="L385">
        <v>9</v>
      </c>
      <c r="M385" t="str">
        <f t="shared" si="5"/>
        <v>6-12 Months</v>
      </c>
      <c r="N385" s="1">
        <v>44884</v>
      </c>
      <c r="O385">
        <v>1</v>
      </c>
      <c r="P385">
        <v>384</v>
      </c>
      <c r="Q385" s="2">
        <v>-5.97</v>
      </c>
      <c r="R385" t="s">
        <v>22</v>
      </c>
      <c r="S385">
        <v>2022</v>
      </c>
      <c r="T385" t="s">
        <v>42</v>
      </c>
    </row>
    <row r="386" spans="1:20" x14ac:dyDescent="0.3">
      <c r="A386">
        <v>667</v>
      </c>
      <c r="B386">
        <v>424</v>
      </c>
      <c r="C386" t="s">
        <v>24</v>
      </c>
      <c r="D386" t="s">
        <v>25</v>
      </c>
      <c r="E386" t="s">
        <v>20</v>
      </c>
      <c r="F386" s="1">
        <v>44876</v>
      </c>
      <c r="G386" s="1">
        <v>45363</v>
      </c>
      <c r="H386">
        <v>6259</v>
      </c>
      <c r="I386">
        <v>1309</v>
      </c>
      <c r="J386">
        <v>577.01</v>
      </c>
      <c r="K386" t="s">
        <v>35</v>
      </c>
      <c r="L386">
        <v>16</v>
      </c>
      <c r="M386" t="str">
        <f t="shared" ref="M386:M449" si="6">IF(L386&lt;6,"0-6 Months",IF(L386&gt;6,"6-12 Months","12+ Months"))</f>
        <v>6-12 Months</v>
      </c>
      <c r="N386" s="1">
        <v>45363</v>
      </c>
      <c r="O386">
        <v>1</v>
      </c>
      <c r="P386">
        <v>385</v>
      </c>
      <c r="Q386" s="2">
        <v>0.09</v>
      </c>
      <c r="R386" t="s">
        <v>27</v>
      </c>
      <c r="S386">
        <v>2024</v>
      </c>
      <c r="T386" t="s">
        <v>38</v>
      </c>
    </row>
    <row r="387" spans="1:20" hidden="1" x14ac:dyDescent="0.3">
      <c r="A387">
        <v>669</v>
      </c>
      <c r="B387">
        <v>301</v>
      </c>
      <c r="C387" t="s">
        <v>40</v>
      </c>
      <c r="D387" t="s">
        <v>29</v>
      </c>
      <c r="E387" t="s">
        <v>37</v>
      </c>
      <c r="F387" s="1">
        <v>44665</v>
      </c>
      <c r="G387" s="1">
        <v>44915</v>
      </c>
      <c r="H387">
        <v>7197</v>
      </c>
      <c r="I387">
        <v>4653</v>
      </c>
      <c r="J387">
        <v>2544</v>
      </c>
      <c r="K387" t="s">
        <v>54</v>
      </c>
      <c r="L387">
        <v>8</v>
      </c>
      <c r="M387" t="str">
        <f t="shared" si="6"/>
        <v>6-12 Months</v>
      </c>
      <c r="N387" s="1">
        <v>44915</v>
      </c>
      <c r="O387">
        <v>0</v>
      </c>
      <c r="P387">
        <v>386</v>
      </c>
      <c r="Q387" s="2">
        <v>0.35</v>
      </c>
      <c r="R387" t="s">
        <v>27</v>
      </c>
      <c r="S387">
        <v>2022</v>
      </c>
      <c r="T387" t="s">
        <v>31</v>
      </c>
    </row>
    <row r="388" spans="1:20" hidden="1" x14ac:dyDescent="0.3">
      <c r="A388">
        <v>673</v>
      </c>
      <c r="B388">
        <v>451</v>
      </c>
      <c r="C388" t="s">
        <v>53</v>
      </c>
      <c r="D388" t="s">
        <v>34</v>
      </c>
      <c r="E388" t="s">
        <v>37</v>
      </c>
      <c r="F388" s="1">
        <v>44645</v>
      </c>
      <c r="G388" s="1">
        <v>44938</v>
      </c>
      <c r="H388">
        <v>1994</v>
      </c>
      <c r="I388">
        <v>3736</v>
      </c>
      <c r="J388">
        <v>-1742</v>
      </c>
      <c r="K388" t="s">
        <v>54</v>
      </c>
      <c r="L388">
        <v>9</v>
      </c>
      <c r="M388" t="str">
        <f t="shared" si="6"/>
        <v>6-12 Months</v>
      </c>
      <c r="N388" s="1">
        <v>44938</v>
      </c>
      <c r="O388">
        <v>0</v>
      </c>
      <c r="P388">
        <v>387</v>
      </c>
      <c r="Q388" s="2">
        <v>-0.87</v>
      </c>
      <c r="R388" t="s">
        <v>27</v>
      </c>
      <c r="S388">
        <v>2023</v>
      </c>
      <c r="T388" t="s">
        <v>23</v>
      </c>
    </row>
    <row r="389" spans="1:20" hidden="1" x14ac:dyDescent="0.3">
      <c r="A389">
        <v>674</v>
      </c>
      <c r="B389">
        <v>481</v>
      </c>
      <c r="C389" t="s">
        <v>45</v>
      </c>
      <c r="D389" t="s">
        <v>25</v>
      </c>
      <c r="E389" t="s">
        <v>20</v>
      </c>
      <c r="F389" s="1">
        <v>44655</v>
      </c>
      <c r="G389" s="1">
        <v>45180</v>
      </c>
      <c r="H389">
        <v>7056</v>
      </c>
      <c r="I389">
        <v>5736</v>
      </c>
      <c r="J389">
        <v>1320</v>
      </c>
      <c r="K389" t="s">
        <v>21</v>
      </c>
      <c r="L389">
        <v>17</v>
      </c>
      <c r="M389" t="str">
        <f t="shared" si="6"/>
        <v>6-12 Months</v>
      </c>
      <c r="N389" s="1">
        <v>45180</v>
      </c>
      <c r="O389">
        <v>0</v>
      </c>
      <c r="P389">
        <v>388</v>
      </c>
      <c r="Q389" s="2">
        <v>0.19</v>
      </c>
      <c r="R389" t="s">
        <v>27</v>
      </c>
      <c r="S389">
        <v>2023</v>
      </c>
      <c r="T389" t="s">
        <v>30</v>
      </c>
    </row>
    <row r="390" spans="1:20" hidden="1" x14ac:dyDescent="0.3">
      <c r="A390">
        <v>675</v>
      </c>
      <c r="B390">
        <v>331</v>
      </c>
      <c r="C390" t="s">
        <v>53</v>
      </c>
      <c r="D390" t="s">
        <v>29</v>
      </c>
      <c r="E390" t="s">
        <v>37</v>
      </c>
      <c r="F390" s="1">
        <v>44801</v>
      </c>
      <c r="G390" s="1">
        <v>44943</v>
      </c>
      <c r="H390">
        <v>6193</v>
      </c>
      <c r="I390">
        <v>2271</v>
      </c>
      <c r="J390">
        <v>577.01</v>
      </c>
      <c r="K390" t="s">
        <v>54</v>
      </c>
      <c r="L390">
        <v>4</v>
      </c>
      <c r="M390" t="str">
        <f t="shared" si="6"/>
        <v>0-6 Months</v>
      </c>
      <c r="N390" s="1">
        <v>44943</v>
      </c>
      <c r="O390">
        <v>1</v>
      </c>
      <c r="P390">
        <v>389</v>
      </c>
      <c r="Q390" s="2">
        <v>0.09</v>
      </c>
      <c r="R390" t="s">
        <v>27</v>
      </c>
      <c r="S390">
        <v>2023</v>
      </c>
      <c r="T390" t="s">
        <v>23</v>
      </c>
    </row>
    <row r="391" spans="1:20" x14ac:dyDescent="0.3">
      <c r="A391">
        <v>676</v>
      </c>
      <c r="B391">
        <v>264</v>
      </c>
      <c r="C391" t="s">
        <v>53</v>
      </c>
      <c r="D391" t="s">
        <v>34</v>
      </c>
      <c r="E391" t="s">
        <v>26</v>
      </c>
      <c r="F391" s="1">
        <v>44594</v>
      </c>
      <c r="G391" s="1">
        <v>44968</v>
      </c>
      <c r="H391">
        <v>9743</v>
      </c>
      <c r="I391">
        <v>1120</v>
      </c>
      <c r="J391">
        <v>8623</v>
      </c>
      <c r="K391" t="s">
        <v>35</v>
      </c>
      <c r="L391">
        <v>12</v>
      </c>
      <c r="M391" t="str">
        <f t="shared" si="6"/>
        <v>6-12 Months</v>
      </c>
      <c r="N391" s="1">
        <v>44968</v>
      </c>
      <c r="O391">
        <v>1</v>
      </c>
      <c r="P391">
        <v>390</v>
      </c>
      <c r="Q391" s="2">
        <v>0.89</v>
      </c>
      <c r="R391" t="s">
        <v>27</v>
      </c>
      <c r="S391">
        <v>2023</v>
      </c>
      <c r="T391" t="s">
        <v>43</v>
      </c>
    </row>
    <row r="392" spans="1:20" hidden="1" x14ac:dyDescent="0.3">
      <c r="A392">
        <v>679</v>
      </c>
      <c r="B392">
        <v>207</v>
      </c>
      <c r="C392" t="s">
        <v>53</v>
      </c>
      <c r="D392" t="s">
        <v>19</v>
      </c>
      <c r="E392" t="s">
        <v>26</v>
      </c>
      <c r="F392" s="1">
        <v>44616</v>
      </c>
      <c r="G392" s="1">
        <v>45025</v>
      </c>
      <c r="H392">
        <v>9037</v>
      </c>
      <c r="I392">
        <v>5262</v>
      </c>
      <c r="J392">
        <v>577.01</v>
      </c>
      <c r="K392" t="s">
        <v>54</v>
      </c>
      <c r="L392">
        <v>13</v>
      </c>
      <c r="M392" t="str">
        <f t="shared" si="6"/>
        <v>6-12 Months</v>
      </c>
      <c r="N392" s="1">
        <v>45025</v>
      </c>
      <c r="O392">
        <v>0</v>
      </c>
      <c r="P392">
        <v>391</v>
      </c>
      <c r="Q392" s="2">
        <v>0.06</v>
      </c>
      <c r="R392" t="s">
        <v>27</v>
      </c>
      <c r="S392">
        <v>2023</v>
      </c>
      <c r="T392" t="s">
        <v>32</v>
      </c>
    </row>
    <row r="393" spans="1:20" x14ac:dyDescent="0.3">
      <c r="A393">
        <v>681</v>
      </c>
      <c r="B393">
        <v>366</v>
      </c>
      <c r="C393" t="s">
        <v>24</v>
      </c>
      <c r="D393" t="s">
        <v>29</v>
      </c>
      <c r="E393" t="s">
        <v>37</v>
      </c>
      <c r="F393" s="1">
        <v>44820</v>
      </c>
      <c r="G393" s="1">
        <v>45412</v>
      </c>
      <c r="H393">
        <v>6897</v>
      </c>
      <c r="I393">
        <v>7228</v>
      </c>
      <c r="J393">
        <v>-331</v>
      </c>
      <c r="K393" t="s">
        <v>35</v>
      </c>
      <c r="L393">
        <v>19</v>
      </c>
      <c r="M393" t="str">
        <f t="shared" si="6"/>
        <v>6-12 Months</v>
      </c>
      <c r="N393" s="1">
        <v>45412</v>
      </c>
      <c r="O393">
        <v>0</v>
      </c>
      <c r="P393">
        <v>392</v>
      </c>
      <c r="Q393" s="2">
        <v>-0.05</v>
      </c>
      <c r="R393" t="s">
        <v>27</v>
      </c>
      <c r="S393">
        <v>2024</v>
      </c>
      <c r="T393" t="s">
        <v>32</v>
      </c>
    </row>
    <row r="394" spans="1:20" x14ac:dyDescent="0.3">
      <c r="A394">
        <v>682</v>
      </c>
      <c r="B394">
        <v>456</v>
      </c>
      <c r="C394" t="s">
        <v>53</v>
      </c>
      <c r="D394" t="s">
        <v>25</v>
      </c>
      <c r="E394" t="s">
        <v>26</v>
      </c>
      <c r="F394" s="1">
        <v>44678</v>
      </c>
      <c r="G394" s="1">
        <v>44873</v>
      </c>
      <c r="H394">
        <v>9924</v>
      </c>
      <c r="I394">
        <v>4012.75</v>
      </c>
      <c r="J394">
        <v>10240</v>
      </c>
      <c r="K394" t="s">
        <v>35</v>
      </c>
      <c r="L394">
        <v>6</v>
      </c>
      <c r="M394" t="str">
        <f t="shared" si="6"/>
        <v>12+ Months</v>
      </c>
      <c r="N394" s="1">
        <v>44873</v>
      </c>
      <c r="O394">
        <v>1</v>
      </c>
      <c r="P394">
        <v>393</v>
      </c>
      <c r="Q394" s="2">
        <v>1.03</v>
      </c>
      <c r="R394" t="s">
        <v>22</v>
      </c>
      <c r="S394">
        <v>2022</v>
      </c>
      <c r="T394" t="s">
        <v>42</v>
      </c>
    </row>
    <row r="395" spans="1:20" hidden="1" x14ac:dyDescent="0.3">
      <c r="A395">
        <v>684</v>
      </c>
      <c r="B395">
        <v>305</v>
      </c>
      <c r="C395" t="s">
        <v>53</v>
      </c>
      <c r="D395" t="s">
        <v>29</v>
      </c>
      <c r="E395" t="s">
        <v>20</v>
      </c>
      <c r="F395" s="1">
        <v>44600</v>
      </c>
      <c r="G395" s="1">
        <v>44890</v>
      </c>
      <c r="H395">
        <v>3697</v>
      </c>
      <c r="I395">
        <v>4367</v>
      </c>
      <c r="J395">
        <v>-670</v>
      </c>
      <c r="K395" t="s">
        <v>21</v>
      </c>
      <c r="L395">
        <v>9</v>
      </c>
      <c r="M395" t="str">
        <f t="shared" si="6"/>
        <v>6-12 Months</v>
      </c>
      <c r="N395" s="1">
        <v>44890</v>
      </c>
      <c r="O395">
        <v>0</v>
      </c>
      <c r="P395">
        <v>394</v>
      </c>
      <c r="Q395" s="2">
        <v>-0.18</v>
      </c>
      <c r="R395" t="s">
        <v>27</v>
      </c>
      <c r="S395">
        <v>2022</v>
      </c>
      <c r="T395" t="s">
        <v>42</v>
      </c>
    </row>
    <row r="396" spans="1:20" hidden="1" x14ac:dyDescent="0.3">
      <c r="A396">
        <v>686</v>
      </c>
      <c r="B396">
        <v>393</v>
      </c>
      <c r="C396" t="s">
        <v>40</v>
      </c>
      <c r="D396" t="s">
        <v>29</v>
      </c>
      <c r="E396" t="s">
        <v>26</v>
      </c>
      <c r="F396" s="1">
        <v>44760</v>
      </c>
      <c r="G396" s="1">
        <v>45305</v>
      </c>
      <c r="H396">
        <v>3886</v>
      </c>
      <c r="I396">
        <v>4634</v>
      </c>
      <c r="J396">
        <v>-748</v>
      </c>
      <c r="K396" t="s">
        <v>21</v>
      </c>
      <c r="L396">
        <v>17</v>
      </c>
      <c r="M396" t="str">
        <f t="shared" si="6"/>
        <v>6-12 Months</v>
      </c>
      <c r="N396" s="1">
        <v>45305</v>
      </c>
      <c r="O396">
        <v>0</v>
      </c>
      <c r="P396">
        <v>395</v>
      </c>
      <c r="Q396" s="2">
        <v>-0.19</v>
      </c>
      <c r="R396" t="s">
        <v>27</v>
      </c>
      <c r="S396">
        <v>2024</v>
      </c>
      <c r="T396" t="s">
        <v>23</v>
      </c>
    </row>
    <row r="397" spans="1:20" x14ac:dyDescent="0.3">
      <c r="A397">
        <v>690</v>
      </c>
      <c r="B397">
        <v>281</v>
      </c>
      <c r="C397" t="s">
        <v>45</v>
      </c>
      <c r="D397" t="s">
        <v>25</v>
      </c>
      <c r="E397" t="s">
        <v>26</v>
      </c>
      <c r="F397" s="1">
        <v>44753</v>
      </c>
      <c r="G397" s="1">
        <v>44921</v>
      </c>
      <c r="H397">
        <v>1502</v>
      </c>
      <c r="I397">
        <v>5290</v>
      </c>
      <c r="J397">
        <v>-3788</v>
      </c>
      <c r="K397" t="s">
        <v>35</v>
      </c>
      <c r="L397">
        <v>5</v>
      </c>
      <c r="M397" t="str">
        <f t="shared" si="6"/>
        <v>0-6 Months</v>
      </c>
      <c r="N397" s="1">
        <v>44921</v>
      </c>
      <c r="O397">
        <v>0</v>
      </c>
      <c r="P397">
        <v>396</v>
      </c>
      <c r="Q397" s="2">
        <v>-2.52</v>
      </c>
      <c r="R397" t="s">
        <v>22</v>
      </c>
      <c r="S397">
        <v>2022</v>
      </c>
      <c r="T397" t="s">
        <v>31</v>
      </c>
    </row>
    <row r="398" spans="1:20" hidden="1" x14ac:dyDescent="0.3">
      <c r="A398">
        <v>691</v>
      </c>
      <c r="B398">
        <v>142</v>
      </c>
      <c r="C398" t="s">
        <v>24</v>
      </c>
      <c r="D398" t="s">
        <v>34</v>
      </c>
      <c r="E398" t="s">
        <v>26</v>
      </c>
      <c r="F398" s="1">
        <v>44614</v>
      </c>
      <c r="G398" s="1">
        <v>45112</v>
      </c>
      <c r="H398">
        <v>9115</v>
      </c>
      <c r="I398">
        <v>4890</v>
      </c>
      <c r="J398">
        <v>4225</v>
      </c>
      <c r="K398" t="s">
        <v>21</v>
      </c>
      <c r="L398">
        <v>16</v>
      </c>
      <c r="M398" t="str">
        <f t="shared" si="6"/>
        <v>6-12 Months</v>
      </c>
      <c r="N398" s="1">
        <v>45112</v>
      </c>
      <c r="O398">
        <v>1</v>
      </c>
      <c r="P398">
        <v>397</v>
      </c>
      <c r="Q398" s="2">
        <v>0.46</v>
      </c>
      <c r="R398" t="s">
        <v>27</v>
      </c>
      <c r="S398">
        <v>2023</v>
      </c>
      <c r="T398" t="s">
        <v>44</v>
      </c>
    </row>
    <row r="399" spans="1:20" hidden="1" x14ac:dyDescent="0.3">
      <c r="A399">
        <v>692</v>
      </c>
      <c r="B399">
        <v>446</v>
      </c>
      <c r="C399" t="s">
        <v>39</v>
      </c>
      <c r="D399" t="s">
        <v>19</v>
      </c>
      <c r="E399" t="s">
        <v>20</v>
      </c>
      <c r="F399" s="1">
        <v>44791</v>
      </c>
      <c r="G399" s="1">
        <v>44878</v>
      </c>
      <c r="H399">
        <v>2439</v>
      </c>
      <c r="I399">
        <v>4012.75</v>
      </c>
      <c r="J399">
        <v>3253</v>
      </c>
      <c r="K399" t="s">
        <v>54</v>
      </c>
      <c r="L399">
        <v>2</v>
      </c>
      <c r="M399" t="str">
        <f t="shared" si="6"/>
        <v>0-6 Months</v>
      </c>
      <c r="N399" s="1">
        <v>44878</v>
      </c>
      <c r="O399">
        <v>0</v>
      </c>
      <c r="P399">
        <v>398</v>
      </c>
      <c r="Q399" s="2">
        <v>1.33</v>
      </c>
      <c r="R399" t="s">
        <v>22</v>
      </c>
      <c r="S399">
        <v>2022</v>
      </c>
      <c r="T399" t="s">
        <v>42</v>
      </c>
    </row>
    <row r="400" spans="1:20" hidden="1" x14ac:dyDescent="0.3">
      <c r="A400">
        <v>694</v>
      </c>
      <c r="B400">
        <v>477</v>
      </c>
      <c r="C400" t="s">
        <v>24</v>
      </c>
      <c r="D400" t="s">
        <v>34</v>
      </c>
      <c r="E400" t="s">
        <v>26</v>
      </c>
      <c r="F400" s="1">
        <v>44639</v>
      </c>
      <c r="G400" s="1">
        <v>45069</v>
      </c>
      <c r="H400">
        <v>3420</v>
      </c>
      <c r="I400">
        <v>6323</v>
      </c>
      <c r="J400">
        <v>577.01</v>
      </c>
      <c r="K400" t="s">
        <v>54</v>
      </c>
      <c r="L400">
        <v>14</v>
      </c>
      <c r="M400" t="str">
        <f t="shared" si="6"/>
        <v>6-12 Months</v>
      </c>
      <c r="N400" s="1">
        <v>45069</v>
      </c>
      <c r="O400">
        <v>1</v>
      </c>
      <c r="P400">
        <v>399</v>
      </c>
      <c r="Q400" s="2">
        <v>0.17</v>
      </c>
      <c r="R400" t="s">
        <v>27</v>
      </c>
      <c r="S400">
        <v>2023</v>
      </c>
      <c r="T400" t="s">
        <v>28</v>
      </c>
    </row>
    <row r="401" spans="1:20" x14ac:dyDescent="0.3">
      <c r="A401">
        <v>697</v>
      </c>
      <c r="B401">
        <v>358</v>
      </c>
      <c r="C401" t="s">
        <v>40</v>
      </c>
      <c r="D401" t="s">
        <v>29</v>
      </c>
      <c r="E401" t="s">
        <v>20</v>
      </c>
      <c r="F401" s="1">
        <v>44574</v>
      </c>
      <c r="G401" s="1">
        <v>45005</v>
      </c>
      <c r="H401">
        <v>6377</v>
      </c>
      <c r="I401">
        <v>132</v>
      </c>
      <c r="J401">
        <v>6245</v>
      </c>
      <c r="K401" t="s">
        <v>35</v>
      </c>
      <c r="L401">
        <v>14</v>
      </c>
      <c r="M401" t="str">
        <f t="shared" si="6"/>
        <v>6-12 Months</v>
      </c>
      <c r="N401" s="1">
        <v>45005</v>
      </c>
      <c r="O401">
        <v>1</v>
      </c>
      <c r="P401">
        <v>400</v>
      </c>
      <c r="Q401" s="2">
        <v>0.98</v>
      </c>
      <c r="R401" t="s">
        <v>27</v>
      </c>
      <c r="S401">
        <v>2023</v>
      </c>
      <c r="T401" t="s">
        <v>38</v>
      </c>
    </row>
    <row r="402" spans="1:20" x14ac:dyDescent="0.3">
      <c r="A402">
        <v>700</v>
      </c>
      <c r="B402">
        <v>219</v>
      </c>
      <c r="C402" t="s">
        <v>24</v>
      </c>
      <c r="D402" t="s">
        <v>34</v>
      </c>
      <c r="E402" t="s">
        <v>20</v>
      </c>
      <c r="F402" s="1">
        <v>44585</v>
      </c>
      <c r="G402" s="1">
        <v>45035</v>
      </c>
      <c r="H402">
        <v>4967.93</v>
      </c>
      <c r="I402">
        <v>1664</v>
      </c>
      <c r="J402">
        <v>-2646</v>
      </c>
      <c r="K402" t="s">
        <v>35</v>
      </c>
      <c r="L402">
        <v>14</v>
      </c>
      <c r="M402" t="str">
        <f t="shared" si="6"/>
        <v>6-12 Months</v>
      </c>
      <c r="N402" s="1">
        <v>45035</v>
      </c>
      <c r="O402">
        <v>0</v>
      </c>
      <c r="P402">
        <v>401</v>
      </c>
      <c r="Q402" s="2">
        <v>-0.53</v>
      </c>
      <c r="R402" t="s">
        <v>27</v>
      </c>
      <c r="S402">
        <v>2023</v>
      </c>
      <c r="T402" t="s">
        <v>32</v>
      </c>
    </row>
    <row r="403" spans="1:20" hidden="1" x14ac:dyDescent="0.3">
      <c r="A403">
        <v>702</v>
      </c>
      <c r="B403">
        <v>272</v>
      </c>
      <c r="C403" t="s">
        <v>39</v>
      </c>
      <c r="D403" t="s">
        <v>29</v>
      </c>
      <c r="E403" t="s">
        <v>26</v>
      </c>
      <c r="F403" s="1">
        <v>44821</v>
      </c>
      <c r="G403" s="1">
        <v>45227</v>
      </c>
      <c r="H403">
        <v>1270</v>
      </c>
      <c r="I403">
        <v>1972</v>
      </c>
      <c r="J403">
        <v>-702</v>
      </c>
      <c r="K403" t="s">
        <v>21</v>
      </c>
      <c r="L403">
        <v>13</v>
      </c>
      <c r="M403" t="str">
        <f t="shared" si="6"/>
        <v>6-12 Months</v>
      </c>
      <c r="N403" s="1">
        <v>45227</v>
      </c>
      <c r="O403">
        <v>0</v>
      </c>
      <c r="P403">
        <v>402</v>
      </c>
      <c r="Q403" s="2">
        <v>-0.55000000000000004</v>
      </c>
      <c r="R403" t="s">
        <v>27</v>
      </c>
      <c r="S403">
        <v>2023</v>
      </c>
      <c r="T403" t="s">
        <v>33</v>
      </c>
    </row>
    <row r="404" spans="1:20" x14ac:dyDescent="0.3">
      <c r="A404">
        <v>704</v>
      </c>
      <c r="B404">
        <v>165</v>
      </c>
      <c r="C404" t="s">
        <v>40</v>
      </c>
      <c r="D404" t="s">
        <v>25</v>
      </c>
      <c r="E404" t="s">
        <v>37</v>
      </c>
      <c r="F404" s="1">
        <v>44695</v>
      </c>
      <c r="G404" s="1">
        <v>44757</v>
      </c>
      <c r="H404">
        <v>9891</v>
      </c>
      <c r="I404">
        <v>2594</v>
      </c>
      <c r="J404">
        <v>577.01</v>
      </c>
      <c r="K404" t="s">
        <v>35</v>
      </c>
      <c r="L404">
        <v>2</v>
      </c>
      <c r="M404" t="str">
        <f t="shared" si="6"/>
        <v>0-6 Months</v>
      </c>
      <c r="N404" s="1">
        <v>44757</v>
      </c>
      <c r="O404">
        <v>0</v>
      </c>
      <c r="P404">
        <v>403</v>
      </c>
      <c r="Q404" s="2">
        <v>0.06</v>
      </c>
      <c r="R404" t="s">
        <v>27</v>
      </c>
      <c r="S404">
        <v>2022</v>
      </c>
      <c r="T404" t="s">
        <v>44</v>
      </c>
    </row>
    <row r="405" spans="1:20" hidden="1" x14ac:dyDescent="0.3">
      <c r="A405">
        <v>706</v>
      </c>
      <c r="B405">
        <v>204</v>
      </c>
      <c r="C405" t="s">
        <v>24</v>
      </c>
      <c r="D405" t="s">
        <v>29</v>
      </c>
      <c r="E405" t="s">
        <v>37</v>
      </c>
      <c r="F405" s="1">
        <v>44785</v>
      </c>
      <c r="G405" s="1">
        <v>45244</v>
      </c>
      <c r="H405">
        <v>1205</v>
      </c>
      <c r="I405">
        <v>6774</v>
      </c>
      <c r="J405">
        <v>-5569</v>
      </c>
      <c r="K405" t="s">
        <v>54</v>
      </c>
      <c r="L405">
        <v>15</v>
      </c>
      <c r="M405" t="str">
        <f t="shared" si="6"/>
        <v>6-12 Months</v>
      </c>
      <c r="N405" s="1">
        <v>45244</v>
      </c>
      <c r="O405">
        <v>1</v>
      </c>
      <c r="P405">
        <v>404</v>
      </c>
      <c r="Q405" s="2">
        <v>-4.62</v>
      </c>
      <c r="R405" t="s">
        <v>22</v>
      </c>
      <c r="S405">
        <v>2023</v>
      </c>
      <c r="T405" t="s">
        <v>42</v>
      </c>
    </row>
    <row r="406" spans="1:20" hidden="1" x14ac:dyDescent="0.3">
      <c r="A406">
        <v>707</v>
      </c>
      <c r="B406">
        <v>398</v>
      </c>
      <c r="C406" t="s">
        <v>53</v>
      </c>
      <c r="D406" t="s">
        <v>19</v>
      </c>
      <c r="E406" t="s">
        <v>37</v>
      </c>
      <c r="F406" s="1">
        <v>44661</v>
      </c>
      <c r="G406" s="1">
        <v>44943</v>
      </c>
      <c r="H406">
        <v>4967.93</v>
      </c>
      <c r="I406">
        <v>103</v>
      </c>
      <c r="J406">
        <v>-394</v>
      </c>
      <c r="K406" t="s">
        <v>21</v>
      </c>
      <c r="L406">
        <v>9</v>
      </c>
      <c r="M406" t="str">
        <f t="shared" si="6"/>
        <v>6-12 Months</v>
      </c>
      <c r="N406" s="1">
        <v>44943</v>
      </c>
      <c r="O406">
        <v>0</v>
      </c>
      <c r="P406">
        <v>405</v>
      </c>
      <c r="Q406" s="2">
        <v>-0.08</v>
      </c>
      <c r="R406" t="s">
        <v>27</v>
      </c>
      <c r="S406">
        <v>2023</v>
      </c>
      <c r="T406" t="s">
        <v>23</v>
      </c>
    </row>
    <row r="407" spans="1:20" hidden="1" x14ac:dyDescent="0.3">
      <c r="A407">
        <v>708</v>
      </c>
      <c r="B407">
        <v>412</v>
      </c>
      <c r="C407" t="s">
        <v>39</v>
      </c>
      <c r="D407" t="s">
        <v>34</v>
      </c>
      <c r="E407" t="s">
        <v>20</v>
      </c>
      <c r="F407" s="1">
        <v>44588</v>
      </c>
      <c r="G407" s="1">
        <v>44942</v>
      </c>
      <c r="H407">
        <v>4206</v>
      </c>
      <c r="I407">
        <v>513</v>
      </c>
      <c r="J407">
        <v>3693</v>
      </c>
      <c r="K407" t="s">
        <v>54</v>
      </c>
      <c r="L407">
        <v>11</v>
      </c>
      <c r="M407" t="str">
        <f t="shared" si="6"/>
        <v>6-12 Months</v>
      </c>
      <c r="N407" s="1">
        <v>44942</v>
      </c>
      <c r="O407">
        <v>0</v>
      </c>
      <c r="P407">
        <v>406</v>
      </c>
      <c r="Q407" s="2">
        <v>0.88</v>
      </c>
      <c r="R407" t="s">
        <v>27</v>
      </c>
      <c r="S407">
        <v>2023</v>
      </c>
      <c r="T407" t="s">
        <v>23</v>
      </c>
    </row>
    <row r="408" spans="1:20" hidden="1" x14ac:dyDescent="0.3">
      <c r="A408">
        <v>709</v>
      </c>
      <c r="B408">
        <v>215</v>
      </c>
      <c r="C408" t="s">
        <v>24</v>
      </c>
      <c r="D408" t="s">
        <v>29</v>
      </c>
      <c r="E408" t="s">
        <v>37</v>
      </c>
      <c r="F408" s="1">
        <v>44927</v>
      </c>
      <c r="G408" s="1">
        <v>45275</v>
      </c>
      <c r="H408">
        <v>105</v>
      </c>
      <c r="I408">
        <v>7524</v>
      </c>
      <c r="J408">
        <v>577.01</v>
      </c>
      <c r="K408" t="s">
        <v>21</v>
      </c>
      <c r="L408">
        <v>11</v>
      </c>
      <c r="M408" t="str">
        <f t="shared" si="6"/>
        <v>6-12 Months</v>
      </c>
      <c r="N408" s="1">
        <v>45275</v>
      </c>
      <c r="O408">
        <v>0</v>
      </c>
      <c r="P408">
        <v>407</v>
      </c>
      <c r="Q408" s="2">
        <v>5.5</v>
      </c>
      <c r="R408" t="s">
        <v>22</v>
      </c>
      <c r="S408">
        <v>2023</v>
      </c>
      <c r="T408" t="s">
        <v>31</v>
      </c>
    </row>
    <row r="409" spans="1:20" hidden="1" x14ac:dyDescent="0.3">
      <c r="A409">
        <v>711</v>
      </c>
      <c r="B409">
        <v>445</v>
      </c>
      <c r="C409" t="s">
        <v>24</v>
      </c>
      <c r="D409" t="s">
        <v>29</v>
      </c>
      <c r="E409" t="s">
        <v>37</v>
      </c>
      <c r="F409" s="1">
        <v>44826</v>
      </c>
      <c r="G409" s="1">
        <v>45385</v>
      </c>
      <c r="H409">
        <v>6635</v>
      </c>
      <c r="I409">
        <v>4451</v>
      </c>
      <c r="J409">
        <v>2184</v>
      </c>
      <c r="K409" t="s">
        <v>21</v>
      </c>
      <c r="L409">
        <v>18</v>
      </c>
      <c r="M409" t="str">
        <f t="shared" si="6"/>
        <v>6-12 Months</v>
      </c>
      <c r="N409" s="1">
        <v>45385</v>
      </c>
      <c r="O409">
        <v>0</v>
      </c>
      <c r="P409">
        <v>408</v>
      </c>
      <c r="Q409" s="2">
        <v>0.33</v>
      </c>
      <c r="R409" t="s">
        <v>27</v>
      </c>
      <c r="S409">
        <v>2024</v>
      </c>
      <c r="T409" t="s">
        <v>32</v>
      </c>
    </row>
    <row r="410" spans="1:20" hidden="1" x14ac:dyDescent="0.3">
      <c r="A410">
        <v>712</v>
      </c>
      <c r="B410">
        <v>202</v>
      </c>
      <c r="C410" t="s">
        <v>53</v>
      </c>
      <c r="D410" t="s">
        <v>25</v>
      </c>
      <c r="E410" t="s">
        <v>26</v>
      </c>
      <c r="F410" s="1">
        <v>44785</v>
      </c>
      <c r="G410" s="1">
        <v>45100</v>
      </c>
      <c r="H410">
        <v>4277</v>
      </c>
      <c r="I410">
        <v>3280</v>
      </c>
      <c r="J410">
        <v>997</v>
      </c>
      <c r="K410" t="s">
        <v>54</v>
      </c>
      <c r="L410">
        <v>10</v>
      </c>
      <c r="M410" t="str">
        <f t="shared" si="6"/>
        <v>6-12 Months</v>
      </c>
      <c r="N410" s="1">
        <v>45100</v>
      </c>
      <c r="O410">
        <v>1</v>
      </c>
      <c r="P410">
        <v>409</v>
      </c>
      <c r="Q410" s="2">
        <v>0.23</v>
      </c>
      <c r="R410" t="s">
        <v>27</v>
      </c>
      <c r="S410">
        <v>2023</v>
      </c>
      <c r="T410" t="s">
        <v>41</v>
      </c>
    </row>
    <row r="411" spans="1:20" x14ac:dyDescent="0.3">
      <c r="A411">
        <v>713</v>
      </c>
      <c r="B411">
        <v>136</v>
      </c>
      <c r="C411" t="s">
        <v>45</v>
      </c>
      <c r="D411" t="s">
        <v>34</v>
      </c>
      <c r="E411" t="s">
        <v>37</v>
      </c>
      <c r="F411" s="1">
        <v>44674</v>
      </c>
      <c r="G411" s="1">
        <v>44721</v>
      </c>
      <c r="H411">
        <v>4967.93</v>
      </c>
      <c r="I411">
        <v>4012.75</v>
      </c>
      <c r="J411">
        <v>577.01</v>
      </c>
      <c r="K411" t="s">
        <v>35</v>
      </c>
      <c r="L411">
        <v>1</v>
      </c>
      <c r="M411" t="str">
        <f t="shared" si="6"/>
        <v>0-6 Months</v>
      </c>
      <c r="N411" s="1">
        <v>44721</v>
      </c>
      <c r="O411">
        <v>0</v>
      </c>
      <c r="P411">
        <v>410</v>
      </c>
      <c r="Q411" s="2">
        <v>0.12</v>
      </c>
      <c r="R411" t="s">
        <v>27</v>
      </c>
      <c r="S411">
        <v>2022</v>
      </c>
      <c r="T411" t="s">
        <v>41</v>
      </c>
    </row>
    <row r="412" spans="1:20" x14ac:dyDescent="0.3">
      <c r="A412">
        <v>714</v>
      </c>
      <c r="B412">
        <v>343</v>
      </c>
      <c r="C412" t="s">
        <v>40</v>
      </c>
      <c r="D412" t="s">
        <v>19</v>
      </c>
      <c r="E412" t="s">
        <v>26</v>
      </c>
      <c r="F412" s="1">
        <v>44712</v>
      </c>
      <c r="G412" s="1">
        <v>45120</v>
      </c>
      <c r="H412">
        <v>1834</v>
      </c>
      <c r="I412">
        <v>1821</v>
      </c>
      <c r="J412">
        <v>13</v>
      </c>
      <c r="K412" t="s">
        <v>35</v>
      </c>
      <c r="L412">
        <v>13</v>
      </c>
      <c r="M412" t="str">
        <f t="shared" si="6"/>
        <v>6-12 Months</v>
      </c>
      <c r="N412" s="1">
        <v>45120</v>
      </c>
      <c r="O412">
        <v>0</v>
      </c>
      <c r="P412">
        <v>411</v>
      </c>
      <c r="Q412" s="2">
        <v>0.01</v>
      </c>
      <c r="R412" t="s">
        <v>27</v>
      </c>
      <c r="S412">
        <v>2023</v>
      </c>
      <c r="T412" t="s">
        <v>44</v>
      </c>
    </row>
    <row r="413" spans="1:20" hidden="1" x14ac:dyDescent="0.3">
      <c r="A413">
        <v>715</v>
      </c>
      <c r="B413">
        <v>281</v>
      </c>
      <c r="C413" t="s">
        <v>39</v>
      </c>
      <c r="D413" t="s">
        <v>25</v>
      </c>
      <c r="E413" t="s">
        <v>26</v>
      </c>
      <c r="F413" s="1">
        <v>44919</v>
      </c>
      <c r="G413" s="1">
        <v>45251</v>
      </c>
      <c r="H413">
        <v>7691</v>
      </c>
      <c r="I413">
        <v>5666</v>
      </c>
      <c r="J413">
        <v>2025</v>
      </c>
      <c r="K413" t="s">
        <v>54</v>
      </c>
      <c r="L413">
        <v>10</v>
      </c>
      <c r="M413" t="str">
        <f t="shared" si="6"/>
        <v>6-12 Months</v>
      </c>
      <c r="N413" s="1">
        <v>45251</v>
      </c>
      <c r="O413">
        <v>0</v>
      </c>
      <c r="P413">
        <v>412</v>
      </c>
      <c r="Q413" s="2">
        <v>0.26</v>
      </c>
      <c r="R413" t="s">
        <v>27</v>
      </c>
      <c r="S413">
        <v>2023</v>
      </c>
      <c r="T413" t="s">
        <v>42</v>
      </c>
    </row>
    <row r="414" spans="1:20" hidden="1" x14ac:dyDescent="0.3">
      <c r="A414">
        <v>717</v>
      </c>
      <c r="B414">
        <v>189</v>
      </c>
      <c r="C414" t="s">
        <v>45</v>
      </c>
      <c r="D414" t="s">
        <v>25</v>
      </c>
      <c r="E414" t="s">
        <v>26</v>
      </c>
      <c r="F414" s="1">
        <v>44684</v>
      </c>
      <c r="G414" s="1">
        <v>44785</v>
      </c>
      <c r="H414">
        <v>3532</v>
      </c>
      <c r="I414">
        <v>4506</v>
      </c>
      <c r="J414">
        <v>-974</v>
      </c>
      <c r="K414" t="s">
        <v>54</v>
      </c>
      <c r="L414">
        <v>3</v>
      </c>
      <c r="M414" t="str">
        <f t="shared" si="6"/>
        <v>0-6 Months</v>
      </c>
      <c r="N414" s="1">
        <v>44785</v>
      </c>
      <c r="O414">
        <v>1</v>
      </c>
      <c r="P414">
        <v>413</v>
      </c>
      <c r="Q414" s="2">
        <v>-0.28000000000000003</v>
      </c>
      <c r="R414" t="s">
        <v>27</v>
      </c>
      <c r="S414">
        <v>2022</v>
      </c>
      <c r="T414" t="s">
        <v>36</v>
      </c>
    </row>
    <row r="415" spans="1:20" hidden="1" x14ac:dyDescent="0.3">
      <c r="A415">
        <v>718</v>
      </c>
      <c r="B415">
        <v>145</v>
      </c>
      <c r="C415" t="s">
        <v>45</v>
      </c>
      <c r="D415" t="s">
        <v>19</v>
      </c>
      <c r="E415" t="s">
        <v>26</v>
      </c>
      <c r="F415" s="1">
        <v>44647</v>
      </c>
      <c r="G415" s="1">
        <v>44879</v>
      </c>
      <c r="H415">
        <v>6399</v>
      </c>
      <c r="I415">
        <v>5932</v>
      </c>
      <c r="J415">
        <v>467</v>
      </c>
      <c r="K415" t="s">
        <v>21</v>
      </c>
      <c r="L415">
        <v>7</v>
      </c>
      <c r="M415" t="str">
        <f t="shared" si="6"/>
        <v>6-12 Months</v>
      </c>
      <c r="N415" s="1">
        <v>44879</v>
      </c>
      <c r="O415">
        <v>0</v>
      </c>
      <c r="P415">
        <v>414</v>
      </c>
      <c r="Q415" s="2">
        <v>7.0000000000000007E-2</v>
      </c>
      <c r="R415" t="s">
        <v>27</v>
      </c>
      <c r="S415">
        <v>2022</v>
      </c>
      <c r="T415" t="s">
        <v>42</v>
      </c>
    </row>
    <row r="416" spans="1:20" x14ac:dyDescent="0.3">
      <c r="A416">
        <v>719</v>
      </c>
      <c r="B416">
        <v>475</v>
      </c>
      <c r="C416" t="s">
        <v>45</v>
      </c>
      <c r="D416" t="s">
        <v>29</v>
      </c>
      <c r="E416" t="s">
        <v>20</v>
      </c>
      <c r="F416" s="1">
        <v>44754</v>
      </c>
      <c r="G416" s="1">
        <v>45155</v>
      </c>
      <c r="H416">
        <v>5574</v>
      </c>
      <c r="I416">
        <v>4012.75</v>
      </c>
      <c r="J416">
        <v>6295</v>
      </c>
      <c r="K416" t="s">
        <v>35</v>
      </c>
      <c r="L416">
        <v>13</v>
      </c>
      <c r="M416" t="str">
        <f t="shared" si="6"/>
        <v>6-12 Months</v>
      </c>
      <c r="N416" s="1">
        <v>45155</v>
      </c>
      <c r="O416">
        <v>1</v>
      </c>
      <c r="P416">
        <v>415</v>
      </c>
      <c r="Q416" s="2">
        <v>1.1299999999999999</v>
      </c>
      <c r="R416" t="s">
        <v>22</v>
      </c>
      <c r="S416">
        <v>2023</v>
      </c>
      <c r="T416" t="s">
        <v>36</v>
      </c>
    </row>
    <row r="417" spans="1:20" hidden="1" x14ac:dyDescent="0.3">
      <c r="A417">
        <v>720</v>
      </c>
      <c r="B417">
        <v>488</v>
      </c>
      <c r="C417" t="s">
        <v>45</v>
      </c>
      <c r="D417" t="s">
        <v>34</v>
      </c>
      <c r="E417" t="s">
        <v>37</v>
      </c>
      <c r="F417" s="1">
        <v>44926</v>
      </c>
      <c r="G417" s="1">
        <v>45394</v>
      </c>
      <c r="H417">
        <v>6459</v>
      </c>
      <c r="I417">
        <v>5869</v>
      </c>
      <c r="J417">
        <v>590</v>
      </c>
      <c r="K417" t="s">
        <v>54</v>
      </c>
      <c r="L417">
        <v>15</v>
      </c>
      <c r="M417" t="str">
        <f t="shared" si="6"/>
        <v>6-12 Months</v>
      </c>
      <c r="N417" s="1">
        <v>45394</v>
      </c>
      <c r="O417">
        <v>0</v>
      </c>
      <c r="P417">
        <v>416</v>
      </c>
      <c r="Q417" s="2">
        <v>0.09</v>
      </c>
      <c r="R417" t="s">
        <v>27</v>
      </c>
      <c r="S417">
        <v>2024</v>
      </c>
      <c r="T417" t="s">
        <v>32</v>
      </c>
    </row>
    <row r="418" spans="1:20" hidden="1" x14ac:dyDescent="0.3">
      <c r="A418">
        <v>722</v>
      </c>
      <c r="B418">
        <v>296</v>
      </c>
      <c r="C418" t="s">
        <v>45</v>
      </c>
      <c r="D418" t="s">
        <v>25</v>
      </c>
      <c r="E418" t="s">
        <v>37</v>
      </c>
      <c r="F418" s="1">
        <v>44805</v>
      </c>
      <c r="G418" s="1">
        <v>44882</v>
      </c>
      <c r="H418">
        <v>4613</v>
      </c>
      <c r="I418">
        <v>5727</v>
      </c>
      <c r="J418">
        <v>-1114</v>
      </c>
      <c r="K418" t="s">
        <v>21</v>
      </c>
      <c r="L418">
        <v>2</v>
      </c>
      <c r="M418" t="str">
        <f t="shared" si="6"/>
        <v>0-6 Months</v>
      </c>
      <c r="N418" s="1">
        <v>44882</v>
      </c>
      <c r="O418">
        <v>0</v>
      </c>
      <c r="P418">
        <v>417</v>
      </c>
      <c r="Q418" s="2">
        <v>-0.24</v>
      </c>
      <c r="R418" t="s">
        <v>27</v>
      </c>
      <c r="S418">
        <v>2022</v>
      </c>
      <c r="T418" t="s">
        <v>42</v>
      </c>
    </row>
    <row r="419" spans="1:20" hidden="1" x14ac:dyDescent="0.3">
      <c r="A419">
        <v>723</v>
      </c>
      <c r="B419">
        <v>486</v>
      </c>
      <c r="C419" t="s">
        <v>53</v>
      </c>
      <c r="D419" t="s">
        <v>19</v>
      </c>
      <c r="E419" t="s">
        <v>20</v>
      </c>
      <c r="F419" s="1">
        <v>44622</v>
      </c>
      <c r="G419" s="1">
        <v>44916</v>
      </c>
      <c r="H419">
        <v>2187</v>
      </c>
      <c r="I419">
        <v>4652</v>
      </c>
      <c r="J419">
        <v>-2465</v>
      </c>
      <c r="K419" t="s">
        <v>54</v>
      </c>
      <c r="L419">
        <v>9</v>
      </c>
      <c r="M419" t="str">
        <f t="shared" si="6"/>
        <v>6-12 Months</v>
      </c>
      <c r="N419" s="1">
        <v>44916</v>
      </c>
      <c r="O419">
        <v>1</v>
      </c>
      <c r="P419">
        <v>418</v>
      </c>
      <c r="Q419" s="2">
        <v>-1.1299999999999999</v>
      </c>
      <c r="R419" t="s">
        <v>22</v>
      </c>
      <c r="S419">
        <v>2022</v>
      </c>
      <c r="T419" t="s">
        <v>31</v>
      </c>
    </row>
    <row r="420" spans="1:20" hidden="1" x14ac:dyDescent="0.3">
      <c r="A420">
        <v>724</v>
      </c>
      <c r="B420">
        <v>311</v>
      </c>
      <c r="C420" t="s">
        <v>45</v>
      </c>
      <c r="D420" t="s">
        <v>19</v>
      </c>
      <c r="E420" t="s">
        <v>37</v>
      </c>
      <c r="F420" s="1">
        <v>44588</v>
      </c>
      <c r="G420" s="1">
        <v>44807</v>
      </c>
      <c r="H420">
        <v>5965</v>
      </c>
      <c r="I420">
        <v>1864</v>
      </c>
      <c r="J420">
        <v>4101</v>
      </c>
      <c r="K420" t="s">
        <v>54</v>
      </c>
      <c r="L420">
        <v>7</v>
      </c>
      <c r="M420" t="str">
        <f t="shared" si="6"/>
        <v>6-12 Months</v>
      </c>
      <c r="N420" s="1">
        <v>44807</v>
      </c>
      <c r="O420">
        <v>1</v>
      </c>
      <c r="P420">
        <v>419</v>
      </c>
      <c r="Q420" s="2">
        <v>0.69</v>
      </c>
      <c r="R420" t="s">
        <v>27</v>
      </c>
      <c r="S420">
        <v>2022</v>
      </c>
      <c r="T420" t="s">
        <v>30</v>
      </c>
    </row>
    <row r="421" spans="1:20" hidden="1" x14ac:dyDescent="0.3">
      <c r="A421">
        <v>725</v>
      </c>
      <c r="B421">
        <v>112</v>
      </c>
      <c r="C421" t="s">
        <v>40</v>
      </c>
      <c r="D421" t="s">
        <v>29</v>
      </c>
      <c r="E421" t="s">
        <v>26</v>
      </c>
      <c r="F421" s="1">
        <v>44610</v>
      </c>
      <c r="G421" s="1">
        <v>45161</v>
      </c>
      <c r="H421">
        <v>97</v>
      </c>
      <c r="I421">
        <v>3139</v>
      </c>
      <c r="J421">
        <v>-3042</v>
      </c>
      <c r="K421" t="s">
        <v>54</v>
      </c>
      <c r="L421">
        <v>18</v>
      </c>
      <c r="M421" t="str">
        <f t="shared" si="6"/>
        <v>6-12 Months</v>
      </c>
      <c r="N421" s="1">
        <v>45161</v>
      </c>
      <c r="O421">
        <v>1</v>
      </c>
      <c r="P421">
        <v>420</v>
      </c>
      <c r="Q421" s="2">
        <v>-31.36</v>
      </c>
      <c r="R421" t="s">
        <v>22</v>
      </c>
      <c r="S421">
        <v>2023</v>
      </c>
      <c r="T421" t="s">
        <v>36</v>
      </c>
    </row>
    <row r="422" spans="1:20" hidden="1" x14ac:dyDescent="0.3">
      <c r="A422">
        <v>728</v>
      </c>
      <c r="B422">
        <v>233</v>
      </c>
      <c r="C422" t="s">
        <v>39</v>
      </c>
      <c r="D422" t="s">
        <v>19</v>
      </c>
      <c r="E422" t="s">
        <v>26</v>
      </c>
      <c r="F422" s="1">
        <v>44578</v>
      </c>
      <c r="G422" s="1">
        <v>45154</v>
      </c>
      <c r="H422">
        <v>1106</v>
      </c>
      <c r="I422">
        <v>2312</v>
      </c>
      <c r="J422">
        <v>-1206</v>
      </c>
      <c r="K422" t="s">
        <v>54</v>
      </c>
      <c r="L422">
        <v>18</v>
      </c>
      <c r="M422" t="str">
        <f t="shared" si="6"/>
        <v>6-12 Months</v>
      </c>
      <c r="N422" s="1">
        <v>45154</v>
      </c>
      <c r="O422">
        <v>0</v>
      </c>
      <c r="P422">
        <v>421</v>
      </c>
      <c r="Q422" s="2">
        <v>-1.0900000000000001</v>
      </c>
      <c r="R422" t="s">
        <v>22</v>
      </c>
      <c r="S422">
        <v>2023</v>
      </c>
      <c r="T422" t="s">
        <v>36</v>
      </c>
    </row>
    <row r="423" spans="1:20" hidden="1" x14ac:dyDescent="0.3">
      <c r="A423">
        <v>729</v>
      </c>
      <c r="B423">
        <v>245</v>
      </c>
      <c r="C423" t="s">
        <v>53</v>
      </c>
      <c r="D423" t="s">
        <v>34</v>
      </c>
      <c r="E423" t="s">
        <v>26</v>
      </c>
      <c r="F423" s="1">
        <v>44835</v>
      </c>
      <c r="G423" s="1">
        <v>44914</v>
      </c>
      <c r="H423">
        <v>6742</v>
      </c>
      <c r="I423">
        <v>4012.75</v>
      </c>
      <c r="J423">
        <v>6825</v>
      </c>
      <c r="K423" t="s">
        <v>21</v>
      </c>
      <c r="L423">
        <v>2</v>
      </c>
      <c r="M423" t="str">
        <f t="shared" si="6"/>
        <v>0-6 Months</v>
      </c>
      <c r="N423" s="1">
        <v>44914</v>
      </c>
      <c r="O423">
        <v>0</v>
      </c>
      <c r="P423">
        <v>422</v>
      </c>
      <c r="Q423" s="2">
        <v>1.01</v>
      </c>
      <c r="R423" t="s">
        <v>22</v>
      </c>
      <c r="S423">
        <v>2022</v>
      </c>
      <c r="T423" t="s">
        <v>31</v>
      </c>
    </row>
    <row r="424" spans="1:20" hidden="1" x14ac:dyDescent="0.3">
      <c r="A424">
        <v>733</v>
      </c>
      <c r="B424">
        <v>440</v>
      </c>
      <c r="C424" t="s">
        <v>45</v>
      </c>
      <c r="D424" t="s">
        <v>25</v>
      </c>
      <c r="E424" t="s">
        <v>20</v>
      </c>
      <c r="F424" s="1">
        <v>44842</v>
      </c>
      <c r="G424" s="1">
        <v>45324</v>
      </c>
      <c r="H424">
        <v>3379</v>
      </c>
      <c r="I424">
        <v>3276</v>
      </c>
      <c r="J424">
        <v>103</v>
      </c>
      <c r="K424" t="s">
        <v>21</v>
      </c>
      <c r="L424">
        <v>15</v>
      </c>
      <c r="M424" t="str">
        <f t="shared" si="6"/>
        <v>6-12 Months</v>
      </c>
      <c r="N424" s="1">
        <v>45324</v>
      </c>
      <c r="O424">
        <v>1</v>
      </c>
      <c r="P424">
        <v>423</v>
      </c>
      <c r="Q424" s="2">
        <v>0.03</v>
      </c>
      <c r="R424" t="s">
        <v>27</v>
      </c>
      <c r="S424">
        <v>2024</v>
      </c>
      <c r="T424" t="s">
        <v>43</v>
      </c>
    </row>
    <row r="425" spans="1:20" hidden="1" x14ac:dyDescent="0.3">
      <c r="A425">
        <v>734</v>
      </c>
      <c r="B425">
        <v>125</v>
      </c>
      <c r="C425" t="s">
        <v>24</v>
      </c>
      <c r="D425" t="s">
        <v>29</v>
      </c>
      <c r="E425" t="s">
        <v>26</v>
      </c>
      <c r="F425" s="1">
        <v>44751</v>
      </c>
      <c r="G425" s="1">
        <v>45172</v>
      </c>
      <c r="H425">
        <v>2082</v>
      </c>
      <c r="I425">
        <v>4890</v>
      </c>
      <c r="J425">
        <v>-2808</v>
      </c>
      <c r="K425" t="s">
        <v>54</v>
      </c>
      <c r="L425">
        <v>13</v>
      </c>
      <c r="M425" t="str">
        <f t="shared" si="6"/>
        <v>6-12 Months</v>
      </c>
      <c r="N425" s="1">
        <v>45172</v>
      </c>
      <c r="O425">
        <v>1</v>
      </c>
      <c r="P425">
        <v>424</v>
      </c>
      <c r="Q425" s="2">
        <v>-1.35</v>
      </c>
      <c r="R425" t="s">
        <v>22</v>
      </c>
      <c r="S425">
        <v>2023</v>
      </c>
      <c r="T425" t="s">
        <v>30</v>
      </c>
    </row>
    <row r="426" spans="1:20" x14ac:dyDescent="0.3">
      <c r="A426">
        <v>735</v>
      </c>
      <c r="B426">
        <v>444</v>
      </c>
      <c r="C426" t="s">
        <v>40</v>
      </c>
      <c r="D426" t="s">
        <v>25</v>
      </c>
      <c r="E426" t="s">
        <v>37</v>
      </c>
      <c r="F426" s="1">
        <v>44884</v>
      </c>
      <c r="G426" s="1">
        <v>45203</v>
      </c>
      <c r="H426">
        <v>2459</v>
      </c>
      <c r="I426">
        <v>1636</v>
      </c>
      <c r="J426">
        <v>823</v>
      </c>
      <c r="K426" t="s">
        <v>35</v>
      </c>
      <c r="L426">
        <v>10</v>
      </c>
      <c r="M426" t="str">
        <f t="shared" si="6"/>
        <v>6-12 Months</v>
      </c>
      <c r="N426" s="1">
        <v>45203</v>
      </c>
      <c r="O426">
        <v>1</v>
      </c>
      <c r="P426">
        <v>425</v>
      </c>
      <c r="Q426" s="2">
        <v>0.33</v>
      </c>
      <c r="R426" t="s">
        <v>27</v>
      </c>
      <c r="S426">
        <v>2023</v>
      </c>
      <c r="T426" t="s">
        <v>33</v>
      </c>
    </row>
    <row r="427" spans="1:20" hidden="1" x14ac:dyDescent="0.3">
      <c r="A427">
        <v>738</v>
      </c>
      <c r="B427">
        <v>233</v>
      </c>
      <c r="C427" t="s">
        <v>53</v>
      </c>
      <c r="D427" t="s">
        <v>25</v>
      </c>
      <c r="E427" t="s">
        <v>26</v>
      </c>
      <c r="F427" s="1">
        <v>44628</v>
      </c>
      <c r="G427" s="1">
        <v>44692</v>
      </c>
      <c r="H427">
        <v>1832</v>
      </c>
      <c r="I427">
        <v>1503</v>
      </c>
      <c r="J427">
        <v>329</v>
      </c>
      <c r="K427" t="s">
        <v>54</v>
      </c>
      <c r="L427">
        <v>2</v>
      </c>
      <c r="M427" t="str">
        <f t="shared" si="6"/>
        <v>0-6 Months</v>
      </c>
      <c r="N427" s="1">
        <v>44692</v>
      </c>
      <c r="O427">
        <v>1</v>
      </c>
      <c r="P427">
        <v>426</v>
      </c>
      <c r="Q427" s="2">
        <v>0.18</v>
      </c>
      <c r="R427" t="s">
        <v>27</v>
      </c>
      <c r="S427">
        <v>2022</v>
      </c>
      <c r="T427" t="s">
        <v>28</v>
      </c>
    </row>
    <row r="428" spans="1:20" x14ac:dyDescent="0.3">
      <c r="A428">
        <v>739</v>
      </c>
      <c r="B428">
        <v>109</v>
      </c>
      <c r="C428" t="s">
        <v>39</v>
      </c>
      <c r="D428" t="s">
        <v>19</v>
      </c>
      <c r="E428" t="s">
        <v>37</v>
      </c>
      <c r="F428" s="1">
        <v>44894</v>
      </c>
      <c r="G428" s="1">
        <v>45455</v>
      </c>
      <c r="H428">
        <v>3178</v>
      </c>
      <c r="I428">
        <v>7099</v>
      </c>
      <c r="J428">
        <v>-3921</v>
      </c>
      <c r="K428" t="s">
        <v>35</v>
      </c>
      <c r="L428">
        <v>18</v>
      </c>
      <c r="M428" t="str">
        <f t="shared" si="6"/>
        <v>6-12 Months</v>
      </c>
      <c r="N428" s="1">
        <v>45455</v>
      </c>
      <c r="O428">
        <v>1</v>
      </c>
      <c r="P428">
        <v>427</v>
      </c>
      <c r="Q428" s="2">
        <v>-1.23</v>
      </c>
      <c r="R428" t="s">
        <v>22</v>
      </c>
      <c r="S428">
        <v>2024</v>
      </c>
      <c r="T428" t="s">
        <v>41</v>
      </c>
    </row>
    <row r="429" spans="1:20" hidden="1" x14ac:dyDescent="0.3">
      <c r="A429">
        <v>741</v>
      </c>
      <c r="B429">
        <v>420</v>
      </c>
      <c r="C429" t="s">
        <v>24</v>
      </c>
      <c r="D429" t="s">
        <v>34</v>
      </c>
      <c r="E429" t="s">
        <v>20</v>
      </c>
      <c r="F429" s="1">
        <v>44584</v>
      </c>
      <c r="G429" s="1">
        <v>44983</v>
      </c>
      <c r="H429">
        <v>3589</v>
      </c>
      <c r="I429">
        <v>3613</v>
      </c>
      <c r="J429">
        <v>-24</v>
      </c>
      <c r="K429" t="s">
        <v>54</v>
      </c>
      <c r="L429">
        <v>13</v>
      </c>
      <c r="M429" t="str">
        <f t="shared" si="6"/>
        <v>6-12 Months</v>
      </c>
      <c r="N429" s="1">
        <v>44983</v>
      </c>
      <c r="O429">
        <v>1</v>
      </c>
      <c r="P429">
        <v>428</v>
      </c>
      <c r="Q429" s="2">
        <v>-0.01</v>
      </c>
      <c r="R429" t="s">
        <v>27</v>
      </c>
      <c r="S429">
        <v>2023</v>
      </c>
      <c r="T429" t="s">
        <v>43</v>
      </c>
    </row>
    <row r="430" spans="1:20" hidden="1" x14ac:dyDescent="0.3">
      <c r="A430">
        <v>742</v>
      </c>
      <c r="B430">
        <v>251</v>
      </c>
      <c r="C430" t="s">
        <v>45</v>
      </c>
      <c r="D430" t="s">
        <v>25</v>
      </c>
      <c r="E430" t="s">
        <v>20</v>
      </c>
      <c r="F430" s="1">
        <v>44733</v>
      </c>
      <c r="G430" s="1">
        <v>44847</v>
      </c>
      <c r="H430">
        <v>4967.93</v>
      </c>
      <c r="I430">
        <v>1736</v>
      </c>
      <c r="J430">
        <v>-3572</v>
      </c>
      <c r="K430" t="s">
        <v>54</v>
      </c>
      <c r="L430">
        <v>3</v>
      </c>
      <c r="M430" t="str">
        <f t="shared" si="6"/>
        <v>0-6 Months</v>
      </c>
      <c r="N430" s="1">
        <v>44847</v>
      </c>
      <c r="O430">
        <v>0</v>
      </c>
      <c r="P430">
        <v>429</v>
      </c>
      <c r="Q430" s="2">
        <v>-0.72</v>
      </c>
      <c r="R430" t="s">
        <v>27</v>
      </c>
      <c r="S430">
        <v>2022</v>
      </c>
      <c r="T430" t="s">
        <v>33</v>
      </c>
    </row>
    <row r="431" spans="1:20" hidden="1" x14ac:dyDescent="0.3">
      <c r="A431">
        <v>744</v>
      </c>
      <c r="B431">
        <v>361</v>
      </c>
      <c r="C431" t="s">
        <v>39</v>
      </c>
      <c r="D431" t="s">
        <v>25</v>
      </c>
      <c r="E431" t="s">
        <v>37</v>
      </c>
      <c r="F431" s="1">
        <v>44766</v>
      </c>
      <c r="G431" s="1">
        <v>45021</v>
      </c>
      <c r="H431">
        <v>1242</v>
      </c>
      <c r="I431">
        <v>464</v>
      </c>
      <c r="J431">
        <v>778</v>
      </c>
      <c r="K431" t="s">
        <v>54</v>
      </c>
      <c r="L431">
        <v>8</v>
      </c>
      <c r="M431" t="str">
        <f t="shared" si="6"/>
        <v>6-12 Months</v>
      </c>
      <c r="N431" s="1">
        <v>45021</v>
      </c>
      <c r="O431">
        <v>1</v>
      </c>
      <c r="P431">
        <v>430</v>
      </c>
      <c r="Q431" s="2">
        <v>0.63</v>
      </c>
      <c r="R431" t="s">
        <v>27</v>
      </c>
      <c r="S431">
        <v>2023</v>
      </c>
      <c r="T431" t="s">
        <v>32</v>
      </c>
    </row>
    <row r="432" spans="1:20" hidden="1" x14ac:dyDescent="0.3">
      <c r="A432">
        <v>747</v>
      </c>
      <c r="B432">
        <v>468</v>
      </c>
      <c r="C432" t="s">
        <v>45</v>
      </c>
      <c r="D432" t="s">
        <v>29</v>
      </c>
      <c r="E432" t="s">
        <v>20</v>
      </c>
      <c r="F432" s="1">
        <v>44709</v>
      </c>
      <c r="G432" s="1">
        <v>44781</v>
      </c>
      <c r="H432">
        <v>4967.93</v>
      </c>
      <c r="I432">
        <v>7509</v>
      </c>
      <c r="J432">
        <v>-8200</v>
      </c>
      <c r="K432" t="s">
        <v>21</v>
      </c>
      <c r="L432">
        <v>2</v>
      </c>
      <c r="M432" t="str">
        <f t="shared" si="6"/>
        <v>0-6 Months</v>
      </c>
      <c r="N432" s="1">
        <v>44781</v>
      </c>
      <c r="O432">
        <v>1</v>
      </c>
      <c r="P432">
        <v>431</v>
      </c>
      <c r="Q432" s="2">
        <v>-1.65</v>
      </c>
      <c r="R432" t="s">
        <v>22</v>
      </c>
      <c r="S432">
        <v>2022</v>
      </c>
      <c r="T432" t="s">
        <v>36</v>
      </c>
    </row>
    <row r="433" spans="1:20" hidden="1" x14ac:dyDescent="0.3">
      <c r="A433">
        <v>748</v>
      </c>
      <c r="B433">
        <v>263</v>
      </c>
      <c r="C433" t="s">
        <v>39</v>
      </c>
      <c r="D433" t="s">
        <v>29</v>
      </c>
      <c r="E433" t="s">
        <v>20</v>
      </c>
      <c r="F433" s="1">
        <v>44660</v>
      </c>
      <c r="G433" s="1">
        <v>45153</v>
      </c>
      <c r="H433">
        <v>1749</v>
      </c>
      <c r="I433">
        <v>2158</v>
      </c>
      <c r="J433">
        <v>-409</v>
      </c>
      <c r="K433" t="s">
        <v>54</v>
      </c>
      <c r="L433">
        <v>16</v>
      </c>
      <c r="M433" t="str">
        <f t="shared" si="6"/>
        <v>6-12 Months</v>
      </c>
      <c r="N433" s="1">
        <v>45153</v>
      </c>
      <c r="O433">
        <v>1</v>
      </c>
      <c r="P433">
        <v>432</v>
      </c>
      <c r="Q433" s="2">
        <v>-0.23</v>
      </c>
      <c r="R433" t="s">
        <v>27</v>
      </c>
      <c r="S433">
        <v>2023</v>
      </c>
      <c r="T433" t="s">
        <v>36</v>
      </c>
    </row>
    <row r="434" spans="1:20" hidden="1" x14ac:dyDescent="0.3">
      <c r="A434">
        <v>749</v>
      </c>
      <c r="B434">
        <v>478</v>
      </c>
      <c r="C434" t="s">
        <v>24</v>
      </c>
      <c r="D434" t="s">
        <v>25</v>
      </c>
      <c r="E434" t="s">
        <v>26</v>
      </c>
      <c r="F434" s="1">
        <v>44855</v>
      </c>
      <c r="G434" s="1">
        <v>45448</v>
      </c>
      <c r="H434">
        <v>8161</v>
      </c>
      <c r="I434">
        <v>6531</v>
      </c>
      <c r="J434">
        <v>1630</v>
      </c>
      <c r="K434" t="s">
        <v>54</v>
      </c>
      <c r="L434">
        <v>19</v>
      </c>
      <c r="M434" t="str">
        <f t="shared" si="6"/>
        <v>6-12 Months</v>
      </c>
      <c r="N434" s="1">
        <v>45448</v>
      </c>
      <c r="O434">
        <v>0</v>
      </c>
      <c r="P434">
        <v>433</v>
      </c>
      <c r="Q434" s="2">
        <v>0.2</v>
      </c>
      <c r="R434" t="s">
        <v>27</v>
      </c>
      <c r="S434">
        <v>2024</v>
      </c>
      <c r="T434" t="s">
        <v>41</v>
      </c>
    </row>
    <row r="435" spans="1:20" x14ac:dyDescent="0.3">
      <c r="A435">
        <v>751</v>
      </c>
      <c r="B435">
        <v>174</v>
      </c>
      <c r="C435" t="s">
        <v>53</v>
      </c>
      <c r="D435" t="s">
        <v>34</v>
      </c>
      <c r="E435" t="s">
        <v>20</v>
      </c>
      <c r="F435" s="1">
        <v>44656</v>
      </c>
      <c r="G435" s="1">
        <v>45041</v>
      </c>
      <c r="H435">
        <v>6650</v>
      </c>
      <c r="I435">
        <v>5308</v>
      </c>
      <c r="J435">
        <v>577.01</v>
      </c>
      <c r="K435" t="s">
        <v>35</v>
      </c>
      <c r="L435">
        <v>12</v>
      </c>
      <c r="M435" t="str">
        <f t="shared" si="6"/>
        <v>6-12 Months</v>
      </c>
      <c r="N435" s="1">
        <v>45041</v>
      </c>
      <c r="O435">
        <v>0</v>
      </c>
      <c r="P435">
        <v>434</v>
      </c>
      <c r="Q435" s="2">
        <v>0.09</v>
      </c>
      <c r="R435" t="s">
        <v>27</v>
      </c>
      <c r="S435">
        <v>2023</v>
      </c>
      <c r="T435" t="s">
        <v>32</v>
      </c>
    </row>
    <row r="436" spans="1:20" hidden="1" x14ac:dyDescent="0.3">
      <c r="A436">
        <v>752</v>
      </c>
      <c r="B436">
        <v>358</v>
      </c>
      <c r="C436" t="s">
        <v>53</v>
      </c>
      <c r="D436" t="s">
        <v>34</v>
      </c>
      <c r="E436" t="s">
        <v>26</v>
      </c>
      <c r="F436" s="1">
        <v>44613</v>
      </c>
      <c r="G436" s="1">
        <v>45097</v>
      </c>
      <c r="H436">
        <v>8380</v>
      </c>
      <c r="I436">
        <v>2271</v>
      </c>
      <c r="J436">
        <v>6109</v>
      </c>
      <c r="K436" t="s">
        <v>54</v>
      </c>
      <c r="L436">
        <v>15</v>
      </c>
      <c r="M436" t="str">
        <f t="shared" si="6"/>
        <v>6-12 Months</v>
      </c>
      <c r="N436" s="1">
        <v>45097</v>
      </c>
      <c r="O436">
        <v>0</v>
      </c>
      <c r="P436">
        <v>435</v>
      </c>
      <c r="Q436" s="2">
        <v>0.73</v>
      </c>
      <c r="R436" t="s">
        <v>27</v>
      </c>
      <c r="S436">
        <v>2023</v>
      </c>
      <c r="T436" t="s">
        <v>41</v>
      </c>
    </row>
    <row r="437" spans="1:20" x14ac:dyDescent="0.3">
      <c r="A437">
        <v>753</v>
      </c>
      <c r="B437">
        <v>424</v>
      </c>
      <c r="C437" t="s">
        <v>53</v>
      </c>
      <c r="D437" t="s">
        <v>25</v>
      </c>
      <c r="E437" t="s">
        <v>26</v>
      </c>
      <c r="F437" s="1">
        <v>44710</v>
      </c>
      <c r="G437" s="1">
        <v>45114</v>
      </c>
      <c r="H437">
        <v>8802</v>
      </c>
      <c r="I437">
        <v>6096</v>
      </c>
      <c r="J437">
        <v>2706</v>
      </c>
      <c r="K437" t="s">
        <v>35</v>
      </c>
      <c r="L437">
        <v>13</v>
      </c>
      <c r="M437" t="str">
        <f t="shared" si="6"/>
        <v>6-12 Months</v>
      </c>
      <c r="N437" s="1">
        <v>45114</v>
      </c>
      <c r="O437">
        <v>0</v>
      </c>
      <c r="P437">
        <v>436</v>
      </c>
      <c r="Q437" s="2">
        <v>0.31</v>
      </c>
      <c r="R437" t="s">
        <v>27</v>
      </c>
      <c r="S437">
        <v>2023</v>
      </c>
      <c r="T437" t="s">
        <v>44</v>
      </c>
    </row>
    <row r="438" spans="1:20" hidden="1" x14ac:dyDescent="0.3">
      <c r="A438">
        <v>754</v>
      </c>
      <c r="B438">
        <v>376</v>
      </c>
      <c r="C438" t="s">
        <v>53</v>
      </c>
      <c r="D438" t="s">
        <v>29</v>
      </c>
      <c r="E438" t="s">
        <v>26</v>
      </c>
      <c r="F438" s="1">
        <v>44759</v>
      </c>
      <c r="G438" s="1">
        <v>45082</v>
      </c>
      <c r="H438">
        <v>4628</v>
      </c>
      <c r="I438">
        <v>6121</v>
      </c>
      <c r="J438">
        <v>-1493</v>
      </c>
      <c r="K438" t="s">
        <v>21</v>
      </c>
      <c r="L438">
        <v>10</v>
      </c>
      <c r="M438" t="str">
        <f t="shared" si="6"/>
        <v>6-12 Months</v>
      </c>
      <c r="N438" s="1">
        <v>45082</v>
      </c>
      <c r="O438">
        <v>1</v>
      </c>
      <c r="P438">
        <v>437</v>
      </c>
      <c r="Q438" s="2">
        <v>-0.32</v>
      </c>
      <c r="R438" t="s">
        <v>27</v>
      </c>
      <c r="S438">
        <v>2023</v>
      </c>
      <c r="T438" t="s">
        <v>41</v>
      </c>
    </row>
    <row r="439" spans="1:20" x14ac:dyDescent="0.3">
      <c r="A439">
        <v>756</v>
      </c>
      <c r="B439">
        <v>441</v>
      </c>
      <c r="C439" t="s">
        <v>40</v>
      </c>
      <c r="D439" t="s">
        <v>34</v>
      </c>
      <c r="E439" t="s">
        <v>37</v>
      </c>
      <c r="F439" s="1">
        <v>44607</v>
      </c>
      <c r="G439" s="1">
        <v>44800</v>
      </c>
      <c r="H439">
        <v>9639</v>
      </c>
      <c r="I439">
        <v>1665</v>
      </c>
      <c r="J439">
        <v>577.01</v>
      </c>
      <c r="K439" t="s">
        <v>35</v>
      </c>
      <c r="L439">
        <v>6</v>
      </c>
      <c r="M439" t="str">
        <f t="shared" si="6"/>
        <v>12+ Months</v>
      </c>
      <c r="N439" s="1">
        <v>44800</v>
      </c>
      <c r="O439">
        <v>1</v>
      </c>
      <c r="P439">
        <v>438</v>
      </c>
      <c r="Q439" s="2">
        <v>0.06</v>
      </c>
      <c r="R439" t="s">
        <v>27</v>
      </c>
      <c r="S439">
        <v>2022</v>
      </c>
      <c r="T439" t="s">
        <v>36</v>
      </c>
    </row>
    <row r="440" spans="1:20" hidden="1" x14ac:dyDescent="0.3">
      <c r="A440">
        <v>757</v>
      </c>
      <c r="B440">
        <v>189</v>
      </c>
      <c r="C440" t="s">
        <v>45</v>
      </c>
      <c r="D440" t="s">
        <v>34</v>
      </c>
      <c r="E440" t="s">
        <v>37</v>
      </c>
      <c r="F440" s="1">
        <v>44750</v>
      </c>
      <c r="G440" s="1">
        <v>44932</v>
      </c>
      <c r="H440">
        <v>4967.93</v>
      </c>
      <c r="I440">
        <v>1772</v>
      </c>
      <c r="J440">
        <v>-2069</v>
      </c>
      <c r="K440" t="s">
        <v>54</v>
      </c>
      <c r="L440">
        <v>5</v>
      </c>
      <c r="M440" t="str">
        <f t="shared" si="6"/>
        <v>0-6 Months</v>
      </c>
      <c r="N440" s="1">
        <v>44932</v>
      </c>
      <c r="O440">
        <v>0</v>
      </c>
      <c r="P440">
        <v>439</v>
      </c>
      <c r="Q440" s="2">
        <v>-0.42</v>
      </c>
      <c r="R440" t="s">
        <v>27</v>
      </c>
      <c r="S440">
        <v>2023</v>
      </c>
      <c r="T440" t="s">
        <v>23</v>
      </c>
    </row>
    <row r="441" spans="1:20" hidden="1" x14ac:dyDescent="0.3">
      <c r="A441">
        <v>758</v>
      </c>
      <c r="B441">
        <v>321</v>
      </c>
      <c r="C441" t="s">
        <v>53</v>
      </c>
      <c r="D441" t="s">
        <v>34</v>
      </c>
      <c r="E441" t="s">
        <v>20</v>
      </c>
      <c r="F441" s="1">
        <v>44833</v>
      </c>
      <c r="G441" s="1">
        <v>44863</v>
      </c>
      <c r="H441">
        <v>6872</v>
      </c>
      <c r="I441">
        <v>5893</v>
      </c>
      <c r="J441">
        <v>979</v>
      </c>
      <c r="K441" t="s">
        <v>21</v>
      </c>
      <c r="L441">
        <v>1</v>
      </c>
      <c r="M441" t="str">
        <f t="shared" si="6"/>
        <v>0-6 Months</v>
      </c>
      <c r="N441" s="1">
        <v>44863</v>
      </c>
      <c r="O441">
        <v>0</v>
      </c>
      <c r="P441">
        <v>440</v>
      </c>
      <c r="Q441" s="2">
        <v>0.14000000000000001</v>
      </c>
      <c r="R441" t="s">
        <v>27</v>
      </c>
      <c r="S441">
        <v>2022</v>
      </c>
      <c r="T441" t="s">
        <v>33</v>
      </c>
    </row>
    <row r="442" spans="1:20" hidden="1" x14ac:dyDescent="0.3">
      <c r="A442">
        <v>760</v>
      </c>
      <c r="B442">
        <v>260</v>
      </c>
      <c r="C442" t="s">
        <v>24</v>
      </c>
      <c r="D442" t="s">
        <v>29</v>
      </c>
      <c r="E442" t="s">
        <v>20</v>
      </c>
      <c r="F442" s="1">
        <v>44886</v>
      </c>
      <c r="G442" s="1">
        <v>45322</v>
      </c>
      <c r="H442">
        <v>2068</v>
      </c>
      <c r="I442">
        <v>7136</v>
      </c>
      <c r="J442">
        <v>-5068</v>
      </c>
      <c r="K442" t="s">
        <v>54</v>
      </c>
      <c r="L442">
        <v>14</v>
      </c>
      <c r="M442" t="str">
        <f t="shared" si="6"/>
        <v>6-12 Months</v>
      </c>
      <c r="N442" s="1">
        <v>45322</v>
      </c>
      <c r="O442">
        <v>0</v>
      </c>
      <c r="P442">
        <v>441</v>
      </c>
      <c r="Q442" s="2">
        <v>-2.4500000000000002</v>
      </c>
      <c r="R442" t="s">
        <v>22</v>
      </c>
      <c r="S442">
        <v>2024</v>
      </c>
      <c r="T442" t="s">
        <v>23</v>
      </c>
    </row>
    <row r="443" spans="1:20" x14ac:dyDescent="0.3">
      <c r="A443">
        <v>762</v>
      </c>
      <c r="B443">
        <v>203</v>
      </c>
      <c r="C443" t="s">
        <v>24</v>
      </c>
      <c r="D443" t="s">
        <v>34</v>
      </c>
      <c r="E443" t="s">
        <v>26</v>
      </c>
      <c r="F443" s="1">
        <v>44811</v>
      </c>
      <c r="G443" s="1">
        <v>44920</v>
      </c>
      <c r="H443">
        <v>4157</v>
      </c>
      <c r="I443">
        <v>1605</v>
      </c>
      <c r="J443">
        <v>577.01</v>
      </c>
      <c r="K443" t="s">
        <v>35</v>
      </c>
      <c r="L443">
        <v>3</v>
      </c>
      <c r="M443" t="str">
        <f t="shared" si="6"/>
        <v>0-6 Months</v>
      </c>
      <c r="N443" s="1">
        <v>44920</v>
      </c>
      <c r="O443">
        <v>1</v>
      </c>
      <c r="P443">
        <v>442</v>
      </c>
      <c r="Q443" s="2">
        <v>0.14000000000000001</v>
      </c>
      <c r="R443" t="s">
        <v>27</v>
      </c>
      <c r="S443">
        <v>2022</v>
      </c>
      <c r="T443" t="s">
        <v>31</v>
      </c>
    </row>
    <row r="444" spans="1:20" x14ac:dyDescent="0.3">
      <c r="A444">
        <v>763</v>
      </c>
      <c r="B444">
        <v>475</v>
      </c>
      <c r="C444" t="s">
        <v>45</v>
      </c>
      <c r="D444" t="s">
        <v>29</v>
      </c>
      <c r="E444" t="s">
        <v>37</v>
      </c>
      <c r="F444" s="1">
        <v>44788</v>
      </c>
      <c r="G444" s="1">
        <v>44916</v>
      </c>
      <c r="H444">
        <v>6975</v>
      </c>
      <c r="I444">
        <v>1946</v>
      </c>
      <c r="J444">
        <v>577.01</v>
      </c>
      <c r="K444" t="s">
        <v>35</v>
      </c>
      <c r="L444">
        <v>4</v>
      </c>
      <c r="M444" t="str">
        <f t="shared" si="6"/>
        <v>0-6 Months</v>
      </c>
      <c r="N444" s="1">
        <v>44916</v>
      </c>
      <c r="O444">
        <v>0</v>
      </c>
      <c r="P444">
        <v>443</v>
      </c>
      <c r="Q444" s="2">
        <v>0.08</v>
      </c>
      <c r="R444" t="s">
        <v>27</v>
      </c>
      <c r="S444">
        <v>2022</v>
      </c>
      <c r="T444" t="s">
        <v>31</v>
      </c>
    </row>
    <row r="445" spans="1:20" hidden="1" x14ac:dyDescent="0.3">
      <c r="A445">
        <v>765</v>
      </c>
      <c r="B445">
        <v>272</v>
      </c>
      <c r="C445" t="s">
        <v>53</v>
      </c>
      <c r="D445" t="s">
        <v>34</v>
      </c>
      <c r="E445" t="s">
        <v>20</v>
      </c>
      <c r="F445" s="1">
        <v>44837</v>
      </c>
      <c r="G445" s="1">
        <v>45349</v>
      </c>
      <c r="H445">
        <v>4679</v>
      </c>
      <c r="I445">
        <v>5759</v>
      </c>
      <c r="J445">
        <v>-1080</v>
      </c>
      <c r="K445" t="s">
        <v>54</v>
      </c>
      <c r="L445">
        <v>16</v>
      </c>
      <c r="M445" t="str">
        <f t="shared" si="6"/>
        <v>6-12 Months</v>
      </c>
      <c r="N445" s="1">
        <v>45349</v>
      </c>
      <c r="O445">
        <v>0</v>
      </c>
      <c r="P445">
        <v>444</v>
      </c>
      <c r="Q445" s="2">
        <v>-0.23</v>
      </c>
      <c r="R445" t="s">
        <v>27</v>
      </c>
      <c r="S445">
        <v>2024</v>
      </c>
      <c r="T445" t="s">
        <v>43</v>
      </c>
    </row>
    <row r="446" spans="1:20" hidden="1" x14ac:dyDescent="0.3">
      <c r="A446">
        <v>767</v>
      </c>
      <c r="B446">
        <v>306</v>
      </c>
      <c r="C446" t="s">
        <v>40</v>
      </c>
      <c r="D446" t="s">
        <v>19</v>
      </c>
      <c r="E446" t="s">
        <v>26</v>
      </c>
      <c r="F446" s="1">
        <v>44611</v>
      </c>
      <c r="G446" s="1">
        <v>44706</v>
      </c>
      <c r="H446">
        <v>6210</v>
      </c>
      <c r="I446">
        <v>2369</v>
      </c>
      <c r="J446">
        <v>3841</v>
      </c>
      <c r="K446" t="s">
        <v>21</v>
      </c>
      <c r="L446">
        <v>3</v>
      </c>
      <c r="M446" t="str">
        <f t="shared" si="6"/>
        <v>0-6 Months</v>
      </c>
      <c r="N446" s="1">
        <v>44706</v>
      </c>
      <c r="O446">
        <v>0</v>
      </c>
      <c r="P446">
        <v>445</v>
      </c>
      <c r="Q446" s="2">
        <v>0.62</v>
      </c>
      <c r="R446" t="s">
        <v>27</v>
      </c>
      <c r="S446">
        <v>2022</v>
      </c>
      <c r="T446" t="s">
        <v>28</v>
      </c>
    </row>
    <row r="447" spans="1:20" hidden="1" x14ac:dyDescent="0.3">
      <c r="A447">
        <v>770</v>
      </c>
      <c r="B447">
        <v>190</v>
      </c>
      <c r="C447" t="s">
        <v>40</v>
      </c>
      <c r="D447" t="s">
        <v>19</v>
      </c>
      <c r="E447" t="s">
        <v>20</v>
      </c>
      <c r="F447" s="1">
        <v>44723</v>
      </c>
      <c r="G447" s="1">
        <v>45156</v>
      </c>
      <c r="H447">
        <v>755</v>
      </c>
      <c r="I447">
        <v>963</v>
      </c>
      <c r="J447">
        <v>-208</v>
      </c>
      <c r="K447" t="s">
        <v>54</v>
      </c>
      <c r="L447">
        <v>14</v>
      </c>
      <c r="M447" t="str">
        <f t="shared" si="6"/>
        <v>6-12 Months</v>
      </c>
      <c r="N447" s="1">
        <v>45156</v>
      </c>
      <c r="O447">
        <v>1</v>
      </c>
      <c r="P447">
        <v>446</v>
      </c>
      <c r="Q447" s="2">
        <v>-0.28000000000000003</v>
      </c>
      <c r="R447" t="s">
        <v>27</v>
      </c>
      <c r="S447">
        <v>2023</v>
      </c>
      <c r="T447" t="s">
        <v>36</v>
      </c>
    </row>
    <row r="448" spans="1:20" hidden="1" x14ac:dyDescent="0.3">
      <c r="A448">
        <v>773</v>
      </c>
      <c r="B448">
        <v>275</v>
      </c>
      <c r="C448" t="s">
        <v>53</v>
      </c>
      <c r="D448" t="s">
        <v>19</v>
      </c>
      <c r="E448" t="s">
        <v>26</v>
      </c>
      <c r="F448" s="1">
        <v>44694</v>
      </c>
      <c r="G448" s="1">
        <v>44833</v>
      </c>
      <c r="H448">
        <v>4967.93</v>
      </c>
      <c r="I448">
        <v>5617</v>
      </c>
      <c r="J448">
        <v>-6709</v>
      </c>
      <c r="K448" t="s">
        <v>54</v>
      </c>
      <c r="L448">
        <v>4</v>
      </c>
      <c r="M448" t="str">
        <f t="shared" si="6"/>
        <v>0-6 Months</v>
      </c>
      <c r="N448" s="1">
        <v>44833</v>
      </c>
      <c r="O448">
        <v>0</v>
      </c>
      <c r="P448">
        <v>447</v>
      </c>
      <c r="Q448" s="2">
        <v>-1.35</v>
      </c>
      <c r="R448" t="s">
        <v>22</v>
      </c>
      <c r="S448">
        <v>2022</v>
      </c>
      <c r="T448" t="s">
        <v>30</v>
      </c>
    </row>
    <row r="449" spans="1:20" x14ac:dyDescent="0.3">
      <c r="A449">
        <v>776</v>
      </c>
      <c r="B449">
        <v>358</v>
      </c>
      <c r="C449" t="s">
        <v>40</v>
      </c>
      <c r="D449" t="s">
        <v>25</v>
      </c>
      <c r="E449" t="s">
        <v>20</v>
      </c>
      <c r="F449" s="1">
        <v>44627</v>
      </c>
      <c r="G449" s="1">
        <v>45025</v>
      </c>
      <c r="H449">
        <v>5086</v>
      </c>
      <c r="I449">
        <v>7567</v>
      </c>
      <c r="J449">
        <v>-2481</v>
      </c>
      <c r="K449" t="s">
        <v>35</v>
      </c>
      <c r="L449">
        <v>13</v>
      </c>
      <c r="M449" t="str">
        <f t="shared" si="6"/>
        <v>6-12 Months</v>
      </c>
      <c r="N449" s="1">
        <v>45025</v>
      </c>
      <c r="O449">
        <v>1</v>
      </c>
      <c r="P449">
        <v>448</v>
      </c>
      <c r="Q449" s="2">
        <v>-0.49</v>
      </c>
      <c r="R449" t="s">
        <v>27</v>
      </c>
      <c r="S449">
        <v>2023</v>
      </c>
      <c r="T449" t="s">
        <v>32</v>
      </c>
    </row>
    <row r="450" spans="1:20" hidden="1" x14ac:dyDescent="0.3">
      <c r="A450">
        <v>777</v>
      </c>
      <c r="B450">
        <v>410</v>
      </c>
      <c r="C450" t="s">
        <v>53</v>
      </c>
      <c r="D450" t="s">
        <v>25</v>
      </c>
      <c r="E450" t="s">
        <v>26</v>
      </c>
      <c r="F450" s="1">
        <v>44827</v>
      </c>
      <c r="G450" s="1">
        <v>45233</v>
      </c>
      <c r="H450">
        <v>4967.93</v>
      </c>
      <c r="I450">
        <v>5550</v>
      </c>
      <c r="J450">
        <v>-6225</v>
      </c>
      <c r="K450" t="s">
        <v>54</v>
      </c>
      <c r="L450">
        <v>13</v>
      </c>
      <c r="M450" t="str">
        <f t="shared" ref="M450:M513" si="7">IF(L450&lt;6,"0-6 Months",IF(L450&gt;6,"6-12 Months","12+ Months"))</f>
        <v>6-12 Months</v>
      </c>
      <c r="N450" s="1">
        <v>45233</v>
      </c>
      <c r="O450">
        <v>1</v>
      </c>
      <c r="P450">
        <v>449</v>
      </c>
      <c r="Q450" s="2">
        <v>-1.25</v>
      </c>
      <c r="R450" t="s">
        <v>22</v>
      </c>
      <c r="S450">
        <v>2023</v>
      </c>
      <c r="T450" t="s">
        <v>42</v>
      </c>
    </row>
    <row r="451" spans="1:20" x14ac:dyDescent="0.3">
      <c r="A451">
        <v>778</v>
      </c>
      <c r="B451">
        <v>293</v>
      </c>
      <c r="C451" t="s">
        <v>53</v>
      </c>
      <c r="D451" t="s">
        <v>25</v>
      </c>
      <c r="E451" t="s">
        <v>26</v>
      </c>
      <c r="F451" s="1">
        <v>44730</v>
      </c>
      <c r="G451" s="1">
        <v>45223</v>
      </c>
      <c r="H451">
        <v>3087</v>
      </c>
      <c r="I451">
        <v>1974</v>
      </c>
      <c r="J451">
        <v>1113</v>
      </c>
      <c r="K451" t="s">
        <v>35</v>
      </c>
      <c r="L451">
        <v>16</v>
      </c>
      <c r="M451" t="str">
        <f t="shared" si="7"/>
        <v>6-12 Months</v>
      </c>
      <c r="N451" s="1">
        <v>45223</v>
      </c>
      <c r="O451">
        <v>1</v>
      </c>
      <c r="P451">
        <v>450</v>
      </c>
      <c r="Q451" s="2">
        <v>0.36</v>
      </c>
      <c r="R451" t="s">
        <v>27</v>
      </c>
      <c r="S451">
        <v>2023</v>
      </c>
      <c r="T451" t="s">
        <v>33</v>
      </c>
    </row>
    <row r="452" spans="1:20" x14ac:dyDescent="0.3">
      <c r="A452">
        <v>780</v>
      </c>
      <c r="B452">
        <v>167</v>
      </c>
      <c r="C452" t="s">
        <v>45</v>
      </c>
      <c r="D452" t="s">
        <v>29</v>
      </c>
      <c r="E452" t="s">
        <v>37</v>
      </c>
      <c r="F452" s="1">
        <v>44739</v>
      </c>
      <c r="G452" s="1">
        <v>44877</v>
      </c>
      <c r="H452">
        <v>4967.93</v>
      </c>
      <c r="I452">
        <v>1160</v>
      </c>
      <c r="J452">
        <v>-2139</v>
      </c>
      <c r="K452" t="s">
        <v>35</v>
      </c>
      <c r="L452">
        <v>4</v>
      </c>
      <c r="M452" t="str">
        <f t="shared" si="7"/>
        <v>0-6 Months</v>
      </c>
      <c r="N452" s="1">
        <v>44877</v>
      </c>
      <c r="O452">
        <v>0</v>
      </c>
      <c r="P452">
        <v>451</v>
      </c>
      <c r="Q452" s="2">
        <v>-0.43</v>
      </c>
      <c r="R452" t="s">
        <v>27</v>
      </c>
      <c r="S452">
        <v>2022</v>
      </c>
      <c r="T452" t="s">
        <v>42</v>
      </c>
    </row>
    <row r="453" spans="1:20" x14ac:dyDescent="0.3">
      <c r="A453">
        <v>781</v>
      </c>
      <c r="B453">
        <v>129</v>
      </c>
      <c r="C453" t="s">
        <v>39</v>
      </c>
      <c r="D453" t="s">
        <v>19</v>
      </c>
      <c r="E453" t="s">
        <v>37</v>
      </c>
      <c r="F453" s="1">
        <v>44751</v>
      </c>
      <c r="G453" s="1">
        <v>44938</v>
      </c>
      <c r="H453">
        <v>412</v>
      </c>
      <c r="I453">
        <v>1704</v>
      </c>
      <c r="J453">
        <v>-1292</v>
      </c>
      <c r="K453" t="s">
        <v>35</v>
      </c>
      <c r="L453">
        <v>6</v>
      </c>
      <c r="M453" t="str">
        <f t="shared" si="7"/>
        <v>12+ Months</v>
      </c>
      <c r="N453" s="1">
        <v>44938</v>
      </c>
      <c r="O453">
        <v>1</v>
      </c>
      <c r="P453">
        <v>452</v>
      </c>
      <c r="Q453" s="2">
        <v>-3.14</v>
      </c>
      <c r="R453" t="s">
        <v>22</v>
      </c>
      <c r="S453">
        <v>2023</v>
      </c>
      <c r="T453" t="s">
        <v>23</v>
      </c>
    </row>
    <row r="454" spans="1:20" hidden="1" x14ac:dyDescent="0.3">
      <c r="A454">
        <v>782</v>
      </c>
      <c r="B454">
        <v>463</v>
      </c>
      <c r="C454" t="s">
        <v>53</v>
      </c>
      <c r="D454" t="s">
        <v>34</v>
      </c>
      <c r="E454" t="s">
        <v>37</v>
      </c>
      <c r="F454" s="1">
        <v>44728</v>
      </c>
      <c r="G454" s="1">
        <v>44988</v>
      </c>
      <c r="H454">
        <v>2928</v>
      </c>
      <c r="I454">
        <v>3525</v>
      </c>
      <c r="J454">
        <v>-597</v>
      </c>
      <c r="K454" t="s">
        <v>54</v>
      </c>
      <c r="L454">
        <v>8</v>
      </c>
      <c r="M454" t="str">
        <f t="shared" si="7"/>
        <v>6-12 Months</v>
      </c>
      <c r="N454" s="1">
        <v>44988</v>
      </c>
      <c r="O454">
        <v>0</v>
      </c>
      <c r="P454">
        <v>453</v>
      </c>
      <c r="Q454" s="2">
        <v>-0.2</v>
      </c>
      <c r="R454" t="s">
        <v>27</v>
      </c>
      <c r="S454">
        <v>2023</v>
      </c>
      <c r="T454" t="s">
        <v>38</v>
      </c>
    </row>
    <row r="455" spans="1:20" hidden="1" x14ac:dyDescent="0.3">
      <c r="A455">
        <v>783</v>
      </c>
      <c r="B455">
        <v>152</v>
      </c>
      <c r="C455" t="s">
        <v>24</v>
      </c>
      <c r="D455" t="s">
        <v>19</v>
      </c>
      <c r="E455" t="s">
        <v>26</v>
      </c>
      <c r="F455" s="1">
        <v>44927</v>
      </c>
      <c r="G455" s="1">
        <v>45409</v>
      </c>
      <c r="H455">
        <v>798</v>
      </c>
      <c r="I455">
        <v>3270</v>
      </c>
      <c r="J455">
        <v>-2472</v>
      </c>
      <c r="K455" t="s">
        <v>21</v>
      </c>
      <c r="L455">
        <v>15</v>
      </c>
      <c r="M455" t="str">
        <f t="shared" si="7"/>
        <v>6-12 Months</v>
      </c>
      <c r="N455" s="1">
        <v>45409</v>
      </c>
      <c r="O455">
        <v>0</v>
      </c>
      <c r="P455">
        <v>454</v>
      </c>
      <c r="Q455" s="2">
        <v>-3.1</v>
      </c>
      <c r="R455" t="s">
        <v>22</v>
      </c>
      <c r="S455">
        <v>2024</v>
      </c>
      <c r="T455" t="s">
        <v>32</v>
      </c>
    </row>
    <row r="456" spans="1:20" hidden="1" x14ac:dyDescent="0.3">
      <c r="A456">
        <v>784</v>
      </c>
      <c r="B456">
        <v>224</v>
      </c>
      <c r="C456" t="s">
        <v>39</v>
      </c>
      <c r="D456" t="s">
        <v>34</v>
      </c>
      <c r="E456" t="s">
        <v>26</v>
      </c>
      <c r="F456" s="1">
        <v>44714</v>
      </c>
      <c r="G456" s="1">
        <v>45217</v>
      </c>
      <c r="H456">
        <v>6145</v>
      </c>
      <c r="I456">
        <v>842</v>
      </c>
      <c r="J456">
        <v>5303</v>
      </c>
      <c r="K456" t="s">
        <v>54</v>
      </c>
      <c r="L456">
        <v>16</v>
      </c>
      <c r="M456" t="str">
        <f t="shared" si="7"/>
        <v>6-12 Months</v>
      </c>
      <c r="N456" s="1">
        <v>45217</v>
      </c>
      <c r="O456">
        <v>0</v>
      </c>
      <c r="P456">
        <v>455</v>
      </c>
      <c r="Q456" s="2">
        <v>0.86</v>
      </c>
      <c r="R456" t="s">
        <v>27</v>
      </c>
      <c r="S456">
        <v>2023</v>
      </c>
      <c r="T456" t="s">
        <v>33</v>
      </c>
    </row>
    <row r="457" spans="1:20" hidden="1" x14ac:dyDescent="0.3">
      <c r="A457">
        <v>786</v>
      </c>
      <c r="B457">
        <v>248</v>
      </c>
      <c r="C457" t="s">
        <v>40</v>
      </c>
      <c r="D457" t="s">
        <v>29</v>
      </c>
      <c r="E457" t="s">
        <v>37</v>
      </c>
      <c r="F457" s="1">
        <v>44853</v>
      </c>
      <c r="G457" s="1">
        <v>45316</v>
      </c>
      <c r="H457">
        <v>4967.93</v>
      </c>
      <c r="I457">
        <v>3621</v>
      </c>
      <c r="J457">
        <v>-5479</v>
      </c>
      <c r="K457" t="s">
        <v>54</v>
      </c>
      <c r="L457">
        <v>15</v>
      </c>
      <c r="M457" t="str">
        <f t="shared" si="7"/>
        <v>6-12 Months</v>
      </c>
      <c r="N457" s="1">
        <v>45316</v>
      </c>
      <c r="O457">
        <v>1</v>
      </c>
      <c r="P457">
        <v>456</v>
      </c>
      <c r="Q457" s="2">
        <v>-1.1000000000000001</v>
      </c>
      <c r="R457" t="s">
        <v>22</v>
      </c>
      <c r="S457">
        <v>2024</v>
      </c>
      <c r="T457" t="s">
        <v>23</v>
      </c>
    </row>
    <row r="458" spans="1:20" x14ac:dyDescent="0.3">
      <c r="A458">
        <v>787</v>
      </c>
      <c r="B458">
        <v>161</v>
      </c>
      <c r="C458" t="s">
        <v>53</v>
      </c>
      <c r="D458" t="s">
        <v>25</v>
      </c>
      <c r="E458" t="s">
        <v>26</v>
      </c>
      <c r="F458" s="1">
        <v>44866</v>
      </c>
      <c r="G458" s="1">
        <v>45269</v>
      </c>
      <c r="H458">
        <v>6073</v>
      </c>
      <c r="I458">
        <v>3261</v>
      </c>
      <c r="J458">
        <v>577.01</v>
      </c>
      <c r="K458" t="s">
        <v>35</v>
      </c>
      <c r="L458">
        <v>13</v>
      </c>
      <c r="M458" t="str">
        <f t="shared" si="7"/>
        <v>6-12 Months</v>
      </c>
      <c r="N458" s="1">
        <v>45269</v>
      </c>
      <c r="O458">
        <v>0</v>
      </c>
      <c r="P458">
        <v>457</v>
      </c>
      <c r="Q458" s="2">
        <v>0.1</v>
      </c>
      <c r="R458" t="s">
        <v>27</v>
      </c>
      <c r="S458">
        <v>2023</v>
      </c>
      <c r="T458" t="s">
        <v>31</v>
      </c>
    </row>
    <row r="459" spans="1:20" x14ac:dyDescent="0.3">
      <c r="A459">
        <v>791</v>
      </c>
      <c r="B459">
        <v>285</v>
      </c>
      <c r="C459" t="s">
        <v>24</v>
      </c>
      <c r="D459" t="s">
        <v>25</v>
      </c>
      <c r="E459" t="s">
        <v>26</v>
      </c>
      <c r="F459" s="1">
        <v>44823</v>
      </c>
      <c r="G459" s="1">
        <v>45068</v>
      </c>
      <c r="H459">
        <v>878</v>
      </c>
      <c r="I459">
        <v>1806</v>
      </c>
      <c r="J459">
        <v>-928</v>
      </c>
      <c r="K459" t="s">
        <v>35</v>
      </c>
      <c r="L459">
        <v>8</v>
      </c>
      <c r="M459" t="str">
        <f t="shared" si="7"/>
        <v>6-12 Months</v>
      </c>
      <c r="N459" s="1">
        <v>45068</v>
      </c>
      <c r="O459">
        <v>0</v>
      </c>
      <c r="P459">
        <v>458</v>
      </c>
      <c r="Q459" s="2">
        <v>-1.06</v>
      </c>
      <c r="R459" t="s">
        <v>22</v>
      </c>
      <c r="S459">
        <v>2023</v>
      </c>
      <c r="T459" t="s">
        <v>28</v>
      </c>
    </row>
    <row r="460" spans="1:20" x14ac:dyDescent="0.3">
      <c r="A460">
        <v>794</v>
      </c>
      <c r="B460">
        <v>236</v>
      </c>
      <c r="C460" t="s">
        <v>39</v>
      </c>
      <c r="D460" t="s">
        <v>25</v>
      </c>
      <c r="E460" t="s">
        <v>26</v>
      </c>
      <c r="F460" s="1">
        <v>44775</v>
      </c>
      <c r="G460" s="1">
        <v>45181</v>
      </c>
      <c r="H460">
        <v>6666</v>
      </c>
      <c r="I460">
        <v>4222</v>
      </c>
      <c r="J460">
        <v>2444</v>
      </c>
      <c r="K460" t="s">
        <v>35</v>
      </c>
      <c r="L460">
        <v>13</v>
      </c>
      <c r="M460" t="str">
        <f t="shared" si="7"/>
        <v>6-12 Months</v>
      </c>
      <c r="N460" s="1">
        <v>45181</v>
      </c>
      <c r="O460">
        <v>0</v>
      </c>
      <c r="P460">
        <v>459</v>
      </c>
      <c r="Q460" s="2">
        <v>0.37</v>
      </c>
      <c r="R460" t="s">
        <v>27</v>
      </c>
      <c r="S460">
        <v>2023</v>
      </c>
      <c r="T460" t="s">
        <v>30</v>
      </c>
    </row>
    <row r="461" spans="1:20" x14ac:dyDescent="0.3">
      <c r="A461">
        <v>796</v>
      </c>
      <c r="B461">
        <v>280</v>
      </c>
      <c r="C461" t="s">
        <v>39</v>
      </c>
      <c r="D461" t="s">
        <v>29</v>
      </c>
      <c r="E461" t="s">
        <v>20</v>
      </c>
      <c r="F461" s="1">
        <v>44590</v>
      </c>
      <c r="G461" s="1">
        <v>44703</v>
      </c>
      <c r="H461">
        <v>962</v>
      </c>
      <c r="I461">
        <v>6861</v>
      </c>
      <c r="J461">
        <v>-5899</v>
      </c>
      <c r="K461" t="s">
        <v>35</v>
      </c>
      <c r="L461">
        <v>3</v>
      </c>
      <c r="M461" t="str">
        <f t="shared" si="7"/>
        <v>0-6 Months</v>
      </c>
      <c r="N461" s="1">
        <v>44703</v>
      </c>
      <c r="O461">
        <v>0</v>
      </c>
      <c r="P461">
        <v>460</v>
      </c>
      <c r="Q461" s="2">
        <v>-6.13</v>
      </c>
      <c r="R461" t="s">
        <v>22</v>
      </c>
      <c r="S461">
        <v>2022</v>
      </c>
      <c r="T461" t="s">
        <v>28</v>
      </c>
    </row>
    <row r="462" spans="1:20" hidden="1" x14ac:dyDescent="0.3">
      <c r="A462">
        <v>800</v>
      </c>
      <c r="B462">
        <v>251</v>
      </c>
      <c r="C462" t="s">
        <v>24</v>
      </c>
      <c r="D462" t="s">
        <v>29</v>
      </c>
      <c r="E462" t="s">
        <v>26</v>
      </c>
      <c r="F462" s="1">
        <v>44569</v>
      </c>
      <c r="G462" s="1">
        <v>44660</v>
      </c>
      <c r="H462">
        <v>8477</v>
      </c>
      <c r="I462">
        <v>2540</v>
      </c>
      <c r="J462">
        <v>5937</v>
      </c>
      <c r="K462" t="s">
        <v>54</v>
      </c>
      <c r="L462">
        <v>3</v>
      </c>
      <c r="M462" t="str">
        <f t="shared" si="7"/>
        <v>0-6 Months</v>
      </c>
      <c r="N462" s="1">
        <v>44660</v>
      </c>
      <c r="O462">
        <v>1</v>
      </c>
      <c r="P462">
        <v>461</v>
      </c>
      <c r="Q462" s="2">
        <v>0.7</v>
      </c>
      <c r="R462" t="s">
        <v>27</v>
      </c>
      <c r="S462">
        <v>2022</v>
      </c>
      <c r="T462" t="s">
        <v>32</v>
      </c>
    </row>
    <row r="463" spans="1:20" hidden="1" x14ac:dyDescent="0.3">
      <c r="A463">
        <v>802</v>
      </c>
      <c r="B463">
        <v>442</v>
      </c>
      <c r="C463" t="s">
        <v>40</v>
      </c>
      <c r="D463" t="s">
        <v>29</v>
      </c>
      <c r="E463" t="s">
        <v>37</v>
      </c>
      <c r="F463" s="1">
        <v>44810</v>
      </c>
      <c r="G463" s="1">
        <v>44989</v>
      </c>
      <c r="H463">
        <v>4967.93</v>
      </c>
      <c r="I463">
        <v>6092</v>
      </c>
      <c r="J463">
        <v>-6854</v>
      </c>
      <c r="K463" t="s">
        <v>54</v>
      </c>
      <c r="L463">
        <v>5</v>
      </c>
      <c r="M463" t="str">
        <f t="shared" si="7"/>
        <v>0-6 Months</v>
      </c>
      <c r="N463" s="1">
        <v>44989</v>
      </c>
      <c r="O463">
        <v>0</v>
      </c>
      <c r="P463">
        <v>462</v>
      </c>
      <c r="Q463" s="2">
        <v>-1.38</v>
      </c>
      <c r="R463" t="s">
        <v>22</v>
      </c>
      <c r="S463">
        <v>2023</v>
      </c>
      <c r="T463" t="s">
        <v>38</v>
      </c>
    </row>
    <row r="464" spans="1:20" hidden="1" x14ac:dyDescent="0.3">
      <c r="A464">
        <v>803</v>
      </c>
      <c r="B464">
        <v>419</v>
      </c>
      <c r="C464" t="s">
        <v>24</v>
      </c>
      <c r="D464" t="s">
        <v>29</v>
      </c>
      <c r="E464" t="s">
        <v>37</v>
      </c>
      <c r="F464" s="1">
        <v>44925</v>
      </c>
      <c r="G464" s="1">
        <v>45071</v>
      </c>
      <c r="H464">
        <v>7341</v>
      </c>
      <c r="I464">
        <v>6422</v>
      </c>
      <c r="J464">
        <v>919</v>
      </c>
      <c r="K464" t="s">
        <v>21</v>
      </c>
      <c r="L464">
        <v>4</v>
      </c>
      <c r="M464" t="str">
        <f t="shared" si="7"/>
        <v>0-6 Months</v>
      </c>
      <c r="N464" s="1">
        <v>45071</v>
      </c>
      <c r="O464">
        <v>0</v>
      </c>
      <c r="P464">
        <v>463</v>
      </c>
      <c r="Q464" s="2">
        <v>0.13</v>
      </c>
      <c r="R464" t="s">
        <v>27</v>
      </c>
      <c r="S464">
        <v>2023</v>
      </c>
      <c r="T464" t="s">
        <v>28</v>
      </c>
    </row>
    <row r="465" spans="1:20" hidden="1" x14ac:dyDescent="0.3">
      <c r="A465">
        <v>805</v>
      </c>
      <c r="B465">
        <v>184</v>
      </c>
      <c r="C465" t="s">
        <v>39</v>
      </c>
      <c r="D465" t="s">
        <v>19</v>
      </c>
      <c r="E465" t="s">
        <v>37</v>
      </c>
      <c r="F465" s="1">
        <v>44627</v>
      </c>
      <c r="G465" s="1">
        <v>44713</v>
      </c>
      <c r="H465">
        <v>5432</v>
      </c>
      <c r="I465">
        <v>878</v>
      </c>
      <c r="J465">
        <v>4554</v>
      </c>
      <c r="K465" t="s">
        <v>21</v>
      </c>
      <c r="L465">
        <v>2</v>
      </c>
      <c r="M465" t="str">
        <f t="shared" si="7"/>
        <v>0-6 Months</v>
      </c>
      <c r="N465" s="1">
        <v>44713</v>
      </c>
      <c r="O465">
        <v>1</v>
      </c>
      <c r="P465">
        <v>464</v>
      </c>
      <c r="Q465" s="2">
        <v>0.84</v>
      </c>
      <c r="R465" t="s">
        <v>27</v>
      </c>
      <c r="S465">
        <v>2022</v>
      </c>
      <c r="T465" t="s">
        <v>41</v>
      </c>
    </row>
    <row r="466" spans="1:20" hidden="1" x14ac:dyDescent="0.3">
      <c r="A466">
        <v>806</v>
      </c>
      <c r="B466">
        <v>468</v>
      </c>
      <c r="C466" t="s">
        <v>45</v>
      </c>
      <c r="D466" t="s">
        <v>29</v>
      </c>
      <c r="E466" t="s">
        <v>20</v>
      </c>
      <c r="F466" s="1">
        <v>44876</v>
      </c>
      <c r="G466" s="1">
        <v>45077</v>
      </c>
      <c r="H466">
        <v>699</v>
      </c>
      <c r="I466">
        <v>3973</v>
      </c>
      <c r="J466">
        <v>577.01</v>
      </c>
      <c r="K466" t="s">
        <v>54</v>
      </c>
      <c r="L466">
        <v>6</v>
      </c>
      <c r="M466" t="str">
        <f t="shared" si="7"/>
        <v>12+ Months</v>
      </c>
      <c r="N466" s="1">
        <v>45077</v>
      </c>
      <c r="O466">
        <v>0</v>
      </c>
      <c r="P466">
        <v>465</v>
      </c>
      <c r="Q466" s="2">
        <v>0.83</v>
      </c>
      <c r="R466" t="s">
        <v>27</v>
      </c>
      <c r="S466">
        <v>2023</v>
      </c>
      <c r="T466" t="s">
        <v>28</v>
      </c>
    </row>
    <row r="467" spans="1:20" hidden="1" x14ac:dyDescent="0.3">
      <c r="A467">
        <v>807</v>
      </c>
      <c r="B467">
        <v>469</v>
      </c>
      <c r="C467" t="s">
        <v>39</v>
      </c>
      <c r="D467" t="s">
        <v>29</v>
      </c>
      <c r="E467" t="s">
        <v>20</v>
      </c>
      <c r="F467" s="1">
        <v>44858</v>
      </c>
      <c r="G467" s="1">
        <v>44968</v>
      </c>
      <c r="H467">
        <v>6998</v>
      </c>
      <c r="I467">
        <v>7472</v>
      </c>
      <c r="J467">
        <v>-474</v>
      </c>
      <c r="K467" t="s">
        <v>21</v>
      </c>
      <c r="L467">
        <v>3</v>
      </c>
      <c r="M467" t="str">
        <f t="shared" si="7"/>
        <v>0-6 Months</v>
      </c>
      <c r="N467" s="1">
        <v>44968</v>
      </c>
      <c r="O467">
        <v>0</v>
      </c>
      <c r="P467">
        <v>466</v>
      </c>
      <c r="Q467" s="2">
        <v>-7.0000000000000007E-2</v>
      </c>
      <c r="R467" t="s">
        <v>27</v>
      </c>
      <c r="S467">
        <v>2023</v>
      </c>
      <c r="T467" t="s">
        <v>43</v>
      </c>
    </row>
    <row r="468" spans="1:20" hidden="1" x14ac:dyDescent="0.3">
      <c r="A468">
        <v>809</v>
      </c>
      <c r="B468">
        <v>158</v>
      </c>
      <c r="C468" t="s">
        <v>53</v>
      </c>
      <c r="D468" t="s">
        <v>25</v>
      </c>
      <c r="E468" t="s">
        <v>20</v>
      </c>
      <c r="F468" s="1">
        <v>44720</v>
      </c>
      <c r="G468" s="1">
        <v>45019</v>
      </c>
      <c r="H468">
        <v>1245</v>
      </c>
      <c r="I468">
        <v>4696</v>
      </c>
      <c r="J468">
        <v>-3451</v>
      </c>
      <c r="K468" t="s">
        <v>54</v>
      </c>
      <c r="L468">
        <v>9</v>
      </c>
      <c r="M468" t="str">
        <f t="shared" si="7"/>
        <v>6-12 Months</v>
      </c>
      <c r="N468" s="1">
        <v>45019</v>
      </c>
      <c r="O468">
        <v>0</v>
      </c>
      <c r="P468">
        <v>467</v>
      </c>
      <c r="Q468" s="2">
        <v>-2.77</v>
      </c>
      <c r="R468" t="s">
        <v>22</v>
      </c>
      <c r="S468">
        <v>2023</v>
      </c>
      <c r="T468" t="s">
        <v>32</v>
      </c>
    </row>
    <row r="469" spans="1:20" hidden="1" x14ac:dyDescent="0.3">
      <c r="A469">
        <v>810</v>
      </c>
      <c r="B469">
        <v>234</v>
      </c>
      <c r="C469" t="s">
        <v>24</v>
      </c>
      <c r="D469" t="s">
        <v>25</v>
      </c>
      <c r="E469" t="s">
        <v>26</v>
      </c>
      <c r="F469" s="1">
        <v>44707</v>
      </c>
      <c r="G469" s="1">
        <v>44848</v>
      </c>
      <c r="H469">
        <v>4967.93</v>
      </c>
      <c r="I469">
        <v>151</v>
      </c>
      <c r="J469">
        <v>-498</v>
      </c>
      <c r="K469" t="s">
        <v>54</v>
      </c>
      <c r="L469">
        <v>4</v>
      </c>
      <c r="M469" t="str">
        <f t="shared" si="7"/>
        <v>0-6 Months</v>
      </c>
      <c r="N469" s="1">
        <v>44848</v>
      </c>
      <c r="O469">
        <v>0</v>
      </c>
      <c r="P469">
        <v>468</v>
      </c>
      <c r="Q469" s="2">
        <v>-0.1</v>
      </c>
      <c r="R469" t="s">
        <v>27</v>
      </c>
      <c r="S469">
        <v>2022</v>
      </c>
      <c r="T469" t="s">
        <v>33</v>
      </c>
    </row>
    <row r="470" spans="1:20" x14ac:dyDescent="0.3">
      <c r="A470">
        <v>813</v>
      </c>
      <c r="B470">
        <v>464</v>
      </c>
      <c r="C470" t="s">
        <v>24</v>
      </c>
      <c r="D470" t="s">
        <v>34</v>
      </c>
      <c r="E470" t="s">
        <v>37</v>
      </c>
      <c r="F470" s="1">
        <v>44867</v>
      </c>
      <c r="G470" s="1">
        <v>45211</v>
      </c>
      <c r="H470">
        <v>1734</v>
      </c>
      <c r="I470">
        <v>4162</v>
      </c>
      <c r="J470">
        <v>-2428</v>
      </c>
      <c r="K470" t="s">
        <v>35</v>
      </c>
      <c r="L470">
        <v>11</v>
      </c>
      <c r="M470" t="str">
        <f t="shared" si="7"/>
        <v>6-12 Months</v>
      </c>
      <c r="N470" s="1">
        <v>45211</v>
      </c>
      <c r="O470">
        <v>1</v>
      </c>
      <c r="P470">
        <v>469</v>
      </c>
      <c r="Q470" s="2">
        <v>-1.4</v>
      </c>
      <c r="R470" t="s">
        <v>22</v>
      </c>
      <c r="S470">
        <v>2023</v>
      </c>
      <c r="T470" t="s">
        <v>33</v>
      </c>
    </row>
    <row r="471" spans="1:20" hidden="1" x14ac:dyDescent="0.3">
      <c r="A471">
        <v>816</v>
      </c>
      <c r="B471">
        <v>379</v>
      </c>
      <c r="C471" t="s">
        <v>24</v>
      </c>
      <c r="D471" t="s">
        <v>25</v>
      </c>
      <c r="E471" t="s">
        <v>20</v>
      </c>
      <c r="F471" s="1">
        <v>44818</v>
      </c>
      <c r="G471" s="1">
        <v>45085</v>
      </c>
      <c r="H471">
        <v>1540</v>
      </c>
      <c r="I471">
        <v>7215</v>
      </c>
      <c r="J471">
        <v>-5675</v>
      </c>
      <c r="K471" t="s">
        <v>54</v>
      </c>
      <c r="L471">
        <v>8</v>
      </c>
      <c r="M471" t="str">
        <f t="shared" si="7"/>
        <v>6-12 Months</v>
      </c>
      <c r="N471" s="1">
        <v>45085</v>
      </c>
      <c r="O471">
        <v>0</v>
      </c>
      <c r="P471">
        <v>470</v>
      </c>
      <c r="Q471" s="2">
        <v>-3.69</v>
      </c>
      <c r="R471" t="s">
        <v>22</v>
      </c>
      <c r="S471">
        <v>2023</v>
      </c>
      <c r="T471" t="s">
        <v>41</v>
      </c>
    </row>
    <row r="472" spans="1:20" hidden="1" x14ac:dyDescent="0.3">
      <c r="A472">
        <v>822</v>
      </c>
      <c r="B472">
        <v>118</v>
      </c>
      <c r="C472" t="s">
        <v>45</v>
      </c>
      <c r="D472" t="s">
        <v>29</v>
      </c>
      <c r="E472" t="s">
        <v>37</v>
      </c>
      <c r="F472" s="1">
        <v>44867</v>
      </c>
      <c r="G472" s="1">
        <v>45080</v>
      </c>
      <c r="H472">
        <v>9806</v>
      </c>
      <c r="I472">
        <v>5873</v>
      </c>
      <c r="J472">
        <v>3933</v>
      </c>
      <c r="K472" t="s">
        <v>54</v>
      </c>
      <c r="L472">
        <v>7</v>
      </c>
      <c r="M472" t="str">
        <f t="shared" si="7"/>
        <v>6-12 Months</v>
      </c>
      <c r="N472" s="1">
        <v>45080</v>
      </c>
      <c r="O472">
        <v>1</v>
      </c>
      <c r="P472">
        <v>471</v>
      </c>
      <c r="Q472" s="2">
        <v>0.4</v>
      </c>
      <c r="R472" t="s">
        <v>27</v>
      </c>
      <c r="S472">
        <v>2023</v>
      </c>
      <c r="T472" t="s">
        <v>41</v>
      </c>
    </row>
    <row r="473" spans="1:20" hidden="1" x14ac:dyDescent="0.3">
      <c r="A473">
        <v>825</v>
      </c>
      <c r="B473">
        <v>416</v>
      </c>
      <c r="C473" t="s">
        <v>53</v>
      </c>
      <c r="D473" t="s">
        <v>34</v>
      </c>
      <c r="E473" t="s">
        <v>20</v>
      </c>
      <c r="F473" s="1">
        <v>44683</v>
      </c>
      <c r="G473" s="1">
        <v>45262</v>
      </c>
      <c r="H473">
        <v>7286</v>
      </c>
      <c r="I473">
        <v>3336</v>
      </c>
      <c r="J473">
        <v>3950</v>
      </c>
      <c r="K473" t="s">
        <v>54</v>
      </c>
      <c r="L473">
        <v>19</v>
      </c>
      <c r="M473" t="str">
        <f t="shared" si="7"/>
        <v>6-12 Months</v>
      </c>
      <c r="N473" s="1">
        <v>45262</v>
      </c>
      <c r="O473">
        <v>1</v>
      </c>
      <c r="P473">
        <v>472</v>
      </c>
      <c r="Q473" s="2">
        <v>0.54</v>
      </c>
      <c r="R473" t="s">
        <v>27</v>
      </c>
      <c r="S473">
        <v>2023</v>
      </c>
      <c r="T473" t="s">
        <v>31</v>
      </c>
    </row>
    <row r="474" spans="1:20" x14ac:dyDescent="0.3">
      <c r="A474">
        <v>828</v>
      </c>
      <c r="B474">
        <v>172</v>
      </c>
      <c r="C474" t="s">
        <v>24</v>
      </c>
      <c r="D474" t="s">
        <v>29</v>
      </c>
      <c r="E474" t="s">
        <v>37</v>
      </c>
      <c r="F474" s="1">
        <v>44707</v>
      </c>
      <c r="G474" s="1">
        <v>44855</v>
      </c>
      <c r="H474">
        <v>7113</v>
      </c>
      <c r="I474">
        <v>6172</v>
      </c>
      <c r="J474">
        <v>941</v>
      </c>
      <c r="K474" t="s">
        <v>35</v>
      </c>
      <c r="L474">
        <v>4</v>
      </c>
      <c r="M474" t="str">
        <f t="shared" si="7"/>
        <v>0-6 Months</v>
      </c>
      <c r="N474" s="1">
        <v>44855</v>
      </c>
      <c r="O474">
        <v>0</v>
      </c>
      <c r="P474">
        <v>473</v>
      </c>
      <c r="Q474" s="2">
        <v>0.13</v>
      </c>
      <c r="R474" t="s">
        <v>27</v>
      </c>
      <c r="S474">
        <v>2022</v>
      </c>
      <c r="T474" t="s">
        <v>33</v>
      </c>
    </row>
    <row r="475" spans="1:20" hidden="1" x14ac:dyDescent="0.3">
      <c r="A475">
        <v>829</v>
      </c>
      <c r="B475">
        <v>409</v>
      </c>
      <c r="C475" t="s">
        <v>24</v>
      </c>
      <c r="D475" t="s">
        <v>34</v>
      </c>
      <c r="E475" t="s">
        <v>20</v>
      </c>
      <c r="F475" s="1">
        <v>44624</v>
      </c>
      <c r="G475" s="1">
        <v>44827</v>
      </c>
      <c r="H475">
        <v>8090</v>
      </c>
      <c r="I475">
        <v>4012.75</v>
      </c>
      <c r="J475">
        <v>8094</v>
      </c>
      <c r="K475" t="s">
        <v>54</v>
      </c>
      <c r="L475">
        <v>6</v>
      </c>
      <c r="M475" t="str">
        <f t="shared" si="7"/>
        <v>12+ Months</v>
      </c>
      <c r="N475" s="1">
        <v>44827</v>
      </c>
      <c r="O475">
        <v>1</v>
      </c>
      <c r="P475">
        <v>474</v>
      </c>
      <c r="Q475" s="2">
        <v>1</v>
      </c>
      <c r="R475" t="s">
        <v>22</v>
      </c>
      <c r="S475">
        <v>2022</v>
      </c>
      <c r="T475" t="s">
        <v>30</v>
      </c>
    </row>
    <row r="476" spans="1:20" hidden="1" x14ac:dyDescent="0.3">
      <c r="A476">
        <v>831</v>
      </c>
      <c r="B476">
        <v>453</v>
      </c>
      <c r="C476" t="s">
        <v>39</v>
      </c>
      <c r="D476" t="s">
        <v>25</v>
      </c>
      <c r="E476" t="s">
        <v>37</v>
      </c>
      <c r="F476" s="1">
        <v>44624</v>
      </c>
      <c r="G476" s="1">
        <v>44840</v>
      </c>
      <c r="H476">
        <v>938</v>
      </c>
      <c r="I476">
        <v>3760</v>
      </c>
      <c r="J476">
        <v>-2822</v>
      </c>
      <c r="K476" t="s">
        <v>54</v>
      </c>
      <c r="L476">
        <v>7</v>
      </c>
      <c r="M476" t="str">
        <f t="shared" si="7"/>
        <v>6-12 Months</v>
      </c>
      <c r="N476" s="1">
        <v>44840</v>
      </c>
      <c r="O476">
        <v>0</v>
      </c>
      <c r="P476">
        <v>475</v>
      </c>
      <c r="Q476" s="2">
        <v>-3.01</v>
      </c>
      <c r="R476" t="s">
        <v>22</v>
      </c>
      <c r="S476">
        <v>2022</v>
      </c>
      <c r="T476" t="s">
        <v>33</v>
      </c>
    </row>
    <row r="477" spans="1:20" hidden="1" x14ac:dyDescent="0.3">
      <c r="A477">
        <v>832</v>
      </c>
      <c r="B477">
        <v>309</v>
      </c>
      <c r="C477" t="s">
        <v>53</v>
      </c>
      <c r="D477" t="s">
        <v>25</v>
      </c>
      <c r="E477" t="s">
        <v>20</v>
      </c>
      <c r="F477" s="1">
        <v>44594</v>
      </c>
      <c r="G477" s="1">
        <v>44731</v>
      </c>
      <c r="H477">
        <v>335</v>
      </c>
      <c r="I477">
        <v>5130</v>
      </c>
      <c r="J477">
        <v>-4795</v>
      </c>
      <c r="K477" t="s">
        <v>54</v>
      </c>
      <c r="L477">
        <v>4</v>
      </c>
      <c r="M477" t="str">
        <f t="shared" si="7"/>
        <v>0-6 Months</v>
      </c>
      <c r="N477" s="1">
        <v>44731</v>
      </c>
      <c r="O477">
        <v>1</v>
      </c>
      <c r="P477">
        <v>476</v>
      </c>
      <c r="Q477" s="2">
        <v>-14.31</v>
      </c>
      <c r="R477" t="s">
        <v>22</v>
      </c>
      <c r="S477">
        <v>2022</v>
      </c>
      <c r="T477" t="s">
        <v>41</v>
      </c>
    </row>
    <row r="478" spans="1:20" hidden="1" x14ac:dyDescent="0.3">
      <c r="A478">
        <v>834</v>
      </c>
      <c r="B478">
        <v>421</v>
      </c>
      <c r="C478" t="s">
        <v>40</v>
      </c>
      <c r="D478" t="s">
        <v>19</v>
      </c>
      <c r="E478" t="s">
        <v>26</v>
      </c>
      <c r="F478" s="1">
        <v>44870</v>
      </c>
      <c r="G478" s="1">
        <v>45316</v>
      </c>
      <c r="H478">
        <v>70</v>
      </c>
      <c r="I478">
        <v>7154</v>
      </c>
      <c r="J478">
        <v>-7084</v>
      </c>
      <c r="K478" t="s">
        <v>21</v>
      </c>
      <c r="L478">
        <v>14</v>
      </c>
      <c r="M478" t="str">
        <f t="shared" si="7"/>
        <v>6-12 Months</v>
      </c>
      <c r="N478" s="1">
        <v>45316</v>
      </c>
      <c r="O478">
        <v>1</v>
      </c>
      <c r="P478">
        <v>477</v>
      </c>
      <c r="Q478" s="2">
        <v>-101.2</v>
      </c>
      <c r="R478" t="s">
        <v>22</v>
      </c>
      <c r="S478">
        <v>2024</v>
      </c>
      <c r="T478" t="s">
        <v>23</v>
      </c>
    </row>
    <row r="479" spans="1:20" hidden="1" x14ac:dyDescent="0.3">
      <c r="A479">
        <v>835</v>
      </c>
      <c r="B479">
        <v>128</v>
      </c>
      <c r="C479" t="s">
        <v>53</v>
      </c>
      <c r="D479" t="s">
        <v>25</v>
      </c>
      <c r="E479" t="s">
        <v>26</v>
      </c>
      <c r="F479" s="1">
        <v>44583</v>
      </c>
      <c r="G479" s="1">
        <v>44932</v>
      </c>
      <c r="H479">
        <v>7109</v>
      </c>
      <c r="I479">
        <v>2806</v>
      </c>
      <c r="J479">
        <v>577.01</v>
      </c>
      <c r="K479" t="s">
        <v>54</v>
      </c>
      <c r="L479">
        <v>11</v>
      </c>
      <c r="M479" t="str">
        <f t="shared" si="7"/>
        <v>6-12 Months</v>
      </c>
      <c r="N479" s="1">
        <v>44932</v>
      </c>
      <c r="O479">
        <v>1</v>
      </c>
      <c r="P479">
        <v>478</v>
      </c>
      <c r="Q479" s="2">
        <v>0.08</v>
      </c>
      <c r="R479" t="s">
        <v>27</v>
      </c>
      <c r="S479">
        <v>2023</v>
      </c>
      <c r="T479" t="s">
        <v>23</v>
      </c>
    </row>
    <row r="480" spans="1:20" hidden="1" x14ac:dyDescent="0.3">
      <c r="A480">
        <v>836</v>
      </c>
      <c r="B480">
        <v>252</v>
      </c>
      <c r="C480" t="s">
        <v>24</v>
      </c>
      <c r="D480" t="s">
        <v>34</v>
      </c>
      <c r="E480" t="s">
        <v>37</v>
      </c>
      <c r="F480" s="1">
        <v>44780</v>
      </c>
      <c r="G480" s="1">
        <v>45161</v>
      </c>
      <c r="H480">
        <v>9673</v>
      </c>
      <c r="I480">
        <v>6311</v>
      </c>
      <c r="J480">
        <v>3362</v>
      </c>
      <c r="K480" t="s">
        <v>21</v>
      </c>
      <c r="L480">
        <v>12</v>
      </c>
      <c r="M480" t="str">
        <f t="shared" si="7"/>
        <v>6-12 Months</v>
      </c>
      <c r="N480" s="1">
        <v>45161</v>
      </c>
      <c r="O480">
        <v>1</v>
      </c>
      <c r="P480">
        <v>479</v>
      </c>
      <c r="Q480" s="2">
        <v>0.35</v>
      </c>
      <c r="R480" t="s">
        <v>27</v>
      </c>
      <c r="S480">
        <v>2023</v>
      </c>
      <c r="T480" t="s">
        <v>36</v>
      </c>
    </row>
    <row r="481" spans="1:20" hidden="1" x14ac:dyDescent="0.3">
      <c r="A481">
        <v>837</v>
      </c>
      <c r="B481">
        <v>283</v>
      </c>
      <c r="C481" t="s">
        <v>40</v>
      </c>
      <c r="D481" t="s">
        <v>19</v>
      </c>
      <c r="E481" t="s">
        <v>26</v>
      </c>
      <c r="F481" s="1">
        <v>44589</v>
      </c>
      <c r="G481" s="1">
        <v>45118</v>
      </c>
      <c r="H481">
        <v>4967.93</v>
      </c>
      <c r="I481">
        <v>7185</v>
      </c>
      <c r="J481">
        <v>-8708</v>
      </c>
      <c r="K481" t="s">
        <v>54</v>
      </c>
      <c r="L481">
        <v>17</v>
      </c>
      <c r="M481" t="str">
        <f t="shared" si="7"/>
        <v>6-12 Months</v>
      </c>
      <c r="N481" s="1">
        <v>45118</v>
      </c>
      <c r="O481">
        <v>1</v>
      </c>
      <c r="P481">
        <v>480</v>
      </c>
      <c r="Q481" s="2">
        <v>-1.75</v>
      </c>
      <c r="R481" t="s">
        <v>22</v>
      </c>
      <c r="S481">
        <v>2023</v>
      </c>
      <c r="T481" t="s">
        <v>44</v>
      </c>
    </row>
    <row r="482" spans="1:20" hidden="1" x14ac:dyDescent="0.3">
      <c r="A482">
        <v>838</v>
      </c>
      <c r="B482">
        <v>267</v>
      </c>
      <c r="C482" t="s">
        <v>45</v>
      </c>
      <c r="D482" t="s">
        <v>25</v>
      </c>
      <c r="E482" t="s">
        <v>20</v>
      </c>
      <c r="F482" s="1">
        <v>44802</v>
      </c>
      <c r="G482" s="1">
        <v>45015</v>
      </c>
      <c r="H482">
        <v>5103</v>
      </c>
      <c r="I482">
        <v>4554</v>
      </c>
      <c r="J482">
        <v>549</v>
      </c>
      <c r="K482" t="s">
        <v>54</v>
      </c>
      <c r="L482">
        <v>7</v>
      </c>
      <c r="M482" t="str">
        <f t="shared" si="7"/>
        <v>6-12 Months</v>
      </c>
      <c r="N482" s="1">
        <v>45015</v>
      </c>
      <c r="O482">
        <v>1</v>
      </c>
      <c r="P482">
        <v>481</v>
      </c>
      <c r="Q482" s="2">
        <v>0.11</v>
      </c>
      <c r="R482" t="s">
        <v>27</v>
      </c>
      <c r="S482">
        <v>2023</v>
      </c>
      <c r="T482" t="s">
        <v>38</v>
      </c>
    </row>
    <row r="483" spans="1:20" x14ac:dyDescent="0.3">
      <c r="A483">
        <v>839</v>
      </c>
      <c r="B483">
        <v>359</v>
      </c>
      <c r="C483" t="s">
        <v>24</v>
      </c>
      <c r="D483" t="s">
        <v>34</v>
      </c>
      <c r="E483" t="s">
        <v>26</v>
      </c>
      <c r="F483" s="1">
        <v>44712</v>
      </c>
      <c r="G483" s="1">
        <v>44942</v>
      </c>
      <c r="H483">
        <v>4967.93</v>
      </c>
      <c r="I483">
        <v>1918</v>
      </c>
      <c r="J483">
        <v>-2469</v>
      </c>
      <c r="K483" t="s">
        <v>35</v>
      </c>
      <c r="L483">
        <v>7</v>
      </c>
      <c r="M483" t="str">
        <f t="shared" si="7"/>
        <v>6-12 Months</v>
      </c>
      <c r="N483" s="1">
        <v>44942</v>
      </c>
      <c r="O483">
        <v>1</v>
      </c>
      <c r="P483">
        <v>482</v>
      </c>
      <c r="Q483" s="2">
        <v>-0.5</v>
      </c>
      <c r="R483" t="s">
        <v>27</v>
      </c>
      <c r="S483">
        <v>2023</v>
      </c>
      <c r="T483" t="s">
        <v>23</v>
      </c>
    </row>
    <row r="484" spans="1:20" hidden="1" x14ac:dyDescent="0.3">
      <c r="A484">
        <v>840</v>
      </c>
      <c r="B484">
        <v>110</v>
      </c>
      <c r="C484" t="s">
        <v>24</v>
      </c>
      <c r="D484" t="s">
        <v>25</v>
      </c>
      <c r="E484" t="s">
        <v>26</v>
      </c>
      <c r="F484" s="1">
        <v>44615</v>
      </c>
      <c r="G484" s="1">
        <v>45046</v>
      </c>
      <c r="H484">
        <v>2989</v>
      </c>
      <c r="I484">
        <v>4880</v>
      </c>
      <c r="J484">
        <v>-1891</v>
      </c>
      <c r="K484" t="s">
        <v>54</v>
      </c>
      <c r="L484">
        <v>14</v>
      </c>
      <c r="M484" t="str">
        <f t="shared" si="7"/>
        <v>6-12 Months</v>
      </c>
      <c r="N484" s="1">
        <v>45046</v>
      </c>
      <c r="O484">
        <v>1</v>
      </c>
      <c r="P484">
        <v>483</v>
      </c>
      <c r="Q484" s="2">
        <v>-0.63</v>
      </c>
      <c r="R484" t="s">
        <v>27</v>
      </c>
      <c r="S484">
        <v>2023</v>
      </c>
      <c r="T484" t="s">
        <v>32</v>
      </c>
    </row>
    <row r="485" spans="1:20" x14ac:dyDescent="0.3">
      <c r="A485">
        <v>841</v>
      </c>
      <c r="B485">
        <v>309</v>
      </c>
      <c r="C485" t="s">
        <v>53</v>
      </c>
      <c r="D485" t="s">
        <v>34</v>
      </c>
      <c r="E485" t="s">
        <v>26</v>
      </c>
      <c r="F485" s="1">
        <v>44675</v>
      </c>
      <c r="G485" s="1">
        <v>45079</v>
      </c>
      <c r="H485">
        <v>8313</v>
      </c>
      <c r="I485">
        <v>5168</v>
      </c>
      <c r="J485">
        <v>3145</v>
      </c>
      <c r="K485" t="s">
        <v>35</v>
      </c>
      <c r="L485">
        <v>13</v>
      </c>
      <c r="M485" t="str">
        <f t="shared" si="7"/>
        <v>6-12 Months</v>
      </c>
      <c r="N485" s="1">
        <v>45079</v>
      </c>
      <c r="O485">
        <v>1</v>
      </c>
      <c r="P485">
        <v>484</v>
      </c>
      <c r="Q485" s="2">
        <v>0.38</v>
      </c>
      <c r="R485" t="s">
        <v>27</v>
      </c>
      <c r="S485">
        <v>2023</v>
      </c>
      <c r="T485" t="s">
        <v>41</v>
      </c>
    </row>
    <row r="486" spans="1:20" hidden="1" x14ac:dyDescent="0.3">
      <c r="A486">
        <v>842</v>
      </c>
      <c r="B486">
        <v>303</v>
      </c>
      <c r="C486" t="s">
        <v>40</v>
      </c>
      <c r="D486" t="s">
        <v>34</v>
      </c>
      <c r="E486" t="s">
        <v>37</v>
      </c>
      <c r="F486" s="1">
        <v>44709</v>
      </c>
      <c r="G486" s="1">
        <v>45116</v>
      </c>
      <c r="H486">
        <v>3321</v>
      </c>
      <c r="I486">
        <v>7950</v>
      </c>
      <c r="J486">
        <v>-4629</v>
      </c>
      <c r="K486" t="s">
        <v>21</v>
      </c>
      <c r="L486">
        <v>13</v>
      </c>
      <c r="M486" t="str">
        <f t="shared" si="7"/>
        <v>6-12 Months</v>
      </c>
      <c r="N486" s="1">
        <v>45116</v>
      </c>
      <c r="O486">
        <v>0</v>
      </c>
      <c r="P486">
        <v>485</v>
      </c>
      <c r="Q486" s="2">
        <v>-1.39</v>
      </c>
      <c r="R486" t="s">
        <v>22</v>
      </c>
      <c r="S486">
        <v>2023</v>
      </c>
      <c r="T486" t="s">
        <v>44</v>
      </c>
    </row>
    <row r="487" spans="1:20" hidden="1" x14ac:dyDescent="0.3">
      <c r="A487">
        <v>844</v>
      </c>
      <c r="B487">
        <v>141</v>
      </c>
      <c r="C487" t="s">
        <v>39</v>
      </c>
      <c r="D487" t="s">
        <v>29</v>
      </c>
      <c r="E487" t="s">
        <v>26</v>
      </c>
      <c r="F487" s="1">
        <v>44725</v>
      </c>
      <c r="G487" s="1">
        <v>45001</v>
      </c>
      <c r="H487">
        <v>4724</v>
      </c>
      <c r="I487">
        <v>4622</v>
      </c>
      <c r="J487">
        <v>102</v>
      </c>
      <c r="K487" t="s">
        <v>21</v>
      </c>
      <c r="L487">
        <v>9</v>
      </c>
      <c r="M487" t="str">
        <f t="shared" si="7"/>
        <v>6-12 Months</v>
      </c>
      <c r="N487" s="1">
        <v>45001</v>
      </c>
      <c r="O487">
        <v>1</v>
      </c>
      <c r="P487">
        <v>486</v>
      </c>
      <c r="Q487" s="2">
        <v>0.02</v>
      </c>
      <c r="R487" t="s">
        <v>27</v>
      </c>
      <c r="S487">
        <v>2023</v>
      </c>
      <c r="T487" t="s">
        <v>38</v>
      </c>
    </row>
    <row r="488" spans="1:20" hidden="1" x14ac:dyDescent="0.3">
      <c r="A488">
        <v>845</v>
      </c>
      <c r="B488">
        <v>307</v>
      </c>
      <c r="C488" t="s">
        <v>40</v>
      </c>
      <c r="D488" t="s">
        <v>29</v>
      </c>
      <c r="E488" t="s">
        <v>37</v>
      </c>
      <c r="F488" s="1">
        <v>44698</v>
      </c>
      <c r="G488" s="1">
        <v>44749</v>
      </c>
      <c r="H488">
        <v>6816</v>
      </c>
      <c r="I488">
        <v>6854</v>
      </c>
      <c r="J488">
        <v>577.01</v>
      </c>
      <c r="K488" t="s">
        <v>21</v>
      </c>
      <c r="L488">
        <v>1</v>
      </c>
      <c r="M488" t="str">
        <f t="shared" si="7"/>
        <v>0-6 Months</v>
      </c>
      <c r="N488" s="1">
        <v>44749</v>
      </c>
      <c r="O488">
        <v>0</v>
      </c>
      <c r="P488">
        <v>487</v>
      </c>
      <c r="Q488" s="2">
        <v>0.08</v>
      </c>
      <c r="R488" t="s">
        <v>27</v>
      </c>
      <c r="S488">
        <v>2022</v>
      </c>
      <c r="T488" t="s">
        <v>44</v>
      </c>
    </row>
    <row r="489" spans="1:20" hidden="1" x14ac:dyDescent="0.3">
      <c r="A489">
        <v>846</v>
      </c>
      <c r="B489">
        <v>480</v>
      </c>
      <c r="C489" t="s">
        <v>40</v>
      </c>
      <c r="D489" t="s">
        <v>29</v>
      </c>
      <c r="E489" t="s">
        <v>37</v>
      </c>
      <c r="F489" s="1">
        <v>44811</v>
      </c>
      <c r="G489" s="1">
        <v>44846</v>
      </c>
      <c r="H489">
        <v>9193</v>
      </c>
      <c r="I489">
        <v>5896</v>
      </c>
      <c r="J489">
        <v>3297</v>
      </c>
      <c r="K489" t="s">
        <v>21</v>
      </c>
      <c r="L489">
        <v>1</v>
      </c>
      <c r="M489" t="str">
        <f t="shared" si="7"/>
        <v>0-6 Months</v>
      </c>
      <c r="N489" s="1">
        <v>44846</v>
      </c>
      <c r="O489">
        <v>0</v>
      </c>
      <c r="P489">
        <v>488</v>
      </c>
      <c r="Q489" s="2">
        <v>0.36</v>
      </c>
      <c r="R489" t="s">
        <v>27</v>
      </c>
      <c r="S489">
        <v>2022</v>
      </c>
      <c r="T489" t="s">
        <v>33</v>
      </c>
    </row>
    <row r="490" spans="1:20" hidden="1" x14ac:dyDescent="0.3">
      <c r="A490">
        <v>847</v>
      </c>
      <c r="B490">
        <v>425</v>
      </c>
      <c r="C490" t="s">
        <v>40</v>
      </c>
      <c r="D490" t="s">
        <v>34</v>
      </c>
      <c r="E490" t="s">
        <v>37</v>
      </c>
      <c r="F490" s="1">
        <v>44911</v>
      </c>
      <c r="G490" s="1">
        <v>45129</v>
      </c>
      <c r="H490">
        <v>5524</v>
      </c>
      <c r="I490">
        <v>6696</v>
      </c>
      <c r="J490">
        <v>-1172</v>
      </c>
      <c r="K490" t="s">
        <v>21</v>
      </c>
      <c r="L490">
        <v>7</v>
      </c>
      <c r="M490" t="str">
        <f t="shared" si="7"/>
        <v>6-12 Months</v>
      </c>
      <c r="N490" s="1">
        <v>45129</v>
      </c>
      <c r="O490">
        <v>0</v>
      </c>
      <c r="P490">
        <v>489</v>
      </c>
      <c r="Q490" s="2">
        <v>-0.21</v>
      </c>
      <c r="R490" t="s">
        <v>27</v>
      </c>
      <c r="S490">
        <v>2023</v>
      </c>
      <c r="T490" t="s">
        <v>44</v>
      </c>
    </row>
    <row r="491" spans="1:20" hidden="1" x14ac:dyDescent="0.3">
      <c r="A491">
        <v>848</v>
      </c>
      <c r="B491">
        <v>400</v>
      </c>
      <c r="C491" t="s">
        <v>45</v>
      </c>
      <c r="D491" t="s">
        <v>29</v>
      </c>
      <c r="E491" t="s">
        <v>37</v>
      </c>
      <c r="F491" s="1">
        <v>44761</v>
      </c>
      <c r="G491" s="1">
        <v>45052</v>
      </c>
      <c r="H491">
        <v>3633</v>
      </c>
      <c r="I491">
        <v>4012.75</v>
      </c>
      <c r="J491">
        <v>3690</v>
      </c>
      <c r="K491" t="s">
        <v>54</v>
      </c>
      <c r="L491">
        <v>9</v>
      </c>
      <c r="M491" t="str">
        <f t="shared" si="7"/>
        <v>6-12 Months</v>
      </c>
      <c r="N491" s="1">
        <v>45052</v>
      </c>
      <c r="O491">
        <v>0</v>
      </c>
      <c r="P491">
        <v>490</v>
      </c>
      <c r="Q491" s="2">
        <v>1.02</v>
      </c>
      <c r="R491" t="s">
        <v>22</v>
      </c>
      <c r="S491">
        <v>2023</v>
      </c>
      <c r="T491" t="s">
        <v>28</v>
      </c>
    </row>
    <row r="492" spans="1:20" hidden="1" x14ac:dyDescent="0.3">
      <c r="A492">
        <v>849</v>
      </c>
      <c r="B492">
        <v>322</v>
      </c>
      <c r="C492" t="s">
        <v>53</v>
      </c>
      <c r="D492" t="s">
        <v>25</v>
      </c>
      <c r="E492" t="s">
        <v>26</v>
      </c>
      <c r="F492" s="1">
        <v>44901</v>
      </c>
      <c r="G492" s="1">
        <v>45283</v>
      </c>
      <c r="H492">
        <v>1578</v>
      </c>
      <c r="I492">
        <v>4012.75</v>
      </c>
      <c r="J492">
        <v>1839</v>
      </c>
      <c r="K492" t="s">
        <v>21</v>
      </c>
      <c r="L492">
        <v>12</v>
      </c>
      <c r="M492" t="str">
        <f t="shared" si="7"/>
        <v>6-12 Months</v>
      </c>
      <c r="N492" s="1">
        <v>45283</v>
      </c>
      <c r="O492">
        <v>0</v>
      </c>
      <c r="P492">
        <v>491</v>
      </c>
      <c r="Q492" s="2">
        <v>1.17</v>
      </c>
      <c r="R492" t="s">
        <v>22</v>
      </c>
      <c r="S492">
        <v>2023</v>
      </c>
      <c r="T492" t="s">
        <v>31</v>
      </c>
    </row>
    <row r="493" spans="1:20" hidden="1" x14ac:dyDescent="0.3">
      <c r="A493">
        <v>850</v>
      </c>
      <c r="B493">
        <v>273</v>
      </c>
      <c r="C493" t="s">
        <v>45</v>
      </c>
      <c r="D493" t="s">
        <v>19</v>
      </c>
      <c r="E493" t="s">
        <v>37</v>
      </c>
      <c r="F493" s="1">
        <v>44799</v>
      </c>
      <c r="G493" s="1">
        <v>44893</v>
      </c>
      <c r="H493">
        <v>3829</v>
      </c>
      <c r="I493">
        <v>4550</v>
      </c>
      <c r="J493">
        <v>-721</v>
      </c>
      <c r="K493" t="s">
        <v>54</v>
      </c>
      <c r="L493">
        <v>3</v>
      </c>
      <c r="M493" t="str">
        <f t="shared" si="7"/>
        <v>0-6 Months</v>
      </c>
      <c r="N493" s="1">
        <v>44893</v>
      </c>
      <c r="O493">
        <v>1</v>
      </c>
      <c r="P493">
        <v>492</v>
      </c>
      <c r="Q493" s="2">
        <v>-0.19</v>
      </c>
      <c r="R493" t="s">
        <v>27</v>
      </c>
      <c r="S493">
        <v>2022</v>
      </c>
      <c r="T493" t="s">
        <v>42</v>
      </c>
    </row>
    <row r="494" spans="1:20" x14ac:dyDescent="0.3">
      <c r="A494">
        <v>852</v>
      </c>
      <c r="B494">
        <v>435</v>
      </c>
      <c r="C494" t="s">
        <v>40</v>
      </c>
      <c r="D494" t="s">
        <v>25</v>
      </c>
      <c r="E494" t="s">
        <v>20</v>
      </c>
      <c r="F494" s="1">
        <v>44764</v>
      </c>
      <c r="G494" s="1">
        <v>44827</v>
      </c>
      <c r="H494">
        <v>4967.93</v>
      </c>
      <c r="I494">
        <v>7118</v>
      </c>
      <c r="J494">
        <v>577.01</v>
      </c>
      <c r="K494" t="s">
        <v>35</v>
      </c>
      <c r="L494">
        <v>2</v>
      </c>
      <c r="M494" t="str">
        <f t="shared" si="7"/>
        <v>0-6 Months</v>
      </c>
      <c r="N494" s="1">
        <v>44827</v>
      </c>
      <c r="O494">
        <v>1</v>
      </c>
      <c r="P494">
        <v>493</v>
      </c>
      <c r="Q494" s="2">
        <v>0.12</v>
      </c>
      <c r="R494" t="s">
        <v>27</v>
      </c>
      <c r="S494">
        <v>2022</v>
      </c>
      <c r="T494" t="s">
        <v>30</v>
      </c>
    </row>
    <row r="495" spans="1:20" hidden="1" x14ac:dyDescent="0.3">
      <c r="A495">
        <v>853</v>
      </c>
      <c r="B495">
        <v>250</v>
      </c>
      <c r="C495" t="s">
        <v>24</v>
      </c>
      <c r="D495" t="s">
        <v>29</v>
      </c>
      <c r="E495" t="s">
        <v>26</v>
      </c>
      <c r="F495" s="1">
        <v>44636</v>
      </c>
      <c r="G495" s="1">
        <v>44716</v>
      </c>
      <c r="H495">
        <v>7736</v>
      </c>
      <c r="I495">
        <v>474</v>
      </c>
      <c r="J495">
        <v>7262</v>
      </c>
      <c r="K495" t="s">
        <v>54</v>
      </c>
      <c r="L495">
        <v>2</v>
      </c>
      <c r="M495" t="str">
        <f t="shared" si="7"/>
        <v>0-6 Months</v>
      </c>
      <c r="N495" s="1">
        <v>44716</v>
      </c>
      <c r="O495">
        <v>0</v>
      </c>
      <c r="P495">
        <v>494</v>
      </c>
      <c r="Q495" s="2">
        <v>0.94</v>
      </c>
      <c r="R495" t="s">
        <v>27</v>
      </c>
      <c r="S495">
        <v>2022</v>
      </c>
      <c r="T495" t="s">
        <v>41</v>
      </c>
    </row>
    <row r="496" spans="1:20" x14ac:dyDescent="0.3">
      <c r="A496">
        <v>857</v>
      </c>
      <c r="B496">
        <v>393</v>
      </c>
      <c r="C496" t="s">
        <v>53</v>
      </c>
      <c r="D496" t="s">
        <v>19</v>
      </c>
      <c r="E496" t="s">
        <v>20</v>
      </c>
      <c r="F496" s="1">
        <v>44851</v>
      </c>
      <c r="G496" s="1">
        <v>44918</v>
      </c>
      <c r="H496">
        <v>5433</v>
      </c>
      <c r="I496">
        <v>451</v>
      </c>
      <c r="J496">
        <v>577.01</v>
      </c>
      <c r="K496" t="s">
        <v>35</v>
      </c>
      <c r="L496">
        <v>2</v>
      </c>
      <c r="M496" t="str">
        <f t="shared" si="7"/>
        <v>0-6 Months</v>
      </c>
      <c r="N496" s="1">
        <v>44918</v>
      </c>
      <c r="O496">
        <v>0</v>
      </c>
      <c r="P496">
        <v>495</v>
      </c>
      <c r="Q496" s="2">
        <v>0.11</v>
      </c>
      <c r="R496" t="s">
        <v>27</v>
      </c>
      <c r="S496">
        <v>2022</v>
      </c>
      <c r="T496" t="s">
        <v>31</v>
      </c>
    </row>
    <row r="497" spans="1:20" x14ac:dyDescent="0.3">
      <c r="A497">
        <v>858</v>
      </c>
      <c r="B497">
        <v>138</v>
      </c>
      <c r="C497" t="s">
        <v>40</v>
      </c>
      <c r="D497" t="s">
        <v>19</v>
      </c>
      <c r="E497" t="s">
        <v>37</v>
      </c>
      <c r="F497" s="1">
        <v>44606</v>
      </c>
      <c r="G497" s="1">
        <v>44982</v>
      </c>
      <c r="H497">
        <v>9867</v>
      </c>
      <c r="I497">
        <v>6832</v>
      </c>
      <c r="J497">
        <v>3035</v>
      </c>
      <c r="K497" t="s">
        <v>35</v>
      </c>
      <c r="L497">
        <v>12</v>
      </c>
      <c r="M497" t="str">
        <f t="shared" si="7"/>
        <v>6-12 Months</v>
      </c>
      <c r="N497" s="1">
        <v>44982</v>
      </c>
      <c r="O497">
        <v>1</v>
      </c>
      <c r="P497">
        <v>496</v>
      </c>
      <c r="Q497" s="2">
        <v>0.31</v>
      </c>
      <c r="R497" t="s">
        <v>27</v>
      </c>
      <c r="S497">
        <v>2023</v>
      </c>
      <c r="T497" t="s">
        <v>43</v>
      </c>
    </row>
    <row r="498" spans="1:20" hidden="1" x14ac:dyDescent="0.3">
      <c r="A498">
        <v>859</v>
      </c>
      <c r="B498">
        <v>286</v>
      </c>
      <c r="C498" t="s">
        <v>40</v>
      </c>
      <c r="D498" t="s">
        <v>34</v>
      </c>
      <c r="E498" t="s">
        <v>26</v>
      </c>
      <c r="F498" s="1">
        <v>44602</v>
      </c>
      <c r="G498" s="1">
        <v>44895</v>
      </c>
      <c r="H498">
        <v>4903</v>
      </c>
      <c r="I498">
        <v>186</v>
      </c>
      <c r="J498">
        <v>4717</v>
      </c>
      <c r="K498" t="s">
        <v>21</v>
      </c>
      <c r="L498">
        <v>9</v>
      </c>
      <c r="M498" t="str">
        <f t="shared" si="7"/>
        <v>6-12 Months</v>
      </c>
      <c r="N498" s="1">
        <v>44895</v>
      </c>
      <c r="O498">
        <v>0</v>
      </c>
      <c r="P498">
        <v>497</v>
      </c>
      <c r="Q498" s="2">
        <v>0.96</v>
      </c>
      <c r="R498" t="s">
        <v>27</v>
      </c>
      <c r="S498">
        <v>2022</v>
      </c>
      <c r="T498" t="s">
        <v>42</v>
      </c>
    </row>
    <row r="499" spans="1:20" hidden="1" x14ac:dyDescent="0.3">
      <c r="A499">
        <v>860</v>
      </c>
      <c r="B499">
        <v>320</v>
      </c>
      <c r="C499" t="s">
        <v>40</v>
      </c>
      <c r="D499" t="s">
        <v>19</v>
      </c>
      <c r="E499" t="s">
        <v>20</v>
      </c>
      <c r="F499" s="1">
        <v>44588</v>
      </c>
      <c r="G499" s="1">
        <v>44757</v>
      </c>
      <c r="H499">
        <v>8958</v>
      </c>
      <c r="I499">
        <v>36</v>
      </c>
      <c r="J499">
        <v>577.01</v>
      </c>
      <c r="K499" t="s">
        <v>54</v>
      </c>
      <c r="L499">
        <v>5</v>
      </c>
      <c r="M499" t="str">
        <f t="shared" si="7"/>
        <v>0-6 Months</v>
      </c>
      <c r="N499" s="1">
        <v>44757</v>
      </c>
      <c r="O499">
        <v>1</v>
      </c>
      <c r="P499">
        <v>498</v>
      </c>
      <c r="Q499" s="2">
        <v>0.06</v>
      </c>
      <c r="R499" t="s">
        <v>27</v>
      </c>
      <c r="S499">
        <v>2022</v>
      </c>
      <c r="T499" t="s">
        <v>44</v>
      </c>
    </row>
    <row r="500" spans="1:20" x14ac:dyDescent="0.3">
      <c r="A500">
        <v>861</v>
      </c>
      <c r="B500">
        <v>256</v>
      </c>
      <c r="C500" t="s">
        <v>39</v>
      </c>
      <c r="D500" t="s">
        <v>34</v>
      </c>
      <c r="E500" t="s">
        <v>37</v>
      </c>
      <c r="F500" s="1">
        <v>44896</v>
      </c>
      <c r="G500" s="1">
        <v>45399</v>
      </c>
      <c r="H500">
        <v>1113</v>
      </c>
      <c r="I500">
        <v>5687</v>
      </c>
      <c r="J500">
        <v>-4574</v>
      </c>
      <c r="K500" t="s">
        <v>35</v>
      </c>
      <c r="L500">
        <v>16</v>
      </c>
      <c r="M500" t="str">
        <f t="shared" si="7"/>
        <v>6-12 Months</v>
      </c>
      <c r="N500" s="1">
        <v>45399</v>
      </c>
      <c r="O500">
        <v>1</v>
      </c>
      <c r="P500">
        <v>499</v>
      </c>
      <c r="Q500" s="2">
        <v>-4.1100000000000003</v>
      </c>
      <c r="R500" t="s">
        <v>22</v>
      </c>
      <c r="S500">
        <v>2024</v>
      </c>
      <c r="T500" t="s">
        <v>32</v>
      </c>
    </row>
    <row r="501" spans="1:20" x14ac:dyDescent="0.3">
      <c r="A501">
        <v>862</v>
      </c>
      <c r="B501">
        <v>136</v>
      </c>
      <c r="C501" t="s">
        <v>39</v>
      </c>
      <c r="D501" t="s">
        <v>19</v>
      </c>
      <c r="E501" t="s">
        <v>20</v>
      </c>
      <c r="F501" s="1">
        <v>44589</v>
      </c>
      <c r="G501" s="1">
        <v>45180</v>
      </c>
      <c r="H501">
        <v>3738</v>
      </c>
      <c r="I501">
        <v>6182</v>
      </c>
      <c r="J501">
        <v>-2444</v>
      </c>
      <c r="K501" t="s">
        <v>35</v>
      </c>
      <c r="L501">
        <v>19</v>
      </c>
      <c r="M501" t="str">
        <f t="shared" si="7"/>
        <v>6-12 Months</v>
      </c>
      <c r="N501" s="1">
        <v>45180</v>
      </c>
      <c r="O501">
        <v>0</v>
      </c>
      <c r="P501">
        <v>500</v>
      </c>
      <c r="Q501" s="2">
        <v>-0.65</v>
      </c>
      <c r="R501" t="s">
        <v>27</v>
      </c>
      <c r="S501">
        <v>2023</v>
      </c>
      <c r="T501" t="s">
        <v>30</v>
      </c>
    </row>
    <row r="502" spans="1:20" hidden="1" x14ac:dyDescent="0.3">
      <c r="A502">
        <v>866</v>
      </c>
      <c r="B502">
        <v>213</v>
      </c>
      <c r="C502" t="s">
        <v>53</v>
      </c>
      <c r="D502" t="s">
        <v>29</v>
      </c>
      <c r="E502" t="s">
        <v>20</v>
      </c>
      <c r="F502" s="1">
        <v>44570</v>
      </c>
      <c r="G502" s="1">
        <v>44635</v>
      </c>
      <c r="H502">
        <v>3553</v>
      </c>
      <c r="I502">
        <v>4012.75</v>
      </c>
      <c r="J502">
        <v>3979</v>
      </c>
      <c r="K502" t="s">
        <v>54</v>
      </c>
      <c r="L502">
        <v>2</v>
      </c>
      <c r="M502" t="str">
        <f t="shared" si="7"/>
        <v>0-6 Months</v>
      </c>
      <c r="N502" s="1">
        <v>44635</v>
      </c>
      <c r="O502">
        <v>0</v>
      </c>
      <c r="P502">
        <v>501</v>
      </c>
      <c r="Q502" s="2">
        <v>1.1200000000000001</v>
      </c>
      <c r="R502" t="s">
        <v>22</v>
      </c>
      <c r="S502">
        <v>2022</v>
      </c>
      <c r="T502" t="s">
        <v>38</v>
      </c>
    </row>
    <row r="503" spans="1:20" hidden="1" x14ac:dyDescent="0.3">
      <c r="A503">
        <v>867</v>
      </c>
      <c r="B503">
        <v>450</v>
      </c>
      <c r="C503" t="s">
        <v>53</v>
      </c>
      <c r="D503" t="s">
        <v>29</v>
      </c>
      <c r="E503" t="s">
        <v>26</v>
      </c>
      <c r="F503" s="1">
        <v>44580</v>
      </c>
      <c r="G503" s="1">
        <v>44931</v>
      </c>
      <c r="H503">
        <v>1125</v>
      </c>
      <c r="I503">
        <v>737</v>
      </c>
      <c r="J503">
        <v>388</v>
      </c>
      <c r="K503" t="s">
        <v>54</v>
      </c>
      <c r="L503">
        <v>11</v>
      </c>
      <c r="M503" t="str">
        <f t="shared" si="7"/>
        <v>6-12 Months</v>
      </c>
      <c r="N503" s="1">
        <v>44931</v>
      </c>
      <c r="O503">
        <v>1</v>
      </c>
      <c r="P503">
        <v>502</v>
      </c>
      <c r="Q503" s="2">
        <v>0.34</v>
      </c>
      <c r="R503" t="s">
        <v>27</v>
      </c>
      <c r="S503">
        <v>2023</v>
      </c>
      <c r="T503" t="s">
        <v>23</v>
      </c>
    </row>
    <row r="504" spans="1:20" hidden="1" x14ac:dyDescent="0.3">
      <c r="A504">
        <v>868</v>
      </c>
      <c r="B504">
        <v>351</v>
      </c>
      <c r="C504" t="s">
        <v>45</v>
      </c>
      <c r="D504" t="s">
        <v>25</v>
      </c>
      <c r="E504" t="s">
        <v>37</v>
      </c>
      <c r="F504" s="1">
        <v>44803</v>
      </c>
      <c r="G504" s="1">
        <v>45090</v>
      </c>
      <c r="H504">
        <v>4967.93</v>
      </c>
      <c r="I504">
        <v>4012.75</v>
      </c>
      <c r="J504">
        <v>357</v>
      </c>
      <c r="K504" t="s">
        <v>54</v>
      </c>
      <c r="L504">
        <v>9</v>
      </c>
      <c r="M504" t="str">
        <f t="shared" si="7"/>
        <v>6-12 Months</v>
      </c>
      <c r="N504" s="1">
        <v>45090</v>
      </c>
      <c r="O504">
        <v>1</v>
      </c>
      <c r="P504">
        <v>503</v>
      </c>
      <c r="Q504" s="2">
        <v>7.0000000000000007E-2</v>
      </c>
      <c r="R504" t="s">
        <v>27</v>
      </c>
      <c r="S504">
        <v>2023</v>
      </c>
      <c r="T504" t="s">
        <v>41</v>
      </c>
    </row>
    <row r="505" spans="1:20" hidden="1" x14ac:dyDescent="0.3">
      <c r="A505">
        <v>870</v>
      </c>
      <c r="B505">
        <v>317</v>
      </c>
      <c r="C505" t="s">
        <v>53</v>
      </c>
      <c r="D505" t="s">
        <v>29</v>
      </c>
      <c r="E505" t="s">
        <v>20</v>
      </c>
      <c r="F505" s="1">
        <v>44615</v>
      </c>
      <c r="G505" s="1">
        <v>45196</v>
      </c>
      <c r="H505">
        <v>4967.93</v>
      </c>
      <c r="I505">
        <v>6028</v>
      </c>
      <c r="J505">
        <v>-7734</v>
      </c>
      <c r="K505" t="s">
        <v>21</v>
      </c>
      <c r="L505">
        <v>19</v>
      </c>
      <c r="M505" t="str">
        <f t="shared" si="7"/>
        <v>6-12 Months</v>
      </c>
      <c r="N505" s="1">
        <v>45196</v>
      </c>
      <c r="O505">
        <v>0</v>
      </c>
      <c r="P505">
        <v>504</v>
      </c>
      <c r="Q505" s="2">
        <v>-1.56</v>
      </c>
      <c r="R505" t="s">
        <v>22</v>
      </c>
      <c r="S505">
        <v>2023</v>
      </c>
      <c r="T505" t="s">
        <v>30</v>
      </c>
    </row>
    <row r="506" spans="1:20" x14ac:dyDescent="0.3">
      <c r="A506">
        <v>872</v>
      </c>
      <c r="B506">
        <v>298</v>
      </c>
      <c r="C506" t="s">
        <v>45</v>
      </c>
      <c r="D506" t="s">
        <v>29</v>
      </c>
      <c r="E506" t="s">
        <v>26</v>
      </c>
      <c r="F506" s="1">
        <v>44704</v>
      </c>
      <c r="G506" s="1">
        <v>44787</v>
      </c>
      <c r="H506">
        <v>5571</v>
      </c>
      <c r="I506">
        <v>6320</v>
      </c>
      <c r="J506">
        <v>-749</v>
      </c>
      <c r="K506" t="s">
        <v>35</v>
      </c>
      <c r="L506">
        <v>2</v>
      </c>
      <c r="M506" t="str">
        <f t="shared" si="7"/>
        <v>0-6 Months</v>
      </c>
      <c r="N506" s="1">
        <v>44787</v>
      </c>
      <c r="O506">
        <v>0</v>
      </c>
      <c r="P506">
        <v>505</v>
      </c>
      <c r="Q506" s="2">
        <v>-0.13</v>
      </c>
      <c r="R506" t="s">
        <v>27</v>
      </c>
      <c r="S506">
        <v>2022</v>
      </c>
      <c r="T506" t="s">
        <v>36</v>
      </c>
    </row>
    <row r="507" spans="1:20" hidden="1" x14ac:dyDescent="0.3">
      <c r="A507">
        <v>873</v>
      </c>
      <c r="B507">
        <v>408</v>
      </c>
      <c r="C507" t="s">
        <v>39</v>
      </c>
      <c r="D507" t="s">
        <v>34</v>
      </c>
      <c r="E507" t="s">
        <v>20</v>
      </c>
      <c r="F507" s="1">
        <v>44898</v>
      </c>
      <c r="G507" s="1">
        <v>45219</v>
      </c>
      <c r="H507">
        <v>4967.93</v>
      </c>
      <c r="I507">
        <v>3504</v>
      </c>
      <c r="J507">
        <v>-4215</v>
      </c>
      <c r="K507" t="s">
        <v>54</v>
      </c>
      <c r="L507">
        <v>10</v>
      </c>
      <c r="M507" t="str">
        <f t="shared" si="7"/>
        <v>6-12 Months</v>
      </c>
      <c r="N507" s="1">
        <v>45219</v>
      </c>
      <c r="O507">
        <v>0</v>
      </c>
      <c r="P507">
        <v>506</v>
      </c>
      <c r="Q507" s="2">
        <v>-0.85</v>
      </c>
      <c r="R507" t="s">
        <v>27</v>
      </c>
      <c r="S507">
        <v>2023</v>
      </c>
      <c r="T507" t="s">
        <v>33</v>
      </c>
    </row>
    <row r="508" spans="1:20" x14ac:dyDescent="0.3">
      <c r="A508">
        <v>874</v>
      </c>
      <c r="B508">
        <v>359</v>
      </c>
      <c r="C508" t="s">
        <v>40</v>
      </c>
      <c r="D508" t="s">
        <v>25</v>
      </c>
      <c r="E508" t="s">
        <v>26</v>
      </c>
      <c r="F508" s="1">
        <v>44754</v>
      </c>
      <c r="G508" s="1">
        <v>45149</v>
      </c>
      <c r="H508">
        <v>6628</v>
      </c>
      <c r="I508">
        <v>7840</v>
      </c>
      <c r="J508">
        <v>-1212</v>
      </c>
      <c r="K508" t="s">
        <v>35</v>
      </c>
      <c r="L508">
        <v>12</v>
      </c>
      <c r="M508" t="str">
        <f t="shared" si="7"/>
        <v>6-12 Months</v>
      </c>
      <c r="N508" s="1">
        <v>45149</v>
      </c>
      <c r="O508">
        <v>0</v>
      </c>
      <c r="P508">
        <v>507</v>
      </c>
      <c r="Q508" s="2">
        <v>-0.18</v>
      </c>
      <c r="R508" t="s">
        <v>27</v>
      </c>
      <c r="S508">
        <v>2023</v>
      </c>
      <c r="T508" t="s">
        <v>36</v>
      </c>
    </row>
    <row r="509" spans="1:20" x14ac:dyDescent="0.3">
      <c r="A509">
        <v>875</v>
      </c>
      <c r="B509">
        <v>136</v>
      </c>
      <c r="C509" t="s">
        <v>45</v>
      </c>
      <c r="D509" t="s">
        <v>34</v>
      </c>
      <c r="E509" t="s">
        <v>26</v>
      </c>
      <c r="F509" s="1">
        <v>44643</v>
      </c>
      <c r="G509" s="1">
        <v>45157</v>
      </c>
      <c r="H509">
        <v>6432</v>
      </c>
      <c r="I509">
        <v>5255</v>
      </c>
      <c r="J509">
        <v>1177</v>
      </c>
      <c r="K509" t="s">
        <v>35</v>
      </c>
      <c r="L509">
        <v>16</v>
      </c>
      <c r="M509" t="str">
        <f t="shared" si="7"/>
        <v>6-12 Months</v>
      </c>
      <c r="N509" s="1">
        <v>45157</v>
      </c>
      <c r="O509">
        <v>0</v>
      </c>
      <c r="P509">
        <v>508</v>
      </c>
      <c r="Q509" s="2">
        <v>0.18</v>
      </c>
      <c r="R509" t="s">
        <v>27</v>
      </c>
      <c r="S509">
        <v>2023</v>
      </c>
      <c r="T509" t="s">
        <v>36</v>
      </c>
    </row>
    <row r="510" spans="1:20" hidden="1" x14ac:dyDescent="0.3">
      <c r="A510">
        <v>878</v>
      </c>
      <c r="B510">
        <v>376</v>
      </c>
      <c r="C510" t="s">
        <v>39</v>
      </c>
      <c r="D510" t="s">
        <v>19</v>
      </c>
      <c r="E510" t="s">
        <v>20</v>
      </c>
      <c r="F510" s="1">
        <v>44859</v>
      </c>
      <c r="G510" s="1">
        <v>45080</v>
      </c>
      <c r="H510">
        <v>4477</v>
      </c>
      <c r="I510">
        <v>2798</v>
      </c>
      <c r="J510">
        <v>1679</v>
      </c>
      <c r="K510" t="s">
        <v>54</v>
      </c>
      <c r="L510">
        <v>7</v>
      </c>
      <c r="M510" t="str">
        <f t="shared" si="7"/>
        <v>6-12 Months</v>
      </c>
      <c r="N510" s="1">
        <v>45080</v>
      </c>
      <c r="O510">
        <v>1</v>
      </c>
      <c r="P510">
        <v>509</v>
      </c>
      <c r="Q510" s="2">
        <v>0.38</v>
      </c>
      <c r="R510" t="s">
        <v>27</v>
      </c>
      <c r="S510">
        <v>2023</v>
      </c>
      <c r="T510" t="s">
        <v>41</v>
      </c>
    </row>
    <row r="511" spans="1:20" hidden="1" x14ac:dyDescent="0.3">
      <c r="A511">
        <v>879</v>
      </c>
      <c r="B511">
        <v>290</v>
      </c>
      <c r="C511" t="s">
        <v>53</v>
      </c>
      <c r="D511" t="s">
        <v>29</v>
      </c>
      <c r="E511" t="s">
        <v>20</v>
      </c>
      <c r="F511" s="1">
        <v>44855</v>
      </c>
      <c r="G511" s="1">
        <v>45402</v>
      </c>
      <c r="H511">
        <v>5669</v>
      </c>
      <c r="I511">
        <v>2566</v>
      </c>
      <c r="J511">
        <v>3103</v>
      </c>
      <c r="K511" t="s">
        <v>54</v>
      </c>
      <c r="L511">
        <v>17</v>
      </c>
      <c r="M511" t="str">
        <f t="shared" si="7"/>
        <v>6-12 Months</v>
      </c>
      <c r="N511" s="1">
        <v>45402</v>
      </c>
      <c r="O511">
        <v>1</v>
      </c>
      <c r="P511">
        <v>510</v>
      </c>
      <c r="Q511" s="2">
        <v>0.55000000000000004</v>
      </c>
      <c r="R511" t="s">
        <v>27</v>
      </c>
      <c r="S511">
        <v>2024</v>
      </c>
      <c r="T511" t="s">
        <v>32</v>
      </c>
    </row>
    <row r="512" spans="1:20" hidden="1" x14ac:dyDescent="0.3">
      <c r="A512">
        <v>880</v>
      </c>
      <c r="B512">
        <v>313</v>
      </c>
      <c r="C512" t="s">
        <v>24</v>
      </c>
      <c r="D512" t="s">
        <v>19</v>
      </c>
      <c r="E512" t="s">
        <v>20</v>
      </c>
      <c r="F512" s="1">
        <v>44613</v>
      </c>
      <c r="G512" s="1">
        <v>44933</v>
      </c>
      <c r="H512">
        <v>4042</v>
      </c>
      <c r="I512">
        <v>5151</v>
      </c>
      <c r="J512">
        <v>-1109</v>
      </c>
      <c r="K512" t="s">
        <v>54</v>
      </c>
      <c r="L512">
        <v>10</v>
      </c>
      <c r="M512" t="str">
        <f t="shared" si="7"/>
        <v>6-12 Months</v>
      </c>
      <c r="N512" s="1">
        <v>44933</v>
      </c>
      <c r="O512">
        <v>1</v>
      </c>
      <c r="P512">
        <v>511</v>
      </c>
      <c r="Q512" s="2">
        <v>-0.27</v>
      </c>
      <c r="R512" t="s">
        <v>27</v>
      </c>
      <c r="S512">
        <v>2023</v>
      </c>
      <c r="T512" t="s">
        <v>23</v>
      </c>
    </row>
    <row r="513" spans="1:20" hidden="1" x14ac:dyDescent="0.3">
      <c r="A513">
        <v>881</v>
      </c>
      <c r="B513">
        <v>486</v>
      </c>
      <c r="C513" t="s">
        <v>39</v>
      </c>
      <c r="D513" t="s">
        <v>34</v>
      </c>
      <c r="E513" t="s">
        <v>26</v>
      </c>
      <c r="F513" s="1">
        <v>44568</v>
      </c>
      <c r="G513" s="1">
        <v>44741</v>
      </c>
      <c r="H513">
        <v>2642</v>
      </c>
      <c r="I513">
        <v>3880</v>
      </c>
      <c r="J513">
        <v>-1238</v>
      </c>
      <c r="K513" t="s">
        <v>54</v>
      </c>
      <c r="L513">
        <v>5</v>
      </c>
      <c r="M513" t="str">
        <f t="shared" si="7"/>
        <v>0-6 Months</v>
      </c>
      <c r="N513" s="1">
        <v>44741</v>
      </c>
      <c r="O513">
        <v>1</v>
      </c>
      <c r="P513">
        <v>512</v>
      </c>
      <c r="Q513" s="2">
        <v>-0.47</v>
      </c>
      <c r="R513" t="s">
        <v>27</v>
      </c>
      <c r="S513">
        <v>2022</v>
      </c>
      <c r="T513" t="s">
        <v>41</v>
      </c>
    </row>
    <row r="514" spans="1:20" x14ac:dyDescent="0.3">
      <c r="A514">
        <v>882</v>
      </c>
      <c r="B514">
        <v>267</v>
      </c>
      <c r="C514" t="s">
        <v>39</v>
      </c>
      <c r="D514" t="s">
        <v>25</v>
      </c>
      <c r="E514" t="s">
        <v>37</v>
      </c>
      <c r="F514" s="1">
        <v>44598</v>
      </c>
      <c r="G514" s="1">
        <v>44978</v>
      </c>
      <c r="H514">
        <v>5911</v>
      </c>
      <c r="I514">
        <v>7782</v>
      </c>
      <c r="J514">
        <v>-1871</v>
      </c>
      <c r="K514" t="s">
        <v>35</v>
      </c>
      <c r="L514">
        <v>12</v>
      </c>
      <c r="M514" t="str">
        <f t="shared" ref="M514:M577" si="8">IF(L514&lt;6,"0-6 Months",IF(L514&gt;6,"6-12 Months","12+ Months"))</f>
        <v>6-12 Months</v>
      </c>
      <c r="N514" s="1">
        <v>44978</v>
      </c>
      <c r="O514">
        <v>0</v>
      </c>
      <c r="P514">
        <v>513</v>
      </c>
      <c r="Q514" s="2">
        <v>-0.32</v>
      </c>
      <c r="R514" t="s">
        <v>27</v>
      </c>
      <c r="S514">
        <v>2023</v>
      </c>
      <c r="T514" t="s">
        <v>43</v>
      </c>
    </row>
    <row r="515" spans="1:20" hidden="1" x14ac:dyDescent="0.3">
      <c r="A515">
        <v>885</v>
      </c>
      <c r="B515">
        <v>227</v>
      </c>
      <c r="C515" t="s">
        <v>40</v>
      </c>
      <c r="D515" t="s">
        <v>25</v>
      </c>
      <c r="E515" t="s">
        <v>37</v>
      </c>
      <c r="F515" s="1">
        <v>44626</v>
      </c>
      <c r="G515" s="1">
        <v>45009</v>
      </c>
      <c r="H515">
        <v>5334</v>
      </c>
      <c r="I515">
        <v>5642</v>
      </c>
      <c r="J515">
        <v>-308</v>
      </c>
      <c r="K515" t="s">
        <v>54</v>
      </c>
      <c r="L515">
        <v>12</v>
      </c>
      <c r="M515" t="str">
        <f t="shared" si="8"/>
        <v>6-12 Months</v>
      </c>
      <c r="N515" s="1">
        <v>45009</v>
      </c>
      <c r="O515">
        <v>0</v>
      </c>
      <c r="P515">
        <v>514</v>
      </c>
      <c r="Q515" s="2">
        <v>-0.06</v>
      </c>
      <c r="R515" t="s">
        <v>27</v>
      </c>
      <c r="S515">
        <v>2023</v>
      </c>
      <c r="T515" t="s">
        <v>38</v>
      </c>
    </row>
    <row r="516" spans="1:20" hidden="1" x14ac:dyDescent="0.3">
      <c r="A516">
        <v>887</v>
      </c>
      <c r="B516">
        <v>485</v>
      </c>
      <c r="C516" t="s">
        <v>45</v>
      </c>
      <c r="D516" t="s">
        <v>29</v>
      </c>
      <c r="E516" t="s">
        <v>26</v>
      </c>
      <c r="F516" s="1">
        <v>44853</v>
      </c>
      <c r="G516" s="1">
        <v>45092</v>
      </c>
      <c r="H516">
        <v>6639</v>
      </c>
      <c r="I516">
        <v>6529</v>
      </c>
      <c r="J516">
        <v>110</v>
      </c>
      <c r="K516" t="s">
        <v>54</v>
      </c>
      <c r="L516">
        <v>7</v>
      </c>
      <c r="M516" t="str">
        <f t="shared" si="8"/>
        <v>6-12 Months</v>
      </c>
      <c r="N516" s="1">
        <v>45092</v>
      </c>
      <c r="O516">
        <v>0</v>
      </c>
      <c r="P516">
        <v>515</v>
      </c>
      <c r="Q516" s="2">
        <v>0.02</v>
      </c>
      <c r="R516" t="s">
        <v>27</v>
      </c>
      <c r="S516">
        <v>2023</v>
      </c>
      <c r="T516" t="s">
        <v>41</v>
      </c>
    </row>
    <row r="517" spans="1:20" hidden="1" x14ac:dyDescent="0.3">
      <c r="A517">
        <v>890</v>
      </c>
      <c r="B517">
        <v>105</v>
      </c>
      <c r="C517" t="s">
        <v>53</v>
      </c>
      <c r="D517" t="s">
        <v>19</v>
      </c>
      <c r="E517" t="s">
        <v>37</v>
      </c>
      <c r="F517" s="1">
        <v>44835</v>
      </c>
      <c r="G517" s="1">
        <v>45108</v>
      </c>
      <c r="H517">
        <v>2199</v>
      </c>
      <c r="I517">
        <v>581</v>
      </c>
      <c r="J517">
        <v>1618</v>
      </c>
      <c r="K517" t="s">
        <v>54</v>
      </c>
      <c r="L517">
        <v>9</v>
      </c>
      <c r="M517" t="str">
        <f t="shared" si="8"/>
        <v>6-12 Months</v>
      </c>
      <c r="N517" s="1">
        <v>45108</v>
      </c>
      <c r="O517">
        <v>1</v>
      </c>
      <c r="P517">
        <v>516</v>
      </c>
      <c r="Q517" s="2">
        <v>0.74</v>
      </c>
      <c r="R517" t="s">
        <v>27</v>
      </c>
      <c r="S517">
        <v>2023</v>
      </c>
      <c r="T517" t="s">
        <v>44</v>
      </c>
    </row>
    <row r="518" spans="1:20" hidden="1" x14ac:dyDescent="0.3">
      <c r="A518">
        <v>891</v>
      </c>
      <c r="B518">
        <v>310</v>
      </c>
      <c r="C518" t="s">
        <v>40</v>
      </c>
      <c r="D518" t="s">
        <v>29</v>
      </c>
      <c r="E518" t="s">
        <v>20</v>
      </c>
      <c r="F518" s="1">
        <v>44682</v>
      </c>
      <c r="G518" s="1">
        <v>45192</v>
      </c>
      <c r="H518">
        <v>2057</v>
      </c>
      <c r="I518">
        <v>5507</v>
      </c>
      <c r="J518">
        <v>-3450</v>
      </c>
      <c r="K518" t="s">
        <v>54</v>
      </c>
      <c r="L518">
        <v>16</v>
      </c>
      <c r="M518" t="str">
        <f t="shared" si="8"/>
        <v>6-12 Months</v>
      </c>
      <c r="N518" s="1">
        <v>45192</v>
      </c>
      <c r="O518">
        <v>1</v>
      </c>
      <c r="P518">
        <v>517</v>
      </c>
      <c r="Q518" s="2">
        <v>-1.68</v>
      </c>
      <c r="R518" t="s">
        <v>22</v>
      </c>
      <c r="S518">
        <v>2023</v>
      </c>
      <c r="T518" t="s">
        <v>30</v>
      </c>
    </row>
    <row r="519" spans="1:20" hidden="1" x14ac:dyDescent="0.3">
      <c r="A519">
        <v>892</v>
      </c>
      <c r="B519">
        <v>487</v>
      </c>
      <c r="C519" t="s">
        <v>45</v>
      </c>
      <c r="D519" t="s">
        <v>25</v>
      </c>
      <c r="E519" t="s">
        <v>37</v>
      </c>
      <c r="F519" s="1">
        <v>44874</v>
      </c>
      <c r="G519" s="1">
        <v>44971</v>
      </c>
      <c r="H519">
        <v>5796</v>
      </c>
      <c r="I519">
        <v>3024</v>
      </c>
      <c r="J519">
        <v>2772</v>
      </c>
      <c r="K519" t="s">
        <v>21</v>
      </c>
      <c r="L519">
        <v>3</v>
      </c>
      <c r="M519" t="str">
        <f t="shared" si="8"/>
        <v>0-6 Months</v>
      </c>
      <c r="N519" s="1">
        <v>44971</v>
      </c>
      <c r="O519">
        <v>1</v>
      </c>
      <c r="P519">
        <v>518</v>
      </c>
      <c r="Q519" s="2">
        <v>0.48</v>
      </c>
      <c r="R519" t="s">
        <v>27</v>
      </c>
      <c r="S519">
        <v>2023</v>
      </c>
      <c r="T519" t="s">
        <v>43</v>
      </c>
    </row>
    <row r="520" spans="1:20" x14ac:dyDescent="0.3">
      <c r="A520">
        <v>893</v>
      </c>
      <c r="B520">
        <v>246</v>
      </c>
      <c r="C520" t="s">
        <v>40</v>
      </c>
      <c r="D520" t="s">
        <v>34</v>
      </c>
      <c r="E520" t="s">
        <v>37</v>
      </c>
      <c r="F520" s="1">
        <v>44854</v>
      </c>
      <c r="G520" s="1">
        <v>45437</v>
      </c>
      <c r="H520">
        <v>4967.93</v>
      </c>
      <c r="I520">
        <v>7668</v>
      </c>
      <c r="J520">
        <v>-9393</v>
      </c>
      <c r="K520" t="s">
        <v>35</v>
      </c>
      <c r="L520">
        <v>19</v>
      </c>
      <c r="M520" t="str">
        <f t="shared" si="8"/>
        <v>6-12 Months</v>
      </c>
      <c r="N520" s="1">
        <v>45437</v>
      </c>
      <c r="O520">
        <v>0</v>
      </c>
      <c r="P520">
        <v>519</v>
      </c>
      <c r="Q520" s="2">
        <v>-1.89</v>
      </c>
      <c r="R520" t="s">
        <v>22</v>
      </c>
      <c r="S520">
        <v>2024</v>
      </c>
      <c r="T520" t="s">
        <v>28</v>
      </c>
    </row>
    <row r="521" spans="1:20" hidden="1" x14ac:dyDescent="0.3">
      <c r="A521">
        <v>895</v>
      </c>
      <c r="B521">
        <v>110</v>
      </c>
      <c r="C521" t="s">
        <v>24</v>
      </c>
      <c r="D521" t="s">
        <v>25</v>
      </c>
      <c r="E521" t="s">
        <v>37</v>
      </c>
      <c r="F521" s="1">
        <v>44812</v>
      </c>
      <c r="G521" s="1">
        <v>45103</v>
      </c>
      <c r="H521">
        <v>4967.93</v>
      </c>
      <c r="I521">
        <v>6411</v>
      </c>
      <c r="J521">
        <v>-8135</v>
      </c>
      <c r="K521" t="s">
        <v>54</v>
      </c>
      <c r="L521">
        <v>9</v>
      </c>
      <c r="M521" t="str">
        <f t="shared" si="8"/>
        <v>6-12 Months</v>
      </c>
      <c r="N521" s="1">
        <v>45103</v>
      </c>
      <c r="O521">
        <v>1</v>
      </c>
      <c r="P521">
        <v>520</v>
      </c>
      <c r="Q521" s="2">
        <v>-1.64</v>
      </c>
      <c r="R521" t="s">
        <v>22</v>
      </c>
      <c r="S521">
        <v>2023</v>
      </c>
      <c r="T521" t="s">
        <v>41</v>
      </c>
    </row>
    <row r="522" spans="1:20" x14ac:dyDescent="0.3">
      <c r="A522">
        <v>896</v>
      </c>
      <c r="B522">
        <v>422</v>
      </c>
      <c r="C522" t="s">
        <v>39</v>
      </c>
      <c r="D522" t="s">
        <v>34</v>
      </c>
      <c r="E522" t="s">
        <v>37</v>
      </c>
      <c r="F522" s="1">
        <v>44769</v>
      </c>
      <c r="G522" s="1">
        <v>44888</v>
      </c>
      <c r="H522">
        <v>5769</v>
      </c>
      <c r="I522">
        <v>6381</v>
      </c>
      <c r="J522">
        <v>-612</v>
      </c>
      <c r="K522" t="s">
        <v>35</v>
      </c>
      <c r="L522">
        <v>3</v>
      </c>
      <c r="M522" t="str">
        <f t="shared" si="8"/>
        <v>0-6 Months</v>
      </c>
      <c r="N522" s="1">
        <v>44888</v>
      </c>
      <c r="O522">
        <v>0</v>
      </c>
      <c r="P522">
        <v>521</v>
      </c>
      <c r="Q522" s="2">
        <v>-0.11</v>
      </c>
      <c r="R522" t="s">
        <v>27</v>
      </c>
      <c r="S522">
        <v>2022</v>
      </c>
      <c r="T522" t="s">
        <v>42</v>
      </c>
    </row>
    <row r="523" spans="1:20" hidden="1" x14ac:dyDescent="0.3">
      <c r="A523">
        <v>897</v>
      </c>
      <c r="B523">
        <v>176</v>
      </c>
      <c r="C523" t="s">
        <v>40</v>
      </c>
      <c r="D523" t="s">
        <v>19</v>
      </c>
      <c r="E523" t="s">
        <v>20</v>
      </c>
      <c r="F523" s="1">
        <v>44871</v>
      </c>
      <c r="G523" s="1">
        <v>45108</v>
      </c>
      <c r="H523">
        <v>4967.93</v>
      </c>
      <c r="I523">
        <v>5449</v>
      </c>
      <c r="J523">
        <v>-5567</v>
      </c>
      <c r="K523" t="s">
        <v>54</v>
      </c>
      <c r="L523">
        <v>7</v>
      </c>
      <c r="M523" t="str">
        <f t="shared" si="8"/>
        <v>6-12 Months</v>
      </c>
      <c r="N523" s="1">
        <v>45108</v>
      </c>
      <c r="O523">
        <v>0</v>
      </c>
      <c r="P523">
        <v>522</v>
      </c>
      <c r="Q523" s="2">
        <v>-1.1200000000000001</v>
      </c>
      <c r="R523" t="s">
        <v>22</v>
      </c>
      <c r="S523">
        <v>2023</v>
      </c>
      <c r="T523" t="s">
        <v>44</v>
      </c>
    </row>
    <row r="524" spans="1:20" x14ac:dyDescent="0.3">
      <c r="A524">
        <v>899</v>
      </c>
      <c r="B524">
        <v>107</v>
      </c>
      <c r="C524" t="s">
        <v>39</v>
      </c>
      <c r="D524" t="s">
        <v>19</v>
      </c>
      <c r="E524" t="s">
        <v>20</v>
      </c>
      <c r="F524" s="1">
        <v>44750</v>
      </c>
      <c r="G524" s="1">
        <v>44980</v>
      </c>
      <c r="H524">
        <v>1308</v>
      </c>
      <c r="I524">
        <v>2336</v>
      </c>
      <c r="J524">
        <v>-1028</v>
      </c>
      <c r="K524" t="s">
        <v>35</v>
      </c>
      <c r="L524">
        <v>7</v>
      </c>
      <c r="M524" t="str">
        <f t="shared" si="8"/>
        <v>6-12 Months</v>
      </c>
      <c r="N524" s="1">
        <v>44980</v>
      </c>
      <c r="O524">
        <v>1</v>
      </c>
      <c r="P524">
        <v>523</v>
      </c>
      <c r="Q524" s="2">
        <v>-0.79</v>
      </c>
      <c r="R524" t="s">
        <v>27</v>
      </c>
      <c r="S524">
        <v>2023</v>
      </c>
      <c r="T524" t="s">
        <v>43</v>
      </c>
    </row>
    <row r="525" spans="1:20" hidden="1" x14ac:dyDescent="0.3">
      <c r="A525">
        <v>900</v>
      </c>
      <c r="B525">
        <v>472</v>
      </c>
      <c r="C525" t="s">
        <v>45</v>
      </c>
      <c r="D525" t="s">
        <v>34</v>
      </c>
      <c r="E525" t="s">
        <v>26</v>
      </c>
      <c r="F525" s="1">
        <v>44793</v>
      </c>
      <c r="G525" s="1">
        <v>44972</v>
      </c>
      <c r="H525">
        <v>5828</v>
      </c>
      <c r="I525">
        <v>4283</v>
      </c>
      <c r="J525">
        <v>1545</v>
      </c>
      <c r="K525" t="s">
        <v>54</v>
      </c>
      <c r="L525">
        <v>5</v>
      </c>
      <c r="M525" t="str">
        <f t="shared" si="8"/>
        <v>0-6 Months</v>
      </c>
      <c r="N525" s="1">
        <v>44972</v>
      </c>
      <c r="O525">
        <v>1</v>
      </c>
      <c r="P525">
        <v>524</v>
      </c>
      <c r="Q525" s="2">
        <v>0.27</v>
      </c>
      <c r="R525" t="s">
        <v>27</v>
      </c>
      <c r="S525">
        <v>2023</v>
      </c>
      <c r="T525" t="s">
        <v>43</v>
      </c>
    </row>
    <row r="526" spans="1:20" x14ac:dyDescent="0.3">
      <c r="A526">
        <v>903</v>
      </c>
      <c r="B526">
        <v>494</v>
      </c>
      <c r="C526" t="s">
        <v>39</v>
      </c>
      <c r="D526" t="s">
        <v>19</v>
      </c>
      <c r="E526" t="s">
        <v>20</v>
      </c>
      <c r="F526" s="1">
        <v>44899</v>
      </c>
      <c r="G526" s="1">
        <v>45217</v>
      </c>
      <c r="H526">
        <v>1433</v>
      </c>
      <c r="I526">
        <v>2321</v>
      </c>
      <c r="J526">
        <v>-888</v>
      </c>
      <c r="K526" t="s">
        <v>35</v>
      </c>
      <c r="L526">
        <v>10</v>
      </c>
      <c r="M526" t="str">
        <f t="shared" si="8"/>
        <v>6-12 Months</v>
      </c>
      <c r="N526" s="1">
        <v>45217</v>
      </c>
      <c r="O526">
        <v>0</v>
      </c>
      <c r="P526">
        <v>525</v>
      </c>
      <c r="Q526" s="2">
        <v>-0.62</v>
      </c>
      <c r="R526" t="s">
        <v>27</v>
      </c>
      <c r="S526">
        <v>2023</v>
      </c>
      <c r="T526" t="s">
        <v>33</v>
      </c>
    </row>
    <row r="527" spans="1:20" hidden="1" x14ac:dyDescent="0.3">
      <c r="A527">
        <v>904</v>
      </c>
      <c r="B527">
        <v>204</v>
      </c>
      <c r="C527" t="s">
        <v>39</v>
      </c>
      <c r="D527" t="s">
        <v>29</v>
      </c>
      <c r="E527" t="s">
        <v>37</v>
      </c>
      <c r="F527" s="1">
        <v>44846</v>
      </c>
      <c r="G527" s="1">
        <v>45318</v>
      </c>
      <c r="H527">
        <v>4866</v>
      </c>
      <c r="I527">
        <v>3377</v>
      </c>
      <c r="J527">
        <v>1489</v>
      </c>
      <c r="K527" t="s">
        <v>54</v>
      </c>
      <c r="L527">
        <v>15</v>
      </c>
      <c r="M527" t="str">
        <f t="shared" si="8"/>
        <v>6-12 Months</v>
      </c>
      <c r="N527" s="1">
        <v>45318</v>
      </c>
      <c r="O527">
        <v>0</v>
      </c>
      <c r="P527">
        <v>526</v>
      </c>
      <c r="Q527" s="2">
        <v>0.31</v>
      </c>
      <c r="R527" t="s">
        <v>27</v>
      </c>
      <c r="S527">
        <v>2024</v>
      </c>
      <c r="T527" t="s">
        <v>23</v>
      </c>
    </row>
    <row r="528" spans="1:20" hidden="1" x14ac:dyDescent="0.3">
      <c r="A528">
        <v>906</v>
      </c>
      <c r="B528">
        <v>248</v>
      </c>
      <c r="C528" t="s">
        <v>40</v>
      </c>
      <c r="D528" t="s">
        <v>34</v>
      </c>
      <c r="E528" t="s">
        <v>26</v>
      </c>
      <c r="F528" s="1">
        <v>44691</v>
      </c>
      <c r="G528" s="1">
        <v>44749</v>
      </c>
      <c r="H528">
        <v>7827</v>
      </c>
      <c r="I528">
        <v>5567</v>
      </c>
      <c r="J528">
        <v>2260</v>
      </c>
      <c r="K528" t="s">
        <v>54</v>
      </c>
      <c r="L528">
        <v>1</v>
      </c>
      <c r="M528" t="str">
        <f t="shared" si="8"/>
        <v>0-6 Months</v>
      </c>
      <c r="N528" s="1">
        <v>44749</v>
      </c>
      <c r="O528">
        <v>0</v>
      </c>
      <c r="P528">
        <v>527</v>
      </c>
      <c r="Q528" s="2">
        <v>0.28999999999999998</v>
      </c>
      <c r="R528" t="s">
        <v>27</v>
      </c>
      <c r="S528">
        <v>2022</v>
      </c>
      <c r="T528" t="s">
        <v>44</v>
      </c>
    </row>
    <row r="529" spans="1:20" x14ac:dyDescent="0.3">
      <c r="A529">
        <v>912</v>
      </c>
      <c r="B529">
        <v>139</v>
      </c>
      <c r="C529" t="s">
        <v>45</v>
      </c>
      <c r="D529" t="s">
        <v>25</v>
      </c>
      <c r="E529" t="s">
        <v>26</v>
      </c>
      <c r="F529" s="1">
        <v>44779</v>
      </c>
      <c r="G529" s="1">
        <v>45336</v>
      </c>
      <c r="H529">
        <v>7374</v>
      </c>
      <c r="I529">
        <v>5518</v>
      </c>
      <c r="J529">
        <v>1856</v>
      </c>
      <c r="K529" t="s">
        <v>35</v>
      </c>
      <c r="L529">
        <v>18</v>
      </c>
      <c r="M529" t="str">
        <f t="shared" si="8"/>
        <v>6-12 Months</v>
      </c>
      <c r="N529" s="1">
        <v>45336</v>
      </c>
      <c r="O529">
        <v>0</v>
      </c>
      <c r="P529">
        <v>528</v>
      </c>
      <c r="Q529" s="2">
        <v>0.25</v>
      </c>
      <c r="R529" t="s">
        <v>27</v>
      </c>
      <c r="S529">
        <v>2024</v>
      </c>
      <c r="T529" t="s">
        <v>43</v>
      </c>
    </row>
    <row r="530" spans="1:20" hidden="1" x14ac:dyDescent="0.3">
      <c r="A530">
        <v>913</v>
      </c>
      <c r="B530">
        <v>435</v>
      </c>
      <c r="C530" t="s">
        <v>45</v>
      </c>
      <c r="D530" t="s">
        <v>34</v>
      </c>
      <c r="E530" t="s">
        <v>20</v>
      </c>
      <c r="F530" s="1">
        <v>44873</v>
      </c>
      <c r="G530" s="1">
        <v>45025</v>
      </c>
      <c r="H530">
        <v>1033</v>
      </c>
      <c r="I530">
        <v>6397</v>
      </c>
      <c r="J530">
        <v>-5364</v>
      </c>
      <c r="K530" t="s">
        <v>54</v>
      </c>
      <c r="L530">
        <v>5</v>
      </c>
      <c r="M530" t="str">
        <f t="shared" si="8"/>
        <v>0-6 Months</v>
      </c>
      <c r="N530" s="1">
        <v>45025</v>
      </c>
      <c r="O530">
        <v>0</v>
      </c>
      <c r="P530">
        <v>529</v>
      </c>
      <c r="Q530" s="2">
        <v>-5.19</v>
      </c>
      <c r="R530" t="s">
        <v>22</v>
      </c>
      <c r="S530">
        <v>2023</v>
      </c>
      <c r="T530" t="s">
        <v>32</v>
      </c>
    </row>
    <row r="531" spans="1:20" hidden="1" x14ac:dyDescent="0.3">
      <c r="A531">
        <v>915</v>
      </c>
      <c r="B531">
        <v>198</v>
      </c>
      <c r="C531" t="s">
        <v>39</v>
      </c>
      <c r="D531" t="s">
        <v>34</v>
      </c>
      <c r="E531" t="s">
        <v>20</v>
      </c>
      <c r="F531" s="1">
        <v>44825</v>
      </c>
      <c r="G531" s="1">
        <v>45038</v>
      </c>
      <c r="H531">
        <v>4967.93</v>
      </c>
      <c r="I531">
        <v>7064</v>
      </c>
      <c r="J531">
        <v>-7193</v>
      </c>
      <c r="K531" t="s">
        <v>54</v>
      </c>
      <c r="L531">
        <v>7</v>
      </c>
      <c r="M531" t="str">
        <f t="shared" si="8"/>
        <v>6-12 Months</v>
      </c>
      <c r="N531" s="1">
        <v>45038</v>
      </c>
      <c r="O531">
        <v>0</v>
      </c>
      <c r="P531">
        <v>530</v>
      </c>
      <c r="Q531" s="2">
        <v>-1.45</v>
      </c>
      <c r="R531" t="s">
        <v>22</v>
      </c>
      <c r="S531">
        <v>2023</v>
      </c>
      <c r="T531" t="s">
        <v>32</v>
      </c>
    </row>
    <row r="532" spans="1:20" hidden="1" x14ac:dyDescent="0.3">
      <c r="A532">
        <v>917</v>
      </c>
      <c r="B532">
        <v>189</v>
      </c>
      <c r="C532" t="s">
        <v>24</v>
      </c>
      <c r="D532" t="s">
        <v>34</v>
      </c>
      <c r="E532" t="s">
        <v>20</v>
      </c>
      <c r="F532" s="1">
        <v>44636</v>
      </c>
      <c r="G532" s="1">
        <v>44678</v>
      </c>
      <c r="H532">
        <v>4701</v>
      </c>
      <c r="I532">
        <v>3224</v>
      </c>
      <c r="J532">
        <v>1477</v>
      </c>
      <c r="K532" t="s">
        <v>21</v>
      </c>
      <c r="L532">
        <v>1</v>
      </c>
      <c r="M532" t="str">
        <f t="shared" si="8"/>
        <v>0-6 Months</v>
      </c>
      <c r="N532" s="1">
        <v>44678</v>
      </c>
      <c r="O532">
        <v>1</v>
      </c>
      <c r="P532">
        <v>531</v>
      </c>
      <c r="Q532" s="2">
        <v>0.31</v>
      </c>
      <c r="R532" t="s">
        <v>27</v>
      </c>
      <c r="S532">
        <v>2022</v>
      </c>
      <c r="T532" t="s">
        <v>32</v>
      </c>
    </row>
    <row r="533" spans="1:20" hidden="1" x14ac:dyDescent="0.3">
      <c r="A533">
        <v>919</v>
      </c>
      <c r="B533">
        <v>103</v>
      </c>
      <c r="C533" t="s">
        <v>24</v>
      </c>
      <c r="D533" t="s">
        <v>34</v>
      </c>
      <c r="E533" t="s">
        <v>20</v>
      </c>
      <c r="F533" s="1">
        <v>44915</v>
      </c>
      <c r="G533" s="1">
        <v>45507</v>
      </c>
      <c r="H533">
        <v>2449</v>
      </c>
      <c r="I533">
        <v>2461</v>
      </c>
      <c r="J533">
        <v>-12</v>
      </c>
      <c r="K533" t="s">
        <v>54</v>
      </c>
      <c r="L533">
        <v>19</v>
      </c>
      <c r="M533" t="str">
        <f t="shared" si="8"/>
        <v>6-12 Months</v>
      </c>
      <c r="N533" s="1">
        <v>45507</v>
      </c>
      <c r="O533">
        <v>1</v>
      </c>
      <c r="P533">
        <v>532</v>
      </c>
      <c r="Q533" s="2">
        <v>0</v>
      </c>
      <c r="R533" t="s">
        <v>27</v>
      </c>
      <c r="S533">
        <v>2024</v>
      </c>
      <c r="T533" t="s">
        <v>36</v>
      </c>
    </row>
    <row r="534" spans="1:20" hidden="1" x14ac:dyDescent="0.3">
      <c r="A534">
        <v>920</v>
      </c>
      <c r="B534">
        <v>412</v>
      </c>
      <c r="C534" t="s">
        <v>24</v>
      </c>
      <c r="D534" t="s">
        <v>25</v>
      </c>
      <c r="E534" t="s">
        <v>26</v>
      </c>
      <c r="F534" s="1">
        <v>44683</v>
      </c>
      <c r="G534" s="1">
        <v>44813</v>
      </c>
      <c r="H534">
        <v>5198</v>
      </c>
      <c r="I534">
        <v>484</v>
      </c>
      <c r="J534">
        <v>4714</v>
      </c>
      <c r="K534" t="s">
        <v>21</v>
      </c>
      <c r="L534">
        <v>4</v>
      </c>
      <c r="M534" t="str">
        <f t="shared" si="8"/>
        <v>0-6 Months</v>
      </c>
      <c r="N534" s="1">
        <v>44813</v>
      </c>
      <c r="O534">
        <v>1</v>
      </c>
      <c r="P534">
        <v>533</v>
      </c>
      <c r="Q534" s="2">
        <v>0.91</v>
      </c>
      <c r="R534" t="s">
        <v>27</v>
      </c>
      <c r="S534">
        <v>2022</v>
      </c>
      <c r="T534" t="s">
        <v>30</v>
      </c>
    </row>
    <row r="535" spans="1:20" x14ac:dyDescent="0.3">
      <c r="A535">
        <v>921</v>
      </c>
      <c r="B535">
        <v>495</v>
      </c>
      <c r="C535" t="s">
        <v>45</v>
      </c>
      <c r="D535" t="s">
        <v>29</v>
      </c>
      <c r="E535" t="s">
        <v>26</v>
      </c>
      <c r="F535" s="1">
        <v>44632</v>
      </c>
      <c r="G535" s="1">
        <v>44869</v>
      </c>
      <c r="H535">
        <v>3523</v>
      </c>
      <c r="I535">
        <v>3382</v>
      </c>
      <c r="J535">
        <v>141</v>
      </c>
      <c r="K535" t="s">
        <v>35</v>
      </c>
      <c r="L535">
        <v>7</v>
      </c>
      <c r="M535" t="str">
        <f t="shared" si="8"/>
        <v>6-12 Months</v>
      </c>
      <c r="N535" s="1">
        <v>44869</v>
      </c>
      <c r="O535">
        <v>1</v>
      </c>
      <c r="P535">
        <v>534</v>
      </c>
      <c r="Q535" s="2">
        <v>0.04</v>
      </c>
      <c r="R535" t="s">
        <v>27</v>
      </c>
      <c r="S535">
        <v>2022</v>
      </c>
      <c r="T535" t="s">
        <v>42</v>
      </c>
    </row>
    <row r="536" spans="1:20" hidden="1" x14ac:dyDescent="0.3">
      <c r="A536">
        <v>923</v>
      </c>
      <c r="B536">
        <v>209</v>
      </c>
      <c r="C536" t="s">
        <v>24</v>
      </c>
      <c r="D536" t="s">
        <v>34</v>
      </c>
      <c r="E536" t="s">
        <v>20</v>
      </c>
      <c r="F536" s="1">
        <v>44906</v>
      </c>
      <c r="G536" s="1">
        <v>45464</v>
      </c>
      <c r="H536">
        <v>178</v>
      </c>
      <c r="I536">
        <v>1297</v>
      </c>
      <c r="J536">
        <v>-1119</v>
      </c>
      <c r="K536" t="s">
        <v>21</v>
      </c>
      <c r="L536">
        <v>18</v>
      </c>
      <c r="M536" t="str">
        <f t="shared" si="8"/>
        <v>6-12 Months</v>
      </c>
      <c r="N536" s="1">
        <v>45464</v>
      </c>
      <c r="O536">
        <v>0</v>
      </c>
      <c r="P536">
        <v>535</v>
      </c>
      <c r="Q536" s="2">
        <v>-6.29</v>
      </c>
      <c r="R536" t="s">
        <v>22</v>
      </c>
      <c r="S536">
        <v>2024</v>
      </c>
      <c r="T536" t="s">
        <v>41</v>
      </c>
    </row>
    <row r="537" spans="1:20" x14ac:dyDescent="0.3">
      <c r="A537">
        <v>924</v>
      </c>
      <c r="B537">
        <v>449</v>
      </c>
      <c r="C537" t="s">
        <v>53</v>
      </c>
      <c r="D537" t="s">
        <v>34</v>
      </c>
      <c r="E537" t="s">
        <v>37</v>
      </c>
      <c r="F537" s="1">
        <v>44672</v>
      </c>
      <c r="G537" s="1">
        <v>45030</v>
      </c>
      <c r="H537">
        <v>5511</v>
      </c>
      <c r="I537">
        <v>2149</v>
      </c>
      <c r="J537">
        <v>3362</v>
      </c>
      <c r="K537" t="s">
        <v>35</v>
      </c>
      <c r="L537">
        <v>11</v>
      </c>
      <c r="M537" t="str">
        <f t="shared" si="8"/>
        <v>6-12 Months</v>
      </c>
      <c r="N537" s="1">
        <v>45030</v>
      </c>
      <c r="O537">
        <v>1</v>
      </c>
      <c r="P537">
        <v>536</v>
      </c>
      <c r="Q537" s="2">
        <v>0.61</v>
      </c>
      <c r="R537" t="s">
        <v>27</v>
      </c>
      <c r="S537">
        <v>2023</v>
      </c>
      <c r="T537" t="s">
        <v>32</v>
      </c>
    </row>
    <row r="538" spans="1:20" hidden="1" x14ac:dyDescent="0.3">
      <c r="A538">
        <v>925</v>
      </c>
      <c r="B538">
        <v>319</v>
      </c>
      <c r="C538" t="s">
        <v>53</v>
      </c>
      <c r="D538" t="s">
        <v>19</v>
      </c>
      <c r="E538" t="s">
        <v>26</v>
      </c>
      <c r="F538" s="1">
        <v>44698</v>
      </c>
      <c r="G538" s="1">
        <v>45089</v>
      </c>
      <c r="H538">
        <v>4967.93</v>
      </c>
      <c r="I538">
        <v>3623</v>
      </c>
      <c r="J538">
        <v>-4785</v>
      </c>
      <c r="K538" t="s">
        <v>54</v>
      </c>
      <c r="L538">
        <v>12</v>
      </c>
      <c r="M538" t="str">
        <f t="shared" si="8"/>
        <v>6-12 Months</v>
      </c>
      <c r="N538" s="1">
        <v>45089</v>
      </c>
      <c r="O538">
        <v>0</v>
      </c>
      <c r="P538">
        <v>537</v>
      </c>
      <c r="Q538" s="2">
        <v>-0.96</v>
      </c>
      <c r="R538" t="s">
        <v>27</v>
      </c>
      <c r="S538">
        <v>2023</v>
      </c>
      <c r="T538" t="s">
        <v>41</v>
      </c>
    </row>
    <row r="539" spans="1:20" hidden="1" x14ac:dyDescent="0.3">
      <c r="A539">
        <v>926</v>
      </c>
      <c r="B539">
        <v>247</v>
      </c>
      <c r="C539" t="s">
        <v>40</v>
      </c>
      <c r="D539" t="s">
        <v>25</v>
      </c>
      <c r="E539" t="s">
        <v>37</v>
      </c>
      <c r="F539" s="1">
        <v>44708</v>
      </c>
      <c r="G539" s="1">
        <v>45098</v>
      </c>
      <c r="H539">
        <v>1989</v>
      </c>
      <c r="I539">
        <v>2494</v>
      </c>
      <c r="J539">
        <v>-505</v>
      </c>
      <c r="K539" t="s">
        <v>54</v>
      </c>
      <c r="L539">
        <v>12</v>
      </c>
      <c r="M539" t="str">
        <f t="shared" si="8"/>
        <v>6-12 Months</v>
      </c>
      <c r="N539" s="1">
        <v>45098</v>
      </c>
      <c r="O539">
        <v>0</v>
      </c>
      <c r="P539">
        <v>538</v>
      </c>
      <c r="Q539" s="2">
        <v>-0.25</v>
      </c>
      <c r="R539" t="s">
        <v>27</v>
      </c>
      <c r="S539">
        <v>2023</v>
      </c>
      <c r="T539" t="s">
        <v>41</v>
      </c>
    </row>
    <row r="540" spans="1:20" hidden="1" x14ac:dyDescent="0.3">
      <c r="A540">
        <v>927</v>
      </c>
      <c r="B540">
        <v>228</v>
      </c>
      <c r="C540" t="s">
        <v>39</v>
      </c>
      <c r="D540" t="s">
        <v>25</v>
      </c>
      <c r="E540" t="s">
        <v>20</v>
      </c>
      <c r="F540" s="1">
        <v>44846</v>
      </c>
      <c r="G540" s="1">
        <v>45342</v>
      </c>
      <c r="H540">
        <v>7037</v>
      </c>
      <c r="I540">
        <v>5008</v>
      </c>
      <c r="J540">
        <v>2029</v>
      </c>
      <c r="K540" t="s">
        <v>54</v>
      </c>
      <c r="L540">
        <v>16</v>
      </c>
      <c r="M540" t="str">
        <f t="shared" si="8"/>
        <v>6-12 Months</v>
      </c>
      <c r="N540" s="1">
        <v>45342</v>
      </c>
      <c r="O540">
        <v>0</v>
      </c>
      <c r="P540">
        <v>539</v>
      </c>
      <c r="Q540" s="2">
        <v>0.28999999999999998</v>
      </c>
      <c r="R540" t="s">
        <v>27</v>
      </c>
      <c r="S540">
        <v>2024</v>
      </c>
      <c r="T540" t="s">
        <v>43</v>
      </c>
    </row>
    <row r="541" spans="1:20" hidden="1" x14ac:dyDescent="0.3">
      <c r="A541">
        <v>928</v>
      </c>
      <c r="B541">
        <v>250</v>
      </c>
      <c r="C541" t="s">
        <v>40</v>
      </c>
      <c r="D541" t="s">
        <v>34</v>
      </c>
      <c r="E541" t="s">
        <v>26</v>
      </c>
      <c r="F541" s="1">
        <v>44759</v>
      </c>
      <c r="G541" s="1">
        <v>44909</v>
      </c>
      <c r="H541">
        <v>4967.93</v>
      </c>
      <c r="I541">
        <v>6961</v>
      </c>
      <c r="J541">
        <v>-8619</v>
      </c>
      <c r="K541" t="s">
        <v>21</v>
      </c>
      <c r="L541">
        <v>4</v>
      </c>
      <c r="M541" t="str">
        <f t="shared" si="8"/>
        <v>0-6 Months</v>
      </c>
      <c r="N541" s="1">
        <v>44909</v>
      </c>
      <c r="O541">
        <v>1</v>
      </c>
      <c r="P541">
        <v>540</v>
      </c>
      <c r="Q541" s="2">
        <v>-1.73</v>
      </c>
      <c r="R541" t="s">
        <v>22</v>
      </c>
      <c r="S541">
        <v>2022</v>
      </c>
      <c r="T541" t="s">
        <v>31</v>
      </c>
    </row>
    <row r="542" spans="1:20" x14ac:dyDescent="0.3">
      <c r="A542">
        <v>929</v>
      </c>
      <c r="B542">
        <v>401</v>
      </c>
      <c r="C542" t="s">
        <v>39</v>
      </c>
      <c r="D542" t="s">
        <v>25</v>
      </c>
      <c r="E542" t="s">
        <v>20</v>
      </c>
      <c r="F542" s="1">
        <v>44897</v>
      </c>
      <c r="G542" s="1">
        <v>45492</v>
      </c>
      <c r="H542">
        <v>4650</v>
      </c>
      <c r="I542">
        <v>3372</v>
      </c>
      <c r="J542">
        <v>1278</v>
      </c>
      <c r="K542" t="s">
        <v>35</v>
      </c>
      <c r="L542">
        <v>19</v>
      </c>
      <c r="M542" t="str">
        <f t="shared" si="8"/>
        <v>6-12 Months</v>
      </c>
      <c r="N542" s="1">
        <v>45492</v>
      </c>
      <c r="O542">
        <v>0</v>
      </c>
      <c r="P542">
        <v>541</v>
      </c>
      <c r="Q542" s="2">
        <v>0.27</v>
      </c>
      <c r="R542" t="s">
        <v>27</v>
      </c>
      <c r="S542">
        <v>2024</v>
      </c>
      <c r="T542" t="s">
        <v>44</v>
      </c>
    </row>
    <row r="543" spans="1:20" hidden="1" x14ac:dyDescent="0.3">
      <c r="A543">
        <v>930</v>
      </c>
      <c r="B543">
        <v>124</v>
      </c>
      <c r="C543" t="s">
        <v>40</v>
      </c>
      <c r="D543" t="s">
        <v>19</v>
      </c>
      <c r="E543" t="s">
        <v>37</v>
      </c>
      <c r="F543" s="1">
        <v>44917</v>
      </c>
      <c r="G543" s="1">
        <v>45310</v>
      </c>
      <c r="H543">
        <v>4931</v>
      </c>
      <c r="I543">
        <v>4012.75</v>
      </c>
      <c r="J543">
        <v>5350</v>
      </c>
      <c r="K543" t="s">
        <v>54</v>
      </c>
      <c r="L543">
        <v>12</v>
      </c>
      <c r="M543" t="str">
        <f t="shared" si="8"/>
        <v>6-12 Months</v>
      </c>
      <c r="N543" s="1">
        <v>45310</v>
      </c>
      <c r="O543">
        <v>1</v>
      </c>
      <c r="P543">
        <v>542</v>
      </c>
      <c r="Q543" s="2">
        <v>1.08</v>
      </c>
      <c r="R543" t="s">
        <v>22</v>
      </c>
      <c r="S543">
        <v>2024</v>
      </c>
      <c r="T543" t="s">
        <v>23</v>
      </c>
    </row>
    <row r="544" spans="1:20" hidden="1" x14ac:dyDescent="0.3">
      <c r="A544">
        <v>932</v>
      </c>
      <c r="B544">
        <v>411</v>
      </c>
      <c r="C544" t="s">
        <v>40</v>
      </c>
      <c r="D544" t="s">
        <v>25</v>
      </c>
      <c r="E544" t="s">
        <v>20</v>
      </c>
      <c r="F544" s="1">
        <v>44779</v>
      </c>
      <c r="G544" s="1">
        <v>44810</v>
      </c>
      <c r="H544">
        <v>4967.93</v>
      </c>
      <c r="I544">
        <v>6661</v>
      </c>
      <c r="J544">
        <v>-8429</v>
      </c>
      <c r="K544" t="s">
        <v>54</v>
      </c>
      <c r="L544">
        <v>1</v>
      </c>
      <c r="M544" t="str">
        <f t="shared" si="8"/>
        <v>0-6 Months</v>
      </c>
      <c r="N544" s="1">
        <v>44810</v>
      </c>
      <c r="O544">
        <v>1</v>
      </c>
      <c r="P544">
        <v>543</v>
      </c>
      <c r="Q544" s="2">
        <v>-1.7</v>
      </c>
      <c r="R544" t="s">
        <v>22</v>
      </c>
      <c r="S544">
        <v>2022</v>
      </c>
      <c r="T544" t="s">
        <v>30</v>
      </c>
    </row>
    <row r="545" spans="1:20" hidden="1" x14ac:dyDescent="0.3">
      <c r="A545">
        <v>933</v>
      </c>
      <c r="B545">
        <v>343</v>
      </c>
      <c r="C545" t="s">
        <v>53</v>
      </c>
      <c r="D545" t="s">
        <v>29</v>
      </c>
      <c r="E545" t="s">
        <v>37</v>
      </c>
      <c r="F545" s="1">
        <v>44917</v>
      </c>
      <c r="G545" s="1">
        <v>45114</v>
      </c>
      <c r="H545">
        <v>3739</v>
      </c>
      <c r="I545">
        <v>4012.75</v>
      </c>
      <c r="J545">
        <v>4690</v>
      </c>
      <c r="K545" t="s">
        <v>54</v>
      </c>
      <c r="L545">
        <v>6</v>
      </c>
      <c r="M545" t="str">
        <f t="shared" si="8"/>
        <v>12+ Months</v>
      </c>
      <c r="N545" s="1">
        <v>45114</v>
      </c>
      <c r="O545">
        <v>0</v>
      </c>
      <c r="P545">
        <v>544</v>
      </c>
      <c r="Q545" s="2">
        <v>1.25</v>
      </c>
      <c r="R545" t="s">
        <v>22</v>
      </c>
      <c r="S545">
        <v>2023</v>
      </c>
      <c r="T545" t="s">
        <v>44</v>
      </c>
    </row>
    <row r="546" spans="1:20" x14ac:dyDescent="0.3">
      <c r="A546">
        <v>934</v>
      </c>
      <c r="B546">
        <v>442</v>
      </c>
      <c r="C546" t="s">
        <v>39</v>
      </c>
      <c r="D546" t="s">
        <v>34</v>
      </c>
      <c r="E546" t="s">
        <v>20</v>
      </c>
      <c r="F546" s="1">
        <v>44687</v>
      </c>
      <c r="G546" s="1">
        <v>45258</v>
      </c>
      <c r="H546">
        <v>7861</v>
      </c>
      <c r="I546">
        <v>4012.75</v>
      </c>
      <c r="J546">
        <v>8765</v>
      </c>
      <c r="K546" t="s">
        <v>35</v>
      </c>
      <c r="L546">
        <v>18</v>
      </c>
      <c r="M546" t="str">
        <f t="shared" si="8"/>
        <v>6-12 Months</v>
      </c>
      <c r="N546" s="1">
        <v>45258</v>
      </c>
      <c r="O546">
        <v>1</v>
      </c>
      <c r="P546">
        <v>545</v>
      </c>
      <c r="Q546" s="2">
        <v>1.1100000000000001</v>
      </c>
      <c r="R546" t="s">
        <v>22</v>
      </c>
      <c r="S546">
        <v>2023</v>
      </c>
      <c r="T546" t="s">
        <v>42</v>
      </c>
    </row>
    <row r="547" spans="1:20" x14ac:dyDescent="0.3">
      <c r="A547">
        <v>935</v>
      </c>
      <c r="B547">
        <v>444</v>
      </c>
      <c r="C547" t="s">
        <v>40</v>
      </c>
      <c r="D547" t="s">
        <v>19</v>
      </c>
      <c r="E547" t="s">
        <v>37</v>
      </c>
      <c r="F547" s="1">
        <v>44588</v>
      </c>
      <c r="G547" s="1">
        <v>44793</v>
      </c>
      <c r="H547">
        <v>8704</v>
      </c>
      <c r="I547">
        <v>1046</v>
      </c>
      <c r="J547">
        <v>7658</v>
      </c>
      <c r="K547" t="s">
        <v>35</v>
      </c>
      <c r="L547">
        <v>6</v>
      </c>
      <c r="M547" t="str">
        <f t="shared" si="8"/>
        <v>12+ Months</v>
      </c>
      <c r="N547" s="1">
        <v>44793</v>
      </c>
      <c r="O547">
        <v>0</v>
      </c>
      <c r="P547">
        <v>546</v>
      </c>
      <c r="Q547" s="2">
        <v>0.88</v>
      </c>
      <c r="R547" t="s">
        <v>27</v>
      </c>
      <c r="S547">
        <v>2022</v>
      </c>
      <c r="T547" t="s">
        <v>36</v>
      </c>
    </row>
    <row r="548" spans="1:20" hidden="1" x14ac:dyDescent="0.3">
      <c r="A548">
        <v>937</v>
      </c>
      <c r="B548">
        <v>197</v>
      </c>
      <c r="C548" t="s">
        <v>45</v>
      </c>
      <c r="D548" t="s">
        <v>25</v>
      </c>
      <c r="E548" t="s">
        <v>20</v>
      </c>
      <c r="F548" s="1">
        <v>44724</v>
      </c>
      <c r="G548" s="1">
        <v>44927</v>
      </c>
      <c r="H548">
        <v>4967.93</v>
      </c>
      <c r="I548">
        <v>1981</v>
      </c>
      <c r="J548">
        <v>-2241</v>
      </c>
      <c r="K548" t="s">
        <v>54</v>
      </c>
      <c r="L548">
        <v>6</v>
      </c>
      <c r="M548" t="str">
        <f t="shared" si="8"/>
        <v>12+ Months</v>
      </c>
      <c r="N548" s="1">
        <v>44927</v>
      </c>
      <c r="O548">
        <v>1</v>
      </c>
      <c r="P548">
        <v>547</v>
      </c>
      <c r="Q548" s="2">
        <v>-0.45</v>
      </c>
      <c r="R548" t="s">
        <v>27</v>
      </c>
      <c r="S548">
        <v>2023</v>
      </c>
      <c r="T548" t="s">
        <v>23</v>
      </c>
    </row>
    <row r="549" spans="1:20" x14ac:dyDescent="0.3">
      <c r="A549">
        <v>939</v>
      </c>
      <c r="B549">
        <v>100</v>
      </c>
      <c r="C549" t="s">
        <v>39</v>
      </c>
      <c r="D549" t="s">
        <v>34</v>
      </c>
      <c r="E549" t="s">
        <v>26</v>
      </c>
      <c r="F549" s="1">
        <v>44892</v>
      </c>
      <c r="G549" s="1">
        <v>44928</v>
      </c>
      <c r="H549">
        <v>3705</v>
      </c>
      <c r="I549">
        <v>3798</v>
      </c>
      <c r="J549">
        <v>-93</v>
      </c>
      <c r="K549" t="s">
        <v>35</v>
      </c>
      <c r="L549">
        <v>1</v>
      </c>
      <c r="M549" t="str">
        <f t="shared" si="8"/>
        <v>0-6 Months</v>
      </c>
      <c r="N549" s="1">
        <v>44928</v>
      </c>
      <c r="O549">
        <v>0</v>
      </c>
      <c r="P549">
        <v>548</v>
      </c>
      <c r="Q549" s="2">
        <v>-0.03</v>
      </c>
      <c r="R549" t="s">
        <v>27</v>
      </c>
      <c r="S549">
        <v>2023</v>
      </c>
      <c r="T549" t="s">
        <v>23</v>
      </c>
    </row>
    <row r="550" spans="1:20" hidden="1" x14ac:dyDescent="0.3">
      <c r="A550">
        <v>940</v>
      </c>
      <c r="B550">
        <v>325</v>
      </c>
      <c r="C550" t="s">
        <v>39</v>
      </c>
      <c r="D550" t="s">
        <v>34</v>
      </c>
      <c r="E550" t="s">
        <v>20</v>
      </c>
      <c r="F550" s="1">
        <v>44623</v>
      </c>
      <c r="G550" s="1">
        <v>45108</v>
      </c>
      <c r="H550">
        <v>5166</v>
      </c>
      <c r="I550">
        <v>5828</v>
      </c>
      <c r="J550">
        <v>-662</v>
      </c>
      <c r="K550" t="s">
        <v>21</v>
      </c>
      <c r="L550">
        <v>15</v>
      </c>
      <c r="M550" t="str">
        <f t="shared" si="8"/>
        <v>6-12 Months</v>
      </c>
      <c r="N550" s="1">
        <v>45108</v>
      </c>
      <c r="O550">
        <v>1</v>
      </c>
      <c r="P550">
        <v>549</v>
      </c>
      <c r="Q550" s="2">
        <v>-0.13</v>
      </c>
      <c r="R550" t="s">
        <v>27</v>
      </c>
      <c r="S550">
        <v>2023</v>
      </c>
      <c r="T550" t="s">
        <v>44</v>
      </c>
    </row>
    <row r="551" spans="1:20" hidden="1" x14ac:dyDescent="0.3">
      <c r="A551">
        <v>943</v>
      </c>
      <c r="B551">
        <v>299</v>
      </c>
      <c r="C551" t="s">
        <v>24</v>
      </c>
      <c r="D551" t="s">
        <v>34</v>
      </c>
      <c r="E551" t="s">
        <v>26</v>
      </c>
      <c r="F551" s="1">
        <v>44752</v>
      </c>
      <c r="G551" s="1">
        <v>45145</v>
      </c>
      <c r="H551">
        <v>5855</v>
      </c>
      <c r="I551">
        <v>5125</v>
      </c>
      <c r="J551">
        <v>730</v>
      </c>
      <c r="K551" t="s">
        <v>54</v>
      </c>
      <c r="L551">
        <v>12</v>
      </c>
      <c r="M551" t="str">
        <f t="shared" si="8"/>
        <v>6-12 Months</v>
      </c>
      <c r="N551" s="1">
        <v>45145</v>
      </c>
      <c r="O551">
        <v>1</v>
      </c>
      <c r="P551">
        <v>550</v>
      </c>
      <c r="Q551" s="2">
        <v>0.12</v>
      </c>
      <c r="R551" t="s">
        <v>27</v>
      </c>
      <c r="S551">
        <v>2023</v>
      </c>
      <c r="T551" t="s">
        <v>36</v>
      </c>
    </row>
    <row r="552" spans="1:20" hidden="1" x14ac:dyDescent="0.3">
      <c r="A552">
        <v>944</v>
      </c>
      <c r="B552">
        <v>474</v>
      </c>
      <c r="C552" t="s">
        <v>53</v>
      </c>
      <c r="D552" t="s">
        <v>34</v>
      </c>
      <c r="E552" t="s">
        <v>37</v>
      </c>
      <c r="F552" s="1">
        <v>44722</v>
      </c>
      <c r="G552" s="1">
        <v>45277</v>
      </c>
      <c r="H552">
        <v>1153</v>
      </c>
      <c r="I552">
        <v>2052</v>
      </c>
      <c r="J552">
        <v>-899</v>
      </c>
      <c r="K552" t="s">
        <v>21</v>
      </c>
      <c r="L552">
        <v>18</v>
      </c>
      <c r="M552" t="str">
        <f t="shared" si="8"/>
        <v>6-12 Months</v>
      </c>
      <c r="N552" s="1">
        <v>45277</v>
      </c>
      <c r="O552">
        <v>0</v>
      </c>
      <c r="P552">
        <v>551</v>
      </c>
      <c r="Q552" s="2">
        <v>-0.78</v>
      </c>
      <c r="R552" t="s">
        <v>27</v>
      </c>
      <c r="S552">
        <v>2023</v>
      </c>
      <c r="T552" t="s">
        <v>31</v>
      </c>
    </row>
    <row r="553" spans="1:20" x14ac:dyDescent="0.3">
      <c r="A553">
        <v>945</v>
      </c>
      <c r="B553">
        <v>360</v>
      </c>
      <c r="C553" t="s">
        <v>24</v>
      </c>
      <c r="D553" t="s">
        <v>25</v>
      </c>
      <c r="E553" t="s">
        <v>20</v>
      </c>
      <c r="F553" s="1">
        <v>44823</v>
      </c>
      <c r="G553" s="1">
        <v>45383</v>
      </c>
      <c r="H553">
        <v>8492</v>
      </c>
      <c r="I553">
        <v>1180</v>
      </c>
      <c r="J553">
        <v>7312</v>
      </c>
      <c r="K553" t="s">
        <v>35</v>
      </c>
      <c r="L553">
        <v>18</v>
      </c>
      <c r="M553" t="str">
        <f t="shared" si="8"/>
        <v>6-12 Months</v>
      </c>
      <c r="N553" s="1">
        <v>45383</v>
      </c>
      <c r="O553">
        <v>1</v>
      </c>
      <c r="P553">
        <v>552</v>
      </c>
      <c r="Q553" s="2">
        <v>0.86</v>
      </c>
      <c r="R553" t="s">
        <v>27</v>
      </c>
      <c r="S553">
        <v>2024</v>
      </c>
      <c r="T553" t="s">
        <v>32</v>
      </c>
    </row>
    <row r="554" spans="1:20" hidden="1" x14ac:dyDescent="0.3">
      <c r="A554">
        <v>947</v>
      </c>
      <c r="B554">
        <v>500</v>
      </c>
      <c r="C554" t="s">
        <v>53</v>
      </c>
      <c r="D554" t="s">
        <v>34</v>
      </c>
      <c r="E554" t="s">
        <v>37</v>
      </c>
      <c r="F554" s="1">
        <v>44626</v>
      </c>
      <c r="G554" s="1">
        <v>45068</v>
      </c>
      <c r="H554">
        <v>8875</v>
      </c>
      <c r="I554">
        <v>6942</v>
      </c>
      <c r="J554">
        <v>1933</v>
      </c>
      <c r="K554" t="s">
        <v>54</v>
      </c>
      <c r="L554">
        <v>14</v>
      </c>
      <c r="M554" t="str">
        <f t="shared" si="8"/>
        <v>6-12 Months</v>
      </c>
      <c r="N554" s="1">
        <v>45068</v>
      </c>
      <c r="O554">
        <v>1</v>
      </c>
      <c r="P554">
        <v>553</v>
      </c>
      <c r="Q554" s="2">
        <v>0.22</v>
      </c>
      <c r="R554" t="s">
        <v>27</v>
      </c>
      <c r="S554">
        <v>2023</v>
      </c>
      <c r="T554" t="s">
        <v>28</v>
      </c>
    </row>
    <row r="555" spans="1:20" x14ac:dyDescent="0.3">
      <c r="A555">
        <v>948</v>
      </c>
      <c r="B555">
        <v>170</v>
      </c>
      <c r="C555" t="s">
        <v>24</v>
      </c>
      <c r="D555" t="s">
        <v>29</v>
      </c>
      <c r="E555" t="s">
        <v>26</v>
      </c>
      <c r="F555" s="1">
        <v>44701</v>
      </c>
      <c r="G555" s="1">
        <v>44785</v>
      </c>
      <c r="H555">
        <v>6609</v>
      </c>
      <c r="I555">
        <v>6911</v>
      </c>
      <c r="J555">
        <v>-302</v>
      </c>
      <c r="K555" t="s">
        <v>35</v>
      </c>
      <c r="L555">
        <v>2</v>
      </c>
      <c r="M555" t="str">
        <f t="shared" si="8"/>
        <v>0-6 Months</v>
      </c>
      <c r="N555" s="1">
        <v>44785</v>
      </c>
      <c r="O555">
        <v>1</v>
      </c>
      <c r="P555">
        <v>554</v>
      </c>
      <c r="Q555" s="2">
        <v>-0.05</v>
      </c>
      <c r="R555" t="s">
        <v>27</v>
      </c>
      <c r="S555">
        <v>2022</v>
      </c>
      <c r="T555" t="s">
        <v>36</v>
      </c>
    </row>
    <row r="556" spans="1:20" hidden="1" x14ac:dyDescent="0.3">
      <c r="A556">
        <v>949</v>
      </c>
      <c r="B556">
        <v>330</v>
      </c>
      <c r="C556" t="s">
        <v>39</v>
      </c>
      <c r="D556" t="s">
        <v>19</v>
      </c>
      <c r="E556" t="s">
        <v>37</v>
      </c>
      <c r="F556" s="1">
        <v>44764</v>
      </c>
      <c r="G556" s="1">
        <v>45138</v>
      </c>
      <c r="H556">
        <v>8051</v>
      </c>
      <c r="I556">
        <v>7050</v>
      </c>
      <c r="J556">
        <v>1001</v>
      </c>
      <c r="K556" t="s">
        <v>54</v>
      </c>
      <c r="L556">
        <v>12</v>
      </c>
      <c r="M556" t="str">
        <f t="shared" si="8"/>
        <v>6-12 Months</v>
      </c>
      <c r="N556" s="1">
        <v>45138</v>
      </c>
      <c r="O556">
        <v>0</v>
      </c>
      <c r="P556">
        <v>555</v>
      </c>
      <c r="Q556" s="2">
        <v>0.12</v>
      </c>
      <c r="R556" t="s">
        <v>27</v>
      </c>
      <c r="S556">
        <v>2023</v>
      </c>
      <c r="T556" t="s">
        <v>44</v>
      </c>
    </row>
    <row r="557" spans="1:20" x14ac:dyDescent="0.3">
      <c r="A557">
        <v>950</v>
      </c>
      <c r="B557">
        <v>326</v>
      </c>
      <c r="C557" t="s">
        <v>39</v>
      </c>
      <c r="D557" t="s">
        <v>34</v>
      </c>
      <c r="E557" t="s">
        <v>26</v>
      </c>
      <c r="F557" s="1">
        <v>44796</v>
      </c>
      <c r="G557" s="1">
        <v>45056</v>
      </c>
      <c r="H557">
        <v>5686</v>
      </c>
      <c r="I557">
        <v>858</v>
      </c>
      <c r="J557">
        <v>4828</v>
      </c>
      <c r="K557" t="s">
        <v>35</v>
      </c>
      <c r="L557">
        <v>8</v>
      </c>
      <c r="M557" t="str">
        <f t="shared" si="8"/>
        <v>6-12 Months</v>
      </c>
      <c r="N557" s="1">
        <v>45056</v>
      </c>
      <c r="O557">
        <v>1</v>
      </c>
      <c r="P557">
        <v>556</v>
      </c>
      <c r="Q557" s="2">
        <v>0.85</v>
      </c>
      <c r="R557" t="s">
        <v>27</v>
      </c>
      <c r="S557">
        <v>2023</v>
      </c>
      <c r="T557" t="s">
        <v>28</v>
      </c>
    </row>
    <row r="558" spans="1:20" x14ac:dyDescent="0.3">
      <c r="A558">
        <v>952</v>
      </c>
      <c r="B558">
        <v>114</v>
      </c>
      <c r="C558" t="s">
        <v>40</v>
      </c>
      <c r="D558" t="s">
        <v>34</v>
      </c>
      <c r="E558" t="s">
        <v>37</v>
      </c>
      <c r="F558" s="1">
        <v>44601</v>
      </c>
      <c r="G558" s="1">
        <v>45064</v>
      </c>
      <c r="H558">
        <v>6099</v>
      </c>
      <c r="I558">
        <v>4956</v>
      </c>
      <c r="J558">
        <v>1143</v>
      </c>
      <c r="K558" t="s">
        <v>35</v>
      </c>
      <c r="L558">
        <v>15</v>
      </c>
      <c r="M558" t="str">
        <f t="shared" si="8"/>
        <v>6-12 Months</v>
      </c>
      <c r="N558" s="1">
        <v>45064</v>
      </c>
      <c r="O558">
        <v>0</v>
      </c>
      <c r="P558">
        <v>557</v>
      </c>
      <c r="Q558" s="2">
        <v>0.19</v>
      </c>
      <c r="R558" t="s">
        <v>27</v>
      </c>
      <c r="S558">
        <v>2023</v>
      </c>
      <c r="T558" t="s">
        <v>28</v>
      </c>
    </row>
    <row r="559" spans="1:20" x14ac:dyDescent="0.3">
      <c r="A559">
        <v>953</v>
      </c>
      <c r="B559">
        <v>405</v>
      </c>
      <c r="C559" t="s">
        <v>40</v>
      </c>
      <c r="D559" t="s">
        <v>25</v>
      </c>
      <c r="E559" t="s">
        <v>26</v>
      </c>
      <c r="F559" s="1">
        <v>44695</v>
      </c>
      <c r="G559" s="1">
        <v>44729</v>
      </c>
      <c r="H559">
        <v>4711</v>
      </c>
      <c r="I559">
        <v>2559</v>
      </c>
      <c r="J559">
        <v>2152</v>
      </c>
      <c r="K559" t="s">
        <v>35</v>
      </c>
      <c r="L559">
        <v>1</v>
      </c>
      <c r="M559" t="str">
        <f t="shared" si="8"/>
        <v>0-6 Months</v>
      </c>
      <c r="N559" s="1">
        <v>44729</v>
      </c>
      <c r="O559">
        <v>1</v>
      </c>
      <c r="P559">
        <v>558</v>
      </c>
      <c r="Q559" s="2">
        <v>0.46</v>
      </c>
      <c r="R559" t="s">
        <v>27</v>
      </c>
      <c r="S559">
        <v>2022</v>
      </c>
      <c r="T559" t="s">
        <v>41</v>
      </c>
    </row>
    <row r="560" spans="1:20" hidden="1" x14ac:dyDescent="0.3">
      <c r="A560">
        <v>955</v>
      </c>
      <c r="B560">
        <v>482</v>
      </c>
      <c r="C560" t="s">
        <v>53</v>
      </c>
      <c r="D560" t="s">
        <v>29</v>
      </c>
      <c r="E560" t="s">
        <v>26</v>
      </c>
      <c r="F560" s="1">
        <v>44749</v>
      </c>
      <c r="G560" s="1">
        <v>44940</v>
      </c>
      <c r="H560">
        <v>5848</v>
      </c>
      <c r="I560">
        <v>4012.75</v>
      </c>
      <c r="J560">
        <v>577.01</v>
      </c>
      <c r="K560" t="s">
        <v>54</v>
      </c>
      <c r="L560">
        <v>6</v>
      </c>
      <c r="M560" t="str">
        <f t="shared" si="8"/>
        <v>12+ Months</v>
      </c>
      <c r="N560" s="1">
        <v>44940</v>
      </c>
      <c r="O560">
        <v>0</v>
      </c>
      <c r="P560">
        <v>559</v>
      </c>
      <c r="Q560" s="2">
        <v>0.1</v>
      </c>
      <c r="R560" t="s">
        <v>27</v>
      </c>
      <c r="S560">
        <v>2023</v>
      </c>
      <c r="T560" t="s">
        <v>23</v>
      </c>
    </row>
    <row r="561" spans="1:20" hidden="1" x14ac:dyDescent="0.3">
      <c r="A561">
        <v>957</v>
      </c>
      <c r="B561">
        <v>443</v>
      </c>
      <c r="C561" t="s">
        <v>53</v>
      </c>
      <c r="D561" t="s">
        <v>29</v>
      </c>
      <c r="E561" t="s">
        <v>37</v>
      </c>
      <c r="F561" s="1">
        <v>44836</v>
      </c>
      <c r="G561" s="1">
        <v>44974</v>
      </c>
      <c r="H561">
        <v>4967.93</v>
      </c>
      <c r="I561">
        <v>1241</v>
      </c>
      <c r="J561">
        <v>-2801</v>
      </c>
      <c r="K561" t="s">
        <v>54</v>
      </c>
      <c r="L561">
        <v>4</v>
      </c>
      <c r="M561" t="str">
        <f t="shared" si="8"/>
        <v>0-6 Months</v>
      </c>
      <c r="N561" s="1">
        <v>44974</v>
      </c>
      <c r="O561">
        <v>0</v>
      </c>
      <c r="P561">
        <v>560</v>
      </c>
      <c r="Q561" s="2">
        <v>-0.56000000000000005</v>
      </c>
      <c r="R561" t="s">
        <v>27</v>
      </c>
      <c r="S561">
        <v>2023</v>
      </c>
      <c r="T561" t="s">
        <v>43</v>
      </c>
    </row>
    <row r="562" spans="1:20" x14ac:dyDescent="0.3">
      <c r="A562">
        <v>960</v>
      </c>
      <c r="B562">
        <v>115</v>
      </c>
      <c r="C562" t="s">
        <v>45</v>
      </c>
      <c r="D562" t="s">
        <v>29</v>
      </c>
      <c r="E562" t="s">
        <v>37</v>
      </c>
      <c r="F562" s="1">
        <v>44742</v>
      </c>
      <c r="G562" s="1">
        <v>45024</v>
      </c>
      <c r="H562">
        <v>8660</v>
      </c>
      <c r="I562">
        <v>6122</v>
      </c>
      <c r="J562">
        <v>2538</v>
      </c>
      <c r="K562" t="s">
        <v>35</v>
      </c>
      <c r="L562">
        <v>9</v>
      </c>
      <c r="M562" t="str">
        <f t="shared" si="8"/>
        <v>6-12 Months</v>
      </c>
      <c r="N562" s="1">
        <v>45024</v>
      </c>
      <c r="O562">
        <v>1</v>
      </c>
      <c r="P562">
        <v>561</v>
      </c>
      <c r="Q562" s="2">
        <v>0.28999999999999998</v>
      </c>
      <c r="R562" t="s">
        <v>27</v>
      </c>
      <c r="S562">
        <v>2023</v>
      </c>
      <c r="T562" t="s">
        <v>32</v>
      </c>
    </row>
    <row r="563" spans="1:20" x14ac:dyDescent="0.3">
      <c r="A563">
        <v>961</v>
      </c>
      <c r="B563">
        <v>269</v>
      </c>
      <c r="C563" t="s">
        <v>53</v>
      </c>
      <c r="D563" t="s">
        <v>19</v>
      </c>
      <c r="E563" t="s">
        <v>26</v>
      </c>
      <c r="F563" s="1">
        <v>44821</v>
      </c>
      <c r="G563" s="1">
        <v>45033</v>
      </c>
      <c r="H563">
        <v>3512</v>
      </c>
      <c r="I563">
        <v>2070</v>
      </c>
      <c r="J563">
        <v>577.01</v>
      </c>
      <c r="K563" t="s">
        <v>35</v>
      </c>
      <c r="L563">
        <v>7</v>
      </c>
      <c r="M563" t="str">
        <f t="shared" si="8"/>
        <v>6-12 Months</v>
      </c>
      <c r="N563" s="1">
        <v>45033</v>
      </c>
      <c r="O563">
        <v>0</v>
      </c>
      <c r="P563">
        <v>562</v>
      </c>
      <c r="Q563" s="2">
        <v>0.16</v>
      </c>
      <c r="R563" t="s">
        <v>27</v>
      </c>
      <c r="S563">
        <v>2023</v>
      </c>
      <c r="T563" t="s">
        <v>32</v>
      </c>
    </row>
    <row r="564" spans="1:20" hidden="1" x14ac:dyDescent="0.3">
      <c r="A564">
        <v>963</v>
      </c>
      <c r="B564">
        <v>383</v>
      </c>
      <c r="C564" t="s">
        <v>53</v>
      </c>
      <c r="D564" t="s">
        <v>25</v>
      </c>
      <c r="E564" t="s">
        <v>26</v>
      </c>
      <c r="F564" s="1">
        <v>44775</v>
      </c>
      <c r="G564" s="1">
        <v>45015</v>
      </c>
      <c r="H564">
        <v>3996</v>
      </c>
      <c r="I564">
        <v>212</v>
      </c>
      <c r="J564">
        <v>3784</v>
      </c>
      <c r="K564" t="s">
        <v>54</v>
      </c>
      <c r="L564">
        <v>7</v>
      </c>
      <c r="M564" t="str">
        <f t="shared" si="8"/>
        <v>6-12 Months</v>
      </c>
      <c r="N564" s="1">
        <v>45015</v>
      </c>
      <c r="O564">
        <v>0</v>
      </c>
      <c r="P564">
        <v>563</v>
      </c>
      <c r="Q564" s="2">
        <v>0.95</v>
      </c>
      <c r="R564" t="s">
        <v>27</v>
      </c>
      <c r="S564">
        <v>2023</v>
      </c>
      <c r="T564" t="s">
        <v>38</v>
      </c>
    </row>
    <row r="565" spans="1:20" hidden="1" x14ac:dyDescent="0.3">
      <c r="A565">
        <v>964</v>
      </c>
      <c r="B565">
        <v>389</v>
      </c>
      <c r="C565" t="s">
        <v>53</v>
      </c>
      <c r="D565" t="s">
        <v>29</v>
      </c>
      <c r="E565" t="s">
        <v>26</v>
      </c>
      <c r="F565" s="1">
        <v>44879</v>
      </c>
      <c r="G565" s="1">
        <v>45033</v>
      </c>
      <c r="H565">
        <v>8716</v>
      </c>
      <c r="I565">
        <v>2247</v>
      </c>
      <c r="J565">
        <v>577.01</v>
      </c>
      <c r="K565" t="s">
        <v>21</v>
      </c>
      <c r="L565">
        <v>5</v>
      </c>
      <c r="M565" t="str">
        <f t="shared" si="8"/>
        <v>0-6 Months</v>
      </c>
      <c r="N565" s="1">
        <v>45033</v>
      </c>
      <c r="O565">
        <v>0</v>
      </c>
      <c r="P565">
        <v>564</v>
      </c>
      <c r="Q565" s="2">
        <v>7.0000000000000007E-2</v>
      </c>
      <c r="R565" t="s">
        <v>27</v>
      </c>
      <c r="S565">
        <v>2023</v>
      </c>
      <c r="T565" t="s">
        <v>32</v>
      </c>
    </row>
    <row r="566" spans="1:20" x14ac:dyDescent="0.3">
      <c r="A566">
        <v>965</v>
      </c>
      <c r="B566">
        <v>401</v>
      </c>
      <c r="C566" t="s">
        <v>53</v>
      </c>
      <c r="D566" t="s">
        <v>34</v>
      </c>
      <c r="E566" t="s">
        <v>20</v>
      </c>
      <c r="F566" s="1">
        <v>44605</v>
      </c>
      <c r="G566" s="1">
        <v>44954</v>
      </c>
      <c r="H566">
        <v>1134</v>
      </c>
      <c r="I566">
        <v>4058</v>
      </c>
      <c r="J566">
        <v>-2924</v>
      </c>
      <c r="K566" t="s">
        <v>35</v>
      </c>
      <c r="L566">
        <v>11</v>
      </c>
      <c r="M566" t="str">
        <f t="shared" si="8"/>
        <v>6-12 Months</v>
      </c>
      <c r="N566" s="1">
        <v>44954</v>
      </c>
      <c r="O566">
        <v>0</v>
      </c>
      <c r="P566">
        <v>565</v>
      </c>
      <c r="Q566" s="2">
        <v>-2.58</v>
      </c>
      <c r="R566" t="s">
        <v>22</v>
      </c>
      <c r="S566">
        <v>2023</v>
      </c>
      <c r="T566" t="s">
        <v>23</v>
      </c>
    </row>
    <row r="567" spans="1:20" hidden="1" x14ac:dyDescent="0.3">
      <c r="A567">
        <v>966</v>
      </c>
      <c r="B567">
        <v>289</v>
      </c>
      <c r="C567" t="s">
        <v>24</v>
      </c>
      <c r="D567" t="s">
        <v>19</v>
      </c>
      <c r="E567" t="s">
        <v>20</v>
      </c>
      <c r="F567" s="1">
        <v>44597</v>
      </c>
      <c r="G567" s="1">
        <v>44742</v>
      </c>
      <c r="H567">
        <v>6895</v>
      </c>
      <c r="I567">
        <v>1387</v>
      </c>
      <c r="J567">
        <v>5508</v>
      </c>
      <c r="K567" t="s">
        <v>54</v>
      </c>
      <c r="L567">
        <v>4</v>
      </c>
      <c r="M567" t="str">
        <f t="shared" si="8"/>
        <v>0-6 Months</v>
      </c>
      <c r="N567" s="1">
        <v>44742</v>
      </c>
      <c r="O567">
        <v>1</v>
      </c>
      <c r="P567">
        <v>566</v>
      </c>
      <c r="Q567" s="2">
        <v>0.8</v>
      </c>
      <c r="R567" t="s">
        <v>27</v>
      </c>
      <c r="S567">
        <v>2022</v>
      </c>
      <c r="T567" t="s">
        <v>41</v>
      </c>
    </row>
    <row r="568" spans="1:20" x14ac:dyDescent="0.3">
      <c r="A568">
        <v>969</v>
      </c>
      <c r="B568">
        <v>457</v>
      </c>
      <c r="C568" t="s">
        <v>45</v>
      </c>
      <c r="D568" t="s">
        <v>25</v>
      </c>
      <c r="E568" t="s">
        <v>20</v>
      </c>
      <c r="F568" s="1">
        <v>44637</v>
      </c>
      <c r="G568" s="1">
        <v>45027</v>
      </c>
      <c r="H568">
        <v>4967.93</v>
      </c>
      <c r="I568">
        <v>4872</v>
      </c>
      <c r="J568">
        <v>-5077</v>
      </c>
      <c r="K568" t="s">
        <v>35</v>
      </c>
      <c r="L568">
        <v>12</v>
      </c>
      <c r="M568" t="str">
        <f t="shared" si="8"/>
        <v>6-12 Months</v>
      </c>
      <c r="N568" s="1">
        <v>45027</v>
      </c>
      <c r="O568">
        <v>0</v>
      </c>
      <c r="P568">
        <v>567</v>
      </c>
      <c r="Q568" s="2">
        <v>-1.02</v>
      </c>
      <c r="R568" t="s">
        <v>22</v>
      </c>
      <c r="S568">
        <v>2023</v>
      </c>
      <c r="T568" t="s">
        <v>32</v>
      </c>
    </row>
    <row r="569" spans="1:20" x14ac:dyDescent="0.3">
      <c r="A569">
        <v>970</v>
      </c>
      <c r="B569">
        <v>108</v>
      </c>
      <c r="C569" t="s">
        <v>45</v>
      </c>
      <c r="D569" t="s">
        <v>29</v>
      </c>
      <c r="E569" t="s">
        <v>26</v>
      </c>
      <c r="F569" s="1">
        <v>44687</v>
      </c>
      <c r="G569" s="1">
        <v>44960</v>
      </c>
      <c r="H569">
        <v>6518</v>
      </c>
      <c r="I569">
        <v>5105</v>
      </c>
      <c r="J569">
        <v>1413</v>
      </c>
      <c r="K569" t="s">
        <v>35</v>
      </c>
      <c r="L569">
        <v>8</v>
      </c>
      <c r="M569" t="str">
        <f t="shared" si="8"/>
        <v>6-12 Months</v>
      </c>
      <c r="N569" s="1">
        <v>44960</v>
      </c>
      <c r="O569">
        <v>1</v>
      </c>
      <c r="P569">
        <v>568</v>
      </c>
      <c r="Q569" s="2">
        <v>0.22</v>
      </c>
      <c r="R569" t="s">
        <v>27</v>
      </c>
      <c r="S569">
        <v>2023</v>
      </c>
      <c r="T569" t="s">
        <v>43</v>
      </c>
    </row>
    <row r="570" spans="1:20" hidden="1" x14ac:dyDescent="0.3">
      <c r="A570">
        <v>971</v>
      </c>
      <c r="B570">
        <v>393</v>
      </c>
      <c r="C570" t="s">
        <v>45</v>
      </c>
      <c r="D570" t="s">
        <v>25</v>
      </c>
      <c r="E570" t="s">
        <v>37</v>
      </c>
      <c r="F570" s="1">
        <v>44665</v>
      </c>
      <c r="G570" s="1">
        <v>45221</v>
      </c>
      <c r="H570">
        <v>4148</v>
      </c>
      <c r="I570">
        <v>950</v>
      </c>
      <c r="J570">
        <v>3198</v>
      </c>
      <c r="K570" t="s">
        <v>54</v>
      </c>
      <c r="L570">
        <v>18</v>
      </c>
      <c r="M570" t="str">
        <f t="shared" si="8"/>
        <v>6-12 Months</v>
      </c>
      <c r="N570" s="1">
        <v>45221</v>
      </c>
      <c r="O570">
        <v>0</v>
      </c>
      <c r="P570">
        <v>569</v>
      </c>
      <c r="Q570" s="2">
        <v>0.77</v>
      </c>
      <c r="R570" t="s">
        <v>27</v>
      </c>
      <c r="S570">
        <v>2023</v>
      </c>
      <c r="T570" t="s">
        <v>33</v>
      </c>
    </row>
    <row r="571" spans="1:20" hidden="1" x14ac:dyDescent="0.3">
      <c r="A571">
        <v>972</v>
      </c>
      <c r="B571">
        <v>187</v>
      </c>
      <c r="C571" t="s">
        <v>40</v>
      </c>
      <c r="D571" t="s">
        <v>34</v>
      </c>
      <c r="E571" t="s">
        <v>20</v>
      </c>
      <c r="F571" s="1">
        <v>44700</v>
      </c>
      <c r="G571" s="1">
        <v>45192</v>
      </c>
      <c r="H571">
        <v>5283</v>
      </c>
      <c r="I571">
        <v>5547</v>
      </c>
      <c r="J571">
        <v>-264</v>
      </c>
      <c r="K571" t="s">
        <v>54</v>
      </c>
      <c r="L571">
        <v>16</v>
      </c>
      <c r="M571" t="str">
        <f t="shared" si="8"/>
        <v>6-12 Months</v>
      </c>
      <c r="N571" s="1">
        <v>45192</v>
      </c>
      <c r="O571">
        <v>0</v>
      </c>
      <c r="P571">
        <v>570</v>
      </c>
      <c r="Q571" s="2">
        <v>-0.05</v>
      </c>
      <c r="R571" t="s">
        <v>27</v>
      </c>
      <c r="S571">
        <v>2023</v>
      </c>
      <c r="T571" t="s">
        <v>30</v>
      </c>
    </row>
    <row r="572" spans="1:20" hidden="1" x14ac:dyDescent="0.3">
      <c r="A572">
        <v>973</v>
      </c>
      <c r="B572">
        <v>312</v>
      </c>
      <c r="C572" t="s">
        <v>39</v>
      </c>
      <c r="D572" t="s">
        <v>25</v>
      </c>
      <c r="E572" t="s">
        <v>37</v>
      </c>
      <c r="F572" s="1">
        <v>44862</v>
      </c>
      <c r="G572" s="1">
        <v>45340</v>
      </c>
      <c r="H572">
        <v>6227</v>
      </c>
      <c r="I572">
        <v>7613</v>
      </c>
      <c r="J572">
        <v>-1386</v>
      </c>
      <c r="K572" t="s">
        <v>54</v>
      </c>
      <c r="L572">
        <v>15</v>
      </c>
      <c r="M572" t="str">
        <f t="shared" si="8"/>
        <v>6-12 Months</v>
      </c>
      <c r="N572" s="1">
        <v>45340</v>
      </c>
      <c r="O572">
        <v>0</v>
      </c>
      <c r="P572">
        <v>571</v>
      </c>
      <c r="Q572" s="2">
        <v>-0.22</v>
      </c>
      <c r="R572" t="s">
        <v>27</v>
      </c>
      <c r="S572">
        <v>2024</v>
      </c>
      <c r="T572" t="s">
        <v>43</v>
      </c>
    </row>
    <row r="573" spans="1:20" hidden="1" x14ac:dyDescent="0.3">
      <c r="A573">
        <v>975</v>
      </c>
      <c r="B573">
        <v>413</v>
      </c>
      <c r="C573" t="s">
        <v>40</v>
      </c>
      <c r="D573" t="s">
        <v>34</v>
      </c>
      <c r="E573" t="s">
        <v>26</v>
      </c>
      <c r="F573" s="1">
        <v>44859</v>
      </c>
      <c r="G573" s="1">
        <v>45099</v>
      </c>
      <c r="H573">
        <v>2167</v>
      </c>
      <c r="I573">
        <v>4012.75</v>
      </c>
      <c r="J573">
        <v>2890</v>
      </c>
      <c r="K573" t="s">
        <v>54</v>
      </c>
      <c r="L573">
        <v>7</v>
      </c>
      <c r="M573" t="str">
        <f t="shared" si="8"/>
        <v>6-12 Months</v>
      </c>
      <c r="N573" s="1">
        <v>45099</v>
      </c>
      <c r="O573">
        <v>0</v>
      </c>
      <c r="P573">
        <v>572</v>
      </c>
      <c r="Q573" s="2">
        <v>1.33</v>
      </c>
      <c r="R573" t="s">
        <v>22</v>
      </c>
      <c r="S573">
        <v>2023</v>
      </c>
      <c r="T573" t="s">
        <v>41</v>
      </c>
    </row>
    <row r="574" spans="1:20" hidden="1" x14ac:dyDescent="0.3">
      <c r="A574">
        <v>976</v>
      </c>
      <c r="B574">
        <v>116</v>
      </c>
      <c r="C574" t="s">
        <v>53</v>
      </c>
      <c r="D574" t="s">
        <v>34</v>
      </c>
      <c r="E574" t="s">
        <v>26</v>
      </c>
      <c r="F574" s="1">
        <v>44819</v>
      </c>
      <c r="G574" s="1">
        <v>44887</v>
      </c>
      <c r="H574">
        <v>7577</v>
      </c>
      <c r="I574">
        <v>4825</v>
      </c>
      <c r="J574">
        <v>2752</v>
      </c>
      <c r="K574" t="s">
        <v>54</v>
      </c>
      <c r="L574">
        <v>2</v>
      </c>
      <c r="M574" t="str">
        <f t="shared" si="8"/>
        <v>0-6 Months</v>
      </c>
      <c r="N574" s="1">
        <v>44887</v>
      </c>
      <c r="O574">
        <v>0</v>
      </c>
      <c r="P574">
        <v>573</v>
      </c>
      <c r="Q574" s="2">
        <v>0.36</v>
      </c>
      <c r="R574" t="s">
        <v>27</v>
      </c>
      <c r="S574">
        <v>2022</v>
      </c>
      <c r="T574" t="s">
        <v>42</v>
      </c>
    </row>
    <row r="575" spans="1:20" x14ac:dyDescent="0.3">
      <c r="A575">
        <v>977</v>
      </c>
      <c r="B575">
        <v>271</v>
      </c>
      <c r="C575" t="s">
        <v>39</v>
      </c>
      <c r="D575" t="s">
        <v>29</v>
      </c>
      <c r="E575" t="s">
        <v>26</v>
      </c>
      <c r="F575" s="1">
        <v>44771</v>
      </c>
      <c r="G575" s="1">
        <v>45121</v>
      </c>
      <c r="H575">
        <v>3071</v>
      </c>
      <c r="I575">
        <v>3694</v>
      </c>
      <c r="J575">
        <v>-623</v>
      </c>
      <c r="K575" t="s">
        <v>35</v>
      </c>
      <c r="L575">
        <v>11</v>
      </c>
      <c r="M575" t="str">
        <f t="shared" si="8"/>
        <v>6-12 Months</v>
      </c>
      <c r="N575" s="1">
        <v>45121</v>
      </c>
      <c r="O575">
        <v>1</v>
      </c>
      <c r="P575">
        <v>574</v>
      </c>
      <c r="Q575" s="2">
        <v>-0.2</v>
      </c>
      <c r="R575" t="s">
        <v>27</v>
      </c>
      <c r="S575">
        <v>2023</v>
      </c>
      <c r="T575" t="s">
        <v>44</v>
      </c>
    </row>
    <row r="576" spans="1:20" hidden="1" x14ac:dyDescent="0.3">
      <c r="A576">
        <v>978</v>
      </c>
      <c r="B576">
        <v>298</v>
      </c>
      <c r="C576" t="s">
        <v>24</v>
      </c>
      <c r="D576" t="s">
        <v>19</v>
      </c>
      <c r="E576" t="s">
        <v>20</v>
      </c>
      <c r="F576" s="1">
        <v>44766</v>
      </c>
      <c r="G576" s="1">
        <v>45249</v>
      </c>
      <c r="H576">
        <v>4059</v>
      </c>
      <c r="I576">
        <v>826</v>
      </c>
      <c r="J576">
        <v>3233</v>
      </c>
      <c r="K576" t="s">
        <v>54</v>
      </c>
      <c r="L576">
        <v>15</v>
      </c>
      <c r="M576" t="str">
        <f t="shared" si="8"/>
        <v>6-12 Months</v>
      </c>
      <c r="N576" s="1">
        <v>45249</v>
      </c>
      <c r="O576">
        <v>1</v>
      </c>
      <c r="P576">
        <v>575</v>
      </c>
      <c r="Q576" s="2">
        <v>0.8</v>
      </c>
      <c r="R576" t="s">
        <v>27</v>
      </c>
      <c r="S576">
        <v>2023</v>
      </c>
      <c r="T576" t="s">
        <v>42</v>
      </c>
    </row>
    <row r="577" spans="1:20" x14ac:dyDescent="0.3">
      <c r="A577">
        <v>979</v>
      </c>
      <c r="B577">
        <v>119</v>
      </c>
      <c r="C577" t="s">
        <v>53</v>
      </c>
      <c r="D577" t="s">
        <v>34</v>
      </c>
      <c r="E577" t="s">
        <v>20</v>
      </c>
      <c r="F577" s="1">
        <v>44917</v>
      </c>
      <c r="G577" s="1">
        <v>45052</v>
      </c>
      <c r="H577">
        <v>7206</v>
      </c>
      <c r="I577">
        <v>5068</v>
      </c>
      <c r="J577">
        <v>2138</v>
      </c>
      <c r="K577" t="s">
        <v>35</v>
      </c>
      <c r="L577">
        <v>4</v>
      </c>
      <c r="M577" t="str">
        <f t="shared" si="8"/>
        <v>0-6 Months</v>
      </c>
      <c r="N577" s="1">
        <v>45052</v>
      </c>
      <c r="O577">
        <v>0</v>
      </c>
      <c r="P577">
        <v>576</v>
      </c>
      <c r="Q577" s="2">
        <v>0.3</v>
      </c>
      <c r="R577" t="s">
        <v>27</v>
      </c>
      <c r="S577">
        <v>2023</v>
      </c>
      <c r="T577" t="s">
        <v>28</v>
      </c>
    </row>
    <row r="578" spans="1:20" hidden="1" x14ac:dyDescent="0.3">
      <c r="A578">
        <v>982</v>
      </c>
      <c r="B578">
        <v>265</v>
      </c>
      <c r="C578" t="s">
        <v>40</v>
      </c>
      <c r="D578" t="s">
        <v>25</v>
      </c>
      <c r="E578" t="s">
        <v>26</v>
      </c>
      <c r="F578" s="1">
        <v>44682</v>
      </c>
      <c r="G578" s="1">
        <v>44712</v>
      </c>
      <c r="H578">
        <v>6094</v>
      </c>
      <c r="I578">
        <v>7212</v>
      </c>
      <c r="J578">
        <v>-1118</v>
      </c>
      <c r="K578" t="s">
        <v>54</v>
      </c>
      <c r="L578">
        <v>0</v>
      </c>
      <c r="M578" t="str">
        <f t="shared" ref="M578:M641" si="9">IF(L578&lt;6,"0-6 Months",IF(L578&gt;6,"6-12 Months","12+ Months"))</f>
        <v>0-6 Months</v>
      </c>
      <c r="N578" s="1">
        <v>44712</v>
      </c>
      <c r="O578">
        <v>0</v>
      </c>
      <c r="P578">
        <v>577</v>
      </c>
      <c r="Q578" s="2">
        <v>-0.18</v>
      </c>
      <c r="R578" t="s">
        <v>27</v>
      </c>
      <c r="S578">
        <v>2022</v>
      </c>
      <c r="T578" t="s">
        <v>28</v>
      </c>
    </row>
    <row r="579" spans="1:20" hidden="1" x14ac:dyDescent="0.3">
      <c r="A579">
        <v>983</v>
      </c>
      <c r="B579">
        <v>494</v>
      </c>
      <c r="C579" t="s">
        <v>45</v>
      </c>
      <c r="D579" t="s">
        <v>29</v>
      </c>
      <c r="E579" t="s">
        <v>20</v>
      </c>
      <c r="F579" s="1">
        <v>44786</v>
      </c>
      <c r="G579" s="1">
        <v>44899</v>
      </c>
      <c r="H579">
        <v>2943</v>
      </c>
      <c r="I579">
        <v>7431</v>
      </c>
      <c r="J579">
        <v>-4488</v>
      </c>
      <c r="K579" t="s">
        <v>54</v>
      </c>
      <c r="L579">
        <v>3</v>
      </c>
      <c r="M579" t="str">
        <f t="shared" si="9"/>
        <v>0-6 Months</v>
      </c>
      <c r="N579" s="1">
        <v>44899</v>
      </c>
      <c r="O579">
        <v>0</v>
      </c>
      <c r="P579">
        <v>578</v>
      </c>
      <c r="Q579" s="2">
        <v>-1.52</v>
      </c>
      <c r="R579" t="s">
        <v>22</v>
      </c>
      <c r="S579">
        <v>2022</v>
      </c>
      <c r="T579" t="s">
        <v>31</v>
      </c>
    </row>
    <row r="580" spans="1:20" hidden="1" x14ac:dyDescent="0.3">
      <c r="A580">
        <v>984</v>
      </c>
      <c r="B580">
        <v>251</v>
      </c>
      <c r="C580" t="s">
        <v>40</v>
      </c>
      <c r="D580" t="s">
        <v>29</v>
      </c>
      <c r="E580" t="s">
        <v>37</v>
      </c>
      <c r="F580" s="1">
        <v>44841</v>
      </c>
      <c r="G580" s="1">
        <v>45250</v>
      </c>
      <c r="H580">
        <v>4967.93</v>
      </c>
      <c r="I580">
        <v>7598</v>
      </c>
      <c r="J580">
        <v>-8458</v>
      </c>
      <c r="K580" t="s">
        <v>54</v>
      </c>
      <c r="L580">
        <v>13</v>
      </c>
      <c r="M580" t="str">
        <f t="shared" si="9"/>
        <v>6-12 Months</v>
      </c>
      <c r="N580" s="1">
        <v>45250</v>
      </c>
      <c r="O580">
        <v>1</v>
      </c>
      <c r="P580">
        <v>579</v>
      </c>
      <c r="Q580" s="2">
        <v>-1.7</v>
      </c>
      <c r="R580" t="s">
        <v>22</v>
      </c>
      <c r="S580">
        <v>2023</v>
      </c>
      <c r="T580" t="s">
        <v>42</v>
      </c>
    </row>
    <row r="581" spans="1:20" hidden="1" x14ac:dyDescent="0.3">
      <c r="A581">
        <v>987</v>
      </c>
      <c r="B581">
        <v>421</v>
      </c>
      <c r="C581" t="s">
        <v>24</v>
      </c>
      <c r="D581" t="s">
        <v>19</v>
      </c>
      <c r="E581" t="s">
        <v>37</v>
      </c>
      <c r="F581" s="1">
        <v>44831</v>
      </c>
      <c r="G581" s="1">
        <v>45319</v>
      </c>
      <c r="H581">
        <v>5588</v>
      </c>
      <c r="I581">
        <v>4012.75</v>
      </c>
      <c r="J581">
        <v>5723</v>
      </c>
      <c r="K581" t="s">
        <v>21</v>
      </c>
      <c r="L581">
        <v>16</v>
      </c>
      <c r="M581" t="str">
        <f t="shared" si="9"/>
        <v>6-12 Months</v>
      </c>
      <c r="N581" s="1">
        <v>45319</v>
      </c>
      <c r="O581">
        <v>1</v>
      </c>
      <c r="P581">
        <v>580</v>
      </c>
      <c r="Q581" s="2">
        <v>1.02</v>
      </c>
      <c r="R581" t="s">
        <v>22</v>
      </c>
      <c r="S581">
        <v>2024</v>
      </c>
      <c r="T581" t="s">
        <v>23</v>
      </c>
    </row>
    <row r="582" spans="1:20" x14ac:dyDescent="0.3">
      <c r="A582">
        <v>988</v>
      </c>
      <c r="B582">
        <v>248</v>
      </c>
      <c r="C582" t="s">
        <v>24</v>
      </c>
      <c r="D582" t="s">
        <v>34</v>
      </c>
      <c r="E582" t="s">
        <v>20</v>
      </c>
      <c r="F582" s="1">
        <v>44747</v>
      </c>
      <c r="G582" s="1">
        <v>45048</v>
      </c>
      <c r="H582">
        <v>7861</v>
      </c>
      <c r="I582">
        <v>1066</v>
      </c>
      <c r="J582">
        <v>6795</v>
      </c>
      <c r="K582" t="s">
        <v>35</v>
      </c>
      <c r="L582">
        <v>9</v>
      </c>
      <c r="M582" t="str">
        <f t="shared" si="9"/>
        <v>6-12 Months</v>
      </c>
      <c r="N582" s="1">
        <v>45048</v>
      </c>
      <c r="O582">
        <v>1</v>
      </c>
      <c r="P582">
        <v>581</v>
      </c>
      <c r="Q582" s="2">
        <v>0.86</v>
      </c>
      <c r="R582" t="s">
        <v>27</v>
      </c>
      <c r="S582">
        <v>2023</v>
      </c>
      <c r="T582" t="s">
        <v>28</v>
      </c>
    </row>
    <row r="583" spans="1:20" hidden="1" x14ac:dyDescent="0.3">
      <c r="A583">
        <v>990</v>
      </c>
      <c r="B583">
        <v>382</v>
      </c>
      <c r="C583" t="s">
        <v>40</v>
      </c>
      <c r="D583" t="s">
        <v>34</v>
      </c>
      <c r="E583" t="s">
        <v>20</v>
      </c>
      <c r="F583" s="1">
        <v>44700</v>
      </c>
      <c r="G583" s="1">
        <v>45090</v>
      </c>
      <c r="H583">
        <v>3143</v>
      </c>
      <c r="I583">
        <v>4968</v>
      </c>
      <c r="J583">
        <v>577.01</v>
      </c>
      <c r="K583" t="s">
        <v>54</v>
      </c>
      <c r="L583">
        <v>12</v>
      </c>
      <c r="M583" t="str">
        <f t="shared" si="9"/>
        <v>6-12 Months</v>
      </c>
      <c r="N583" s="1">
        <v>45090</v>
      </c>
      <c r="O583">
        <v>0</v>
      </c>
      <c r="P583">
        <v>582</v>
      </c>
      <c r="Q583" s="2">
        <v>0.18</v>
      </c>
      <c r="R583" t="s">
        <v>27</v>
      </c>
      <c r="S583">
        <v>2023</v>
      </c>
      <c r="T583" t="s">
        <v>41</v>
      </c>
    </row>
    <row r="584" spans="1:20" hidden="1" x14ac:dyDescent="0.3">
      <c r="A584">
        <v>992</v>
      </c>
      <c r="B584">
        <v>116</v>
      </c>
      <c r="C584" t="s">
        <v>24</v>
      </c>
      <c r="D584" t="s">
        <v>19</v>
      </c>
      <c r="E584" t="s">
        <v>37</v>
      </c>
      <c r="F584" s="1">
        <v>44586</v>
      </c>
      <c r="G584" s="1">
        <v>44649</v>
      </c>
      <c r="H584">
        <v>9025</v>
      </c>
      <c r="I584">
        <v>2488</v>
      </c>
      <c r="J584">
        <v>6537</v>
      </c>
      <c r="K584" t="s">
        <v>21</v>
      </c>
      <c r="L584">
        <v>2</v>
      </c>
      <c r="M584" t="str">
        <f t="shared" si="9"/>
        <v>0-6 Months</v>
      </c>
      <c r="N584" s="1">
        <v>44649</v>
      </c>
      <c r="O584">
        <v>1</v>
      </c>
      <c r="P584">
        <v>583</v>
      </c>
      <c r="Q584" s="2">
        <v>0.72</v>
      </c>
      <c r="R584" t="s">
        <v>27</v>
      </c>
      <c r="S584">
        <v>2022</v>
      </c>
      <c r="T584" t="s">
        <v>38</v>
      </c>
    </row>
    <row r="585" spans="1:20" x14ac:dyDescent="0.3">
      <c r="A585">
        <v>994</v>
      </c>
      <c r="B585">
        <v>279</v>
      </c>
      <c r="C585" t="s">
        <v>40</v>
      </c>
      <c r="D585" t="s">
        <v>19</v>
      </c>
      <c r="E585" t="s">
        <v>20</v>
      </c>
      <c r="F585" s="1">
        <v>44854</v>
      </c>
      <c r="G585" s="1">
        <v>45445</v>
      </c>
      <c r="H585">
        <v>3718</v>
      </c>
      <c r="I585">
        <v>7895</v>
      </c>
      <c r="J585">
        <v>-4177</v>
      </c>
      <c r="K585" t="s">
        <v>35</v>
      </c>
      <c r="L585">
        <v>19</v>
      </c>
      <c r="M585" t="str">
        <f t="shared" si="9"/>
        <v>6-12 Months</v>
      </c>
      <c r="N585" s="1">
        <v>45445</v>
      </c>
      <c r="O585">
        <v>0</v>
      </c>
      <c r="P585">
        <v>584</v>
      </c>
      <c r="Q585" s="2">
        <v>-1.1200000000000001</v>
      </c>
      <c r="R585" t="s">
        <v>22</v>
      </c>
      <c r="S585">
        <v>2024</v>
      </c>
      <c r="T585" t="s">
        <v>41</v>
      </c>
    </row>
    <row r="586" spans="1:20" x14ac:dyDescent="0.3">
      <c r="A586">
        <v>996</v>
      </c>
      <c r="B586">
        <v>167</v>
      </c>
      <c r="C586" t="s">
        <v>53</v>
      </c>
      <c r="D586" t="s">
        <v>25</v>
      </c>
      <c r="E586" t="s">
        <v>26</v>
      </c>
      <c r="F586" s="1">
        <v>44782</v>
      </c>
      <c r="G586" s="1">
        <v>44818</v>
      </c>
      <c r="H586">
        <v>9559</v>
      </c>
      <c r="I586">
        <v>2749</v>
      </c>
      <c r="J586">
        <v>6810</v>
      </c>
      <c r="K586" t="s">
        <v>35</v>
      </c>
      <c r="L586">
        <v>1</v>
      </c>
      <c r="M586" t="str">
        <f t="shared" si="9"/>
        <v>0-6 Months</v>
      </c>
      <c r="N586" s="1">
        <v>44818</v>
      </c>
      <c r="O586">
        <v>1</v>
      </c>
      <c r="P586">
        <v>585</v>
      </c>
      <c r="Q586" s="2">
        <v>0.71</v>
      </c>
      <c r="R586" t="s">
        <v>27</v>
      </c>
      <c r="S586">
        <v>2022</v>
      </c>
      <c r="T586" t="s">
        <v>30</v>
      </c>
    </row>
    <row r="587" spans="1:20" hidden="1" x14ac:dyDescent="0.3">
      <c r="A587">
        <v>1000</v>
      </c>
      <c r="B587">
        <v>205</v>
      </c>
      <c r="C587" t="s">
        <v>45</v>
      </c>
      <c r="D587" t="s">
        <v>34</v>
      </c>
      <c r="E587" t="s">
        <v>37</v>
      </c>
      <c r="F587" s="1">
        <v>44788</v>
      </c>
      <c r="G587" s="1">
        <v>45094</v>
      </c>
      <c r="H587">
        <v>9804</v>
      </c>
      <c r="I587">
        <v>6121</v>
      </c>
      <c r="J587">
        <v>3683</v>
      </c>
      <c r="K587" t="s">
        <v>54</v>
      </c>
      <c r="L587">
        <v>10</v>
      </c>
      <c r="M587" t="str">
        <f t="shared" si="9"/>
        <v>6-12 Months</v>
      </c>
      <c r="N587" s="1">
        <v>45094</v>
      </c>
      <c r="O587">
        <v>0</v>
      </c>
      <c r="P587">
        <v>586</v>
      </c>
      <c r="Q587" s="2">
        <v>0.38</v>
      </c>
      <c r="R587" t="s">
        <v>27</v>
      </c>
      <c r="S587">
        <v>2023</v>
      </c>
      <c r="T587" t="s">
        <v>41</v>
      </c>
    </row>
    <row r="588" spans="1:20" hidden="1" x14ac:dyDescent="0.3">
      <c r="A588">
        <v>1001</v>
      </c>
      <c r="B588">
        <v>395</v>
      </c>
      <c r="C588" t="s">
        <v>39</v>
      </c>
      <c r="D588" t="s">
        <v>19</v>
      </c>
      <c r="E588" t="s">
        <v>26</v>
      </c>
      <c r="F588" s="1">
        <v>44821</v>
      </c>
      <c r="G588" s="1">
        <v>45101</v>
      </c>
      <c r="H588">
        <v>4967.93</v>
      </c>
      <c r="I588">
        <v>7614</v>
      </c>
      <c r="J588">
        <v>-8362</v>
      </c>
      <c r="K588" t="s">
        <v>54</v>
      </c>
      <c r="L588">
        <v>9</v>
      </c>
      <c r="M588" t="str">
        <f t="shared" si="9"/>
        <v>6-12 Months</v>
      </c>
      <c r="N588" s="1">
        <v>45101</v>
      </c>
      <c r="O588">
        <v>1</v>
      </c>
      <c r="P588">
        <v>587</v>
      </c>
      <c r="Q588" s="2">
        <v>-1.68</v>
      </c>
      <c r="R588" t="s">
        <v>22</v>
      </c>
      <c r="S588">
        <v>2023</v>
      </c>
      <c r="T588" t="s">
        <v>41</v>
      </c>
    </row>
    <row r="589" spans="1:20" hidden="1" x14ac:dyDescent="0.3">
      <c r="A589">
        <v>1002</v>
      </c>
      <c r="B589">
        <v>484</v>
      </c>
      <c r="C589" t="s">
        <v>39</v>
      </c>
      <c r="D589" t="s">
        <v>29</v>
      </c>
      <c r="E589" t="s">
        <v>26</v>
      </c>
      <c r="F589" s="1">
        <v>44648</v>
      </c>
      <c r="G589" s="1">
        <v>45241</v>
      </c>
      <c r="H589">
        <v>3855</v>
      </c>
      <c r="I589">
        <v>564</v>
      </c>
      <c r="J589">
        <v>3291</v>
      </c>
      <c r="K589" t="s">
        <v>54</v>
      </c>
      <c r="L589">
        <v>19</v>
      </c>
      <c r="M589" t="str">
        <f t="shared" si="9"/>
        <v>6-12 Months</v>
      </c>
      <c r="N589" s="1">
        <v>45241</v>
      </c>
      <c r="O589">
        <v>0</v>
      </c>
      <c r="P589">
        <v>588</v>
      </c>
      <c r="Q589" s="2">
        <v>0.85</v>
      </c>
      <c r="R589" t="s">
        <v>27</v>
      </c>
      <c r="S589">
        <v>2023</v>
      </c>
      <c r="T589" t="s">
        <v>42</v>
      </c>
    </row>
    <row r="590" spans="1:20" hidden="1" x14ac:dyDescent="0.3">
      <c r="A590">
        <v>1004</v>
      </c>
      <c r="B590">
        <v>486</v>
      </c>
      <c r="C590" t="s">
        <v>40</v>
      </c>
      <c r="D590" t="s">
        <v>25</v>
      </c>
      <c r="E590" t="s">
        <v>37</v>
      </c>
      <c r="F590" s="1">
        <v>44602</v>
      </c>
      <c r="G590" s="1">
        <v>44817</v>
      </c>
      <c r="H590">
        <v>7388</v>
      </c>
      <c r="I590">
        <v>5507</v>
      </c>
      <c r="J590">
        <v>577.01</v>
      </c>
      <c r="K590" t="s">
        <v>54</v>
      </c>
      <c r="L590">
        <v>7</v>
      </c>
      <c r="M590" t="str">
        <f t="shared" si="9"/>
        <v>6-12 Months</v>
      </c>
      <c r="N590" s="1">
        <v>44817</v>
      </c>
      <c r="O590">
        <v>1</v>
      </c>
      <c r="P590">
        <v>589</v>
      </c>
      <c r="Q590" s="2">
        <v>0.08</v>
      </c>
      <c r="R590" t="s">
        <v>27</v>
      </c>
      <c r="S590">
        <v>2022</v>
      </c>
      <c r="T590" t="s">
        <v>30</v>
      </c>
    </row>
    <row r="591" spans="1:20" hidden="1" x14ac:dyDescent="0.3">
      <c r="A591">
        <v>1005</v>
      </c>
      <c r="B591">
        <v>423</v>
      </c>
      <c r="C591" t="s">
        <v>40</v>
      </c>
      <c r="D591" t="s">
        <v>19</v>
      </c>
      <c r="E591" t="s">
        <v>20</v>
      </c>
      <c r="F591" s="1">
        <v>44884</v>
      </c>
      <c r="G591" s="1">
        <v>45023</v>
      </c>
      <c r="H591">
        <v>9391</v>
      </c>
      <c r="I591">
        <v>7545</v>
      </c>
      <c r="J591">
        <v>1846</v>
      </c>
      <c r="K591" t="s">
        <v>54</v>
      </c>
      <c r="L591">
        <v>4</v>
      </c>
      <c r="M591" t="str">
        <f t="shared" si="9"/>
        <v>0-6 Months</v>
      </c>
      <c r="N591" s="1">
        <v>45023</v>
      </c>
      <c r="O591">
        <v>1</v>
      </c>
      <c r="P591">
        <v>590</v>
      </c>
      <c r="Q591" s="2">
        <v>0.2</v>
      </c>
      <c r="R591" t="s">
        <v>27</v>
      </c>
      <c r="S591">
        <v>2023</v>
      </c>
      <c r="T591" t="s">
        <v>32</v>
      </c>
    </row>
    <row r="592" spans="1:20" hidden="1" x14ac:dyDescent="0.3">
      <c r="A592">
        <v>1006</v>
      </c>
      <c r="B592">
        <v>150</v>
      </c>
      <c r="C592" t="s">
        <v>40</v>
      </c>
      <c r="D592" t="s">
        <v>29</v>
      </c>
      <c r="E592" t="s">
        <v>37</v>
      </c>
      <c r="F592" s="1">
        <v>44797</v>
      </c>
      <c r="G592" s="1">
        <v>44860</v>
      </c>
      <c r="H592">
        <v>4967.93</v>
      </c>
      <c r="I592">
        <v>2019</v>
      </c>
      <c r="J592">
        <v>-3830</v>
      </c>
      <c r="K592" t="s">
        <v>21</v>
      </c>
      <c r="L592">
        <v>2</v>
      </c>
      <c r="M592" t="str">
        <f t="shared" si="9"/>
        <v>0-6 Months</v>
      </c>
      <c r="N592" s="1">
        <v>44860</v>
      </c>
      <c r="O592">
        <v>0</v>
      </c>
      <c r="P592">
        <v>591</v>
      </c>
      <c r="Q592" s="2">
        <v>-0.77</v>
      </c>
      <c r="R592" t="s">
        <v>27</v>
      </c>
      <c r="S592">
        <v>2022</v>
      </c>
      <c r="T592" t="s">
        <v>33</v>
      </c>
    </row>
    <row r="593" spans="1:20" hidden="1" x14ac:dyDescent="0.3">
      <c r="A593">
        <v>1007</v>
      </c>
      <c r="B593">
        <v>131</v>
      </c>
      <c r="C593" t="s">
        <v>39</v>
      </c>
      <c r="D593" t="s">
        <v>34</v>
      </c>
      <c r="E593" t="s">
        <v>20</v>
      </c>
      <c r="F593" s="1">
        <v>44901</v>
      </c>
      <c r="G593" s="1">
        <v>45105</v>
      </c>
      <c r="H593">
        <v>3575</v>
      </c>
      <c r="I593">
        <v>5082</v>
      </c>
      <c r="J593">
        <v>-1507</v>
      </c>
      <c r="K593" t="s">
        <v>54</v>
      </c>
      <c r="L593">
        <v>6</v>
      </c>
      <c r="M593" t="str">
        <f t="shared" si="9"/>
        <v>12+ Months</v>
      </c>
      <c r="N593" s="1">
        <v>45105</v>
      </c>
      <c r="O593">
        <v>1</v>
      </c>
      <c r="P593">
        <v>592</v>
      </c>
      <c r="Q593" s="2">
        <v>-0.42</v>
      </c>
      <c r="R593" t="s">
        <v>27</v>
      </c>
      <c r="S593">
        <v>2023</v>
      </c>
      <c r="T593" t="s">
        <v>41</v>
      </c>
    </row>
    <row r="594" spans="1:20" x14ac:dyDescent="0.3">
      <c r="A594">
        <v>1008</v>
      </c>
      <c r="B594">
        <v>340</v>
      </c>
      <c r="C594" t="s">
        <v>45</v>
      </c>
      <c r="D594" t="s">
        <v>34</v>
      </c>
      <c r="E594" t="s">
        <v>37</v>
      </c>
      <c r="F594" s="1">
        <v>44755</v>
      </c>
      <c r="G594" s="1">
        <v>44946</v>
      </c>
      <c r="H594">
        <v>4271</v>
      </c>
      <c r="I594">
        <v>1509</v>
      </c>
      <c r="J594">
        <v>2762</v>
      </c>
      <c r="K594" t="s">
        <v>35</v>
      </c>
      <c r="L594">
        <v>6</v>
      </c>
      <c r="M594" t="str">
        <f t="shared" si="9"/>
        <v>12+ Months</v>
      </c>
      <c r="N594" s="1">
        <v>44946</v>
      </c>
      <c r="O594">
        <v>0</v>
      </c>
      <c r="P594">
        <v>593</v>
      </c>
      <c r="Q594" s="2">
        <v>0.65</v>
      </c>
      <c r="R594" t="s">
        <v>27</v>
      </c>
      <c r="S594">
        <v>2023</v>
      </c>
      <c r="T594" t="s">
        <v>23</v>
      </c>
    </row>
    <row r="595" spans="1:20" x14ac:dyDescent="0.3">
      <c r="A595">
        <v>1009</v>
      </c>
      <c r="B595">
        <v>105</v>
      </c>
      <c r="C595" t="s">
        <v>40</v>
      </c>
      <c r="D595" t="s">
        <v>34</v>
      </c>
      <c r="E595" t="s">
        <v>37</v>
      </c>
      <c r="F595" s="1">
        <v>44572</v>
      </c>
      <c r="G595" s="1">
        <v>44605</v>
      </c>
      <c r="H595">
        <v>1280</v>
      </c>
      <c r="I595">
        <v>5978</v>
      </c>
      <c r="J595">
        <v>-4698</v>
      </c>
      <c r="K595" t="s">
        <v>35</v>
      </c>
      <c r="L595">
        <v>1</v>
      </c>
      <c r="M595" t="str">
        <f t="shared" si="9"/>
        <v>0-6 Months</v>
      </c>
      <c r="N595" s="1">
        <v>44605</v>
      </c>
      <c r="O595">
        <v>0</v>
      </c>
      <c r="P595">
        <v>594</v>
      </c>
      <c r="Q595" s="2">
        <v>-3.67</v>
      </c>
      <c r="R595" t="s">
        <v>22</v>
      </c>
      <c r="S595">
        <v>2022</v>
      </c>
      <c r="T595" t="s">
        <v>43</v>
      </c>
    </row>
    <row r="596" spans="1:20" hidden="1" x14ac:dyDescent="0.3">
      <c r="A596">
        <v>1010</v>
      </c>
      <c r="B596">
        <v>195</v>
      </c>
      <c r="C596" t="s">
        <v>53</v>
      </c>
      <c r="D596" t="s">
        <v>34</v>
      </c>
      <c r="E596" t="s">
        <v>20</v>
      </c>
      <c r="F596" s="1">
        <v>44862</v>
      </c>
      <c r="G596" s="1">
        <v>45104</v>
      </c>
      <c r="H596">
        <v>8329</v>
      </c>
      <c r="I596">
        <v>3401</v>
      </c>
      <c r="J596">
        <v>4928</v>
      </c>
      <c r="K596" t="s">
        <v>54</v>
      </c>
      <c r="L596">
        <v>7</v>
      </c>
      <c r="M596" t="str">
        <f t="shared" si="9"/>
        <v>6-12 Months</v>
      </c>
      <c r="N596" s="1">
        <v>45104</v>
      </c>
      <c r="O596">
        <v>1</v>
      </c>
      <c r="P596">
        <v>595</v>
      </c>
      <c r="Q596" s="2">
        <v>0.59</v>
      </c>
      <c r="R596" t="s">
        <v>27</v>
      </c>
      <c r="S596">
        <v>2023</v>
      </c>
      <c r="T596" t="s">
        <v>41</v>
      </c>
    </row>
    <row r="597" spans="1:20" hidden="1" x14ac:dyDescent="0.3">
      <c r="A597">
        <v>1012</v>
      </c>
      <c r="B597">
        <v>224</v>
      </c>
      <c r="C597" t="s">
        <v>39</v>
      </c>
      <c r="D597" t="s">
        <v>19</v>
      </c>
      <c r="E597" t="s">
        <v>20</v>
      </c>
      <c r="F597" s="1">
        <v>44662</v>
      </c>
      <c r="G597" s="1">
        <v>44837</v>
      </c>
      <c r="H597">
        <v>4710</v>
      </c>
      <c r="I597">
        <v>3388</v>
      </c>
      <c r="J597">
        <v>1322</v>
      </c>
      <c r="K597" t="s">
        <v>54</v>
      </c>
      <c r="L597">
        <v>5</v>
      </c>
      <c r="M597" t="str">
        <f t="shared" si="9"/>
        <v>0-6 Months</v>
      </c>
      <c r="N597" s="1">
        <v>44837</v>
      </c>
      <c r="O597">
        <v>1</v>
      </c>
      <c r="P597">
        <v>596</v>
      </c>
      <c r="Q597" s="2">
        <v>0.28000000000000003</v>
      </c>
      <c r="R597" t="s">
        <v>27</v>
      </c>
      <c r="S597">
        <v>2022</v>
      </c>
      <c r="T597" t="s">
        <v>33</v>
      </c>
    </row>
    <row r="598" spans="1:20" hidden="1" x14ac:dyDescent="0.3">
      <c r="A598">
        <v>1013</v>
      </c>
      <c r="B598">
        <v>290</v>
      </c>
      <c r="C598" t="s">
        <v>40</v>
      </c>
      <c r="D598" t="s">
        <v>19</v>
      </c>
      <c r="E598" t="s">
        <v>37</v>
      </c>
      <c r="F598" s="1">
        <v>44875</v>
      </c>
      <c r="G598" s="1">
        <v>45051</v>
      </c>
      <c r="H598">
        <v>4602</v>
      </c>
      <c r="I598">
        <v>6669</v>
      </c>
      <c r="J598">
        <v>-2067</v>
      </c>
      <c r="K598" t="s">
        <v>54</v>
      </c>
      <c r="L598">
        <v>5</v>
      </c>
      <c r="M598" t="str">
        <f t="shared" si="9"/>
        <v>0-6 Months</v>
      </c>
      <c r="N598" s="1">
        <v>45051</v>
      </c>
      <c r="O598">
        <v>0</v>
      </c>
      <c r="P598">
        <v>597</v>
      </c>
      <c r="Q598" s="2">
        <v>-0.45</v>
      </c>
      <c r="R598" t="s">
        <v>27</v>
      </c>
      <c r="S598">
        <v>2023</v>
      </c>
      <c r="T598" t="s">
        <v>28</v>
      </c>
    </row>
    <row r="599" spans="1:20" hidden="1" x14ac:dyDescent="0.3">
      <c r="A599">
        <v>1014</v>
      </c>
      <c r="B599">
        <v>293</v>
      </c>
      <c r="C599" t="s">
        <v>45</v>
      </c>
      <c r="D599" t="s">
        <v>19</v>
      </c>
      <c r="E599" t="s">
        <v>20</v>
      </c>
      <c r="F599" s="1">
        <v>44806</v>
      </c>
      <c r="G599" s="1">
        <v>45372</v>
      </c>
      <c r="H599">
        <v>4967.93</v>
      </c>
      <c r="I599">
        <v>2846</v>
      </c>
      <c r="J599">
        <v>-4159</v>
      </c>
      <c r="K599" t="s">
        <v>21</v>
      </c>
      <c r="L599">
        <v>18</v>
      </c>
      <c r="M599" t="str">
        <f t="shared" si="9"/>
        <v>6-12 Months</v>
      </c>
      <c r="N599" s="1">
        <v>45372</v>
      </c>
      <c r="O599">
        <v>1</v>
      </c>
      <c r="P599">
        <v>598</v>
      </c>
      <c r="Q599" s="2">
        <v>-0.84</v>
      </c>
      <c r="R599" t="s">
        <v>27</v>
      </c>
      <c r="S599">
        <v>2024</v>
      </c>
      <c r="T599" t="s">
        <v>38</v>
      </c>
    </row>
    <row r="600" spans="1:20" hidden="1" x14ac:dyDescent="0.3">
      <c r="A600">
        <v>1016</v>
      </c>
      <c r="B600">
        <v>284</v>
      </c>
      <c r="C600" t="s">
        <v>45</v>
      </c>
      <c r="D600" t="s">
        <v>25</v>
      </c>
      <c r="E600" t="s">
        <v>37</v>
      </c>
      <c r="F600" s="1">
        <v>44844</v>
      </c>
      <c r="G600" s="1">
        <v>45265</v>
      </c>
      <c r="H600">
        <v>4967.93</v>
      </c>
      <c r="I600">
        <v>7236</v>
      </c>
      <c r="J600">
        <v>-8676</v>
      </c>
      <c r="K600" t="s">
        <v>54</v>
      </c>
      <c r="L600">
        <v>13</v>
      </c>
      <c r="M600" t="str">
        <f t="shared" si="9"/>
        <v>6-12 Months</v>
      </c>
      <c r="N600" s="1">
        <v>45265</v>
      </c>
      <c r="O600">
        <v>1</v>
      </c>
      <c r="P600">
        <v>599</v>
      </c>
      <c r="Q600" s="2">
        <v>-1.75</v>
      </c>
      <c r="R600" t="s">
        <v>22</v>
      </c>
      <c r="S600">
        <v>2023</v>
      </c>
      <c r="T600" t="s">
        <v>31</v>
      </c>
    </row>
    <row r="601" spans="1:20" x14ac:dyDescent="0.3">
      <c r="A601">
        <v>1017</v>
      </c>
      <c r="B601">
        <v>337</v>
      </c>
      <c r="C601" t="s">
        <v>39</v>
      </c>
      <c r="D601" t="s">
        <v>19</v>
      </c>
      <c r="E601" t="s">
        <v>20</v>
      </c>
      <c r="F601" s="1">
        <v>44566</v>
      </c>
      <c r="G601" s="1">
        <v>44600</v>
      </c>
      <c r="H601">
        <v>6190</v>
      </c>
      <c r="I601">
        <v>633</v>
      </c>
      <c r="J601">
        <v>5557</v>
      </c>
      <c r="K601" t="s">
        <v>35</v>
      </c>
      <c r="L601">
        <v>1</v>
      </c>
      <c r="M601" t="str">
        <f t="shared" si="9"/>
        <v>0-6 Months</v>
      </c>
      <c r="N601" s="1">
        <v>44600</v>
      </c>
      <c r="O601">
        <v>0</v>
      </c>
      <c r="P601">
        <v>600</v>
      </c>
      <c r="Q601" s="2">
        <v>0.9</v>
      </c>
      <c r="R601" t="s">
        <v>27</v>
      </c>
      <c r="S601">
        <v>2022</v>
      </c>
      <c r="T601" t="s">
        <v>43</v>
      </c>
    </row>
    <row r="602" spans="1:20" x14ac:dyDescent="0.3">
      <c r="A602">
        <v>1019</v>
      </c>
      <c r="B602">
        <v>378</v>
      </c>
      <c r="C602" t="s">
        <v>39</v>
      </c>
      <c r="D602" t="s">
        <v>25</v>
      </c>
      <c r="E602" t="s">
        <v>26</v>
      </c>
      <c r="F602" s="1">
        <v>44693</v>
      </c>
      <c r="G602" s="1">
        <v>45052</v>
      </c>
      <c r="H602">
        <v>5792</v>
      </c>
      <c r="I602">
        <v>2019</v>
      </c>
      <c r="J602">
        <v>3773</v>
      </c>
      <c r="K602" t="s">
        <v>35</v>
      </c>
      <c r="L602">
        <v>11</v>
      </c>
      <c r="M602" t="str">
        <f t="shared" si="9"/>
        <v>6-12 Months</v>
      </c>
      <c r="N602" s="1">
        <v>45052</v>
      </c>
      <c r="O602">
        <v>0</v>
      </c>
      <c r="P602">
        <v>601</v>
      </c>
      <c r="Q602" s="2">
        <v>0.65</v>
      </c>
      <c r="R602" t="s">
        <v>27</v>
      </c>
      <c r="S602">
        <v>2023</v>
      </c>
      <c r="T602" t="s">
        <v>28</v>
      </c>
    </row>
    <row r="603" spans="1:20" hidden="1" x14ac:dyDescent="0.3">
      <c r="A603">
        <v>1020</v>
      </c>
      <c r="B603">
        <v>275</v>
      </c>
      <c r="C603" t="s">
        <v>24</v>
      </c>
      <c r="D603" t="s">
        <v>29</v>
      </c>
      <c r="E603" t="s">
        <v>37</v>
      </c>
      <c r="F603" s="1">
        <v>44791</v>
      </c>
      <c r="G603" s="1">
        <v>45324</v>
      </c>
      <c r="H603">
        <v>6797</v>
      </c>
      <c r="I603">
        <v>4012.75</v>
      </c>
      <c r="J603">
        <v>6922</v>
      </c>
      <c r="K603" t="s">
        <v>21</v>
      </c>
      <c r="L603">
        <v>17</v>
      </c>
      <c r="M603" t="str">
        <f t="shared" si="9"/>
        <v>6-12 Months</v>
      </c>
      <c r="N603" s="1">
        <v>45324</v>
      </c>
      <c r="O603">
        <v>0</v>
      </c>
      <c r="P603">
        <v>602</v>
      </c>
      <c r="Q603" s="2">
        <v>1.02</v>
      </c>
      <c r="R603" t="s">
        <v>22</v>
      </c>
      <c r="S603">
        <v>2024</v>
      </c>
      <c r="T603" t="s">
        <v>43</v>
      </c>
    </row>
    <row r="604" spans="1:20" hidden="1" x14ac:dyDescent="0.3">
      <c r="A604">
        <v>1021</v>
      </c>
      <c r="B604">
        <v>132</v>
      </c>
      <c r="C604" t="s">
        <v>45</v>
      </c>
      <c r="D604" t="s">
        <v>19</v>
      </c>
      <c r="E604" t="s">
        <v>26</v>
      </c>
      <c r="F604" s="1">
        <v>44580</v>
      </c>
      <c r="G604" s="1">
        <v>44693</v>
      </c>
      <c r="H604">
        <v>9822</v>
      </c>
      <c r="I604">
        <v>3256</v>
      </c>
      <c r="J604">
        <v>6566</v>
      </c>
      <c r="K604" t="s">
        <v>21</v>
      </c>
      <c r="L604">
        <v>3</v>
      </c>
      <c r="M604" t="str">
        <f t="shared" si="9"/>
        <v>0-6 Months</v>
      </c>
      <c r="N604" s="1">
        <v>44693</v>
      </c>
      <c r="O604">
        <v>1</v>
      </c>
      <c r="P604">
        <v>603</v>
      </c>
      <c r="Q604" s="2">
        <v>0.67</v>
      </c>
      <c r="R604" t="s">
        <v>27</v>
      </c>
      <c r="S604">
        <v>2022</v>
      </c>
      <c r="T604" t="s">
        <v>28</v>
      </c>
    </row>
    <row r="605" spans="1:20" hidden="1" x14ac:dyDescent="0.3">
      <c r="A605">
        <v>1022</v>
      </c>
      <c r="B605">
        <v>402</v>
      </c>
      <c r="C605" t="s">
        <v>53</v>
      </c>
      <c r="D605" t="s">
        <v>34</v>
      </c>
      <c r="E605" t="s">
        <v>20</v>
      </c>
      <c r="F605" s="1">
        <v>44600</v>
      </c>
      <c r="G605" s="1">
        <v>45046</v>
      </c>
      <c r="H605">
        <v>5488</v>
      </c>
      <c r="I605">
        <v>7617</v>
      </c>
      <c r="J605">
        <v>-2129</v>
      </c>
      <c r="K605" t="s">
        <v>21</v>
      </c>
      <c r="L605">
        <v>14</v>
      </c>
      <c r="M605" t="str">
        <f t="shared" si="9"/>
        <v>6-12 Months</v>
      </c>
      <c r="N605" s="1">
        <v>45046</v>
      </c>
      <c r="O605">
        <v>1</v>
      </c>
      <c r="P605">
        <v>604</v>
      </c>
      <c r="Q605" s="2">
        <v>-0.39</v>
      </c>
      <c r="R605" t="s">
        <v>27</v>
      </c>
      <c r="S605">
        <v>2023</v>
      </c>
      <c r="T605" t="s">
        <v>32</v>
      </c>
    </row>
    <row r="606" spans="1:20" x14ac:dyDescent="0.3">
      <c r="A606">
        <v>1025</v>
      </c>
      <c r="B606">
        <v>457</v>
      </c>
      <c r="C606" t="s">
        <v>40</v>
      </c>
      <c r="D606" t="s">
        <v>25</v>
      </c>
      <c r="E606" t="s">
        <v>26</v>
      </c>
      <c r="F606" s="1">
        <v>44811</v>
      </c>
      <c r="G606" s="1">
        <v>45336</v>
      </c>
      <c r="H606">
        <v>5586</v>
      </c>
      <c r="I606">
        <v>1804</v>
      </c>
      <c r="J606">
        <v>3782</v>
      </c>
      <c r="K606" t="s">
        <v>35</v>
      </c>
      <c r="L606">
        <v>17</v>
      </c>
      <c r="M606" t="str">
        <f t="shared" si="9"/>
        <v>6-12 Months</v>
      </c>
      <c r="N606" s="1">
        <v>45336</v>
      </c>
      <c r="O606">
        <v>0</v>
      </c>
      <c r="P606">
        <v>605</v>
      </c>
      <c r="Q606" s="2">
        <v>0.68</v>
      </c>
      <c r="R606" t="s">
        <v>27</v>
      </c>
      <c r="S606">
        <v>2024</v>
      </c>
      <c r="T606" t="s">
        <v>43</v>
      </c>
    </row>
    <row r="607" spans="1:20" hidden="1" x14ac:dyDescent="0.3">
      <c r="A607">
        <v>1026</v>
      </c>
      <c r="B607">
        <v>238</v>
      </c>
      <c r="C607" t="s">
        <v>45</v>
      </c>
      <c r="D607" t="s">
        <v>29</v>
      </c>
      <c r="E607" t="s">
        <v>20</v>
      </c>
      <c r="F607" s="1">
        <v>44604</v>
      </c>
      <c r="G607" s="1">
        <v>44863</v>
      </c>
      <c r="H607">
        <v>4967.93</v>
      </c>
      <c r="I607">
        <v>7792</v>
      </c>
      <c r="J607">
        <v>-8707</v>
      </c>
      <c r="K607" t="s">
        <v>54</v>
      </c>
      <c r="L607">
        <v>8</v>
      </c>
      <c r="M607" t="str">
        <f t="shared" si="9"/>
        <v>6-12 Months</v>
      </c>
      <c r="N607" s="1">
        <v>44863</v>
      </c>
      <c r="O607">
        <v>1</v>
      </c>
      <c r="P607">
        <v>606</v>
      </c>
      <c r="Q607" s="2">
        <v>-1.75</v>
      </c>
      <c r="R607" t="s">
        <v>22</v>
      </c>
      <c r="S607">
        <v>2022</v>
      </c>
      <c r="T607" t="s">
        <v>33</v>
      </c>
    </row>
    <row r="608" spans="1:20" x14ac:dyDescent="0.3">
      <c r="A608">
        <v>1028</v>
      </c>
      <c r="B608">
        <v>420</v>
      </c>
      <c r="C608" t="s">
        <v>53</v>
      </c>
      <c r="D608" t="s">
        <v>29</v>
      </c>
      <c r="E608" t="s">
        <v>26</v>
      </c>
      <c r="F608" s="1">
        <v>44636</v>
      </c>
      <c r="G608" s="1">
        <v>44909</v>
      </c>
      <c r="H608">
        <v>1006</v>
      </c>
      <c r="I608">
        <v>1841</v>
      </c>
      <c r="J608">
        <v>-835</v>
      </c>
      <c r="K608" t="s">
        <v>35</v>
      </c>
      <c r="L608">
        <v>8</v>
      </c>
      <c r="M608" t="str">
        <f t="shared" si="9"/>
        <v>6-12 Months</v>
      </c>
      <c r="N608" s="1">
        <v>44909</v>
      </c>
      <c r="O608">
        <v>0</v>
      </c>
      <c r="P608">
        <v>607</v>
      </c>
      <c r="Q608" s="2">
        <v>-0.83</v>
      </c>
      <c r="R608" t="s">
        <v>27</v>
      </c>
      <c r="S608">
        <v>2022</v>
      </c>
      <c r="T608" t="s">
        <v>31</v>
      </c>
    </row>
    <row r="609" spans="1:20" hidden="1" x14ac:dyDescent="0.3">
      <c r="A609">
        <v>1029</v>
      </c>
      <c r="B609">
        <v>346</v>
      </c>
      <c r="C609" t="s">
        <v>45</v>
      </c>
      <c r="D609" t="s">
        <v>29</v>
      </c>
      <c r="E609" t="s">
        <v>37</v>
      </c>
      <c r="F609" s="1">
        <v>44824</v>
      </c>
      <c r="G609" s="1">
        <v>45016</v>
      </c>
      <c r="H609">
        <v>5851</v>
      </c>
      <c r="I609">
        <v>2575</v>
      </c>
      <c r="J609">
        <v>3276</v>
      </c>
      <c r="K609" t="s">
        <v>21</v>
      </c>
      <c r="L609">
        <v>6</v>
      </c>
      <c r="M609" t="str">
        <f t="shared" si="9"/>
        <v>12+ Months</v>
      </c>
      <c r="N609" s="1">
        <v>45016</v>
      </c>
      <c r="O609">
        <v>1</v>
      </c>
      <c r="P609">
        <v>608</v>
      </c>
      <c r="Q609" s="2">
        <v>0.56000000000000005</v>
      </c>
      <c r="R609" t="s">
        <v>27</v>
      </c>
      <c r="S609">
        <v>2023</v>
      </c>
      <c r="T609" t="s">
        <v>38</v>
      </c>
    </row>
    <row r="610" spans="1:20" x14ac:dyDescent="0.3">
      <c r="A610">
        <v>1030</v>
      </c>
      <c r="B610">
        <v>460</v>
      </c>
      <c r="C610" t="s">
        <v>24</v>
      </c>
      <c r="D610" t="s">
        <v>19</v>
      </c>
      <c r="E610" t="s">
        <v>20</v>
      </c>
      <c r="F610" s="1">
        <v>44830</v>
      </c>
      <c r="G610" s="1">
        <v>45293</v>
      </c>
      <c r="H610">
        <v>1454</v>
      </c>
      <c r="I610">
        <v>4012.75</v>
      </c>
      <c r="J610">
        <v>1933</v>
      </c>
      <c r="K610" t="s">
        <v>35</v>
      </c>
      <c r="L610">
        <v>15</v>
      </c>
      <c r="M610" t="str">
        <f t="shared" si="9"/>
        <v>6-12 Months</v>
      </c>
      <c r="N610" s="1">
        <v>45293</v>
      </c>
      <c r="O610">
        <v>1</v>
      </c>
      <c r="P610">
        <v>609</v>
      </c>
      <c r="Q610" s="2">
        <v>1.33</v>
      </c>
      <c r="R610" t="s">
        <v>22</v>
      </c>
      <c r="S610">
        <v>2024</v>
      </c>
      <c r="T610" t="s">
        <v>23</v>
      </c>
    </row>
    <row r="611" spans="1:20" hidden="1" x14ac:dyDescent="0.3">
      <c r="A611">
        <v>1031</v>
      </c>
      <c r="B611">
        <v>164</v>
      </c>
      <c r="C611" t="s">
        <v>53</v>
      </c>
      <c r="D611" t="s">
        <v>25</v>
      </c>
      <c r="E611" t="s">
        <v>20</v>
      </c>
      <c r="F611" s="1">
        <v>44920</v>
      </c>
      <c r="G611" s="1">
        <v>44998</v>
      </c>
      <c r="H611">
        <v>2836</v>
      </c>
      <c r="I611">
        <v>2617</v>
      </c>
      <c r="J611">
        <v>219</v>
      </c>
      <c r="K611" t="s">
        <v>54</v>
      </c>
      <c r="L611">
        <v>2</v>
      </c>
      <c r="M611" t="str">
        <f t="shared" si="9"/>
        <v>0-6 Months</v>
      </c>
      <c r="N611" s="1">
        <v>44998</v>
      </c>
      <c r="O611">
        <v>1</v>
      </c>
      <c r="P611">
        <v>610</v>
      </c>
      <c r="Q611" s="2">
        <v>0.08</v>
      </c>
      <c r="R611" t="s">
        <v>27</v>
      </c>
      <c r="S611">
        <v>2023</v>
      </c>
      <c r="T611" t="s">
        <v>38</v>
      </c>
    </row>
    <row r="612" spans="1:20" hidden="1" x14ac:dyDescent="0.3">
      <c r="A612">
        <v>1032</v>
      </c>
      <c r="B612">
        <v>376</v>
      </c>
      <c r="C612" t="s">
        <v>40</v>
      </c>
      <c r="D612" t="s">
        <v>34</v>
      </c>
      <c r="E612" t="s">
        <v>26</v>
      </c>
      <c r="F612" s="1">
        <v>44683</v>
      </c>
      <c r="G612" s="1">
        <v>45120</v>
      </c>
      <c r="H612">
        <v>4626</v>
      </c>
      <c r="I612">
        <v>2255</v>
      </c>
      <c r="J612">
        <v>2371</v>
      </c>
      <c r="K612" t="s">
        <v>54</v>
      </c>
      <c r="L612">
        <v>14</v>
      </c>
      <c r="M612" t="str">
        <f t="shared" si="9"/>
        <v>6-12 Months</v>
      </c>
      <c r="N612" s="1">
        <v>45120</v>
      </c>
      <c r="O612">
        <v>1</v>
      </c>
      <c r="P612">
        <v>611</v>
      </c>
      <c r="Q612" s="2">
        <v>0.51</v>
      </c>
      <c r="R612" t="s">
        <v>27</v>
      </c>
      <c r="S612">
        <v>2023</v>
      </c>
      <c r="T612" t="s">
        <v>44</v>
      </c>
    </row>
    <row r="613" spans="1:20" hidden="1" x14ac:dyDescent="0.3">
      <c r="A613">
        <v>1033</v>
      </c>
      <c r="B613">
        <v>173</v>
      </c>
      <c r="C613" t="s">
        <v>24</v>
      </c>
      <c r="D613" t="s">
        <v>34</v>
      </c>
      <c r="E613" t="s">
        <v>37</v>
      </c>
      <c r="F613" s="1">
        <v>44824</v>
      </c>
      <c r="G613" s="1">
        <v>45327</v>
      </c>
      <c r="H613">
        <v>4808</v>
      </c>
      <c r="I613">
        <v>5199</v>
      </c>
      <c r="J613">
        <v>-391</v>
      </c>
      <c r="K613" t="s">
        <v>54</v>
      </c>
      <c r="L613">
        <v>16</v>
      </c>
      <c r="M613" t="str">
        <f t="shared" si="9"/>
        <v>6-12 Months</v>
      </c>
      <c r="N613" s="1">
        <v>45327</v>
      </c>
      <c r="O613">
        <v>0</v>
      </c>
      <c r="P613">
        <v>612</v>
      </c>
      <c r="Q613" s="2">
        <v>-0.08</v>
      </c>
      <c r="R613" t="s">
        <v>27</v>
      </c>
      <c r="S613">
        <v>2024</v>
      </c>
      <c r="T613" t="s">
        <v>43</v>
      </c>
    </row>
    <row r="614" spans="1:20" x14ac:dyDescent="0.3">
      <c r="A614">
        <v>1036</v>
      </c>
      <c r="B614">
        <v>274</v>
      </c>
      <c r="C614" t="s">
        <v>45</v>
      </c>
      <c r="D614" t="s">
        <v>29</v>
      </c>
      <c r="E614" t="s">
        <v>37</v>
      </c>
      <c r="F614" s="1">
        <v>44813</v>
      </c>
      <c r="G614" s="1">
        <v>45355</v>
      </c>
      <c r="H614">
        <v>408</v>
      </c>
      <c r="I614">
        <v>6372</v>
      </c>
      <c r="J614">
        <v>577.01</v>
      </c>
      <c r="K614" t="s">
        <v>35</v>
      </c>
      <c r="L614">
        <v>17</v>
      </c>
      <c r="M614" t="str">
        <f t="shared" si="9"/>
        <v>6-12 Months</v>
      </c>
      <c r="N614" s="1">
        <v>45355</v>
      </c>
      <c r="O614">
        <v>0</v>
      </c>
      <c r="P614">
        <v>613</v>
      </c>
      <c r="Q614" s="2">
        <v>1.41</v>
      </c>
      <c r="R614" t="s">
        <v>22</v>
      </c>
      <c r="S614">
        <v>2024</v>
      </c>
      <c r="T614" t="s">
        <v>38</v>
      </c>
    </row>
    <row r="615" spans="1:20" x14ac:dyDescent="0.3">
      <c r="A615">
        <v>1037</v>
      </c>
      <c r="B615">
        <v>180</v>
      </c>
      <c r="C615" t="s">
        <v>45</v>
      </c>
      <c r="D615" t="s">
        <v>25</v>
      </c>
      <c r="E615" t="s">
        <v>37</v>
      </c>
      <c r="F615" s="1">
        <v>44840</v>
      </c>
      <c r="G615" s="1">
        <v>45144</v>
      </c>
      <c r="H615">
        <v>4967.93</v>
      </c>
      <c r="I615">
        <v>3047</v>
      </c>
      <c r="J615">
        <v>-4714</v>
      </c>
      <c r="K615" t="s">
        <v>35</v>
      </c>
      <c r="L615">
        <v>10</v>
      </c>
      <c r="M615" t="str">
        <f t="shared" si="9"/>
        <v>6-12 Months</v>
      </c>
      <c r="N615" s="1">
        <v>45144</v>
      </c>
      <c r="O615">
        <v>1</v>
      </c>
      <c r="P615">
        <v>614</v>
      </c>
      <c r="Q615" s="2">
        <v>-0.95</v>
      </c>
      <c r="R615" t="s">
        <v>27</v>
      </c>
      <c r="S615">
        <v>2023</v>
      </c>
      <c r="T615" t="s">
        <v>36</v>
      </c>
    </row>
    <row r="616" spans="1:20" hidden="1" x14ac:dyDescent="0.3">
      <c r="A616">
        <v>1040</v>
      </c>
      <c r="B616">
        <v>148</v>
      </c>
      <c r="C616" t="s">
        <v>39</v>
      </c>
      <c r="D616" t="s">
        <v>34</v>
      </c>
      <c r="E616" t="s">
        <v>20</v>
      </c>
      <c r="F616" s="1">
        <v>44644</v>
      </c>
      <c r="G616" s="1">
        <v>45159</v>
      </c>
      <c r="H616">
        <v>1620</v>
      </c>
      <c r="I616">
        <v>4012.75</v>
      </c>
      <c r="J616">
        <v>2106</v>
      </c>
      <c r="K616" t="s">
        <v>21</v>
      </c>
      <c r="L616">
        <v>16</v>
      </c>
      <c r="M616" t="str">
        <f t="shared" si="9"/>
        <v>6-12 Months</v>
      </c>
      <c r="N616" s="1">
        <v>45159</v>
      </c>
      <c r="O616">
        <v>1</v>
      </c>
      <c r="P616">
        <v>615</v>
      </c>
      <c r="Q616" s="2">
        <v>1.3</v>
      </c>
      <c r="R616" t="s">
        <v>22</v>
      </c>
      <c r="S616">
        <v>2023</v>
      </c>
      <c r="T616" t="s">
        <v>36</v>
      </c>
    </row>
    <row r="617" spans="1:20" hidden="1" x14ac:dyDescent="0.3">
      <c r="A617">
        <v>1041</v>
      </c>
      <c r="B617">
        <v>344</v>
      </c>
      <c r="C617" t="s">
        <v>39</v>
      </c>
      <c r="D617" t="s">
        <v>29</v>
      </c>
      <c r="E617" t="s">
        <v>20</v>
      </c>
      <c r="F617" s="1">
        <v>44828</v>
      </c>
      <c r="G617" s="1">
        <v>45195</v>
      </c>
      <c r="H617">
        <v>232</v>
      </c>
      <c r="I617">
        <v>1566</v>
      </c>
      <c r="J617">
        <v>-1334</v>
      </c>
      <c r="K617" t="s">
        <v>21</v>
      </c>
      <c r="L617">
        <v>12</v>
      </c>
      <c r="M617" t="str">
        <f t="shared" si="9"/>
        <v>6-12 Months</v>
      </c>
      <c r="N617" s="1">
        <v>45195</v>
      </c>
      <c r="O617">
        <v>1</v>
      </c>
      <c r="P617">
        <v>616</v>
      </c>
      <c r="Q617" s="2">
        <v>-5.75</v>
      </c>
      <c r="R617" t="s">
        <v>22</v>
      </c>
      <c r="S617">
        <v>2023</v>
      </c>
      <c r="T617" t="s">
        <v>30</v>
      </c>
    </row>
    <row r="618" spans="1:20" x14ac:dyDescent="0.3">
      <c r="A618">
        <v>1043</v>
      </c>
      <c r="B618">
        <v>217</v>
      </c>
      <c r="C618" t="s">
        <v>53</v>
      </c>
      <c r="D618" t="s">
        <v>19</v>
      </c>
      <c r="E618" t="s">
        <v>37</v>
      </c>
      <c r="F618" s="1">
        <v>44774</v>
      </c>
      <c r="G618" s="1">
        <v>45123</v>
      </c>
      <c r="H618">
        <v>8581</v>
      </c>
      <c r="I618">
        <v>3219</v>
      </c>
      <c r="J618">
        <v>5362</v>
      </c>
      <c r="K618" t="s">
        <v>35</v>
      </c>
      <c r="L618">
        <v>11</v>
      </c>
      <c r="M618" t="str">
        <f t="shared" si="9"/>
        <v>6-12 Months</v>
      </c>
      <c r="N618" s="1">
        <v>45123</v>
      </c>
      <c r="O618">
        <v>0</v>
      </c>
      <c r="P618">
        <v>617</v>
      </c>
      <c r="Q618" s="2">
        <v>0.62</v>
      </c>
      <c r="R618" t="s">
        <v>27</v>
      </c>
      <c r="S618">
        <v>2023</v>
      </c>
      <c r="T618" t="s">
        <v>44</v>
      </c>
    </row>
    <row r="619" spans="1:20" hidden="1" x14ac:dyDescent="0.3">
      <c r="A619">
        <v>1044</v>
      </c>
      <c r="B619">
        <v>466</v>
      </c>
      <c r="C619" t="s">
        <v>53</v>
      </c>
      <c r="D619" t="s">
        <v>25</v>
      </c>
      <c r="E619" t="s">
        <v>20</v>
      </c>
      <c r="F619" s="1">
        <v>44830</v>
      </c>
      <c r="G619" s="1">
        <v>45005</v>
      </c>
      <c r="H619">
        <v>2248</v>
      </c>
      <c r="I619">
        <v>4012.75</v>
      </c>
      <c r="J619">
        <v>2360</v>
      </c>
      <c r="K619" t="s">
        <v>54</v>
      </c>
      <c r="L619">
        <v>5</v>
      </c>
      <c r="M619" t="str">
        <f t="shared" si="9"/>
        <v>0-6 Months</v>
      </c>
      <c r="N619" s="1">
        <v>45005</v>
      </c>
      <c r="O619">
        <v>0</v>
      </c>
      <c r="P619">
        <v>618</v>
      </c>
      <c r="Q619" s="2">
        <v>1.05</v>
      </c>
      <c r="R619" t="s">
        <v>22</v>
      </c>
      <c r="S619">
        <v>2023</v>
      </c>
      <c r="T619" t="s">
        <v>38</v>
      </c>
    </row>
    <row r="620" spans="1:20" hidden="1" x14ac:dyDescent="0.3">
      <c r="A620">
        <v>1047</v>
      </c>
      <c r="B620">
        <v>301</v>
      </c>
      <c r="C620" t="s">
        <v>45</v>
      </c>
      <c r="D620" t="s">
        <v>25</v>
      </c>
      <c r="E620" t="s">
        <v>20</v>
      </c>
      <c r="F620" s="1">
        <v>44572</v>
      </c>
      <c r="G620" s="1">
        <v>44632</v>
      </c>
      <c r="H620">
        <v>4967.93</v>
      </c>
      <c r="I620">
        <v>4140</v>
      </c>
      <c r="J620">
        <v>-4636</v>
      </c>
      <c r="K620" t="s">
        <v>21</v>
      </c>
      <c r="L620">
        <v>2</v>
      </c>
      <c r="M620" t="str">
        <f t="shared" si="9"/>
        <v>0-6 Months</v>
      </c>
      <c r="N620" s="1">
        <v>44632</v>
      </c>
      <c r="O620">
        <v>1</v>
      </c>
      <c r="P620">
        <v>619</v>
      </c>
      <c r="Q620" s="2">
        <v>-0.93</v>
      </c>
      <c r="R620" t="s">
        <v>27</v>
      </c>
      <c r="S620">
        <v>2022</v>
      </c>
      <c r="T620" t="s">
        <v>38</v>
      </c>
    </row>
    <row r="621" spans="1:20" x14ac:dyDescent="0.3">
      <c r="A621">
        <v>1049</v>
      </c>
      <c r="B621">
        <v>394</v>
      </c>
      <c r="C621" t="s">
        <v>39</v>
      </c>
      <c r="D621" t="s">
        <v>34</v>
      </c>
      <c r="E621" t="s">
        <v>26</v>
      </c>
      <c r="F621" s="1">
        <v>44578</v>
      </c>
      <c r="G621" s="1">
        <v>45139</v>
      </c>
      <c r="H621">
        <v>1032</v>
      </c>
      <c r="I621">
        <v>4012.75</v>
      </c>
      <c r="J621">
        <v>1837</v>
      </c>
      <c r="K621" t="s">
        <v>35</v>
      </c>
      <c r="L621">
        <v>18</v>
      </c>
      <c r="M621" t="str">
        <f t="shared" si="9"/>
        <v>6-12 Months</v>
      </c>
      <c r="N621" s="1">
        <v>45139</v>
      </c>
      <c r="O621">
        <v>1</v>
      </c>
      <c r="P621">
        <v>620</v>
      </c>
      <c r="Q621" s="2">
        <v>1.78</v>
      </c>
      <c r="R621" t="s">
        <v>22</v>
      </c>
      <c r="S621">
        <v>2023</v>
      </c>
      <c r="T621" t="s">
        <v>36</v>
      </c>
    </row>
    <row r="622" spans="1:20" hidden="1" x14ac:dyDescent="0.3">
      <c r="A622">
        <v>1050</v>
      </c>
      <c r="B622">
        <v>136</v>
      </c>
      <c r="C622" t="s">
        <v>24</v>
      </c>
      <c r="D622" t="s">
        <v>19</v>
      </c>
      <c r="E622" t="s">
        <v>20</v>
      </c>
      <c r="F622" s="1">
        <v>44789</v>
      </c>
      <c r="G622" s="1">
        <v>45206</v>
      </c>
      <c r="H622">
        <v>4800</v>
      </c>
      <c r="I622">
        <v>669</v>
      </c>
      <c r="J622">
        <v>4131</v>
      </c>
      <c r="K622" t="s">
        <v>21</v>
      </c>
      <c r="L622">
        <v>13</v>
      </c>
      <c r="M622" t="str">
        <f t="shared" si="9"/>
        <v>6-12 Months</v>
      </c>
      <c r="N622" s="1">
        <v>45206</v>
      </c>
      <c r="O622">
        <v>1</v>
      </c>
      <c r="P622">
        <v>621</v>
      </c>
      <c r="Q622" s="2">
        <v>0.86</v>
      </c>
      <c r="R622" t="s">
        <v>27</v>
      </c>
      <c r="S622">
        <v>2023</v>
      </c>
      <c r="T622" t="s">
        <v>33</v>
      </c>
    </row>
    <row r="623" spans="1:20" hidden="1" x14ac:dyDescent="0.3">
      <c r="A623">
        <v>1051</v>
      </c>
      <c r="B623">
        <v>108</v>
      </c>
      <c r="C623" t="s">
        <v>40</v>
      </c>
      <c r="D623" t="s">
        <v>34</v>
      </c>
      <c r="E623" t="s">
        <v>26</v>
      </c>
      <c r="F623" s="1">
        <v>44836</v>
      </c>
      <c r="G623" s="1">
        <v>45074</v>
      </c>
      <c r="H623">
        <v>4967.93</v>
      </c>
      <c r="I623">
        <v>5271</v>
      </c>
      <c r="J623">
        <v>-6858</v>
      </c>
      <c r="K623" t="s">
        <v>21</v>
      </c>
      <c r="L623">
        <v>7</v>
      </c>
      <c r="M623" t="str">
        <f t="shared" si="9"/>
        <v>6-12 Months</v>
      </c>
      <c r="N623" s="1">
        <v>45074</v>
      </c>
      <c r="O623">
        <v>1</v>
      </c>
      <c r="P623">
        <v>622</v>
      </c>
      <c r="Q623" s="2">
        <v>-1.38</v>
      </c>
      <c r="R623" t="s">
        <v>22</v>
      </c>
      <c r="S623">
        <v>2023</v>
      </c>
      <c r="T623" t="s">
        <v>28</v>
      </c>
    </row>
    <row r="624" spans="1:20" hidden="1" x14ac:dyDescent="0.3">
      <c r="A624">
        <v>1054</v>
      </c>
      <c r="B624">
        <v>424</v>
      </c>
      <c r="C624" t="s">
        <v>40</v>
      </c>
      <c r="D624" t="s">
        <v>19</v>
      </c>
      <c r="E624" t="s">
        <v>20</v>
      </c>
      <c r="F624" s="1">
        <v>44744</v>
      </c>
      <c r="G624" s="1">
        <v>45269</v>
      </c>
      <c r="H624">
        <v>96</v>
      </c>
      <c r="I624">
        <v>2598</v>
      </c>
      <c r="J624">
        <v>-2502</v>
      </c>
      <c r="K624" t="s">
        <v>54</v>
      </c>
      <c r="L624">
        <v>17</v>
      </c>
      <c r="M624" t="str">
        <f t="shared" si="9"/>
        <v>6-12 Months</v>
      </c>
      <c r="N624" s="1">
        <v>45269</v>
      </c>
      <c r="O624">
        <v>1</v>
      </c>
      <c r="P624">
        <v>623</v>
      </c>
      <c r="Q624" s="2">
        <v>-26.06</v>
      </c>
      <c r="R624" t="s">
        <v>22</v>
      </c>
      <c r="S624">
        <v>2023</v>
      </c>
      <c r="T624" t="s">
        <v>31</v>
      </c>
    </row>
    <row r="625" spans="1:20" hidden="1" x14ac:dyDescent="0.3">
      <c r="A625">
        <v>1056</v>
      </c>
      <c r="B625">
        <v>404</v>
      </c>
      <c r="C625" t="s">
        <v>53</v>
      </c>
      <c r="D625" t="s">
        <v>25</v>
      </c>
      <c r="E625" t="s">
        <v>26</v>
      </c>
      <c r="F625" s="1">
        <v>44679</v>
      </c>
      <c r="G625" s="1">
        <v>45101</v>
      </c>
      <c r="H625">
        <v>7180</v>
      </c>
      <c r="I625">
        <v>4671</v>
      </c>
      <c r="J625">
        <v>2509</v>
      </c>
      <c r="K625" t="s">
        <v>54</v>
      </c>
      <c r="L625">
        <v>13</v>
      </c>
      <c r="M625" t="str">
        <f t="shared" si="9"/>
        <v>6-12 Months</v>
      </c>
      <c r="N625" s="1">
        <v>45101</v>
      </c>
      <c r="O625">
        <v>1</v>
      </c>
      <c r="P625">
        <v>624</v>
      </c>
      <c r="Q625" s="2">
        <v>0.35</v>
      </c>
      <c r="R625" t="s">
        <v>27</v>
      </c>
      <c r="S625">
        <v>2023</v>
      </c>
      <c r="T625" t="s">
        <v>41</v>
      </c>
    </row>
    <row r="626" spans="1:20" hidden="1" x14ac:dyDescent="0.3">
      <c r="A626">
        <v>1057</v>
      </c>
      <c r="B626">
        <v>487</v>
      </c>
      <c r="C626" t="s">
        <v>24</v>
      </c>
      <c r="D626" t="s">
        <v>25</v>
      </c>
      <c r="E626" t="s">
        <v>37</v>
      </c>
      <c r="F626" s="1">
        <v>44588</v>
      </c>
      <c r="G626" s="1">
        <v>45173</v>
      </c>
      <c r="H626">
        <v>592</v>
      </c>
      <c r="I626">
        <v>807</v>
      </c>
      <c r="J626">
        <v>-215</v>
      </c>
      <c r="K626" t="s">
        <v>21</v>
      </c>
      <c r="L626">
        <v>19</v>
      </c>
      <c r="M626" t="str">
        <f t="shared" si="9"/>
        <v>6-12 Months</v>
      </c>
      <c r="N626" s="1">
        <v>45173</v>
      </c>
      <c r="O626">
        <v>1</v>
      </c>
      <c r="P626">
        <v>625</v>
      </c>
      <c r="Q626" s="2">
        <v>-0.36</v>
      </c>
      <c r="R626" t="s">
        <v>27</v>
      </c>
      <c r="S626">
        <v>2023</v>
      </c>
      <c r="T626" t="s">
        <v>30</v>
      </c>
    </row>
    <row r="627" spans="1:20" hidden="1" x14ac:dyDescent="0.3">
      <c r="A627">
        <v>1059</v>
      </c>
      <c r="B627">
        <v>452</v>
      </c>
      <c r="C627" t="s">
        <v>45</v>
      </c>
      <c r="D627" t="s">
        <v>34</v>
      </c>
      <c r="E627" t="s">
        <v>26</v>
      </c>
      <c r="F627" s="1">
        <v>44737</v>
      </c>
      <c r="G627" s="1">
        <v>45196</v>
      </c>
      <c r="H627">
        <v>3642</v>
      </c>
      <c r="I627">
        <v>4012.75</v>
      </c>
      <c r="J627">
        <v>4484</v>
      </c>
      <c r="K627" t="s">
        <v>54</v>
      </c>
      <c r="L627">
        <v>15</v>
      </c>
      <c r="M627" t="str">
        <f t="shared" si="9"/>
        <v>6-12 Months</v>
      </c>
      <c r="N627" s="1">
        <v>45196</v>
      </c>
      <c r="O627">
        <v>1</v>
      </c>
      <c r="P627">
        <v>626</v>
      </c>
      <c r="Q627" s="2">
        <v>1.23</v>
      </c>
      <c r="R627" t="s">
        <v>22</v>
      </c>
      <c r="S627">
        <v>2023</v>
      </c>
      <c r="T627" t="s">
        <v>30</v>
      </c>
    </row>
    <row r="628" spans="1:20" x14ac:dyDescent="0.3">
      <c r="A628">
        <v>1061</v>
      </c>
      <c r="B628">
        <v>317</v>
      </c>
      <c r="C628" t="s">
        <v>24</v>
      </c>
      <c r="D628" t="s">
        <v>25</v>
      </c>
      <c r="E628" t="s">
        <v>20</v>
      </c>
      <c r="F628" s="1">
        <v>44704</v>
      </c>
      <c r="G628" s="1">
        <v>45082</v>
      </c>
      <c r="H628">
        <v>7431</v>
      </c>
      <c r="I628">
        <v>3289</v>
      </c>
      <c r="J628">
        <v>4142</v>
      </c>
      <c r="K628" t="s">
        <v>35</v>
      </c>
      <c r="L628">
        <v>12</v>
      </c>
      <c r="M628" t="str">
        <f t="shared" si="9"/>
        <v>6-12 Months</v>
      </c>
      <c r="N628" s="1">
        <v>45082</v>
      </c>
      <c r="O628">
        <v>1</v>
      </c>
      <c r="P628">
        <v>627</v>
      </c>
      <c r="Q628" s="2">
        <v>0.56000000000000005</v>
      </c>
      <c r="R628" t="s">
        <v>27</v>
      </c>
      <c r="S628">
        <v>2023</v>
      </c>
      <c r="T628" t="s">
        <v>41</v>
      </c>
    </row>
    <row r="629" spans="1:20" hidden="1" x14ac:dyDescent="0.3">
      <c r="A629">
        <v>1062</v>
      </c>
      <c r="B629">
        <v>317</v>
      </c>
      <c r="C629" t="s">
        <v>39</v>
      </c>
      <c r="D629" t="s">
        <v>25</v>
      </c>
      <c r="E629" t="s">
        <v>37</v>
      </c>
      <c r="F629" s="1">
        <v>44791</v>
      </c>
      <c r="G629" s="1">
        <v>44842</v>
      </c>
      <c r="H629">
        <v>5115</v>
      </c>
      <c r="I629">
        <v>4012.75</v>
      </c>
      <c r="J629">
        <v>5218</v>
      </c>
      <c r="K629" t="s">
        <v>54</v>
      </c>
      <c r="L629">
        <v>1</v>
      </c>
      <c r="M629" t="str">
        <f t="shared" si="9"/>
        <v>0-6 Months</v>
      </c>
      <c r="N629" s="1">
        <v>44842</v>
      </c>
      <c r="O629">
        <v>0</v>
      </c>
      <c r="P629">
        <v>628</v>
      </c>
      <c r="Q629" s="2">
        <v>1.02</v>
      </c>
      <c r="R629" t="s">
        <v>22</v>
      </c>
      <c r="S629">
        <v>2022</v>
      </c>
      <c r="T629" t="s">
        <v>33</v>
      </c>
    </row>
    <row r="630" spans="1:20" hidden="1" x14ac:dyDescent="0.3">
      <c r="A630">
        <v>1063</v>
      </c>
      <c r="B630">
        <v>372</v>
      </c>
      <c r="C630" t="s">
        <v>24</v>
      </c>
      <c r="D630" t="s">
        <v>34</v>
      </c>
      <c r="E630" t="s">
        <v>37</v>
      </c>
      <c r="F630" s="1">
        <v>44704</v>
      </c>
      <c r="G630" s="1">
        <v>44766</v>
      </c>
      <c r="H630">
        <v>419</v>
      </c>
      <c r="I630">
        <v>2778</v>
      </c>
      <c r="J630">
        <v>-2359</v>
      </c>
      <c r="K630" t="s">
        <v>21</v>
      </c>
      <c r="L630">
        <v>2</v>
      </c>
      <c r="M630" t="str">
        <f t="shared" si="9"/>
        <v>0-6 Months</v>
      </c>
      <c r="N630" s="1">
        <v>44766</v>
      </c>
      <c r="O630">
        <v>0</v>
      </c>
      <c r="P630">
        <v>629</v>
      </c>
      <c r="Q630" s="2">
        <v>-5.63</v>
      </c>
      <c r="R630" t="s">
        <v>22</v>
      </c>
      <c r="S630">
        <v>2022</v>
      </c>
      <c r="T630" t="s">
        <v>44</v>
      </c>
    </row>
    <row r="631" spans="1:20" x14ac:dyDescent="0.3">
      <c r="A631">
        <v>1064</v>
      </c>
      <c r="B631">
        <v>229</v>
      </c>
      <c r="C631" t="s">
        <v>53</v>
      </c>
      <c r="D631" t="s">
        <v>25</v>
      </c>
      <c r="E631" t="s">
        <v>37</v>
      </c>
      <c r="F631" s="1">
        <v>44887</v>
      </c>
      <c r="G631" s="1">
        <v>45283</v>
      </c>
      <c r="H631">
        <v>4071</v>
      </c>
      <c r="I631">
        <v>3871</v>
      </c>
      <c r="J631">
        <v>200</v>
      </c>
      <c r="K631" t="s">
        <v>35</v>
      </c>
      <c r="L631">
        <v>13</v>
      </c>
      <c r="M631" t="str">
        <f t="shared" si="9"/>
        <v>6-12 Months</v>
      </c>
      <c r="N631" s="1">
        <v>45283</v>
      </c>
      <c r="O631">
        <v>0</v>
      </c>
      <c r="P631">
        <v>630</v>
      </c>
      <c r="Q631" s="2">
        <v>0.05</v>
      </c>
      <c r="R631" t="s">
        <v>27</v>
      </c>
      <c r="S631">
        <v>2023</v>
      </c>
      <c r="T631" t="s">
        <v>31</v>
      </c>
    </row>
    <row r="632" spans="1:20" x14ac:dyDescent="0.3">
      <c r="A632">
        <v>1065</v>
      </c>
      <c r="B632">
        <v>265</v>
      </c>
      <c r="C632" t="s">
        <v>39</v>
      </c>
      <c r="D632" t="s">
        <v>19</v>
      </c>
      <c r="E632" t="s">
        <v>20</v>
      </c>
      <c r="F632" s="1">
        <v>44822</v>
      </c>
      <c r="G632" s="1">
        <v>45148</v>
      </c>
      <c r="H632">
        <v>528</v>
      </c>
      <c r="I632">
        <v>6655</v>
      </c>
      <c r="J632">
        <v>-6127</v>
      </c>
      <c r="K632" t="s">
        <v>35</v>
      </c>
      <c r="L632">
        <v>10</v>
      </c>
      <c r="M632" t="str">
        <f t="shared" si="9"/>
        <v>6-12 Months</v>
      </c>
      <c r="N632" s="1">
        <v>45148</v>
      </c>
      <c r="O632">
        <v>1</v>
      </c>
      <c r="P632">
        <v>631</v>
      </c>
      <c r="Q632" s="2">
        <v>-11.6</v>
      </c>
      <c r="R632" t="s">
        <v>22</v>
      </c>
      <c r="S632">
        <v>2023</v>
      </c>
      <c r="T632" t="s">
        <v>36</v>
      </c>
    </row>
    <row r="633" spans="1:20" x14ac:dyDescent="0.3">
      <c r="A633">
        <v>1068</v>
      </c>
      <c r="B633">
        <v>339</v>
      </c>
      <c r="C633" t="s">
        <v>39</v>
      </c>
      <c r="D633" t="s">
        <v>19</v>
      </c>
      <c r="E633" t="s">
        <v>37</v>
      </c>
      <c r="F633" s="1">
        <v>44572</v>
      </c>
      <c r="G633" s="1">
        <v>45108</v>
      </c>
      <c r="H633">
        <v>4967.93</v>
      </c>
      <c r="I633">
        <v>4012.75</v>
      </c>
      <c r="J633">
        <v>577.01</v>
      </c>
      <c r="K633" t="s">
        <v>35</v>
      </c>
      <c r="L633">
        <v>17</v>
      </c>
      <c r="M633" t="str">
        <f t="shared" si="9"/>
        <v>6-12 Months</v>
      </c>
      <c r="N633" s="1">
        <v>45108</v>
      </c>
      <c r="O633">
        <v>0</v>
      </c>
      <c r="P633">
        <v>632</v>
      </c>
      <c r="Q633" s="2">
        <v>0.12</v>
      </c>
      <c r="R633" t="s">
        <v>27</v>
      </c>
      <c r="S633">
        <v>2023</v>
      </c>
      <c r="T633" t="s">
        <v>44</v>
      </c>
    </row>
    <row r="634" spans="1:20" hidden="1" x14ac:dyDescent="0.3">
      <c r="A634">
        <v>1069</v>
      </c>
      <c r="B634">
        <v>371</v>
      </c>
      <c r="C634" t="s">
        <v>24</v>
      </c>
      <c r="D634" t="s">
        <v>19</v>
      </c>
      <c r="E634" t="s">
        <v>20</v>
      </c>
      <c r="F634" s="1">
        <v>44840</v>
      </c>
      <c r="G634" s="1">
        <v>45146</v>
      </c>
      <c r="H634">
        <v>4967.93</v>
      </c>
      <c r="I634">
        <v>3198</v>
      </c>
      <c r="J634">
        <v>-4438</v>
      </c>
      <c r="K634" t="s">
        <v>21</v>
      </c>
      <c r="L634">
        <v>10</v>
      </c>
      <c r="M634" t="str">
        <f t="shared" si="9"/>
        <v>6-12 Months</v>
      </c>
      <c r="N634" s="1">
        <v>45146</v>
      </c>
      <c r="O634">
        <v>1</v>
      </c>
      <c r="P634">
        <v>633</v>
      </c>
      <c r="Q634" s="2">
        <v>-0.89</v>
      </c>
      <c r="R634" t="s">
        <v>27</v>
      </c>
      <c r="S634">
        <v>2023</v>
      </c>
      <c r="T634" t="s">
        <v>36</v>
      </c>
    </row>
    <row r="635" spans="1:20" hidden="1" x14ac:dyDescent="0.3">
      <c r="A635">
        <v>1070</v>
      </c>
      <c r="B635">
        <v>160</v>
      </c>
      <c r="C635" t="s">
        <v>40</v>
      </c>
      <c r="D635" t="s">
        <v>34</v>
      </c>
      <c r="E635" t="s">
        <v>26</v>
      </c>
      <c r="F635" s="1">
        <v>44600</v>
      </c>
      <c r="G635" s="1">
        <v>45038</v>
      </c>
      <c r="H635">
        <v>2917</v>
      </c>
      <c r="I635">
        <v>6119</v>
      </c>
      <c r="J635">
        <v>-3202</v>
      </c>
      <c r="K635" t="s">
        <v>54</v>
      </c>
      <c r="L635">
        <v>14</v>
      </c>
      <c r="M635" t="str">
        <f t="shared" si="9"/>
        <v>6-12 Months</v>
      </c>
      <c r="N635" s="1">
        <v>45038</v>
      </c>
      <c r="O635">
        <v>0</v>
      </c>
      <c r="P635">
        <v>634</v>
      </c>
      <c r="Q635" s="2">
        <v>-1.1000000000000001</v>
      </c>
      <c r="R635" t="s">
        <v>22</v>
      </c>
      <c r="S635">
        <v>2023</v>
      </c>
      <c r="T635" t="s">
        <v>32</v>
      </c>
    </row>
    <row r="636" spans="1:20" hidden="1" x14ac:dyDescent="0.3">
      <c r="A636">
        <v>1071</v>
      </c>
      <c r="B636">
        <v>301</v>
      </c>
      <c r="C636" t="s">
        <v>39</v>
      </c>
      <c r="D636" t="s">
        <v>34</v>
      </c>
      <c r="E636" t="s">
        <v>20</v>
      </c>
      <c r="F636" s="1">
        <v>44691</v>
      </c>
      <c r="G636" s="1">
        <v>44766</v>
      </c>
      <c r="H636">
        <v>4845</v>
      </c>
      <c r="I636">
        <v>6262</v>
      </c>
      <c r="J636">
        <v>577.01</v>
      </c>
      <c r="K636" t="s">
        <v>54</v>
      </c>
      <c r="L636">
        <v>2</v>
      </c>
      <c r="M636" t="str">
        <f t="shared" si="9"/>
        <v>0-6 Months</v>
      </c>
      <c r="N636" s="1">
        <v>44766</v>
      </c>
      <c r="O636">
        <v>1</v>
      </c>
      <c r="P636">
        <v>635</v>
      </c>
      <c r="Q636" s="2">
        <v>0.12</v>
      </c>
      <c r="R636" t="s">
        <v>27</v>
      </c>
      <c r="S636">
        <v>2022</v>
      </c>
      <c r="T636" t="s">
        <v>44</v>
      </c>
    </row>
    <row r="637" spans="1:20" hidden="1" x14ac:dyDescent="0.3">
      <c r="A637">
        <v>1073</v>
      </c>
      <c r="B637">
        <v>416</v>
      </c>
      <c r="C637" t="s">
        <v>45</v>
      </c>
      <c r="D637" t="s">
        <v>25</v>
      </c>
      <c r="E637" t="s">
        <v>37</v>
      </c>
      <c r="F637" s="1">
        <v>44658</v>
      </c>
      <c r="G637" s="1">
        <v>45132</v>
      </c>
      <c r="H637">
        <v>270</v>
      </c>
      <c r="I637">
        <v>4265</v>
      </c>
      <c r="J637">
        <v>-3995</v>
      </c>
      <c r="K637" t="s">
        <v>54</v>
      </c>
      <c r="L637">
        <v>15</v>
      </c>
      <c r="M637" t="str">
        <f t="shared" si="9"/>
        <v>6-12 Months</v>
      </c>
      <c r="N637" s="1">
        <v>45132</v>
      </c>
      <c r="O637">
        <v>0</v>
      </c>
      <c r="P637">
        <v>636</v>
      </c>
      <c r="Q637" s="2">
        <v>-14.8</v>
      </c>
      <c r="R637" t="s">
        <v>22</v>
      </c>
      <c r="S637">
        <v>2023</v>
      </c>
      <c r="T637" t="s">
        <v>44</v>
      </c>
    </row>
    <row r="638" spans="1:20" hidden="1" x14ac:dyDescent="0.3">
      <c r="A638">
        <v>1075</v>
      </c>
      <c r="B638">
        <v>493</v>
      </c>
      <c r="C638" t="s">
        <v>53</v>
      </c>
      <c r="D638" t="s">
        <v>25</v>
      </c>
      <c r="E638" t="s">
        <v>20</v>
      </c>
      <c r="F638" s="1">
        <v>44788</v>
      </c>
      <c r="G638" s="1">
        <v>45102</v>
      </c>
      <c r="H638">
        <v>1349</v>
      </c>
      <c r="I638">
        <v>2270</v>
      </c>
      <c r="J638">
        <v>-921</v>
      </c>
      <c r="K638" t="s">
        <v>54</v>
      </c>
      <c r="L638">
        <v>10</v>
      </c>
      <c r="M638" t="str">
        <f t="shared" si="9"/>
        <v>6-12 Months</v>
      </c>
      <c r="N638" s="1">
        <v>45102</v>
      </c>
      <c r="O638">
        <v>1</v>
      </c>
      <c r="P638">
        <v>637</v>
      </c>
      <c r="Q638" s="2">
        <v>-0.68</v>
      </c>
      <c r="R638" t="s">
        <v>27</v>
      </c>
      <c r="S638">
        <v>2023</v>
      </c>
      <c r="T638" t="s">
        <v>41</v>
      </c>
    </row>
    <row r="639" spans="1:20" hidden="1" x14ac:dyDescent="0.3">
      <c r="A639">
        <v>1076</v>
      </c>
      <c r="B639">
        <v>201</v>
      </c>
      <c r="C639" t="s">
        <v>40</v>
      </c>
      <c r="D639" t="s">
        <v>19</v>
      </c>
      <c r="E639" t="s">
        <v>26</v>
      </c>
      <c r="F639" s="1">
        <v>44720</v>
      </c>
      <c r="G639" s="1">
        <v>45301</v>
      </c>
      <c r="H639">
        <v>2250</v>
      </c>
      <c r="I639">
        <v>6489</v>
      </c>
      <c r="J639">
        <v>-4239</v>
      </c>
      <c r="K639" t="s">
        <v>21</v>
      </c>
      <c r="L639">
        <v>19</v>
      </c>
      <c r="M639" t="str">
        <f t="shared" si="9"/>
        <v>6-12 Months</v>
      </c>
      <c r="N639" s="1">
        <v>45301</v>
      </c>
      <c r="O639">
        <v>1</v>
      </c>
      <c r="P639">
        <v>638</v>
      </c>
      <c r="Q639" s="2">
        <v>-1.88</v>
      </c>
      <c r="R639" t="s">
        <v>22</v>
      </c>
      <c r="S639">
        <v>2024</v>
      </c>
      <c r="T639" t="s">
        <v>23</v>
      </c>
    </row>
    <row r="640" spans="1:20" hidden="1" x14ac:dyDescent="0.3">
      <c r="A640">
        <v>1077</v>
      </c>
      <c r="B640">
        <v>143</v>
      </c>
      <c r="C640" t="s">
        <v>45</v>
      </c>
      <c r="D640" t="s">
        <v>19</v>
      </c>
      <c r="E640" t="s">
        <v>26</v>
      </c>
      <c r="F640" s="1">
        <v>44897</v>
      </c>
      <c r="G640" s="1">
        <v>45459</v>
      </c>
      <c r="H640">
        <v>4158</v>
      </c>
      <c r="I640">
        <v>1823</v>
      </c>
      <c r="J640">
        <v>2335</v>
      </c>
      <c r="K640" t="s">
        <v>54</v>
      </c>
      <c r="L640">
        <v>18</v>
      </c>
      <c r="M640" t="str">
        <f t="shared" si="9"/>
        <v>6-12 Months</v>
      </c>
      <c r="N640" s="1">
        <v>45459</v>
      </c>
      <c r="O640">
        <v>0</v>
      </c>
      <c r="P640">
        <v>639</v>
      </c>
      <c r="Q640" s="2">
        <v>0.56000000000000005</v>
      </c>
      <c r="R640" t="s">
        <v>27</v>
      </c>
      <c r="S640">
        <v>2024</v>
      </c>
      <c r="T640" t="s">
        <v>41</v>
      </c>
    </row>
    <row r="641" spans="1:20" hidden="1" x14ac:dyDescent="0.3">
      <c r="A641">
        <v>1079</v>
      </c>
      <c r="B641">
        <v>255</v>
      </c>
      <c r="C641" t="s">
        <v>40</v>
      </c>
      <c r="D641" t="s">
        <v>25</v>
      </c>
      <c r="E641" t="s">
        <v>26</v>
      </c>
      <c r="F641" s="1">
        <v>44577</v>
      </c>
      <c r="G641" s="1">
        <v>44641</v>
      </c>
      <c r="H641">
        <v>3217</v>
      </c>
      <c r="I641">
        <v>4627</v>
      </c>
      <c r="J641">
        <v>-1410</v>
      </c>
      <c r="K641" t="s">
        <v>54</v>
      </c>
      <c r="L641">
        <v>2</v>
      </c>
      <c r="M641" t="str">
        <f t="shared" si="9"/>
        <v>0-6 Months</v>
      </c>
      <c r="N641" s="1">
        <v>44641</v>
      </c>
      <c r="O641">
        <v>1</v>
      </c>
      <c r="P641">
        <v>640</v>
      </c>
      <c r="Q641" s="2">
        <v>-0.44</v>
      </c>
      <c r="R641" t="s">
        <v>27</v>
      </c>
      <c r="S641">
        <v>2022</v>
      </c>
      <c r="T641" t="s">
        <v>38</v>
      </c>
    </row>
    <row r="642" spans="1:20" hidden="1" x14ac:dyDescent="0.3">
      <c r="A642">
        <v>1080</v>
      </c>
      <c r="B642">
        <v>300</v>
      </c>
      <c r="C642" t="s">
        <v>39</v>
      </c>
      <c r="D642" t="s">
        <v>25</v>
      </c>
      <c r="E642" t="s">
        <v>20</v>
      </c>
      <c r="F642" s="1">
        <v>44799</v>
      </c>
      <c r="G642" s="1">
        <v>44915</v>
      </c>
      <c r="H642">
        <v>7656</v>
      </c>
      <c r="I642">
        <v>3310</v>
      </c>
      <c r="J642">
        <v>4346</v>
      </c>
      <c r="K642" t="s">
        <v>54</v>
      </c>
      <c r="L642">
        <v>3</v>
      </c>
      <c r="M642" t="str">
        <f t="shared" ref="M642:M705" si="10">IF(L642&lt;6,"0-6 Months",IF(L642&gt;6,"6-12 Months","12+ Months"))</f>
        <v>0-6 Months</v>
      </c>
      <c r="N642" s="1">
        <v>44915</v>
      </c>
      <c r="O642">
        <v>0</v>
      </c>
      <c r="P642">
        <v>641</v>
      </c>
      <c r="Q642" s="2">
        <v>0.56999999999999995</v>
      </c>
      <c r="R642" t="s">
        <v>27</v>
      </c>
      <c r="S642">
        <v>2022</v>
      </c>
      <c r="T642" t="s">
        <v>31</v>
      </c>
    </row>
    <row r="643" spans="1:20" hidden="1" x14ac:dyDescent="0.3">
      <c r="A643">
        <v>1081</v>
      </c>
      <c r="B643">
        <v>106</v>
      </c>
      <c r="C643" t="s">
        <v>39</v>
      </c>
      <c r="D643" t="s">
        <v>29</v>
      </c>
      <c r="E643" t="s">
        <v>26</v>
      </c>
      <c r="F643" s="1">
        <v>44686</v>
      </c>
      <c r="G643" s="1">
        <v>45119</v>
      </c>
      <c r="H643">
        <v>5294</v>
      </c>
      <c r="I643">
        <v>6871</v>
      </c>
      <c r="J643">
        <v>-1577</v>
      </c>
      <c r="K643" t="s">
        <v>54</v>
      </c>
      <c r="L643">
        <v>14</v>
      </c>
      <c r="M643" t="str">
        <f t="shared" si="10"/>
        <v>6-12 Months</v>
      </c>
      <c r="N643" s="1">
        <v>45119</v>
      </c>
      <c r="O643">
        <v>1</v>
      </c>
      <c r="P643">
        <v>642</v>
      </c>
      <c r="Q643" s="2">
        <v>-0.3</v>
      </c>
      <c r="R643" t="s">
        <v>27</v>
      </c>
      <c r="S643">
        <v>2023</v>
      </c>
      <c r="T643" t="s">
        <v>44</v>
      </c>
    </row>
    <row r="644" spans="1:20" hidden="1" x14ac:dyDescent="0.3">
      <c r="A644">
        <v>1082</v>
      </c>
      <c r="B644">
        <v>122</v>
      </c>
      <c r="C644" t="s">
        <v>39</v>
      </c>
      <c r="D644" t="s">
        <v>34</v>
      </c>
      <c r="E644" t="s">
        <v>26</v>
      </c>
      <c r="F644" s="1">
        <v>44828</v>
      </c>
      <c r="G644" s="1">
        <v>45028</v>
      </c>
      <c r="H644">
        <v>7502</v>
      </c>
      <c r="I644">
        <v>2115</v>
      </c>
      <c r="J644">
        <v>5387</v>
      </c>
      <c r="K644" t="s">
        <v>21</v>
      </c>
      <c r="L644">
        <v>6</v>
      </c>
      <c r="M644" t="str">
        <f t="shared" si="10"/>
        <v>12+ Months</v>
      </c>
      <c r="N644" s="1">
        <v>45028</v>
      </c>
      <c r="O644">
        <v>0</v>
      </c>
      <c r="P644">
        <v>643</v>
      </c>
      <c r="Q644" s="2">
        <v>0.72</v>
      </c>
      <c r="R644" t="s">
        <v>27</v>
      </c>
      <c r="S644">
        <v>2023</v>
      </c>
      <c r="T644" t="s">
        <v>32</v>
      </c>
    </row>
    <row r="645" spans="1:20" x14ac:dyDescent="0.3">
      <c r="A645">
        <v>1083</v>
      </c>
      <c r="B645">
        <v>304</v>
      </c>
      <c r="C645" t="s">
        <v>24</v>
      </c>
      <c r="D645" t="s">
        <v>25</v>
      </c>
      <c r="E645" t="s">
        <v>26</v>
      </c>
      <c r="F645" s="1">
        <v>44838</v>
      </c>
      <c r="G645" s="1">
        <v>45045</v>
      </c>
      <c r="H645">
        <v>1406</v>
      </c>
      <c r="I645">
        <v>1592</v>
      </c>
      <c r="J645">
        <v>-186</v>
      </c>
      <c r="K645" t="s">
        <v>35</v>
      </c>
      <c r="L645">
        <v>6</v>
      </c>
      <c r="M645" t="str">
        <f t="shared" si="10"/>
        <v>12+ Months</v>
      </c>
      <c r="N645" s="1">
        <v>45045</v>
      </c>
      <c r="O645">
        <v>0</v>
      </c>
      <c r="P645">
        <v>644</v>
      </c>
      <c r="Q645" s="2">
        <v>-0.13</v>
      </c>
      <c r="R645" t="s">
        <v>27</v>
      </c>
      <c r="S645">
        <v>2023</v>
      </c>
      <c r="T645" t="s">
        <v>32</v>
      </c>
    </row>
    <row r="646" spans="1:20" hidden="1" x14ac:dyDescent="0.3">
      <c r="A646">
        <v>1084</v>
      </c>
      <c r="B646">
        <v>174</v>
      </c>
      <c r="C646" t="s">
        <v>39</v>
      </c>
      <c r="D646" t="s">
        <v>29</v>
      </c>
      <c r="E646" t="s">
        <v>26</v>
      </c>
      <c r="F646" s="1">
        <v>44906</v>
      </c>
      <c r="G646" s="1">
        <v>44941</v>
      </c>
      <c r="H646">
        <v>4967.93</v>
      </c>
      <c r="I646">
        <v>7513</v>
      </c>
      <c r="J646">
        <v>-8218</v>
      </c>
      <c r="K646" t="s">
        <v>54</v>
      </c>
      <c r="L646">
        <v>1</v>
      </c>
      <c r="M646" t="str">
        <f t="shared" si="10"/>
        <v>0-6 Months</v>
      </c>
      <c r="N646" s="1">
        <v>44941</v>
      </c>
      <c r="O646">
        <v>0</v>
      </c>
      <c r="P646">
        <v>645</v>
      </c>
      <c r="Q646" s="2">
        <v>-1.65</v>
      </c>
      <c r="R646" t="s">
        <v>22</v>
      </c>
      <c r="S646">
        <v>2023</v>
      </c>
      <c r="T646" t="s">
        <v>23</v>
      </c>
    </row>
    <row r="647" spans="1:20" hidden="1" x14ac:dyDescent="0.3">
      <c r="A647">
        <v>1085</v>
      </c>
      <c r="B647">
        <v>193</v>
      </c>
      <c r="C647" t="s">
        <v>40</v>
      </c>
      <c r="D647" t="s">
        <v>25</v>
      </c>
      <c r="E647" t="s">
        <v>37</v>
      </c>
      <c r="F647" s="1">
        <v>44646</v>
      </c>
      <c r="G647" s="1">
        <v>44993</v>
      </c>
      <c r="H647">
        <v>8478</v>
      </c>
      <c r="I647">
        <v>4456</v>
      </c>
      <c r="J647">
        <v>4022</v>
      </c>
      <c r="K647" t="s">
        <v>54</v>
      </c>
      <c r="L647">
        <v>11</v>
      </c>
      <c r="M647" t="str">
        <f t="shared" si="10"/>
        <v>6-12 Months</v>
      </c>
      <c r="N647" s="1">
        <v>44993</v>
      </c>
      <c r="O647">
        <v>1</v>
      </c>
      <c r="P647">
        <v>646</v>
      </c>
      <c r="Q647" s="2">
        <v>0.47</v>
      </c>
      <c r="R647" t="s">
        <v>27</v>
      </c>
      <c r="S647">
        <v>2023</v>
      </c>
      <c r="T647" t="s">
        <v>38</v>
      </c>
    </row>
    <row r="648" spans="1:20" x14ac:dyDescent="0.3">
      <c r="A648">
        <v>1086</v>
      </c>
      <c r="B648">
        <v>130</v>
      </c>
      <c r="C648" t="s">
        <v>24</v>
      </c>
      <c r="D648" t="s">
        <v>34</v>
      </c>
      <c r="E648" t="s">
        <v>26</v>
      </c>
      <c r="F648" s="1">
        <v>44785</v>
      </c>
      <c r="G648" s="1">
        <v>45031</v>
      </c>
      <c r="H648">
        <v>7206</v>
      </c>
      <c r="I648">
        <v>524</v>
      </c>
      <c r="J648">
        <v>6682</v>
      </c>
      <c r="K648" t="s">
        <v>35</v>
      </c>
      <c r="L648">
        <v>8</v>
      </c>
      <c r="M648" t="str">
        <f t="shared" si="10"/>
        <v>6-12 Months</v>
      </c>
      <c r="N648" s="1">
        <v>45031</v>
      </c>
      <c r="O648">
        <v>1</v>
      </c>
      <c r="P648">
        <v>647</v>
      </c>
      <c r="Q648" s="2">
        <v>0.93</v>
      </c>
      <c r="R648" t="s">
        <v>27</v>
      </c>
      <c r="S648">
        <v>2023</v>
      </c>
      <c r="T648" t="s">
        <v>32</v>
      </c>
    </row>
    <row r="649" spans="1:20" hidden="1" x14ac:dyDescent="0.3">
      <c r="A649">
        <v>1088</v>
      </c>
      <c r="B649">
        <v>350</v>
      </c>
      <c r="C649" t="s">
        <v>24</v>
      </c>
      <c r="D649" t="s">
        <v>34</v>
      </c>
      <c r="E649" t="s">
        <v>26</v>
      </c>
      <c r="F649" s="1">
        <v>44597</v>
      </c>
      <c r="G649" s="1">
        <v>44742</v>
      </c>
      <c r="H649">
        <v>7737</v>
      </c>
      <c r="I649">
        <v>7985</v>
      </c>
      <c r="J649">
        <v>-248</v>
      </c>
      <c r="K649" t="s">
        <v>21</v>
      </c>
      <c r="L649">
        <v>4</v>
      </c>
      <c r="M649" t="str">
        <f t="shared" si="10"/>
        <v>0-6 Months</v>
      </c>
      <c r="N649" s="1">
        <v>44742</v>
      </c>
      <c r="O649">
        <v>1</v>
      </c>
      <c r="P649">
        <v>648</v>
      </c>
      <c r="Q649" s="2">
        <v>-0.03</v>
      </c>
      <c r="R649" t="s">
        <v>27</v>
      </c>
      <c r="S649">
        <v>2022</v>
      </c>
      <c r="T649" t="s">
        <v>41</v>
      </c>
    </row>
    <row r="650" spans="1:20" hidden="1" x14ac:dyDescent="0.3">
      <c r="A650">
        <v>1089</v>
      </c>
      <c r="B650">
        <v>242</v>
      </c>
      <c r="C650" t="s">
        <v>40</v>
      </c>
      <c r="D650" t="s">
        <v>29</v>
      </c>
      <c r="E650" t="s">
        <v>26</v>
      </c>
      <c r="F650" s="1">
        <v>44641</v>
      </c>
      <c r="G650" s="1">
        <v>44882</v>
      </c>
      <c r="H650">
        <v>4967.93</v>
      </c>
      <c r="I650">
        <v>4743</v>
      </c>
      <c r="J650">
        <v>-5994</v>
      </c>
      <c r="K650" t="s">
        <v>54</v>
      </c>
      <c r="L650">
        <v>7</v>
      </c>
      <c r="M650" t="str">
        <f t="shared" si="10"/>
        <v>6-12 Months</v>
      </c>
      <c r="N650" s="1">
        <v>44882</v>
      </c>
      <c r="O650">
        <v>1</v>
      </c>
      <c r="P650">
        <v>649</v>
      </c>
      <c r="Q650" s="2">
        <v>-1.21</v>
      </c>
      <c r="R650" t="s">
        <v>22</v>
      </c>
      <c r="S650">
        <v>2022</v>
      </c>
      <c r="T650" t="s">
        <v>42</v>
      </c>
    </row>
    <row r="651" spans="1:20" hidden="1" x14ac:dyDescent="0.3">
      <c r="A651">
        <v>1094</v>
      </c>
      <c r="B651">
        <v>248</v>
      </c>
      <c r="C651" t="s">
        <v>39</v>
      </c>
      <c r="D651" t="s">
        <v>19</v>
      </c>
      <c r="E651" t="s">
        <v>26</v>
      </c>
      <c r="F651" s="1">
        <v>44815</v>
      </c>
      <c r="G651" s="1">
        <v>45350</v>
      </c>
      <c r="H651">
        <v>2098</v>
      </c>
      <c r="I651">
        <v>5011</v>
      </c>
      <c r="J651">
        <v>-2913</v>
      </c>
      <c r="K651" t="s">
        <v>54</v>
      </c>
      <c r="L651">
        <v>17</v>
      </c>
      <c r="M651" t="str">
        <f t="shared" si="10"/>
        <v>6-12 Months</v>
      </c>
      <c r="N651" s="1">
        <v>45350</v>
      </c>
      <c r="O651">
        <v>0</v>
      </c>
      <c r="P651">
        <v>650</v>
      </c>
      <c r="Q651" s="2">
        <v>-1.39</v>
      </c>
      <c r="R651" t="s">
        <v>22</v>
      </c>
      <c r="S651">
        <v>2024</v>
      </c>
      <c r="T651" t="s">
        <v>43</v>
      </c>
    </row>
    <row r="652" spans="1:20" hidden="1" x14ac:dyDescent="0.3">
      <c r="A652">
        <v>1095</v>
      </c>
      <c r="B652">
        <v>355</v>
      </c>
      <c r="C652" t="s">
        <v>24</v>
      </c>
      <c r="D652" t="s">
        <v>29</v>
      </c>
      <c r="E652" t="s">
        <v>37</v>
      </c>
      <c r="F652" s="1">
        <v>44696</v>
      </c>
      <c r="G652" s="1">
        <v>44760</v>
      </c>
      <c r="H652">
        <v>9779</v>
      </c>
      <c r="I652">
        <v>7692</v>
      </c>
      <c r="J652">
        <v>2087</v>
      </c>
      <c r="K652" t="s">
        <v>54</v>
      </c>
      <c r="L652">
        <v>2</v>
      </c>
      <c r="M652" t="str">
        <f t="shared" si="10"/>
        <v>0-6 Months</v>
      </c>
      <c r="N652" s="1">
        <v>44760</v>
      </c>
      <c r="O652">
        <v>0</v>
      </c>
      <c r="P652">
        <v>651</v>
      </c>
      <c r="Q652" s="2">
        <v>0.21</v>
      </c>
      <c r="R652" t="s">
        <v>27</v>
      </c>
      <c r="S652">
        <v>2022</v>
      </c>
      <c r="T652" t="s">
        <v>44</v>
      </c>
    </row>
    <row r="653" spans="1:20" hidden="1" x14ac:dyDescent="0.3">
      <c r="A653">
        <v>1097</v>
      </c>
      <c r="B653">
        <v>156</v>
      </c>
      <c r="C653" t="s">
        <v>39</v>
      </c>
      <c r="D653" t="s">
        <v>34</v>
      </c>
      <c r="E653" t="s">
        <v>26</v>
      </c>
      <c r="F653" s="1">
        <v>44669</v>
      </c>
      <c r="G653" s="1">
        <v>45088</v>
      </c>
      <c r="H653">
        <v>4967.93</v>
      </c>
      <c r="I653">
        <v>1602</v>
      </c>
      <c r="J653">
        <v>-2465</v>
      </c>
      <c r="K653" t="s">
        <v>54</v>
      </c>
      <c r="L653">
        <v>13</v>
      </c>
      <c r="M653" t="str">
        <f t="shared" si="10"/>
        <v>6-12 Months</v>
      </c>
      <c r="N653" s="1">
        <v>45088</v>
      </c>
      <c r="O653">
        <v>0</v>
      </c>
      <c r="P653">
        <v>652</v>
      </c>
      <c r="Q653" s="2">
        <v>-0.5</v>
      </c>
      <c r="R653" t="s">
        <v>27</v>
      </c>
      <c r="S653">
        <v>2023</v>
      </c>
      <c r="T653" t="s">
        <v>41</v>
      </c>
    </row>
    <row r="654" spans="1:20" hidden="1" x14ac:dyDescent="0.3">
      <c r="A654">
        <v>1099</v>
      </c>
      <c r="B654">
        <v>183</v>
      </c>
      <c r="C654" t="s">
        <v>24</v>
      </c>
      <c r="D654" t="s">
        <v>25</v>
      </c>
      <c r="E654" t="s">
        <v>20</v>
      </c>
      <c r="F654" s="1">
        <v>44880</v>
      </c>
      <c r="G654" s="1">
        <v>45347</v>
      </c>
      <c r="H654">
        <v>2311</v>
      </c>
      <c r="I654">
        <v>7492</v>
      </c>
      <c r="J654">
        <v>-5181</v>
      </c>
      <c r="K654" t="s">
        <v>21</v>
      </c>
      <c r="L654">
        <v>15</v>
      </c>
      <c r="M654" t="str">
        <f t="shared" si="10"/>
        <v>6-12 Months</v>
      </c>
      <c r="N654" s="1">
        <v>45347</v>
      </c>
      <c r="O654">
        <v>0</v>
      </c>
      <c r="P654">
        <v>653</v>
      </c>
      <c r="Q654" s="2">
        <v>-2.2400000000000002</v>
      </c>
      <c r="R654" t="s">
        <v>22</v>
      </c>
      <c r="S654">
        <v>2024</v>
      </c>
      <c r="T654" t="s">
        <v>43</v>
      </c>
    </row>
    <row r="655" spans="1:20" x14ac:dyDescent="0.3">
      <c r="A655">
        <v>1100</v>
      </c>
      <c r="B655">
        <v>261</v>
      </c>
      <c r="C655" t="s">
        <v>39</v>
      </c>
      <c r="D655" t="s">
        <v>25</v>
      </c>
      <c r="E655" t="s">
        <v>37</v>
      </c>
      <c r="F655" s="1">
        <v>44816</v>
      </c>
      <c r="G655" s="1">
        <v>44928</v>
      </c>
      <c r="H655">
        <v>3391</v>
      </c>
      <c r="I655">
        <v>5031</v>
      </c>
      <c r="J655">
        <v>-1640</v>
      </c>
      <c r="K655" t="s">
        <v>35</v>
      </c>
      <c r="L655">
        <v>3</v>
      </c>
      <c r="M655" t="str">
        <f t="shared" si="10"/>
        <v>0-6 Months</v>
      </c>
      <c r="N655" s="1">
        <v>44928</v>
      </c>
      <c r="O655">
        <v>1</v>
      </c>
      <c r="P655">
        <v>654</v>
      </c>
      <c r="Q655" s="2">
        <v>-0.48</v>
      </c>
      <c r="R655" t="s">
        <v>27</v>
      </c>
      <c r="S655">
        <v>2023</v>
      </c>
      <c r="T655" t="s">
        <v>23</v>
      </c>
    </row>
    <row r="656" spans="1:20" hidden="1" x14ac:dyDescent="0.3">
      <c r="A656">
        <v>1101</v>
      </c>
      <c r="B656">
        <v>247</v>
      </c>
      <c r="C656" t="s">
        <v>53</v>
      </c>
      <c r="D656" t="s">
        <v>19</v>
      </c>
      <c r="E656" t="s">
        <v>37</v>
      </c>
      <c r="F656" s="1">
        <v>44860</v>
      </c>
      <c r="G656" s="1">
        <v>44996</v>
      </c>
      <c r="H656">
        <v>6677</v>
      </c>
      <c r="I656">
        <v>3866</v>
      </c>
      <c r="J656">
        <v>2811</v>
      </c>
      <c r="K656" t="s">
        <v>54</v>
      </c>
      <c r="L656">
        <v>4</v>
      </c>
      <c r="M656" t="str">
        <f t="shared" si="10"/>
        <v>0-6 Months</v>
      </c>
      <c r="N656" s="1">
        <v>44996</v>
      </c>
      <c r="O656">
        <v>1</v>
      </c>
      <c r="P656">
        <v>655</v>
      </c>
      <c r="Q656" s="2">
        <v>0.42</v>
      </c>
      <c r="R656" t="s">
        <v>27</v>
      </c>
      <c r="S656">
        <v>2023</v>
      </c>
      <c r="T656" t="s">
        <v>38</v>
      </c>
    </row>
    <row r="657" spans="1:20" hidden="1" x14ac:dyDescent="0.3">
      <c r="A657">
        <v>1103</v>
      </c>
      <c r="B657">
        <v>106</v>
      </c>
      <c r="C657" t="s">
        <v>53</v>
      </c>
      <c r="D657" t="s">
        <v>34</v>
      </c>
      <c r="E657" t="s">
        <v>26</v>
      </c>
      <c r="F657" s="1">
        <v>44615</v>
      </c>
      <c r="G657" s="1">
        <v>44772</v>
      </c>
      <c r="H657">
        <v>4593</v>
      </c>
      <c r="I657">
        <v>4672</v>
      </c>
      <c r="J657">
        <v>-79</v>
      </c>
      <c r="K657" t="s">
        <v>54</v>
      </c>
      <c r="L657">
        <v>5</v>
      </c>
      <c r="M657" t="str">
        <f t="shared" si="10"/>
        <v>0-6 Months</v>
      </c>
      <c r="N657" s="1">
        <v>44772</v>
      </c>
      <c r="O657">
        <v>0</v>
      </c>
      <c r="P657">
        <v>656</v>
      </c>
      <c r="Q657" s="2">
        <v>-0.02</v>
      </c>
      <c r="R657" t="s">
        <v>27</v>
      </c>
      <c r="S657">
        <v>2022</v>
      </c>
      <c r="T657" t="s">
        <v>44</v>
      </c>
    </row>
    <row r="658" spans="1:20" hidden="1" x14ac:dyDescent="0.3">
      <c r="A658">
        <v>1104</v>
      </c>
      <c r="B658">
        <v>159</v>
      </c>
      <c r="C658" t="s">
        <v>24</v>
      </c>
      <c r="D658" t="s">
        <v>25</v>
      </c>
      <c r="E658" t="s">
        <v>20</v>
      </c>
      <c r="F658" s="1">
        <v>44608</v>
      </c>
      <c r="G658" s="1">
        <v>44904</v>
      </c>
      <c r="H658">
        <v>8330</v>
      </c>
      <c r="I658">
        <v>5136</v>
      </c>
      <c r="J658">
        <v>3194</v>
      </c>
      <c r="K658" t="s">
        <v>21</v>
      </c>
      <c r="L658">
        <v>9</v>
      </c>
      <c r="M658" t="str">
        <f t="shared" si="10"/>
        <v>6-12 Months</v>
      </c>
      <c r="N658" s="1">
        <v>44904</v>
      </c>
      <c r="O658">
        <v>0</v>
      </c>
      <c r="P658">
        <v>657</v>
      </c>
      <c r="Q658" s="2">
        <v>0.38</v>
      </c>
      <c r="R658" t="s">
        <v>27</v>
      </c>
      <c r="S658">
        <v>2022</v>
      </c>
      <c r="T658" t="s">
        <v>31</v>
      </c>
    </row>
    <row r="659" spans="1:20" x14ac:dyDescent="0.3">
      <c r="A659">
        <v>1105</v>
      </c>
      <c r="B659">
        <v>238</v>
      </c>
      <c r="C659" t="s">
        <v>53</v>
      </c>
      <c r="D659" t="s">
        <v>19</v>
      </c>
      <c r="E659" t="s">
        <v>26</v>
      </c>
      <c r="F659" s="1">
        <v>44801</v>
      </c>
      <c r="G659" s="1">
        <v>45321</v>
      </c>
      <c r="H659">
        <v>764</v>
      </c>
      <c r="I659">
        <v>3093</v>
      </c>
      <c r="J659">
        <v>-2329</v>
      </c>
      <c r="K659" t="s">
        <v>35</v>
      </c>
      <c r="L659">
        <v>17</v>
      </c>
      <c r="M659" t="str">
        <f t="shared" si="10"/>
        <v>6-12 Months</v>
      </c>
      <c r="N659" s="1">
        <v>45321</v>
      </c>
      <c r="O659">
        <v>0</v>
      </c>
      <c r="P659">
        <v>658</v>
      </c>
      <c r="Q659" s="2">
        <v>-3.05</v>
      </c>
      <c r="R659" t="s">
        <v>22</v>
      </c>
      <c r="S659">
        <v>2024</v>
      </c>
      <c r="T659" t="s">
        <v>23</v>
      </c>
    </row>
    <row r="660" spans="1:20" hidden="1" x14ac:dyDescent="0.3">
      <c r="A660">
        <v>1106</v>
      </c>
      <c r="B660">
        <v>225</v>
      </c>
      <c r="C660" t="s">
        <v>39</v>
      </c>
      <c r="D660" t="s">
        <v>29</v>
      </c>
      <c r="E660" t="s">
        <v>37</v>
      </c>
      <c r="F660" s="1">
        <v>44901</v>
      </c>
      <c r="G660" s="1">
        <v>45033</v>
      </c>
      <c r="H660">
        <v>4967.93</v>
      </c>
      <c r="I660">
        <v>7518</v>
      </c>
      <c r="J660">
        <v>-9018</v>
      </c>
      <c r="K660" t="s">
        <v>54</v>
      </c>
      <c r="L660">
        <v>4</v>
      </c>
      <c r="M660" t="str">
        <f t="shared" si="10"/>
        <v>0-6 Months</v>
      </c>
      <c r="N660" s="1">
        <v>45033</v>
      </c>
      <c r="O660">
        <v>1</v>
      </c>
      <c r="P660">
        <v>659</v>
      </c>
      <c r="Q660" s="2">
        <v>-1.82</v>
      </c>
      <c r="R660" t="s">
        <v>22</v>
      </c>
      <c r="S660">
        <v>2023</v>
      </c>
      <c r="T660" t="s">
        <v>32</v>
      </c>
    </row>
    <row r="661" spans="1:20" hidden="1" x14ac:dyDescent="0.3">
      <c r="A661">
        <v>1107</v>
      </c>
      <c r="B661">
        <v>455</v>
      </c>
      <c r="C661" t="s">
        <v>40</v>
      </c>
      <c r="D661" t="s">
        <v>34</v>
      </c>
      <c r="E661" t="s">
        <v>37</v>
      </c>
      <c r="F661" s="1">
        <v>44569</v>
      </c>
      <c r="G661" s="1">
        <v>45117</v>
      </c>
      <c r="H661">
        <v>7134</v>
      </c>
      <c r="I661">
        <v>932</v>
      </c>
      <c r="J661">
        <v>6202</v>
      </c>
      <c r="K661" t="s">
        <v>54</v>
      </c>
      <c r="L661">
        <v>18</v>
      </c>
      <c r="M661" t="str">
        <f t="shared" si="10"/>
        <v>6-12 Months</v>
      </c>
      <c r="N661" s="1">
        <v>45117</v>
      </c>
      <c r="O661">
        <v>1</v>
      </c>
      <c r="P661">
        <v>660</v>
      </c>
      <c r="Q661" s="2">
        <v>0.87</v>
      </c>
      <c r="R661" t="s">
        <v>27</v>
      </c>
      <c r="S661">
        <v>2023</v>
      </c>
      <c r="T661" t="s">
        <v>44</v>
      </c>
    </row>
    <row r="662" spans="1:20" hidden="1" x14ac:dyDescent="0.3">
      <c r="A662">
        <v>1108</v>
      </c>
      <c r="B662">
        <v>381</v>
      </c>
      <c r="C662" t="s">
        <v>39</v>
      </c>
      <c r="D662" t="s">
        <v>29</v>
      </c>
      <c r="E662" t="s">
        <v>37</v>
      </c>
      <c r="F662" s="1">
        <v>44726</v>
      </c>
      <c r="G662" s="1">
        <v>45144</v>
      </c>
      <c r="H662">
        <v>505</v>
      </c>
      <c r="I662">
        <v>4650</v>
      </c>
      <c r="J662">
        <v>-4145</v>
      </c>
      <c r="K662" t="s">
        <v>54</v>
      </c>
      <c r="L662">
        <v>13</v>
      </c>
      <c r="M662" t="str">
        <f t="shared" si="10"/>
        <v>6-12 Months</v>
      </c>
      <c r="N662" s="1">
        <v>45144</v>
      </c>
      <c r="O662">
        <v>0</v>
      </c>
      <c r="P662">
        <v>661</v>
      </c>
      <c r="Q662" s="2">
        <v>-8.2100000000000009</v>
      </c>
      <c r="R662" t="s">
        <v>22</v>
      </c>
      <c r="S662">
        <v>2023</v>
      </c>
      <c r="T662" t="s">
        <v>36</v>
      </c>
    </row>
    <row r="663" spans="1:20" hidden="1" x14ac:dyDescent="0.3">
      <c r="A663">
        <v>1109</v>
      </c>
      <c r="B663">
        <v>492</v>
      </c>
      <c r="C663" t="s">
        <v>24</v>
      </c>
      <c r="D663" t="s">
        <v>25</v>
      </c>
      <c r="E663" t="s">
        <v>37</v>
      </c>
      <c r="F663" s="1">
        <v>44601</v>
      </c>
      <c r="G663" s="1">
        <v>44989</v>
      </c>
      <c r="H663">
        <v>4725</v>
      </c>
      <c r="I663">
        <v>1433</v>
      </c>
      <c r="J663">
        <v>3292</v>
      </c>
      <c r="K663" t="s">
        <v>21</v>
      </c>
      <c r="L663">
        <v>12</v>
      </c>
      <c r="M663" t="str">
        <f t="shared" si="10"/>
        <v>6-12 Months</v>
      </c>
      <c r="N663" s="1">
        <v>44989</v>
      </c>
      <c r="O663">
        <v>1</v>
      </c>
      <c r="P663">
        <v>662</v>
      </c>
      <c r="Q663" s="2">
        <v>0.7</v>
      </c>
      <c r="R663" t="s">
        <v>27</v>
      </c>
      <c r="S663">
        <v>2023</v>
      </c>
      <c r="T663" t="s">
        <v>38</v>
      </c>
    </row>
    <row r="664" spans="1:20" hidden="1" x14ac:dyDescent="0.3">
      <c r="A664">
        <v>1110</v>
      </c>
      <c r="B664">
        <v>452</v>
      </c>
      <c r="C664" t="s">
        <v>39</v>
      </c>
      <c r="D664" t="s">
        <v>19</v>
      </c>
      <c r="E664" t="s">
        <v>20</v>
      </c>
      <c r="F664" s="1">
        <v>44866</v>
      </c>
      <c r="G664" s="1">
        <v>44938</v>
      </c>
      <c r="H664">
        <v>6065</v>
      </c>
      <c r="I664">
        <v>7667</v>
      </c>
      <c r="J664">
        <v>-1602</v>
      </c>
      <c r="K664" t="s">
        <v>21</v>
      </c>
      <c r="L664">
        <v>2</v>
      </c>
      <c r="M664" t="str">
        <f t="shared" si="10"/>
        <v>0-6 Months</v>
      </c>
      <c r="N664" s="1">
        <v>44938</v>
      </c>
      <c r="O664">
        <v>1</v>
      </c>
      <c r="P664">
        <v>663</v>
      </c>
      <c r="Q664" s="2">
        <v>-0.26</v>
      </c>
      <c r="R664" t="s">
        <v>27</v>
      </c>
      <c r="S664">
        <v>2023</v>
      </c>
      <c r="T664" t="s">
        <v>23</v>
      </c>
    </row>
    <row r="665" spans="1:20" hidden="1" x14ac:dyDescent="0.3">
      <c r="A665">
        <v>1111</v>
      </c>
      <c r="B665">
        <v>193</v>
      </c>
      <c r="C665" t="s">
        <v>53</v>
      </c>
      <c r="D665" t="s">
        <v>19</v>
      </c>
      <c r="E665" t="s">
        <v>26</v>
      </c>
      <c r="F665" s="1">
        <v>44722</v>
      </c>
      <c r="G665" s="1">
        <v>45091</v>
      </c>
      <c r="H665">
        <v>9046</v>
      </c>
      <c r="I665">
        <v>4959</v>
      </c>
      <c r="J665">
        <v>4087</v>
      </c>
      <c r="K665" t="s">
        <v>54</v>
      </c>
      <c r="L665">
        <v>12</v>
      </c>
      <c r="M665" t="str">
        <f t="shared" si="10"/>
        <v>6-12 Months</v>
      </c>
      <c r="N665" s="1">
        <v>45091</v>
      </c>
      <c r="O665">
        <v>0</v>
      </c>
      <c r="P665">
        <v>664</v>
      </c>
      <c r="Q665" s="2">
        <v>0.45</v>
      </c>
      <c r="R665" t="s">
        <v>27</v>
      </c>
      <c r="S665">
        <v>2023</v>
      </c>
      <c r="T665" t="s">
        <v>41</v>
      </c>
    </row>
    <row r="666" spans="1:20" hidden="1" x14ac:dyDescent="0.3">
      <c r="A666">
        <v>1114</v>
      </c>
      <c r="B666">
        <v>444</v>
      </c>
      <c r="C666" t="s">
        <v>45</v>
      </c>
      <c r="D666" t="s">
        <v>29</v>
      </c>
      <c r="E666" t="s">
        <v>26</v>
      </c>
      <c r="F666" s="1">
        <v>44589</v>
      </c>
      <c r="G666" s="1">
        <v>45058</v>
      </c>
      <c r="H666">
        <v>8384</v>
      </c>
      <c r="I666">
        <v>860</v>
      </c>
      <c r="J666">
        <v>7524</v>
      </c>
      <c r="K666" t="s">
        <v>54</v>
      </c>
      <c r="L666">
        <v>15</v>
      </c>
      <c r="M666" t="str">
        <f t="shared" si="10"/>
        <v>6-12 Months</v>
      </c>
      <c r="N666" s="1">
        <v>45058</v>
      </c>
      <c r="O666">
        <v>0</v>
      </c>
      <c r="P666">
        <v>665</v>
      </c>
      <c r="Q666" s="2">
        <v>0.9</v>
      </c>
      <c r="R666" t="s">
        <v>27</v>
      </c>
      <c r="S666">
        <v>2023</v>
      </c>
      <c r="T666" t="s">
        <v>28</v>
      </c>
    </row>
    <row r="667" spans="1:20" hidden="1" x14ac:dyDescent="0.3">
      <c r="A667">
        <v>1116</v>
      </c>
      <c r="B667">
        <v>377</v>
      </c>
      <c r="C667" t="s">
        <v>39</v>
      </c>
      <c r="D667" t="s">
        <v>34</v>
      </c>
      <c r="E667" t="s">
        <v>26</v>
      </c>
      <c r="F667" s="1">
        <v>44728</v>
      </c>
      <c r="G667" s="1">
        <v>44769</v>
      </c>
      <c r="H667">
        <v>4967.93</v>
      </c>
      <c r="I667">
        <v>403</v>
      </c>
      <c r="J667">
        <v>-1414</v>
      </c>
      <c r="K667" t="s">
        <v>21</v>
      </c>
      <c r="L667">
        <v>1</v>
      </c>
      <c r="M667" t="str">
        <f t="shared" si="10"/>
        <v>0-6 Months</v>
      </c>
      <c r="N667" s="1">
        <v>44769</v>
      </c>
      <c r="O667">
        <v>1</v>
      </c>
      <c r="P667">
        <v>666</v>
      </c>
      <c r="Q667" s="2">
        <v>-0.28000000000000003</v>
      </c>
      <c r="R667" t="s">
        <v>27</v>
      </c>
      <c r="S667">
        <v>2022</v>
      </c>
      <c r="T667" t="s">
        <v>44</v>
      </c>
    </row>
    <row r="668" spans="1:20" hidden="1" x14ac:dyDescent="0.3">
      <c r="A668">
        <v>1118</v>
      </c>
      <c r="B668">
        <v>403</v>
      </c>
      <c r="C668" t="s">
        <v>40</v>
      </c>
      <c r="D668" t="s">
        <v>19</v>
      </c>
      <c r="E668" t="s">
        <v>20</v>
      </c>
      <c r="F668" s="1">
        <v>44917</v>
      </c>
      <c r="G668" s="1">
        <v>45046</v>
      </c>
      <c r="H668">
        <v>4687</v>
      </c>
      <c r="I668">
        <v>5813</v>
      </c>
      <c r="J668">
        <v>-1126</v>
      </c>
      <c r="K668" t="s">
        <v>54</v>
      </c>
      <c r="L668">
        <v>4</v>
      </c>
      <c r="M668" t="str">
        <f t="shared" si="10"/>
        <v>0-6 Months</v>
      </c>
      <c r="N668" s="1">
        <v>45046</v>
      </c>
      <c r="O668">
        <v>1</v>
      </c>
      <c r="P668">
        <v>667</v>
      </c>
      <c r="Q668" s="2">
        <v>-0.24</v>
      </c>
      <c r="R668" t="s">
        <v>27</v>
      </c>
      <c r="S668">
        <v>2023</v>
      </c>
      <c r="T668" t="s">
        <v>32</v>
      </c>
    </row>
    <row r="669" spans="1:20" hidden="1" x14ac:dyDescent="0.3">
      <c r="A669">
        <v>1120</v>
      </c>
      <c r="B669">
        <v>331</v>
      </c>
      <c r="C669" t="s">
        <v>24</v>
      </c>
      <c r="D669" t="s">
        <v>25</v>
      </c>
      <c r="E669" t="s">
        <v>26</v>
      </c>
      <c r="F669" s="1">
        <v>44653</v>
      </c>
      <c r="G669" s="1">
        <v>44982</v>
      </c>
      <c r="H669">
        <v>3646</v>
      </c>
      <c r="I669">
        <v>7885</v>
      </c>
      <c r="J669">
        <v>577.01</v>
      </c>
      <c r="K669" t="s">
        <v>21</v>
      </c>
      <c r="L669">
        <v>10</v>
      </c>
      <c r="M669" t="str">
        <f t="shared" si="10"/>
        <v>6-12 Months</v>
      </c>
      <c r="N669" s="1">
        <v>44982</v>
      </c>
      <c r="O669">
        <v>0</v>
      </c>
      <c r="P669">
        <v>668</v>
      </c>
      <c r="Q669" s="2">
        <v>0.16</v>
      </c>
      <c r="R669" t="s">
        <v>27</v>
      </c>
      <c r="S669">
        <v>2023</v>
      </c>
      <c r="T669" t="s">
        <v>43</v>
      </c>
    </row>
    <row r="670" spans="1:20" hidden="1" x14ac:dyDescent="0.3">
      <c r="A670">
        <v>1121</v>
      </c>
      <c r="B670">
        <v>159</v>
      </c>
      <c r="C670" t="s">
        <v>53</v>
      </c>
      <c r="D670" t="s">
        <v>34</v>
      </c>
      <c r="E670" t="s">
        <v>20</v>
      </c>
      <c r="F670" s="1">
        <v>44865</v>
      </c>
      <c r="G670" s="1">
        <v>45328</v>
      </c>
      <c r="H670">
        <v>5139</v>
      </c>
      <c r="I670">
        <v>4012.75</v>
      </c>
      <c r="J670">
        <v>5936</v>
      </c>
      <c r="K670" t="s">
        <v>54</v>
      </c>
      <c r="L670">
        <v>15</v>
      </c>
      <c r="M670" t="str">
        <f t="shared" si="10"/>
        <v>6-12 Months</v>
      </c>
      <c r="N670" s="1">
        <v>45328</v>
      </c>
      <c r="O670">
        <v>1</v>
      </c>
      <c r="P670">
        <v>669</v>
      </c>
      <c r="Q670" s="2">
        <v>1.1599999999999999</v>
      </c>
      <c r="R670" t="s">
        <v>22</v>
      </c>
      <c r="S670">
        <v>2024</v>
      </c>
      <c r="T670" t="s">
        <v>43</v>
      </c>
    </row>
    <row r="671" spans="1:20" hidden="1" x14ac:dyDescent="0.3">
      <c r="A671">
        <v>1123</v>
      </c>
      <c r="B671">
        <v>198</v>
      </c>
      <c r="C671" t="s">
        <v>39</v>
      </c>
      <c r="D671" t="s">
        <v>29</v>
      </c>
      <c r="E671" t="s">
        <v>37</v>
      </c>
      <c r="F671" s="1">
        <v>44752</v>
      </c>
      <c r="G671" s="1">
        <v>45333</v>
      </c>
      <c r="H671">
        <v>6726</v>
      </c>
      <c r="I671">
        <v>7086</v>
      </c>
      <c r="J671">
        <v>577.01</v>
      </c>
      <c r="K671" t="s">
        <v>54</v>
      </c>
      <c r="L671">
        <v>19</v>
      </c>
      <c r="M671" t="str">
        <f t="shared" si="10"/>
        <v>6-12 Months</v>
      </c>
      <c r="N671" s="1">
        <v>45333</v>
      </c>
      <c r="O671">
        <v>0</v>
      </c>
      <c r="P671">
        <v>670</v>
      </c>
      <c r="Q671" s="2">
        <v>0.09</v>
      </c>
      <c r="R671" t="s">
        <v>27</v>
      </c>
      <c r="S671">
        <v>2024</v>
      </c>
      <c r="T671" t="s">
        <v>43</v>
      </c>
    </row>
    <row r="672" spans="1:20" x14ac:dyDescent="0.3">
      <c r="A672">
        <v>1126</v>
      </c>
      <c r="B672">
        <v>396</v>
      </c>
      <c r="C672" t="s">
        <v>40</v>
      </c>
      <c r="D672" t="s">
        <v>34</v>
      </c>
      <c r="E672" t="s">
        <v>26</v>
      </c>
      <c r="F672" s="1">
        <v>44852</v>
      </c>
      <c r="G672" s="1">
        <v>45441</v>
      </c>
      <c r="H672">
        <v>1134</v>
      </c>
      <c r="I672">
        <v>19</v>
      </c>
      <c r="J672">
        <v>577.01</v>
      </c>
      <c r="K672" t="s">
        <v>35</v>
      </c>
      <c r="L672">
        <v>19</v>
      </c>
      <c r="M672" t="str">
        <f t="shared" si="10"/>
        <v>6-12 Months</v>
      </c>
      <c r="N672" s="1">
        <v>45441</v>
      </c>
      <c r="O672">
        <v>0</v>
      </c>
      <c r="P672">
        <v>671</v>
      </c>
      <c r="Q672" s="2">
        <v>0.51</v>
      </c>
      <c r="R672" t="s">
        <v>27</v>
      </c>
      <c r="S672">
        <v>2024</v>
      </c>
      <c r="T672" t="s">
        <v>28</v>
      </c>
    </row>
    <row r="673" spans="1:20" hidden="1" x14ac:dyDescent="0.3">
      <c r="A673">
        <v>1129</v>
      </c>
      <c r="B673">
        <v>361</v>
      </c>
      <c r="C673" t="s">
        <v>45</v>
      </c>
      <c r="D673" t="s">
        <v>19</v>
      </c>
      <c r="E673" t="s">
        <v>37</v>
      </c>
      <c r="F673" s="1">
        <v>44796</v>
      </c>
      <c r="G673" s="1">
        <v>45126</v>
      </c>
      <c r="H673">
        <v>6547</v>
      </c>
      <c r="I673">
        <v>7711</v>
      </c>
      <c r="J673">
        <v>577.01</v>
      </c>
      <c r="K673" t="s">
        <v>54</v>
      </c>
      <c r="L673">
        <v>10</v>
      </c>
      <c r="M673" t="str">
        <f t="shared" si="10"/>
        <v>6-12 Months</v>
      </c>
      <c r="N673" s="1">
        <v>45126</v>
      </c>
      <c r="O673">
        <v>0</v>
      </c>
      <c r="P673">
        <v>672</v>
      </c>
      <c r="Q673" s="2">
        <v>0.09</v>
      </c>
      <c r="R673" t="s">
        <v>27</v>
      </c>
      <c r="S673">
        <v>2023</v>
      </c>
      <c r="T673" t="s">
        <v>44</v>
      </c>
    </row>
    <row r="674" spans="1:20" hidden="1" x14ac:dyDescent="0.3">
      <c r="A674">
        <v>1132</v>
      </c>
      <c r="B674">
        <v>416</v>
      </c>
      <c r="C674" t="s">
        <v>45</v>
      </c>
      <c r="D674" t="s">
        <v>29</v>
      </c>
      <c r="E674" t="s">
        <v>26</v>
      </c>
      <c r="F674" s="1">
        <v>44713</v>
      </c>
      <c r="G674" s="1">
        <v>44752</v>
      </c>
      <c r="H674">
        <v>5654</v>
      </c>
      <c r="I674">
        <v>6547</v>
      </c>
      <c r="J674">
        <v>-893</v>
      </c>
      <c r="K674" t="s">
        <v>54</v>
      </c>
      <c r="L674">
        <v>1</v>
      </c>
      <c r="M674" t="str">
        <f t="shared" si="10"/>
        <v>0-6 Months</v>
      </c>
      <c r="N674" s="1">
        <v>44752</v>
      </c>
      <c r="O674">
        <v>0</v>
      </c>
      <c r="P674">
        <v>673</v>
      </c>
      <c r="Q674" s="2">
        <v>-0.16</v>
      </c>
      <c r="R674" t="s">
        <v>27</v>
      </c>
      <c r="S674">
        <v>2022</v>
      </c>
      <c r="T674" t="s">
        <v>44</v>
      </c>
    </row>
    <row r="675" spans="1:20" hidden="1" x14ac:dyDescent="0.3">
      <c r="A675">
        <v>1134</v>
      </c>
      <c r="B675">
        <v>148</v>
      </c>
      <c r="C675" t="s">
        <v>40</v>
      </c>
      <c r="D675" t="s">
        <v>19</v>
      </c>
      <c r="E675" t="s">
        <v>37</v>
      </c>
      <c r="F675" s="1">
        <v>44634</v>
      </c>
      <c r="G675" s="1">
        <v>44979</v>
      </c>
      <c r="H675">
        <v>4967.93</v>
      </c>
      <c r="I675">
        <v>4089</v>
      </c>
      <c r="J675">
        <v>-4253</v>
      </c>
      <c r="K675" t="s">
        <v>54</v>
      </c>
      <c r="L675">
        <v>11</v>
      </c>
      <c r="M675" t="str">
        <f t="shared" si="10"/>
        <v>6-12 Months</v>
      </c>
      <c r="N675" s="1">
        <v>44979</v>
      </c>
      <c r="O675">
        <v>1</v>
      </c>
      <c r="P675">
        <v>674</v>
      </c>
      <c r="Q675" s="2">
        <v>-0.86</v>
      </c>
      <c r="R675" t="s">
        <v>27</v>
      </c>
      <c r="S675">
        <v>2023</v>
      </c>
      <c r="T675" t="s">
        <v>43</v>
      </c>
    </row>
    <row r="676" spans="1:20" hidden="1" x14ac:dyDescent="0.3">
      <c r="A676">
        <v>1135</v>
      </c>
      <c r="B676">
        <v>132</v>
      </c>
      <c r="C676" t="s">
        <v>40</v>
      </c>
      <c r="D676" t="s">
        <v>19</v>
      </c>
      <c r="E676" t="s">
        <v>20</v>
      </c>
      <c r="F676" s="1">
        <v>44812</v>
      </c>
      <c r="G676" s="1">
        <v>44977</v>
      </c>
      <c r="H676">
        <v>5464</v>
      </c>
      <c r="I676">
        <v>5065</v>
      </c>
      <c r="J676">
        <v>577.01</v>
      </c>
      <c r="K676" t="s">
        <v>54</v>
      </c>
      <c r="L676">
        <v>5</v>
      </c>
      <c r="M676" t="str">
        <f t="shared" si="10"/>
        <v>0-6 Months</v>
      </c>
      <c r="N676" s="1">
        <v>44977</v>
      </c>
      <c r="O676">
        <v>1</v>
      </c>
      <c r="P676">
        <v>675</v>
      </c>
      <c r="Q676" s="2">
        <v>0.11</v>
      </c>
      <c r="R676" t="s">
        <v>27</v>
      </c>
      <c r="S676">
        <v>2023</v>
      </c>
      <c r="T676" t="s">
        <v>43</v>
      </c>
    </row>
    <row r="677" spans="1:20" hidden="1" x14ac:dyDescent="0.3">
      <c r="A677">
        <v>1136</v>
      </c>
      <c r="B677">
        <v>413</v>
      </c>
      <c r="C677" t="s">
        <v>45</v>
      </c>
      <c r="D677" t="s">
        <v>19</v>
      </c>
      <c r="E677" t="s">
        <v>37</v>
      </c>
      <c r="F677" s="1">
        <v>44588</v>
      </c>
      <c r="G677" s="1">
        <v>44684</v>
      </c>
      <c r="H677">
        <v>365</v>
      </c>
      <c r="I677">
        <v>5934</v>
      </c>
      <c r="J677">
        <v>-5569</v>
      </c>
      <c r="K677" t="s">
        <v>54</v>
      </c>
      <c r="L677">
        <v>3</v>
      </c>
      <c r="M677" t="str">
        <f t="shared" si="10"/>
        <v>0-6 Months</v>
      </c>
      <c r="N677" s="1">
        <v>44684</v>
      </c>
      <c r="O677">
        <v>1</v>
      </c>
      <c r="P677">
        <v>676</v>
      </c>
      <c r="Q677" s="2">
        <v>-15.26</v>
      </c>
      <c r="R677" t="s">
        <v>22</v>
      </c>
      <c r="S677">
        <v>2022</v>
      </c>
      <c r="T677" t="s">
        <v>28</v>
      </c>
    </row>
    <row r="678" spans="1:20" hidden="1" x14ac:dyDescent="0.3">
      <c r="A678">
        <v>1138</v>
      </c>
      <c r="B678">
        <v>461</v>
      </c>
      <c r="C678" t="s">
        <v>39</v>
      </c>
      <c r="D678" t="s">
        <v>29</v>
      </c>
      <c r="E678" t="s">
        <v>20</v>
      </c>
      <c r="F678" s="1">
        <v>44585</v>
      </c>
      <c r="G678" s="1">
        <v>44812</v>
      </c>
      <c r="H678">
        <v>4453</v>
      </c>
      <c r="I678">
        <v>1956</v>
      </c>
      <c r="J678">
        <v>2497</v>
      </c>
      <c r="K678" t="s">
        <v>54</v>
      </c>
      <c r="L678">
        <v>7</v>
      </c>
      <c r="M678" t="str">
        <f t="shared" si="10"/>
        <v>6-12 Months</v>
      </c>
      <c r="N678" s="1">
        <v>44812</v>
      </c>
      <c r="O678">
        <v>1</v>
      </c>
      <c r="P678">
        <v>677</v>
      </c>
      <c r="Q678" s="2">
        <v>0.56000000000000005</v>
      </c>
      <c r="R678" t="s">
        <v>27</v>
      </c>
      <c r="S678">
        <v>2022</v>
      </c>
      <c r="T678" t="s">
        <v>30</v>
      </c>
    </row>
    <row r="679" spans="1:20" hidden="1" x14ac:dyDescent="0.3">
      <c r="A679">
        <v>1140</v>
      </c>
      <c r="B679">
        <v>153</v>
      </c>
      <c r="C679" t="s">
        <v>39</v>
      </c>
      <c r="D679" t="s">
        <v>25</v>
      </c>
      <c r="E679" t="s">
        <v>26</v>
      </c>
      <c r="F679" s="1">
        <v>44830</v>
      </c>
      <c r="G679" s="1">
        <v>45321</v>
      </c>
      <c r="H679">
        <v>8214</v>
      </c>
      <c r="I679">
        <v>722</v>
      </c>
      <c r="J679">
        <v>7492</v>
      </c>
      <c r="K679" t="s">
        <v>54</v>
      </c>
      <c r="L679">
        <v>16</v>
      </c>
      <c r="M679" t="str">
        <f t="shared" si="10"/>
        <v>6-12 Months</v>
      </c>
      <c r="N679" s="1">
        <v>45321</v>
      </c>
      <c r="O679">
        <v>0</v>
      </c>
      <c r="P679">
        <v>678</v>
      </c>
      <c r="Q679" s="2">
        <v>0.91</v>
      </c>
      <c r="R679" t="s">
        <v>27</v>
      </c>
      <c r="S679">
        <v>2024</v>
      </c>
      <c r="T679" t="s">
        <v>23</v>
      </c>
    </row>
    <row r="680" spans="1:20" hidden="1" x14ac:dyDescent="0.3">
      <c r="A680">
        <v>1141</v>
      </c>
      <c r="B680">
        <v>363</v>
      </c>
      <c r="C680" t="s">
        <v>40</v>
      </c>
      <c r="D680" t="s">
        <v>19</v>
      </c>
      <c r="E680" t="s">
        <v>37</v>
      </c>
      <c r="F680" s="1">
        <v>44890</v>
      </c>
      <c r="G680" s="1">
        <v>45267</v>
      </c>
      <c r="H680">
        <v>4967.93</v>
      </c>
      <c r="I680">
        <v>4012.75</v>
      </c>
      <c r="J680">
        <v>-1685</v>
      </c>
      <c r="K680" t="s">
        <v>54</v>
      </c>
      <c r="L680">
        <v>12</v>
      </c>
      <c r="M680" t="str">
        <f t="shared" si="10"/>
        <v>6-12 Months</v>
      </c>
      <c r="N680" s="1">
        <v>45267</v>
      </c>
      <c r="O680">
        <v>0</v>
      </c>
      <c r="P680">
        <v>679</v>
      </c>
      <c r="Q680" s="2">
        <v>-0.34</v>
      </c>
      <c r="R680" t="s">
        <v>27</v>
      </c>
      <c r="S680">
        <v>2023</v>
      </c>
      <c r="T680" t="s">
        <v>31</v>
      </c>
    </row>
    <row r="681" spans="1:20" hidden="1" x14ac:dyDescent="0.3">
      <c r="A681">
        <v>1145</v>
      </c>
      <c r="B681">
        <v>392</v>
      </c>
      <c r="C681" t="s">
        <v>53</v>
      </c>
      <c r="D681" t="s">
        <v>25</v>
      </c>
      <c r="E681" t="s">
        <v>37</v>
      </c>
      <c r="F681" s="1">
        <v>44917</v>
      </c>
      <c r="G681" s="1">
        <v>45077</v>
      </c>
      <c r="H681">
        <v>4083</v>
      </c>
      <c r="I681">
        <v>6389</v>
      </c>
      <c r="J681">
        <v>-2306</v>
      </c>
      <c r="K681" t="s">
        <v>54</v>
      </c>
      <c r="L681">
        <v>5</v>
      </c>
      <c r="M681" t="str">
        <f t="shared" si="10"/>
        <v>0-6 Months</v>
      </c>
      <c r="N681" s="1">
        <v>45077</v>
      </c>
      <c r="O681">
        <v>1</v>
      </c>
      <c r="P681">
        <v>680</v>
      </c>
      <c r="Q681" s="2">
        <v>-0.56000000000000005</v>
      </c>
      <c r="R681" t="s">
        <v>27</v>
      </c>
      <c r="S681">
        <v>2023</v>
      </c>
      <c r="T681" t="s">
        <v>28</v>
      </c>
    </row>
    <row r="682" spans="1:20" x14ac:dyDescent="0.3">
      <c r="A682">
        <v>1147</v>
      </c>
      <c r="B682">
        <v>353</v>
      </c>
      <c r="C682" t="s">
        <v>39</v>
      </c>
      <c r="D682" t="s">
        <v>29</v>
      </c>
      <c r="E682" t="s">
        <v>26</v>
      </c>
      <c r="F682" s="1">
        <v>44564</v>
      </c>
      <c r="G682" s="1">
        <v>45100</v>
      </c>
      <c r="H682">
        <v>2322</v>
      </c>
      <c r="I682">
        <v>6690</v>
      </c>
      <c r="J682">
        <v>-4368</v>
      </c>
      <c r="K682" t="s">
        <v>35</v>
      </c>
      <c r="L682">
        <v>17</v>
      </c>
      <c r="M682" t="str">
        <f t="shared" si="10"/>
        <v>6-12 Months</v>
      </c>
      <c r="N682" s="1">
        <v>45100</v>
      </c>
      <c r="O682">
        <v>1</v>
      </c>
      <c r="P682">
        <v>681</v>
      </c>
      <c r="Q682" s="2">
        <v>-1.88</v>
      </c>
      <c r="R682" t="s">
        <v>22</v>
      </c>
      <c r="S682">
        <v>2023</v>
      </c>
      <c r="T682" t="s">
        <v>41</v>
      </c>
    </row>
    <row r="683" spans="1:20" x14ac:dyDescent="0.3">
      <c r="A683">
        <v>1151</v>
      </c>
      <c r="B683">
        <v>279</v>
      </c>
      <c r="C683" t="s">
        <v>24</v>
      </c>
      <c r="D683" t="s">
        <v>34</v>
      </c>
      <c r="E683" t="s">
        <v>37</v>
      </c>
      <c r="F683" s="1">
        <v>44843</v>
      </c>
      <c r="G683" s="1">
        <v>45171</v>
      </c>
      <c r="H683">
        <v>4967.93</v>
      </c>
      <c r="I683">
        <v>2656</v>
      </c>
      <c r="J683">
        <v>-3873</v>
      </c>
      <c r="K683" t="s">
        <v>35</v>
      </c>
      <c r="L683">
        <v>10</v>
      </c>
      <c r="M683" t="str">
        <f t="shared" si="10"/>
        <v>6-12 Months</v>
      </c>
      <c r="N683" s="1">
        <v>45171</v>
      </c>
      <c r="O683">
        <v>1</v>
      </c>
      <c r="P683">
        <v>682</v>
      </c>
      <c r="Q683" s="2">
        <v>-0.78</v>
      </c>
      <c r="R683" t="s">
        <v>27</v>
      </c>
      <c r="S683">
        <v>2023</v>
      </c>
      <c r="T683" t="s">
        <v>30</v>
      </c>
    </row>
    <row r="684" spans="1:20" hidden="1" x14ac:dyDescent="0.3">
      <c r="A684">
        <v>1152</v>
      </c>
      <c r="B684">
        <v>459</v>
      </c>
      <c r="C684" t="s">
        <v>39</v>
      </c>
      <c r="D684" t="s">
        <v>25</v>
      </c>
      <c r="E684" t="s">
        <v>20</v>
      </c>
      <c r="F684" s="1">
        <v>44748</v>
      </c>
      <c r="G684" s="1">
        <v>44801</v>
      </c>
      <c r="H684">
        <v>6304</v>
      </c>
      <c r="I684">
        <v>4012.75</v>
      </c>
      <c r="J684">
        <v>7039</v>
      </c>
      <c r="K684" t="s">
        <v>54</v>
      </c>
      <c r="L684">
        <v>1</v>
      </c>
      <c r="M684" t="str">
        <f t="shared" si="10"/>
        <v>0-6 Months</v>
      </c>
      <c r="N684" s="1">
        <v>44801</v>
      </c>
      <c r="O684">
        <v>1</v>
      </c>
      <c r="P684">
        <v>683</v>
      </c>
      <c r="Q684" s="2">
        <v>1.1200000000000001</v>
      </c>
      <c r="R684" t="s">
        <v>22</v>
      </c>
      <c r="S684">
        <v>2022</v>
      </c>
      <c r="T684" t="s">
        <v>36</v>
      </c>
    </row>
    <row r="685" spans="1:20" hidden="1" x14ac:dyDescent="0.3">
      <c r="A685">
        <v>1153</v>
      </c>
      <c r="B685">
        <v>472</v>
      </c>
      <c r="C685" t="s">
        <v>40</v>
      </c>
      <c r="D685" t="s">
        <v>19</v>
      </c>
      <c r="E685" t="s">
        <v>37</v>
      </c>
      <c r="F685" s="1">
        <v>44911</v>
      </c>
      <c r="G685" s="1">
        <v>45064</v>
      </c>
      <c r="H685">
        <v>4967.93</v>
      </c>
      <c r="I685">
        <v>3508</v>
      </c>
      <c r="J685">
        <v>-4658</v>
      </c>
      <c r="K685" t="s">
        <v>54</v>
      </c>
      <c r="L685">
        <v>5</v>
      </c>
      <c r="M685" t="str">
        <f t="shared" si="10"/>
        <v>0-6 Months</v>
      </c>
      <c r="N685" s="1">
        <v>45064</v>
      </c>
      <c r="O685">
        <v>1</v>
      </c>
      <c r="P685">
        <v>684</v>
      </c>
      <c r="Q685" s="2">
        <v>-0.94</v>
      </c>
      <c r="R685" t="s">
        <v>27</v>
      </c>
      <c r="S685">
        <v>2023</v>
      </c>
      <c r="T685" t="s">
        <v>28</v>
      </c>
    </row>
    <row r="686" spans="1:20" x14ac:dyDescent="0.3">
      <c r="A686">
        <v>1154</v>
      </c>
      <c r="B686">
        <v>229</v>
      </c>
      <c r="C686" t="s">
        <v>39</v>
      </c>
      <c r="D686" t="s">
        <v>34</v>
      </c>
      <c r="E686" t="s">
        <v>26</v>
      </c>
      <c r="F686" s="1">
        <v>44688</v>
      </c>
      <c r="G686" s="1">
        <v>45249</v>
      </c>
      <c r="H686">
        <v>5407</v>
      </c>
      <c r="I686">
        <v>1635</v>
      </c>
      <c r="J686">
        <v>3772</v>
      </c>
      <c r="K686" t="s">
        <v>35</v>
      </c>
      <c r="L686">
        <v>18</v>
      </c>
      <c r="M686" t="str">
        <f t="shared" si="10"/>
        <v>6-12 Months</v>
      </c>
      <c r="N686" s="1">
        <v>45249</v>
      </c>
      <c r="O686">
        <v>0</v>
      </c>
      <c r="P686">
        <v>685</v>
      </c>
      <c r="Q686" s="2">
        <v>0.7</v>
      </c>
      <c r="R686" t="s">
        <v>27</v>
      </c>
      <c r="S686">
        <v>2023</v>
      </c>
      <c r="T686" t="s">
        <v>42</v>
      </c>
    </row>
    <row r="687" spans="1:20" hidden="1" x14ac:dyDescent="0.3">
      <c r="A687">
        <v>1158</v>
      </c>
      <c r="B687">
        <v>283</v>
      </c>
      <c r="C687" t="s">
        <v>53</v>
      </c>
      <c r="D687" t="s">
        <v>29</v>
      </c>
      <c r="E687" t="s">
        <v>26</v>
      </c>
      <c r="F687" s="1">
        <v>44608</v>
      </c>
      <c r="G687" s="1">
        <v>45144</v>
      </c>
      <c r="H687">
        <v>4967.93</v>
      </c>
      <c r="I687">
        <v>4080</v>
      </c>
      <c r="J687">
        <v>-5437</v>
      </c>
      <c r="K687" t="s">
        <v>54</v>
      </c>
      <c r="L687">
        <v>17</v>
      </c>
      <c r="M687" t="str">
        <f t="shared" si="10"/>
        <v>6-12 Months</v>
      </c>
      <c r="N687" s="1">
        <v>45144</v>
      </c>
      <c r="O687">
        <v>1</v>
      </c>
      <c r="P687">
        <v>686</v>
      </c>
      <c r="Q687" s="2">
        <v>-1.0900000000000001</v>
      </c>
      <c r="R687" t="s">
        <v>22</v>
      </c>
      <c r="S687">
        <v>2023</v>
      </c>
      <c r="T687" t="s">
        <v>36</v>
      </c>
    </row>
    <row r="688" spans="1:20" x14ac:dyDescent="0.3">
      <c r="A688">
        <v>1160</v>
      </c>
      <c r="B688">
        <v>414</v>
      </c>
      <c r="C688" t="s">
        <v>39</v>
      </c>
      <c r="D688" t="s">
        <v>29</v>
      </c>
      <c r="E688" t="s">
        <v>20</v>
      </c>
      <c r="F688" s="1">
        <v>44927</v>
      </c>
      <c r="G688" s="1">
        <v>45313</v>
      </c>
      <c r="H688">
        <v>3343</v>
      </c>
      <c r="I688">
        <v>3110</v>
      </c>
      <c r="J688">
        <v>233</v>
      </c>
      <c r="K688" t="s">
        <v>35</v>
      </c>
      <c r="L688">
        <v>12</v>
      </c>
      <c r="M688" t="str">
        <f t="shared" si="10"/>
        <v>6-12 Months</v>
      </c>
      <c r="N688" s="1">
        <v>45313</v>
      </c>
      <c r="O688">
        <v>1</v>
      </c>
      <c r="P688">
        <v>687</v>
      </c>
      <c r="Q688" s="2">
        <v>7.0000000000000007E-2</v>
      </c>
      <c r="R688" t="s">
        <v>27</v>
      </c>
      <c r="S688">
        <v>2024</v>
      </c>
      <c r="T688" t="s">
        <v>23</v>
      </c>
    </row>
    <row r="689" spans="1:20" hidden="1" x14ac:dyDescent="0.3">
      <c r="A689">
        <v>1161</v>
      </c>
      <c r="B689">
        <v>361</v>
      </c>
      <c r="C689" t="s">
        <v>45</v>
      </c>
      <c r="D689" t="s">
        <v>29</v>
      </c>
      <c r="E689" t="s">
        <v>37</v>
      </c>
      <c r="F689" s="1">
        <v>44793</v>
      </c>
      <c r="G689" s="1">
        <v>45035</v>
      </c>
      <c r="H689">
        <v>6368</v>
      </c>
      <c r="I689">
        <v>6444</v>
      </c>
      <c r="J689">
        <v>-76</v>
      </c>
      <c r="K689" t="s">
        <v>54</v>
      </c>
      <c r="L689">
        <v>7</v>
      </c>
      <c r="M689" t="str">
        <f t="shared" si="10"/>
        <v>6-12 Months</v>
      </c>
      <c r="N689" s="1">
        <v>45035</v>
      </c>
      <c r="O689">
        <v>1</v>
      </c>
      <c r="P689">
        <v>688</v>
      </c>
      <c r="Q689" s="2">
        <v>-0.01</v>
      </c>
      <c r="R689" t="s">
        <v>27</v>
      </c>
      <c r="S689">
        <v>2023</v>
      </c>
      <c r="T689" t="s">
        <v>32</v>
      </c>
    </row>
    <row r="690" spans="1:20" hidden="1" x14ac:dyDescent="0.3">
      <c r="A690">
        <v>1166</v>
      </c>
      <c r="B690">
        <v>438</v>
      </c>
      <c r="C690" t="s">
        <v>53</v>
      </c>
      <c r="D690" t="s">
        <v>29</v>
      </c>
      <c r="E690" t="s">
        <v>20</v>
      </c>
      <c r="F690" s="1">
        <v>44636</v>
      </c>
      <c r="G690" s="1">
        <v>44922</v>
      </c>
      <c r="H690">
        <v>929</v>
      </c>
      <c r="I690">
        <v>3741</v>
      </c>
      <c r="J690">
        <v>-2812</v>
      </c>
      <c r="K690" t="s">
        <v>54</v>
      </c>
      <c r="L690">
        <v>9</v>
      </c>
      <c r="M690" t="str">
        <f t="shared" si="10"/>
        <v>6-12 Months</v>
      </c>
      <c r="N690" s="1">
        <v>44922</v>
      </c>
      <c r="O690">
        <v>1</v>
      </c>
      <c r="P690">
        <v>689</v>
      </c>
      <c r="Q690" s="2">
        <v>-3.03</v>
      </c>
      <c r="R690" t="s">
        <v>22</v>
      </c>
      <c r="S690">
        <v>2022</v>
      </c>
      <c r="T690" t="s">
        <v>31</v>
      </c>
    </row>
    <row r="691" spans="1:20" x14ac:dyDescent="0.3">
      <c r="A691">
        <v>1168</v>
      </c>
      <c r="B691">
        <v>154</v>
      </c>
      <c r="C691" t="s">
        <v>53</v>
      </c>
      <c r="D691" t="s">
        <v>25</v>
      </c>
      <c r="E691" t="s">
        <v>20</v>
      </c>
      <c r="F691" s="1">
        <v>44848</v>
      </c>
      <c r="G691" s="1">
        <v>45238</v>
      </c>
      <c r="H691">
        <v>1890</v>
      </c>
      <c r="I691">
        <v>951</v>
      </c>
      <c r="J691">
        <v>939</v>
      </c>
      <c r="K691" t="s">
        <v>35</v>
      </c>
      <c r="L691">
        <v>12</v>
      </c>
      <c r="M691" t="str">
        <f t="shared" si="10"/>
        <v>6-12 Months</v>
      </c>
      <c r="N691" s="1">
        <v>45238</v>
      </c>
      <c r="O691">
        <v>1</v>
      </c>
      <c r="P691">
        <v>690</v>
      </c>
      <c r="Q691" s="2">
        <v>0.5</v>
      </c>
      <c r="R691" t="s">
        <v>27</v>
      </c>
      <c r="S691">
        <v>2023</v>
      </c>
      <c r="T691" t="s">
        <v>42</v>
      </c>
    </row>
    <row r="692" spans="1:20" hidden="1" x14ac:dyDescent="0.3">
      <c r="A692">
        <v>1169</v>
      </c>
      <c r="B692">
        <v>309</v>
      </c>
      <c r="C692" t="s">
        <v>53</v>
      </c>
      <c r="D692" t="s">
        <v>34</v>
      </c>
      <c r="E692" t="s">
        <v>37</v>
      </c>
      <c r="F692" s="1">
        <v>44780</v>
      </c>
      <c r="G692" s="1">
        <v>45046</v>
      </c>
      <c r="H692">
        <v>5356</v>
      </c>
      <c r="I692">
        <v>3967</v>
      </c>
      <c r="J692">
        <v>1389</v>
      </c>
      <c r="K692" t="s">
        <v>21</v>
      </c>
      <c r="L692">
        <v>8</v>
      </c>
      <c r="M692" t="str">
        <f t="shared" si="10"/>
        <v>6-12 Months</v>
      </c>
      <c r="N692" s="1">
        <v>45046</v>
      </c>
      <c r="O692">
        <v>1</v>
      </c>
      <c r="P692">
        <v>691</v>
      </c>
      <c r="Q692" s="2">
        <v>0.26</v>
      </c>
      <c r="R692" t="s">
        <v>27</v>
      </c>
      <c r="S692">
        <v>2023</v>
      </c>
      <c r="T692" t="s">
        <v>32</v>
      </c>
    </row>
    <row r="693" spans="1:20" hidden="1" x14ac:dyDescent="0.3">
      <c r="A693">
        <v>1170</v>
      </c>
      <c r="B693">
        <v>341</v>
      </c>
      <c r="C693" t="s">
        <v>39</v>
      </c>
      <c r="D693" t="s">
        <v>34</v>
      </c>
      <c r="E693" t="s">
        <v>37</v>
      </c>
      <c r="F693" s="1">
        <v>44927</v>
      </c>
      <c r="G693" s="1">
        <v>45266</v>
      </c>
      <c r="H693">
        <v>8634</v>
      </c>
      <c r="I693">
        <v>4012.75</v>
      </c>
      <c r="J693">
        <v>9061</v>
      </c>
      <c r="K693" t="s">
        <v>54</v>
      </c>
      <c r="L693">
        <v>11</v>
      </c>
      <c r="M693" t="str">
        <f t="shared" si="10"/>
        <v>6-12 Months</v>
      </c>
      <c r="N693" s="1">
        <v>45266</v>
      </c>
      <c r="O693">
        <v>1</v>
      </c>
      <c r="P693">
        <v>692</v>
      </c>
      <c r="Q693" s="2">
        <v>1.05</v>
      </c>
      <c r="R693" t="s">
        <v>22</v>
      </c>
      <c r="S693">
        <v>2023</v>
      </c>
      <c r="T693" t="s">
        <v>31</v>
      </c>
    </row>
    <row r="694" spans="1:20" hidden="1" x14ac:dyDescent="0.3">
      <c r="A694">
        <v>1173</v>
      </c>
      <c r="B694">
        <v>332</v>
      </c>
      <c r="C694" t="s">
        <v>24</v>
      </c>
      <c r="D694" t="s">
        <v>34</v>
      </c>
      <c r="E694" t="s">
        <v>26</v>
      </c>
      <c r="F694" s="1">
        <v>44603</v>
      </c>
      <c r="G694" s="1">
        <v>44811</v>
      </c>
      <c r="H694">
        <v>9734</v>
      </c>
      <c r="I694">
        <v>4012.75</v>
      </c>
      <c r="J694">
        <v>10692</v>
      </c>
      <c r="K694" t="s">
        <v>21</v>
      </c>
      <c r="L694">
        <v>6</v>
      </c>
      <c r="M694" t="str">
        <f t="shared" si="10"/>
        <v>12+ Months</v>
      </c>
      <c r="N694" s="1">
        <v>44811</v>
      </c>
      <c r="O694">
        <v>0</v>
      </c>
      <c r="P694">
        <v>693</v>
      </c>
      <c r="Q694" s="2">
        <v>1.1000000000000001</v>
      </c>
      <c r="R694" t="s">
        <v>22</v>
      </c>
      <c r="S694">
        <v>2022</v>
      </c>
      <c r="T694" t="s">
        <v>30</v>
      </c>
    </row>
    <row r="695" spans="1:20" hidden="1" x14ac:dyDescent="0.3">
      <c r="A695">
        <v>1176</v>
      </c>
      <c r="B695">
        <v>484</v>
      </c>
      <c r="C695" t="s">
        <v>40</v>
      </c>
      <c r="D695" t="s">
        <v>19</v>
      </c>
      <c r="E695" t="s">
        <v>37</v>
      </c>
      <c r="F695" s="1">
        <v>44771</v>
      </c>
      <c r="G695" s="1">
        <v>44957</v>
      </c>
      <c r="H695">
        <v>4967.93</v>
      </c>
      <c r="I695">
        <v>2671</v>
      </c>
      <c r="J695">
        <v>-3397</v>
      </c>
      <c r="K695" t="s">
        <v>54</v>
      </c>
      <c r="L695">
        <v>6</v>
      </c>
      <c r="M695" t="str">
        <f t="shared" si="10"/>
        <v>12+ Months</v>
      </c>
      <c r="N695" s="1">
        <v>44957</v>
      </c>
      <c r="O695">
        <v>0</v>
      </c>
      <c r="P695">
        <v>694</v>
      </c>
      <c r="Q695" s="2">
        <v>-0.68</v>
      </c>
      <c r="R695" t="s">
        <v>27</v>
      </c>
      <c r="S695">
        <v>2023</v>
      </c>
      <c r="T695" t="s">
        <v>23</v>
      </c>
    </row>
    <row r="696" spans="1:20" hidden="1" x14ac:dyDescent="0.3">
      <c r="A696">
        <v>1178</v>
      </c>
      <c r="B696">
        <v>170</v>
      </c>
      <c r="C696" t="s">
        <v>40</v>
      </c>
      <c r="D696" t="s">
        <v>25</v>
      </c>
      <c r="E696" t="s">
        <v>20</v>
      </c>
      <c r="F696" s="1">
        <v>44814</v>
      </c>
      <c r="G696" s="1">
        <v>45144</v>
      </c>
      <c r="H696">
        <v>5129</v>
      </c>
      <c r="I696">
        <v>4012.75</v>
      </c>
      <c r="J696">
        <v>5717</v>
      </c>
      <c r="K696" t="s">
        <v>54</v>
      </c>
      <c r="L696">
        <v>10</v>
      </c>
      <c r="M696" t="str">
        <f t="shared" si="10"/>
        <v>6-12 Months</v>
      </c>
      <c r="N696" s="1">
        <v>45144</v>
      </c>
      <c r="O696">
        <v>1</v>
      </c>
      <c r="P696">
        <v>695</v>
      </c>
      <c r="Q696" s="2">
        <v>1.1100000000000001</v>
      </c>
      <c r="R696" t="s">
        <v>22</v>
      </c>
      <c r="S696">
        <v>2023</v>
      </c>
      <c r="T696" t="s">
        <v>36</v>
      </c>
    </row>
    <row r="697" spans="1:20" x14ac:dyDescent="0.3">
      <c r="A697">
        <v>1179</v>
      </c>
      <c r="B697">
        <v>111</v>
      </c>
      <c r="C697" t="s">
        <v>45</v>
      </c>
      <c r="D697" t="s">
        <v>25</v>
      </c>
      <c r="E697" t="s">
        <v>37</v>
      </c>
      <c r="F697" s="1">
        <v>44712</v>
      </c>
      <c r="G697" s="1">
        <v>44803</v>
      </c>
      <c r="H697">
        <v>9740</v>
      </c>
      <c r="I697">
        <v>2163</v>
      </c>
      <c r="J697">
        <v>7577</v>
      </c>
      <c r="K697" t="s">
        <v>35</v>
      </c>
      <c r="L697">
        <v>2</v>
      </c>
      <c r="M697" t="str">
        <f t="shared" si="10"/>
        <v>0-6 Months</v>
      </c>
      <c r="N697" s="1">
        <v>44803</v>
      </c>
      <c r="O697">
        <v>1</v>
      </c>
      <c r="P697">
        <v>696</v>
      </c>
      <c r="Q697" s="2">
        <v>0.78</v>
      </c>
      <c r="R697" t="s">
        <v>27</v>
      </c>
      <c r="S697">
        <v>2022</v>
      </c>
      <c r="T697" t="s">
        <v>36</v>
      </c>
    </row>
    <row r="698" spans="1:20" hidden="1" x14ac:dyDescent="0.3">
      <c r="A698">
        <v>1180</v>
      </c>
      <c r="B698">
        <v>301</v>
      </c>
      <c r="C698" t="s">
        <v>45</v>
      </c>
      <c r="D698" t="s">
        <v>25</v>
      </c>
      <c r="E698" t="s">
        <v>26</v>
      </c>
      <c r="F698" s="1">
        <v>44649</v>
      </c>
      <c r="G698" s="1">
        <v>45242</v>
      </c>
      <c r="H698">
        <v>5538</v>
      </c>
      <c r="I698">
        <v>757</v>
      </c>
      <c r="J698">
        <v>4781</v>
      </c>
      <c r="K698" t="s">
        <v>54</v>
      </c>
      <c r="L698">
        <v>19</v>
      </c>
      <c r="M698" t="str">
        <f t="shared" si="10"/>
        <v>6-12 Months</v>
      </c>
      <c r="N698" s="1">
        <v>45242</v>
      </c>
      <c r="O698">
        <v>1</v>
      </c>
      <c r="P698">
        <v>697</v>
      </c>
      <c r="Q698" s="2">
        <v>0.86</v>
      </c>
      <c r="R698" t="s">
        <v>27</v>
      </c>
      <c r="S698">
        <v>2023</v>
      </c>
      <c r="T698" t="s">
        <v>42</v>
      </c>
    </row>
    <row r="699" spans="1:20" hidden="1" x14ac:dyDescent="0.3">
      <c r="A699">
        <v>1181</v>
      </c>
      <c r="B699">
        <v>280</v>
      </c>
      <c r="C699" t="s">
        <v>39</v>
      </c>
      <c r="D699" t="s">
        <v>34</v>
      </c>
      <c r="E699" t="s">
        <v>26</v>
      </c>
      <c r="F699" s="1">
        <v>44881</v>
      </c>
      <c r="G699" s="1">
        <v>45223</v>
      </c>
      <c r="H699">
        <v>308</v>
      </c>
      <c r="I699">
        <v>4012.75</v>
      </c>
      <c r="J699">
        <v>388</v>
      </c>
      <c r="K699" t="s">
        <v>54</v>
      </c>
      <c r="L699">
        <v>11</v>
      </c>
      <c r="M699" t="str">
        <f t="shared" si="10"/>
        <v>6-12 Months</v>
      </c>
      <c r="N699" s="1">
        <v>45223</v>
      </c>
      <c r="O699">
        <v>1</v>
      </c>
      <c r="P699">
        <v>698</v>
      </c>
      <c r="Q699" s="2">
        <v>1.26</v>
      </c>
      <c r="R699" t="s">
        <v>22</v>
      </c>
      <c r="S699">
        <v>2023</v>
      </c>
      <c r="T699" t="s">
        <v>33</v>
      </c>
    </row>
    <row r="700" spans="1:20" hidden="1" x14ac:dyDescent="0.3">
      <c r="A700">
        <v>1182</v>
      </c>
      <c r="B700">
        <v>477</v>
      </c>
      <c r="C700" t="s">
        <v>24</v>
      </c>
      <c r="D700" t="s">
        <v>29</v>
      </c>
      <c r="E700" t="s">
        <v>20</v>
      </c>
      <c r="F700" s="1">
        <v>44586</v>
      </c>
      <c r="G700" s="1">
        <v>45062</v>
      </c>
      <c r="H700">
        <v>2957</v>
      </c>
      <c r="I700">
        <v>7257</v>
      </c>
      <c r="J700">
        <v>-4300</v>
      </c>
      <c r="K700" t="s">
        <v>54</v>
      </c>
      <c r="L700">
        <v>15</v>
      </c>
      <c r="M700" t="str">
        <f t="shared" si="10"/>
        <v>6-12 Months</v>
      </c>
      <c r="N700" s="1">
        <v>45062</v>
      </c>
      <c r="O700">
        <v>1</v>
      </c>
      <c r="P700">
        <v>699</v>
      </c>
      <c r="Q700" s="2">
        <v>-1.45</v>
      </c>
      <c r="R700" t="s">
        <v>22</v>
      </c>
      <c r="S700">
        <v>2023</v>
      </c>
      <c r="T700" t="s">
        <v>28</v>
      </c>
    </row>
    <row r="701" spans="1:20" hidden="1" x14ac:dyDescent="0.3">
      <c r="A701">
        <v>1183</v>
      </c>
      <c r="B701">
        <v>167</v>
      </c>
      <c r="C701" t="s">
        <v>45</v>
      </c>
      <c r="D701" t="s">
        <v>19</v>
      </c>
      <c r="E701" t="s">
        <v>20</v>
      </c>
      <c r="F701" s="1">
        <v>44704</v>
      </c>
      <c r="G701" s="1">
        <v>44970</v>
      </c>
      <c r="H701">
        <v>2415</v>
      </c>
      <c r="I701">
        <v>3616</v>
      </c>
      <c r="J701">
        <v>-1201</v>
      </c>
      <c r="K701" t="s">
        <v>54</v>
      </c>
      <c r="L701">
        <v>8</v>
      </c>
      <c r="M701" t="str">
        <f t="shared" si="10"/>
        <v>6-12 Months</v>
      </c>
      <c r="N701" s="1">
        <v>44970</v>
      </c>
      <c r="O701">
        <v>1</v>
      </c>
      <c r="P701">
        <v>700</v>
      </c>
      <c r="Q701" s="2">
        <v>-0.5</v>
      </c>
      <c r="R701" t="s">
        <v>27</v>
      </c>
      <c r="S701">
        <v>2023</v>
      </c>
      <c r="T701" t="s">
        <v>43</v>
      </c>
    </row>
    <row r="702" spans="1:20" hidden="1" x14ac:dyDescent="0.3">
      <c r="A702">
        <v>1185</v>
      </c>
      <c r="B702">
        <v>165</v>
      </c>
      <c r="C702" t="s">
        <v>39</v>
      </c>
      <c r="D702" t="s">
        <v>29</v>
      </c>
      <c r="E702" t="s">
        <v>20</v>
      </c>
      <c r="F702" s="1">
        <v>44643</v>
      </c>
      <c r="G702" s="1">
        <v>44965</v>
      </c>
      <c r="H702">
        <v>5910</v>
      </c>
      <c r="I702">
        <v>4738</v>
      </c>
      <c r="J702">
        <v>577.01</v>
      </c>
      <c r="K702" t="s">
        <v>54</v>
      </c>
      <c r="L702">
        <v>10</v>
      </c>
      <c r="M702" t="str">
        <f t="shared" si="10"/>
        <v>6-12 Months</v>
      </c>
      <c r="N702" s="1">
        <v>44965</v>
      </c>
      <c r="O702">
        <v>1</v>
      </c>
      <c r="P702">
        <v>701</v>
      </c>
      <c r="Q702" s="2">
        <v>0.1</v>
      </c>
      <c r="R702" t="s">
        <v>27</v>
      </c>
      <c r="S702">
        <v>2023</v>
      </c>
      <c r="T702" t="s">
        <v>43</v>
      </c>
    </row>
    <row r="703" spans="1:20" hidden="1" x14ac:dyDescent="0.3">
      <c r="A703">
        <v>1186</v>
      </c>
      <c r="B703">
        <v>371</v>
      </c>
      <c r="C703" t="s">
        <v>39</v>
      </c>
      <c r="D703" t="s">
        <v>34</v>
      </c>
      <c r="E703" t="s">
        <v>20</v>
      </c>
      <c r="F703" s="1">
        <v>44893</v>
      </c>
      <c r="G703" s="1">
        <v>45253</v>
      </c>
      <c r="H703">
        <v>8105</v>
      </c>
      <c r="I703">
        <v>733</v>
      </c>
      <c r="J703">
        <v>7372</v>
      </c>
      <c r="K703" t="s">
        <v>54</v>
      </c>
      <c r="L703">
        <v>11</v>
      </c>
      <c r="M703" t="str">
        <f t="shared" si="10"/>
        <v>6-12 Months</v>
      </c>
      <c r="N703" s="1">
        <v>45253</v>
      </c>
      <c r="O703">
        <v>1</v>
      </c>
      <c r="P703">
        <v>702</v>
      </c>
      <c r="Q703" s="2">
        <v>0.91</v>
      </c>
      <c r="R703" t="s">
        <v>27</v>
      </c>
      <c r="S703">
        <v>2023</v>
      </c>
      <c r="T703" t="s">
        <v>42</v>
      </c>
    </row>
    <row r="704" spans="1:20" x14ac:dyDescent="0.3">
      <c r="A704">
        <v>1188</v>
      </c>
      <c r="B704">
        <v>460</v>
      </c>
      <c r="C704" t="s">
        <v>45</v>
      </c>
      <c r="D704" t="s">
        <v>29</v>
      </c>
      <c r="E704" t="s">
        <v>20</v>
      </c>
      <c r="F704" s="1">
        <v>44902</v>
      </c>
      <c r="G704" s="1">
        <v>44989</v>
      </c>
      <c r="H704">
        <v>9426</v>
      </c>
      <c r="I704">
        <v>3185</v>
      </c>
      <c r="J704">
        <v>6241</v>
      </c>
      <c r="K704" t="s">
        <v>35</v>
      </c>
      <c r="L704">
        <v>2</v>
      </c>
      <c r="M704" t="str">
        <f t="shared" si="10"/>
        <v>0-6 Months</v>
      </c>
      <c r="N704" s="1">
        <v>44989</v>
      </c>
      <c r="O704">
        <v>0</v>
      </c>
      <c r="P704">
        <v>703</v>
      </c>
      <c r="Q704" s="2">
        <v>0.66</v>
      </c>
      <c r="R704" t="s">
        <v>27</v>
      </c>
      <c r="S704">
        <v>2023</v>
      </c>
      <c r="T704" t="s">
        <v>38</v>
      </c>
    </row>
    <row r="705" spans="1:20" hidden="1" x14ac:dyDescent="0.3">
      <c r="A705">
        <v>1189</v>
      </c>
      <c r="B705">
        <v>486</v>
      </c>
      <c r="C705" t="s">
        <v>39</v>
      </c>
      <c r="D705" t="s">
        <v>34</v>
      </c>
      <c r="E705" t="s">
        <v>20</v>
      </c>
      <c r="F705" s="1">
        <v>44574</v>
      </c>
      <c r="G705" s="1">
        <v>44766</v>
      </c>
      <c r="H705">
        <v>2938</v>
      </c>
      <c r="I705">
        <v>4012.75</v>
      </c>
      <c r="J705">
        <v>3920</v>
      </c>
      <c r="K705" t="s">
        <v>21</v>
      </c>
      <c r="L705">
        <v>6</v>
      </c>
      <c r="M705" t="str">
        <f t="shared" si="10"/>
        <v>12+ Months</v>
      </c>
      <c r="N705" s="1">
        <v>44766</v>
      </c>
      <c r="O705">
        <v>1</v>
      </c>
      <c r="P705">
        <v>704</v>
      </c>
      <c r="Q705" s="2">
        <v>1.33</v>
      </c>
      <c r="R705" t="s">
        <v>22</v>
      </c>
      <c r="S705">
        <v>2022</v>
      </c>
      <c r="T705" t="s">
        <v>44</v>
      </c>
    </row>
    <row r="706" spans="1:20" hidden="1" x14ac:dyDescent="0.3">
      <c r="A706">
        <v>1190</v>
      </c>
      <c r="B706">
        <v>306</v>
      </c>
      <c r="C706" t="s">
        <v>40</v>
      </c>
      <c r="D706" t="s">
        <v>29</v>
      </c>
      <c r="E706" t="s">
        <v>37</v>
      </c>
      <c r="F706" s="1">
        <v>44871</v>
      </c>
      <c r="G706" s="1">
        <v>45438</v>
      </c>
      <c r="H706">
        <v>9366</v>
      </c>
      <c r="I706">
        <v>4012.75</v>
      </c>
      <c r="J706">
        <v>9541</v>
      </c>
      <c r="K706" t="s">
        <v>54</v>
      </c>
      <c r="L706">
        <v>18</v>
      </c>
      <c r="M706" t="str">
        <f t="shared" ref="M706:M769" si="11">IF(L706&lt;6,"0-6 Months",IF(L706&gt;6,"6-12 Months","12+ Months"))</f>
        <v>6-12 Months</v>
      </c>
      <c r="N706" s="1">
        <v>45438</v>
      </c>
      <c r="O706">
        <v>0</v>
      </c>
      <c r="P706">
        <v>705</v>
      </c>
      <c r="Q706" s="2">
        <v>1.02</v>
      </c>
      <c r="R706" t="s">
        <v>22</v>
      </c>
      <c r="S706">
        <v>2024</v>
      </c>
      <c r="T706" t="s">
        <v>28</v>
      </c>
    </row>
    <row r="707" spans="1:20" hidden="1" x14ac:dyDescent="0.3">
      <c r="A707">
        <v>1194</v>
      </c>
      <c r="B707">
        <v>273</v>
      </c>
      <c r="C707" t="s">
        <v>53</v>
      </c>
      <c r="D707" t="s">
        <v>19</v>
      </c>
      <c r="E707" t="s">
        <v>20</v>
      </c>
      <c r="F707" s="1">
        <v>44594</v>
      </c>
      <c r="G707" s="1">
        <v>44660</v>
      </c>
      <c r="H707">
        <v>7097</v>
      </c>
      <c r="I707">
        <v>7988</v>
      </c>
      <c r="J707">
        <v>-891</v>
      </c>
      <c r="K707" t="s">
        <v>54</v>
      </c>
      <c r="L707">
        <v>2</v>
      </c>
      <c r="M707" t="str">
        <f t="shared" si="11"/>
        <v>0-6 Months</v>
      </c>
      <c r="N707" s="1">
        <v>44660</v>
      </c>
      <c r="O707">
        <v>1</v>
      </c>
      <c r="P707">
        <v>706</v>
      </c>
      <c r="Q707" s="2">
        <v>-0.13</v>
      </c>
      <c r="R707" t="s">
        <v>27</v>
      </c>
      <c r="S707">
        <v>2022</v>
      </c>
      <c r="T707" t="s">
        <v>32</v>
      </c>
    </row>
    <row r="708" spans="1:20" hidden="1" x14ac:dyDescent="0.3">
      <c r="A708">
        <v>1196</v>
      </c>
      <c r="B708">
        <v>151</v>
      </c>
      <c r="C708" t="s">
        <v>24</v>
      </c>
      <c r="D708" t="s">
        <v>34</v>
      </c>
      <c r="E708" t="s">
        <v>37</v>
      </c>
      <c r="F708" s="1">
        <v>44833</v>
      </c>
      <c r="G708" s="1">
        <v>44976</v>
      </c>
      <c r="H708">
        <v>6781</v>
      </c>
      <c r="I708">
        <v>3098</v>
      </c>
      <c r="J708">
        <v>3683</v>
      </c>
      <c r="K708" t="s">
        <v>54</v>
      </c>
      <c r="L708">
        <v>4</v>
      </c>
      <c r="M708" t="str">
        <f t="shared" si="11"/>
        <v>0-6 Months</v>
      </c>
      <c r="N708" s="1">
        <v>44976</v>
      </c>
      <c r="O708">
        <v>1</v>
      </c>
      <c r="P708">
        <v>707</v>
      </c>
      <c r="Q708" s="2">
        <v>0.54</v>
      </c>
      <c r="R708" t="s">
        <v>27</v>
      </c>
      <c r="S708">
        <v>2023</v>
      </c>
      <c r="T708" t="s">
        <v>43</v>
      </c>
    </row>
    <row r="709" spans="1:20" hidden="1" x14ac:dyDescent="0.3">
      <c r="A709">
        <v>1197</v>
      </c>
      <c r="B709">
        <v>213</v>
      </c>
      <c r="C709" t="s">
        <v>24</v>
      </c>
      <c r="D709" t="s">
        <v>34</v>
      </c>
      <c r="E709" t="s">
        <v>26</v>
      </c>
      <c r="F709" s="1">
        <v>44609</v>
      </c>
      <c r="G709" s="1">
        <v>44694</v>
      </c>
      <c r="H709">
        <v>8882</v>
      </c>
      <c r="I709">
        <v>6645</v>
      </c>
      <c r="J709">
        <v>2237</v>
      </c>
      <c r="K709" t="s">
        <v>21</v>
      </c>
      <c r="L709">
        <v>2</v>
      </c>
      <c r="M709" t="str">
        <f t="shared" si="11"/>
        <v>0-6 Months</v>
      </c>
      <c r="N709" s="1">
        <v>44694</v>
      </c>
      <c r="O709">
        <v>1</v>
      </c>
      <c r="P709">
        <v>708</v>
      </c>
      <c r="Q709" s="2">
        <v>0.25</v>
      </c>
      <c r="R709" t="s">
        <v>27</v>
      </c>
      <c r="S709">
        <v>2022</v>
      </c>
      <c r="T709" t="s">
        <v>28</v>
      </c>
    </row>
    <row r="710" spans="1:20" hidden="1" x14ac:dyDescent="0.3">
      <c r="A710">
        <v>1198</v>
      </c>
      <c r="B710">
        <v>397</v>
      </c>
      <c r="C710" t="s">
        <v>40</v>
      </c>
      <c r="D710" t="s">
        <v>25</v>
      </c>
      <c r="E710" t="s">
        <v>26</v>
      </c>
      <c r="F710" s="1">
        <v>44726</v>
      </c>
      <c r="G710" s="1">
        <v>45033</v>
      </c>
      <c r="H710">
        <v>1011</v>
      </c>
      <c r="I710">
        <v>4076</v>
      </c>
      <c r="J710">
        <v>-3065</v>
      </c>
      <c r="K710" t="s">
        <v>21</v>
      </c>
      <c r="L710">
        <v>10</v>
      </c>
      <c r="M710" t="str">
        <f t="shared" si="11"/>
        <v>6-12 Months</v>
      </c>
      <c r="N710" s="1">
        <v>45033</v>
      </c>
      <c r="O710">
        <v>0</v>
      </c>
      <c r="P710">
        <v>709</v>
      </c>
      <c r="Q710" s="2">
        <v>-3.03</v>
      </c>
      <c r="R710" t="s">
        <v>22</v>
      </c>
      <c r="S710">
        <v>2023</v>
      </c>
      <c r="T710" t="s">
        <v>32</v>
      </c>
    </row>
    <row r="711" spans="1:20" x14ac:dyDescent="0.3">
      <c r="A711">
        <v>1201</v>
      </c>
      <c r="B711">
        <v>168</v>
      </c>
      <c r="C711" t="s">
        <v>53</v>
      </c>
      <c r="D711" t="s">
        <v>34</v>
      </c>
      <c r="E711" t="s">
        <v>26</v>
      </c>
      <c r="F711" s="1">
        <v>44744</v>
      </c>
      <c r="G711" s="1">
        <v>45048</v>
      </c>
      <c r="H711">
        <v>174</v>
      </c>
      <c r="I711">
        <v>29</v>
      </c>
      <c r="J711">
        <v>577.01</v>
      </c>
      <c r="K711" t="s">
        <v>35</v>
      </c>
      <c r="L711">
        <v>10</v>
      </c>
      <c r="M711" t="str">
        <f t="shared" si="11"/>
        <v>6-12 Months</v>
      </c>
      <c r="N711" s="1">
        <v>45048</v>
      </c>
      <c r="O711">
        <v>0</v>
      </c>
      <c r="P711">
        <v>710</v>
      </c>
      <c r="Q711" s="2">
        <v>3.32</v>
      </c>
      <c r="R711" t="s">
        <v>22</v>
      </c>
      <c r="S711">
        <v>2023</v>
      </c>
      <c r="T711" t="s">
        <v>28</v>
      </c>
    </row>
    <row r="712" spans="1:20" hidden="1" x14ac:dyDescent="0.3">
      <c r="A712">
        <v>1204</v>
      </c>
      <c r="B712">
        <v>414</v>
      </c>
      <c r="C712" t="s">
        <v>24</v>
      </c>
      <c r="D712" t="s">
        <v>25</v>
      </c>
      <c r="E712" t="s">
        <v>26</v>
      </c>
      <c r="F712" s="1">
        <v>44725</v>
      </c>
      <c r="G712" s="1">
        <v>45128</v>
      </c>
      <c r="H712">
        <v>2709</v>
      </c>
      <c r="I712">
        <v>4012.75</v>
      </c>
      <c r="J712">
        <v>3391</v>
      </c>
      <c r="K712" t="s">
        <v>54</v>
      </c>
      <c r="L712">
        <v>13</v>
      </c>
      <c r="M712" t="str">
        <f t="shared" si="11"/>
        <v>6-12 Months</v>
      </c>
      <c r="N712" s="1">
        <v>45128</v>
      </c>
      <c r="O712">
        <v>0</v>
      </c>
      <c r="P712">
        <v>711</v>
      </c>
      <c r="Q712" s="2">
        <v>1.25</v>
      </c>
      <c r="R712" t="s">
        <v>22</v>
      </c>
      <c r="S712">
        <v>2023</v>
      </c>
      <c r="T712" t="s">
        <v>44</v>
      </c>
    </row>
    <row r="713" spans="1:20" x14ac:dyDescent="0.3">
      <c r="A713">
        <v>1208</v>
      </c>
      <c r="B713">
        <v>192</v>
      </c>
      <c r="C713" t="s">
        <v>39</v>
      </c>
      <c r="D713" t="s">
        <v>19</v>
      </c>
      <c r="E713" t="s">
        <v>37</v>
      </c>
      <c r="F713" s="1">
        <v>44773</v>
      </c>
      <c r="G713" s="1">
        <v>44822</v>
      </c>
      <c r="H713">
        <v>7403</v>
      </c>
      <c r="I713">
        <v>2311</v>
      </c>
      <c r="J713">
        <v>5092</v>
      </c>
      <c r="K713" t="s">
        <v>35</v>
      </c>
      <c r="L713">
        <v>1</v>
      </c>
      <c r="M713" t="str">
        <f t="shared" si="11"/>
        <v>0-6 Months</v>
      </c>
      <c r="N713" s="1">
        <v>44822</v>
      </c>
      <c r="O713">
        <v>1</v>
      </c>
      <c r="P713">
        <v>712</v>
      </c>
      <c r="Q713" s="2">
        <v>0.69</v>
      </c>
      <c r="R713" t="s">
        <v>27</v>
      </c>
      <c r="S713">
        <v>2022</v>
      </c>
      <c r="T713" t="s">
        <v>30</v>
      </c>
    </row>
    <row r="714" spans="1:20" hidden="1" x14ac:dyDescent="0.3">
      <c r="A714">
        <v>1211</v>
      </c>
      <c r="B714">
        <v>331</v>
      </c>
      <c r="C714" t="s">
        <v>39</v>
      </c>
      <c r="D714" t="s">
        <v>29</v>
      </c>
      <c r="E714" t="s">
        <v>20</v>
      </c>
      <c r="F714" s="1">
        <v>44589</v>
      </c>
      <c r="G714" s="1">
        <v>44846</v>
      </c>
      <c r="H714">
        <v>9666</v>
      </c>
      <c r="I714">
        <v>5822</v>
      </c>
      <c r="J714">
        <v>3844</v>
      </c>
      <c r="K714" t="s">
        <v>54</v>
      </c>
      <c r="L714">
        <v>8</v>
      </c>
      <c r="M714" t="str">
        <f t="shared" si="11"/>
        <v>6-12 Months</v>
      </c>
      <c r="N714" s="1">
        <v>44846</v>
      </c>
      <c r="O714">
        <v>0</v>
      </c>
      <c r="P714">
        <v>713</v>
      </c>
      <c r="Q714" s="2">
        <v>0.4</v>
      </c>
      <c r="R714" t="s">
        <v>27</v>
      </c>
      <c r="S714">
        <v>2022</v>
      </c>
      <c r="T714" t="s">
        <v>33</v>
      </c>
    </row>
    <row r="715" spans="1:20" hidden="1" x14ac:dyDescent="0.3">
      <c r="A715">
        <v>1212</v>
      </c>
      <c r="B715">
        <v>148</v>
      </c>
      <c r="C715" t="s">
        <v>40</v>
      </c>
      <c r="D715" t="s">
        <v>19</v>
      </c>
      <c r="E715" t="s">
        <v>20</v>
      </c>
      <c r="F715" s="1">
        <v>44631</v>
      </c>
      <c r="G715" s="1">
        <v>45017</v>
      </c>
      <c r="H715">
        <v>4967.93</v>
      </c>
      <c r="I715">
        <v>3490</v>
      </c>
      <c r="J715">
        <v>-5359</v>
      </c>
      <c r="K715" t="s">
        <v>54</v>
      </c>
      <c r="L715">
        <v>12</v>
      </c>
      <c r="M715" t="str">
        <f t="shared" si="11"/>
        <v>6-12 Months</v>
      </c>
      <c r="N715" s="1">
        <v>45017</v>
      </c>
      <c r="O715">
        <v>1</v>
      </c>
      <c r="P715">
        <v>714</v>
      </c>
      <c r="Q715" s="2">
        <v>-1.08</v>
      </c>
      <c r="R715" t="s">
        <v>22</v>
      </c>
      <c r="S715">
        <v>2023</v>
      </c>
      <c r="T715" t="s">
        <v>32</v>
      </c>
    </row>
    <row r="716" spans="1:20" x14ac:dyDescent="0.3">
      <c r="A716">
        <v>1214</v>
      </c>
      <c r="B716">
        <v>313</v>
      </c>
      <c r="C716" t="s">
        <v>45</v>
      </c>
      <c r="D716" t="s">
        <v>34</v>
      </c>
      <c r="E716" t="s">
        <v>20</v>
      </c>
      <c r="F716" s="1">
        <v>44834</v>
      </c>
      <c r="G716" s="1">
        <v>45267</v>
      </c>
      <c r="H716">
        <v>2632</v>
      </c>
      <c r="I716">
        <v>7416</v>
      </c>
      <c r="J716">
        <v>-4784</v>
      </c>
      <c r="K716" t="s">
        <v>35</v>
      </c>
      <c r="L716">
        <v>14</v>
      </c>
      <c r="M716" t="str">
        <f t="shared" si="11"/>
        <v>6-12 Months</v>
      </c>
      <c r="N716" s="1">
        <v>45267</v>
      </c>
      <c r="O716">
        <v>0</v>
      </c>
      <c r="P716">
        <v>715</v>
      </c>
      <c r="Q716" s="2">
        <v>-1.82</v>
      </c>
      <c r="R716" t="s">
        <v>22</v>
      </c>
      <c r="S716">
        <v>2023</v>
      </c>
      <c r="T716" t="s">
        <v>31</v>
      </c>
    </row>
    <row r="717" spans="1:20" hidden="1" x14ac:dyDescent="0.3">
      <c r="A717">
        <v>1215</v>
      </c>
      <c r="B717">
        <v>102</v>
      </c>
      <c r="C717" t="s">
        <v>45</v>
      </c>
      <c r="D717" t="s">
        <v>19</v>
      </c>
      <c r="E717" t="s">
        <v>26</v>
      </c>
      <c r="F717" s="1">
        <v>44614</v>
      </c>
      <c r="G717" s="1">
        <v>45011</v>
      </c>
      <c r="H717">
        <v>4638</v>
      </c>
      <c r="I717">
        <v>4012.75</v>
      </c>
      <c r="J717">
        <v>4819</v>
      </c>
      <c r="K717" t="s">
        <v>54</v>
      </c>
      <c r="L717">
        <v>13</v>
      </c>
      <c r="M717" t="str">
        <f t="shared" si="11"/>
        <v>6-12 Months</v>
      </c>
      <c r="N717" s="1">
        <v>45011</v>
      </c>
      <c r="O717">
        <v>1</v>
      </c>
      <c r="P717">
        <v>716</v>
      </c>
      <c r="Q717" s="2">
        <v>1.04</v>
      </c>
      <c r="R717" t="s">
        <v>22</v>
      </c>
      <c r="S717">
        <v>2023</v>
      </c>
      <c r="T717" t="s">
        <v>38</v>
      </c>
    </row>
    <row r="718" spans="1:20" hidden="1" x14ac:dyDescent="0.3">
      <c r="A718">
        <v>1217</v>
      </c>
      <c r="B718">
        <v>104</v>
      </c>
      <c r="C718" t="s">
        <v>24</v>
      </c>
      <c r="D718" t="s">
        <v>19</v>
      </c>
      <c r="E718" t="s">
        <v>37</v>
      </c>
      <c r="F718" s="1">
        <v>44819</v>
      </c>
      <c r="G718" s="1">
        <v>45151</v>
      </c>
      <c r="H718">
        <v>7747</v>
      </c>
      <c r="I718">
        <v>6710</v>
      </c>
      <c r="J718">
        <v>1037</v>
      </c>
      <c r="K718" t="s">
        <v>54</v>
      </c>
      <c r="L718">
        <v>10</v>
      </c>
      <c r="M718" t="str">
        <f t="shared" si="11"/>
        <v>6-12 Months</v>
      </c>
      <c r="N718" s="1">
        <v>45151</v>
      </c>
      <c r="O718">
        <v>1</v>
      </c>
      <c r="P718">
        <v>717</v>
      </c>
      <c r="Q718" s="2">
        <v>0.13</v>
      </c>
      <c r="R718" t="s">
        <v>27</v>
      </c>
      <c r="S718">
        <v>2023</v>
      </c>
      <c r="T718" t="s">
        <v>36</v>
      </c>
    </row>
    <row r="719" spans="1:20" hidden="1" x14ac:dyDescent="0.3">
      <c r="A719">
        <v>1218</v>
      </c>
      <c r="B719">
        <v>161</v>
      </c>
      <c r="C719" t="s">
        <v>40</v>
      </c>
      <c r="D719" t="s">
        <v>19</v>
      </c>
      <c r="E719" t="s">
        <v>37</v>
      </c>
      <c r="F719" s="1">
        <v>44732</v>
      </c>
      <c r="G719" s="1">
        <v>45209</v>
      </c>
      <c r="H719">
        <v>9785</v>
      </c>
      <c r="I719">
        <v>1933</v>
      </c>
      <c r="J719">
        <v>7852</v>
      </c>
      <c r="K719" t="s">
        <v>54</v>
      </c>
      <c r="L719">
        <v>15</v>
      </c>
      <c r="M719" t="str">
        <f t="shared" si="11"/>
        <v>6-12 Months</v>
      </c>
      <c r="N719" s="1">
        <v>45209</v>
      </c>
      <c r="O719">
        <v>0</v>
      </c>
      <c r="P719">
        <v>718</v>
      </c>
      <c r="Q719" s="2">
        <v>0.8</v>
      </c>
      <c r="R719" t="s">
        <v>27</v>
      </c>
      <c r="S719">
        <v>2023</v>
      </c>
      <c r="T719" t="s">
        <v>33</v>
      </c>
    </row>
    <row r="720" spans="1:20" hidden="1" x14ac:dyDescent="0.3">
      <c r="A720">
        <v>1219</v>
      </c>
      <c r="B720">
        <v>415</v>
      </c>
      <c r="C720" t="s">
        <v>40</v>
      </c>
      <c r="D720" t="s">
        <v>29</v>
      </c>
      <c r="E720" t="s">
        <v>37</v>
      </c>
      <c r="F720" s="1">
        <v>44837</v>
      </c>
      <c r="G720" s="1">
        <v>45325</v>
      </c>
      <c r="H720">
        <v>4967.93</v>
      </c>
      <c r="I720">
        <v>127</v>
      </c>
      <c r="J720">
        <v>-1967</v>
      </c>
      <c r="K720" t="s">
        <v>21</v>
      </c>
      <c r="L720">
        <v>16</v>
      </c>
      <c r="M720" t="str">
        <f t="shared" si="11"/>
        <v>6-12 Months</v>
      </c>
      <c r="N720" s="1">
        <v>45325</v>
      </c>
      <c r="O720">
        <v>1</v>
      </c>
      <c r="P720">
        <v>719</v>
      </c>
      <c r="Q720" s="2">
        <v>-0.4</v>
      </c>
      <c r="R720" t="s">
        <v>27</v>
      </c>
      <c r="S720">
        <v>2024</v>
      </c>
      <c r="T720" t="s">
        <v>43</v>
      </c>
    </row>
    <row r="721" spans="1:20" hidden="1" x14ac:dyDescent="0.3">
      <c r="A721">
        <v>1220</v>
      </c>
      <c r="B721">
        <v>202</v>
      </c>
      <c r="C721" t="s">
        <v>45</v>
      </c>
      <c r="D721" t="s">
        <v>34</v>
      </c>
      <c r="E721" t="s">
        <v>37</v>
      </c>
      <c r="F721" s="1">
        <v>44599</v>
      </c>
      <c r="G721" s="1">
        <v>44982</v>
      </c>
      <c r="H721">
        <v>4736</v>
      </c>
      <c r="I721">
        <v>2224</v>
      </c>
      <c r="J721">
        <v>2512</v>
      </c>
      <c r="K721" t="s">
        <v>21</v>
      </c>
      <c r="L721">
        <v>12</v>
      </c>
      <c r="M721" t="str">
        <f t="shared" si="11"/>
        <v>6-12 Months</v>
      </c>
      <c r="N721" s="1">
        <v>44982</v>
      </c>
      <c r="O721">
        <v>1</v>
      </c>
      <c r="P721">
        <v>720</v>
      </c>
      <c r="Q721" s="2">
        <v>0.53</v>
      </c>
      <c r="R721" t="s">
        <v>27</v>
      </c>
      <c r="S721">
        <v>2023</v>
      </c>
      <c r="T721" t="s">
        <v>43</v>
      </c>
    </row>
    <row r="722" spans="1:20" hidden="1" x14ac:dyDescent="0.3">
      <c r="A722">
        <v>1221</v>
      </c>
      <c r="B722">
        <v>123</v>
      </c>
      <c r="C722" t="s">
        <v>53</v>
      </c>
      <c r="D722" t="s">
        <v>19</v>
      </c>
      <c r="E722" t="s">
        <v>20</v>
      </c>
      <c r="F722" s="1">
        <v>44912</v>
      </c>
      <c r="G722" s="1">
        <v>45452</v>
      </c>
      <c r="H722">
        <v>5511</v>
      </c>
      <c r="I722">
        <v>3453</v>
      </c>
      <c r="J722">
        <v>2058</v>
      </c>
      <c r="K722" t="s">
        <v>54</v>
      </c>
      <c r="L722">
        <v>17</v>
      </c>
      <c r="M722" t="str">
        <f t="shared" si="11"/>
        <v>6-12 Months</v>
      </c>
      <c r="N722" s="1">
        <v>45452</v>
      </c>
      <c r="O722">
        <v>1</v>
      </c>
      <c r="P722">
        <v>721</v>
      </c>
      <c r="Q722" s="2">
        <v>0.37</v>
      </c>
      <c r="R722" t="s">
        <v>27</v>
      </c>
      <c r="S722">
        <v>2024</v>
      </c>
      <c r="T722" t="s">
        <v>41</v>
      </c>
    </row>
    <row r="723" spans="1:20" x14ac:dyDescent="0.3">
      <c r="A723">
        <v>1224</v>
      </c>
      <c r="B723">
        <v>404</v>
      </c>
      <c r="C723" t="s">
        <v>40</v>
      </c>
      <c r="D723" t="s">
        <v>25</v>
      </c>
      <c r="E723" t="s">
        <v>20</v>
      </c>
      <c r="F723" s="1">
        <v>44651</v>
      </c>
      <c r="G723" s="1">
        <v>45048</v>
      </c>
      <c r="H723">
        <v>515</v>
      </c>
      <c r="I723">
        <v>4012.75</v>
      </c>
      <c r="J723">
        <v>729</v>
      </c>
      <c r="K723" t="s">
        <v>35</v>
      </c>
      <c r="L723">
        <v>13</v>
      </c>
      <c r="M723" t="str">
        <f t="shared" si="11"/>
        <v>6-12 Months</v>
      </c>
      <c r="N723" s="1">
        <v>45048</v>
      </c>
      <c r="O723">
        <v>1</v>
      </c>
      <c r="P723">
        <v>722</v>
      </c>
      <c r="Q723" s="2">
        <v>1.42</v>
      </c>
      <c r="R723" t="s">
        <v>22</v>
      </c>
      <c r="S723">
        <v>2023</v>
      </c>
      <c r="T723" t="s">
        <v>28</v>
      </c>
    </row>
    <row r="724" spans="1:20" hidden="1" x14ac:dyDescent="0.3">
      <c r="A724">
        <v>1225</v>
      </c>
      <c r="B724">
        <v>299</v>
      </c>
      <c r="C724" t="s">
        <v>45</v>
      </c>
      <c r="D724" t="s">
        <v>19</v>
      </c>
      <c r="E724" t="s">
        <v>20</v>
      </c>
      <c r="F724" s="1">
        <v>44880</v>
      </c>
      <c r="G724" s="1">
        <v>45127</v>
      </c>
      <c r="H724">
        <v>4940</v>
      </c>
      <c r="I724">
        <v>6495</v>
      </c>
      <c r="J724">
        <v>577.01</v>
      </c>
      <c r="K724" t="s">
        <v>54</v>
      </c>
      <c r="L724">
        <v>8</v>
      </c>
      <c r="M724" t="str">
        <f t="shared" si="11"/>
        <v>6-12 Months</v>
      </c>
      <c r="N724" s="1">
        <v>45127</v>
      </c>
      <c r="O724">
        <v>0</v>
      </c>
      <c r="P724">
        <v>723</v>
      </c>
      <c r="Q724" s="2">
        <v>0.12</v>
      </c>
      <c r="R724" t="s">
        <v>27</v>
      </c>
      <c r="S724">
        <v>2023</v>
      </c>
      <c r="T724" t="s">
        <v>44</v>
      </c>
    </row>
    <row r="725" spans="1:20" hidden="1" x14ac:dyDescent="0.3">
      <c r="A725">
        <v>1227</v>
      </c>
      <c r="B725">
        <v>203</v>
      </c>
      <c r="C725" t="s">
        <v>39</v>
      </c>
      <c r="D725" t="s">
        <v>29</v>
      </c>
      <c r="E725" t="s">
        <v>20</v>
      </c>
      <c r="F725" s="1">
        <v>44713</v>
      </c>
      <c r="G725" s="1">
        <v>45207</v>
      </c>
      <c r="H725">
        <v>4385</v>
      </c>
      <c r="I725">
        <v>4770</v>
      </c>
      <c r="J725">
        <v>-385</v>
      </c>
      <c r="K725" t="s">
        <v>21</v>
      </c>
      <c r="L725">
        <v>16</v>
      </c>
      <c r="M725" t="str">
        <f t="shared" si="11"/>
        <v>6-12 Months</v>
      </c>
      <c r="N725" s="1">
        <v>45207</v>
      </c>
      <c r="O725">
        <v>0</v>
      </c>
      <c r="P725">
        <v>724</v>
      </c>
      <c r="Q725" s="2">
        <v>-0.09</v>
      </c>
      <c r="R725" t="s">
        <v>27</v>
      </c>
      <c r="S725">
        <v>2023</v>
      </c>
      <c r="T725" t="s">
        <v>33</v>
      </c>
    </row>
    <row r="726" spans="1:20" hidden="1" x14ac:dyDescent="0.3">
      <c r="A726">
        <v>1228</v>
      </c>
      <c r="B726">
        <v>263</v>
      </c>
      <c r="C726" t="s">
        <v>24</v>
      </c>
      <c r="D726" t="s">
        <v>34</v>
      </c>
      <c r="E726" t="s">
        <v>26</v>
      </c>
      <c r="F726" s="1">
        <v>44732</v>
      </c>
      <c r="G726" s="1">
        <v>45174</v>
      </c>
      <c r="H726">
        <v>8454</v>
      </c>
      <c r="I726">
        <v>5332</v>
      </c>
      <c r="J726">
        <v>3122</v>
      </c>
      <c r="K726" t="s">
        <v>54</v>
      </c>
      <c r="L726">
        <v>14</v>
      </c>
      <c r="M726" t="str">
        <f t="shared" si="11"/>
        <v>6-12 Months</v>
      </c>
      <c r="N726" s="1">
        <v>45174</v>
      </c>
      <c r="O726">
        <v>1</v>
      </c>
      <c r="P726">
        <v>725</v>
      </c>
      <c r="Q726" s="2">
        <v>0.37</v>
      </c>
      <c r="R726" t="s">
        <v>27</v>
      </c>
      <c r="S726">
        <v>2023</v>
      </c>
      <c r="T726" t="s">
        <v>30</v>
      </c>
    </row>
    <row r="727" spans="1:20" x14ac:dyDescent="0.3">
      <c r="A727">
        <v>1229</v>
      </c>
      <c r="B727">
        <v>326</v>
      </c>
      <c r="C727" t="s">
        <v>24</v>
      </c>
      <c r="D727" t="s">
        <v>25</v>
      </c>
      <c r="E727" t="s">
        <v>20</v>
      </c>
      <c r="F727" s="1">
        <v>44590</v>
      </c>
      <c r="G727" s="1">
        <v>44947</v>
      </c>
      <c r="H727">
        <v>4967.93</v>
      </c>
      <c r="I727">
        <v>2588</v>
      </c>
      <c r="J727">
        <v>-2850</v>
      </c>
      <c r="K727" t="s">
        <v>35</v>
      </c>
      <c r="L727">
        <v>11</v>
      </c>
      <c r="M727" t="str">
        <f t="shared" si="11"/>
        <v>6-12 Months</v>
      </c>
      <c r="N727" s="1">
        <v>44947</v>
      </c>
      <c r="O727">
        <v>0</v>
      </c>
      <c r="P727">
        <v>726</v>
      </c>
      <c r="Q727" s="2">
        <v>-0.56999999999999995</v>
      </c>
      <c r="R727" t="s">
        <v>27</v>
      </c>
      <c r="S727">
        <v>2023</v>
      </c>
      <c r="T727" t="s">
        <v>23</v>
      </c>
    </row>
    <row r="728" spans="1:20" hidden="1" x14ac:dyDescent="0.3">
      <c r="A728">
        <v>1230</v>
      </c>
      <c r="B728">
        <v>279</v>
      </c>
      <c r="C728" t="s">
        <v>24</v>
      </c>
      <c r="D728" t="s">
        <v>34</v>
      </c>
      <c r="E728" t="s">
        <v>26</v>
      </c>
      <c r="F728" s="1">
        <v>44798</v>
      </c>
      <c r="G728" s="1">
        <v>45016</v>
      </c>
      <c r="H728">
        <v>6042</v>
      </c>
      <c r="I728">
        <v>561</v>
      </c>
      <c r="J728">
        <v>5481</v>
      </c>
      <c r="K728" t="s">
        <v>54</v>
      </c>
      <c r="L728">
        <v>7</v>
      </c>
      <c r="M728" t="str">
        <f t="shared" si="11"/>
        <v>6-12 Months</v>
      </c>
      <c r="N728" s="1">
        <v>45016</v>
      </c>
      <c r="O728">
        <v>1</v>
      </c>
      <c r="P728">
        <v>727</v>
      </c>
      <c r="Q728" s="2">
        <v>0.91</v>
      </c>
      <c r="R728" t="s">
        <v>27</v>
      </c>
      <c r="S728">
        <v>2023</v>
      </c>
      <c r="T728" t="s">
        <v>38</v>
      </c>
    </row>
    <row r="729" spans="1:20" hidden="1" x14ac:dyDescent="0.3">
      <c r="A729">
        <v>1231</v>
      </c>
      <c r="B729">
        <v>354</v>
      </c>
      <c r="C729" t="s">
        <v>45</v>
      </c>
      <c r="D729" t="s">
        <v>29</v>
      </c>
      <c r="E729" t="s">
        <v>26</v>
      </c>
      <c r="F729" s="1">
        <v>44897</v>
      </c>
      <c r="G729" s="1">
        <v>45093</v>
      </c>
      <c r="H729">
        <v>9547</v>
      </c>
      <c r="I729">
        <v>7278</v>
      </c>
      <c r="J729">
        <v>2269</v>
      </c>
      <c r="K729" t="s">
        <v>54</v>
      </c>
      <c r="L729">
        <v>6</v>
      </c>
      <c r="M729" t="str">
        <f t="shared" si="11"/>
        <v>12+ Months</v>
      </c>
      <c r="N729" s="1">
        <v>45093</v>
      </c>
      <c r="O729">
        <v>1</v>
      </c>
      <c r="P729">
        <v>728</v>
      </c>
      <c r="Q729" s="2">
        <v>0.24</v>
      </c>
      <c r="R729" t="s">
        <v>27</v>
      </c>
      <c r="S729">
        <v>2023</v>
      </c>
      <c r="T729" t="s">
        <v>41</v>
      </c>
    </row>
    <row r="730" spans="1:20" hidden="1" x14ac:dyDescent="0.3">
      <c r="A730">
        <v>1234</v>
      </c>
      <c r="B730">
        <v>198</v>
      </c>
      <c r="C730" t="s">
        <v>53</v>
      </c>
      <c r="D730" t="s">
        <v>19</v>
      </c>
      <c r="E730" t="s">
        <v>20</v>
      </c>
      <c r="F730" s="1">
        <v>44673</v>
      </c>
      <c r="G730" s="1">
        <v>44809</v>
      </c>
      <c r="H730">
        <v>4967.93</v>
      </c>
      <c r="I730">
        <v>6616</v>
      </c>
      <c r="J730">
        <v>-7326</v>
      </c>
      <c r="K730" t="s">
        <v>54</v>
      </c>
      <c r="L730">
        <v>4</v>
      </c>
      <c r="M730" t="str">
        <f t="shared" si="11"/>
        <v>0-6 Months</v>
      </c>
      <c r="N730" s="1">
        <v>44809</v>
      </c>
      <c r="O730">
        <v>1</v>
      </c>
      <c r="P730">
        <v>729</v>
      </c>
      <c r="Q730" s="2">
        <v>-1.47</v>
      </c>
      <c r="R730" t="s">
        <v>22</v>
      </c>
      <c r="S730">
        <v>2022</v>
      </c>
      <c r="T730" t="s">
        <v>30</v>
      </c>
    </row>
    <row r="731" spans="1:20" hidden="1" x14ac:dyDescent="0.3">
      <c r="A731">
        <v>1236</v>
      </c>
      <c r="B731">
        <v>232</v>
      </c>
      <c r="C731" t="s">
        <v>39</v>
      </c>
      <c r="D731" t="s">
        <v>25</v>
      </c>
      <c r="E731" t="s">
        <v>37</v>
      </c>
      <c r="F731" s="1">
        <v>44903</v>
      </c>
      <c r="G731" s="1">
        <v>45207</v>
      </c>
      <c r="H731">
        <v>239</v>
      </c>
      <c r="I731">
        <v>514</v>
      </c>
      <c r="J731">
        <v>-275</v>
      </c>
      <c r="K731" t="s">
        <v>21</v>
      </c>
      <c r="L731">
        <v>10</v>
      </c>
      <c r="M731" t="str">
        <f t="shared" si="11"/>
        <v>6-12 Months</v>
      </c>
      <c r="N731" s="1">
        <v>45207</v>
      </c>
      <c r="O731">
        <v>0</v>
      </c>
      <c r="P731">
        <v>730</v>
      </c>
      <c r="Q731" s="2">
        <v>-1.1499999999999999</v>
      </c>
      <c r="R731" t="s">
        <v>22</v>
      </c>
      <c r="S731">
        <v>2023</v>
      </c>
      <c r="T731" t="s">
        <v>33</v>
      </c>
    </row>
    <row r="732" spans="1:20" hidden="1" x14ac:dyDescent="0.3">
      <c r="A732">
        <v>1238</v>
      </c>
      <c r="B732">
        <v>180</v>
      </c>
      <c r="C732" t="s">
        <v>39</v>
      </c>
      <c r="D732" t="s">
        <v>34</v>
      </c>
      <c r="E732" t="s">
        <v>26</v>
      </c>
      <c r="F732" s="1">
        <v>44574</v>
      </c>
      <c r="G732" s="1">
        <v>44822</v>
      </c>
      <c r="H732">
        <v>5392</v>
      </c>
      <c r="I732">
        <v>650</v>
      </c>
      <c r="J732">
        <v>4742</v>
      </c>
      <c r="K732" t="s">
        <v>21</v>
      </c>
      <c r="L732">
        <v>8</v>
      </c>
      <c r="M732" t="str">
        <f t="shared" si="11"/>
        <v>6-12 Months</v>
      </c>
      <c r="N732" s="1">
        <v>44822</v>
      </c>
      <c r="O732">
        <v>0</v>
      </c>
      <c r="P732">
        <v>731</v>
      </c>
      <c r="Q732" s="2">
        <v>0.88</v>
      </c>
      <c r="R732" t="s">
        <v>27</v>
      </c>
      <c r="S732">
        <v>2022</v>
      </c>
      <c r="T732" t="s">
        <v>30</v>
      </c>
    </row>
    <row r="733" spans="1:20" hidden="1" x14ac:dyDescent="0.3">
      <c r="A733">
        <v>1240</v>
      </c>
      <c r="B733">
        <v>183</v>
      </c>
      <c r="C733" t="s">
        <v>24</v>
      </c>
      <c r="D733" t="s">
        <v>25</v>
      </c>
      <c r="E733" t="s">
        <v>37</v>
      </c>
      <c r="F733" s="1">
        <v>44849</v>
      </c>
      <c r="G733" s="1">
        <v>45445</v>
      </c>
      <c r="H733">
        <v>9291</v>
      </c>
      <c r="I733">
        <v>3144</v>
      </c>
      <c r="J733">
        <v>6147</v>
      </c>
      <c r="K733" t="s">
        <v>54</v>
      </c>
      <c r="L733">
        <v>19</v>
      </c>
      <c r="M733" t="str">
        <f t="shared" si="11"/>
        <v>6-12 Months</v>
      </c>
      <c r="N733" s="1">
        <v>45445</v>
      </c>
      <c r="O733">
        <v>0</v>
      </c>
      <c r="P733">
        <v>732</v>
      </c>
      <c r="Q733" s="2">
        <v>0.66</v>
      </c>
      <c r="R733" t="s">
        <v>27</v>
      </c>
      <c r="S733">
        <v>2024</v>
      </c>
      <c r="T733" t="s">
        <v>41</v>
      </c>
    </row>
    <row r="734" spans="1:20" hidden="1" x14ac:dyDescent="0.3">
      <c r="A734">
        <v>1241</v>
      </c>
      <c r="B734">
        <v>403</v>
      </c>
      <c r="C734" t="s">
        <v>53</v>
      </c>
      <c r="D734" t="s">
        <v>34</v>
      </c>
      <c r="E734" t="s">
        <v>37</v>
      </c>
      <c r="F734" s="1">
        <v>44856</v>
      </c>
      <c r="G734" s="1">
        <v>45291</v>
      </c>
      <c r="H734">
        <v>55</v>
      </c>
      <c r="I734">
        <v>4725</v>
      </c>
      <c r="J734">
        <v>-4670</v>
      </c>
      <c r="K734" t="s">
        <v>54</v>
      </c>
      <c r="L734">
        <v>14</v>
      </c>
      <c r="M734" t="str">
        <f t="shared" si="11"/>
        <v>6-12 Months</v>
      </c>
      <c r="N734" s="1">
        <v>45291</v>
      </c>
      <c r="O734">
        <v>0</v>
      </c>
      <c r="P734">
        <v>733</v>
      </c>
      <c r="Q734" s="2">
        <v>-84.91</v>
      </c>
      <c r="R734" t="s">
        <v>22</v>
      </c>
      <c r="S734">
        <v>2023</v>
      </c>
      <c r="T734" t="s">
        <v>31</v>
      </c>
    </row>
    <row r="735" spans="1:20" hidden="1" x14ac:dyDescent="0.3">
      <c r="A735">
        <v>1242</v>
      </c>
      <c r="B735">
        <v>464</v>
      </c>
      <c r="C735" t="s">
        <v>24</v>
      </c>
      <c r="D735" t="s">
        <v>29</v>
      </c>
      <c r="E735" t="s">
        <v>26</v>
      </c>
      <c r="F735" s="1">
        <v>44840</v>
      </c>
      <c r="G735" s="1">
        <v>44977</v>
      </c>
      <c r="H735">
        <v>4332</v>
      </c>
      <c r="I735">
        <v>3615</v>
      </c>
      <c r="J735">
        <v>717</v>
      </c>
      <c r="K735" t="s">
        <v>54</v>
      </c>
      <c r="L735">
        <v>4</v>
      </c>
      <c r="M735" t="str">
        <f t="shared" si="11"/>
        <v>0-6 Months</v>
      </c>
      <c r="N735" s="1">
        <v>44977</v>
      </c>
      <c r="O735">
        <v>0</v>
      </c>
      <c r="P735">
        <v>734</v>
      </c>
      <c r="Q735" s="2">
        <v>0.17</v>
      </c>
      <c r="R735" t="s">
        <v>27</v>
      </c>
      <c r="S735">
        <v>2023</v>
      </c>
      <c r="T735" t="s">
        <v>43</v>
      </c>
    </row>
    <row r="736" spans="1:20" hidden="1" x14ac:dyDescent="0.3">
      <c r="A736">
        <v>1243</v>
      </c>
      <c r="B736">
        <v>316</v>
      </c>
      <c r="C736" t="s">
        <v>53</v>
      </c>
      <c r="D736" t="s">
        <v>19</v>
      </c>
      <c r="E736" t="s">
        <v>20</v>
      </c>
      <c r="F736" s="1">
        <v>44703</v>
      </c>
      <c r="G736" s="1">
        <v>44972</v>
      </c>
      <c r="H736">
        <v>4967.93</v>
      </c>
      <c r="I736">
        <v>135</v>
      </c>
      <c r="J736">
        <v>-155</v>
      </c>
      <c r="K736" t="s">
        <v>54</v>
      </c>
      <c r="L736">
        <v>8</v>
      </c>
      <c r="M736" t="str">
        <f t="shared" si="11"/>
        <v>6-12 Months</v>
      </c>
      <c r="N736" s="1">
        <v>44972</v>
      </c>
      <c r="O736">
        <v>1</v>
      </c>
      <c r="P736">
        <v>735</v>
      </c>
      <c r="Q736" s="2">
        <v>-0.03</v>
      </c>
      <c r="R736" t="s">
        <v>27</v>
      </c>
      <c r="S736">
        <v>2023</v>
      </c>
      <c r="T736" t="s">
        <v>43</v>
      </c>
    </row>
    <row r="737" spans="1:20" hidden="1" x14ac:dyDescent="0.3">
      <c r="A737">
        <v>1244</v>
      </c>
      <c r="B737">
        <v>465</v>
      </c>
      <c r="C737" t="s">
        <v>24</v>
      </c>
      <c r="D737" t="s">
        <v>19</v>
      </c>
      <c r="E737" t="s">
        <v>37</v>
      </c>
      <c r="F737" s="1">
        <v>44731</v>
      </c>
      <c r="G737" s="1">
        <v>45092</v>
      </c>
      <c r="H737">
        <v>1355</v>
      </c>
      <c r="I737">
        <v>1207</v>
      </c>
      <c r="J737">
        <v>577.01</v>
      </c>
      <c r="K737" t="s">
        <v>21</v>
      </c>
      <c r="L737">
        <v>11</v>
      </c>
      <c r="M737" t="str">
        <f t="shared" si="11"/>
        <v>6-12 Months</v>
      </c>
      <c r="N737" s="1">
        <v>45092</v>
      </c>
      <c r="O737">
        <v>1</v>
      </c>
      <c r="P737">
        <v>736</v>
      </c>
      <c r="Q737" s="2">
        <v>0.43</v>
      </c>
      <c r="R737" t="s">
        <v>27</v>
      </c>
      <c r="S737">
        <v>2023</v>
      </c>
      <c r="T737" t="s">
        <v>41</v>
      </c>
    </row>
    <row r="738" spans="1:20" hidden="1" x14ac:dyDescent="0.3">
      <c r="A738">
        <v>1246</v>
      </c>
      <c r="B738">
        <v>226</v>
      </c>
      <c r="C738" t="s">
        <v>53</v>
      </c>
      <c r="D738" t="s">
        <v>34</v>
      </c>
      <c r="E738" t="s">
        <v>26</v>
      </c>
      <c r="F738" s="1">
        <v>44796</v>
      </c>
      <c r="G738" s="1">
        <v>45032</v>
      </c>
      <c r="H738">
        <v>965</v>
      </c>
      <c r="I738">
        <v>7732</v>
      </c>
      <c r="J738">
        <v>-6767</v>
      </c>
      <c r="K738" t="s">
        <v>21</v>
      </c>
      <c r="L738">
        <v>7</v>
      </c>
      <c r="M738" t="str">
        <f t="shared" si="11"/>
        <v>6-12 Months</v>
      </c>
      <c r="N738" s="1">
        <v>45032</v>
      </c>
      <c r="O738">
        <v>1</v>
      </c>
      <c r="P738">
        <v>737</v>
      </c>
      <c r="Q738" s="2">
        <v>-7.01</v>
      </c>
      <c r="R738" t="s">
        <v>22</v>
      </c>
      <c r="S738">
        <v>2023</v>
      </c>
      <c r="T738" t="s">
        <v>32</v>
      </c>
    </row>
    <row r="739" spans="1:20" x14ac:dyDescent="0.3">
      <c r="A739">
        <v>1247</v>
      </c>
      <c r="B739">
        <v>448</v>
      </c>
      <c r="C739" t="s">
        <v>45</v>
      </c>
      <c r="D739" t="s">
        <v>29</v>
      </c>
      <c r="E739" t="s">
        <v>37</v>
      </c>
      <c r="F739" s="1">
        <v>44617</v>
      </c>
      <c r="G739" s="1">
        <v>45120</v>
      </c>
      <c r="H739">
        <v>3638</v>
      </c>
      <c r="I739">
        <v>5333</v>
      </c>
      <c r="J739">
        <v>-1695</v>
      </c>
      <c r="K739" t="s">
        <v>35</v>
      </c>
      <c r="L739">
        <v>16</v>
      </c>
      <c r="M739" t="str">
        <f t="shared" si="11"/>
        <v>6-12 Months</v>
      </c>
      <c r="N739" s="1">
        <v>45120</v>
      </c>
      <c r="O739">
        <v>1</v>
      </c>
      <c r="P739">
        <v>738</v>
      </c>
      <c r="Q739" s="2">
        <v>-0.47</v>
      </c>
      <c r="R739" t="s">
        <v>27</v>
      </c>
      <c r="S739">
        <v>2023</v>
      </c>
      <c r="T739" t="s">
        <v>44</v>
      </c>
    </row>
    <row r="740" spans="1:20" hidden="1" x14ac:dyDescent="0.3">
      <c r="A740">
        <v>1248</v>
      </c>
      <c r="B740">
        <v>287</v>
      </c>
      <c r="C740" t="s">
        <v>53</v>
      </c>
      <c r="D740" t="s">
        <v>19</v>
      </c>
      <c r="E740" t="s">
        <v>26</v>
      </c>
      <c r="F740" s="1">
        <v>44903</v>
      </c>
      <c r="G740" s="1">
        <v>45444</v>
      </c>
      <c r="H740">
        <v>4967.93</v>
      </c>
      <c r="I740">
        <v>3082</v>
      </c>
      <c r="J740">
        <v>-3726</v>
      </c>
      <c r="K740" t="s">
        <v>21</v>
      </c>
      <c r="L740">
        <v>17</v>
      </c>
      <c r="M740" t="str">
        <f t="shared" si="11"/>
        <v>6-12 Months</v>
      </c>
      <c r="N740" s="1">
        <v>45444</v>
      </c>
      <c r="O740">
        <v>1</v>
      </c>
      <c r="P740">
        <v>739</v>
      </c>
      <c r="Q740" s="2">
        <v>-0.75</v>
      </c>
      <c r="R740" t="s">
        <v>27</v>
      </c>
      <c r="S740">
        <v>2024</v>
      </c>
      <c r="T740" t="s">
        <v>41</v>
      </c>
    </row>
    <row r="741" spans="1:20" hidden="1" x14ac:dyDescent="0.3">
      <c r="A741">
        <v>1252</v>
      </c>
      <c r="B741">
        <v>214</v>
      </c>
      <c r="C741" t="s">
        <v>24</v>
      </c>
      <c r="D741" t="s">
        <v>25</v>
      </c>
      <c r="E741" t="s">
        <v>20</v>
      </c>
      <c r="F741" s="1">
        <v>44648</v>
      </c>
      <c r="G741" s="1">
        <v>45012</v>
      </c>
      <c r="H741">
        <v>212</v>
      </c>
      <c r="I741">
        <v>893</v>
      </c>
      <c r="J741">
        <v>-681</v>
      </c>
      <c r="K741" t="s">
        <v>54</v>
      </c>
      <c r="L741">
        <v>11</v>
      </c>
      <c r="M741" t="str">
        <f t="shared" si="11"/>
        <v>6-12 Months</v>
      </c>
      <c r="N741" s="1">
        <v>45012</v>
      </c>
      <c r="O741">
        <v>0</v>
      </c>
      <c r="P741">
        <v>740</v>
      </c>
      <c r="Q741" s="2">
        <v>-3.21</v>
      </c>
      <c r="R741" t="s">
        <v>22</v>
      </c>
      <c r="S741">
        <v>2023</v>
      </c>
      <c r="T741" t="s">
        <v>38</v>
      </c>
    </row>
    <row r="742" spans="1:20" hidden="1" x14ac:dyDescent="0.3">
      <c r="A742">
        <v>1253</v>
      </c>
      <c r="B742">
        <v>130</v>
      </c>
      <c r="C742" t="s">
        <v>39</v>
      </c>
      <c r="D742" t="s">
        <v>34</v>
      </c>
      <c r="E742" t="s">
        <v>20</v>
      </c>
      <c r="F742" s="1">
        <v>44857</v>
      </c>
      <c r="G742" s="1">
        <v>44947</v>
      </c>
      <c r="H742">
        <v>7976</v>
      </c>
      <c r="I742">
        <v>7305</v>
      </c>
      <c r="J742">
        <v>671</v>
      </c>
      <c r="K742" t="s">
        <v>54</v>
      </c>
      <c r="L742">
        <v>2</v>
      </c>
      <c r="M742" t="str">
        <f t="shared" si="11"/>
        <v>0-6 Months</v>
      </c>
      <c r="N742" s="1">
        <v>44947</v>
      </c>
      <c r="O742">
        <v>0</v>
      </c>
      <c r="P742">
        <v>741</v>
      </c>
      <c r="Q742" s="2">
        <v>0.08</v>
      </c>
      <c r="R742" t="s">
        <v>27</v>
      </c>
      <c r="S742">
        <v>2023</v>
      </c>
      <c r="T742" t="s">
        <v>23</v>
      </c>
    </row>
    <row r="743" spans="1:20" hidden="1" x14ac:dyDescent="0.3">
      <c r="A743">
        <v>1255</v>
      </c>
      <c r="B743">
        <v>108</v>
      </c>
      <c r="C743" t="s">
        <v>39</v>
      </c>
      <c r="D743" t="s">
        <v>34</v>
      </c>
      <c r="E743" t="s">
        <v>26</v>
      </c>
      <c r="F743" s="1">
        <v>44896</v>
      </c>
      <c r="G743" s="1">
        <v>45483</v>
      </c>
      <c r="H743">
        <v>9748</v>
      </c>
      <c r="I743">
        <v>7068</v>
      </c>
      <c r="J743">
        <v>2680</v>
      </c>
      <c r="K743" t="s">
        <v>54</v>
      </c>
      <c r="L743">
        <v>19</v>
      </c>
      <c r="M743" t="str">
        <f t="shared" si="11"/>
        <v>6-12 Months</v>
      </c>
      <c r="N743" s="1">
        <v>45483</v>
      </c>
      <c r="O743">
        <v>1</v>
      </c>
      <c r="P743">
        <v>742</v>
      </c>
      <c r="Q743" s="2">
        <v>0.27</v>
      </c>
      <c r="R743" t="s">
        <v>27</v>
      </c>
      <c r="S743">
        <v>2024</v>
      </c>
      <c r="T743" t="s">
        <v>44</v>
      </c>
    </row>
    <row r="744" spans="1:20" x14ac:dyDescent="0.3">
      <c r="A744">
        <v>1258</v>
      </c>
      <c r="B744">
        <v>298</v>
      </c>
      <c r="C744" t="s">
        <v>24</v>
      </c>
      <c r="D744" t="s">
        <v>29</v>
      </c>
      <c r="E744" t="s">
        <v>26</v>
      </c>
      <c r="F744" s="1">
        <v>44666</v>
      </c>
      <c r="G744" s="1">
        <v>44795</v>
      </c>
      <c r="H744">
        <v>7169</v>
      </c>
      <c r="I744">
        <v>6714</v>
      </c>
      <c r="J744">
        <v>455</v>
      </c>
      <c r="K744" t="s">
        <v>35</v>
      </c>
      <c r="L744">
        <v>4</v>
      </c>
      <c r="M744" t="str">
        <f t="shared" si="11"/>
        <v>0-6 Months</v>
      </c>
      <c r="N744" s="1">
        <v>44795</v>
      </c>
      <c r="O744">
        <v>1</v>
      </c>
      <c r="P744">
        <v>743</v>
      </c>
      <c r="Q744" s="2">
        <v>0.06</v>
      </c>
      <c r="R744" t="s">
        <v>27</v>
      </c>
      <c r="S744">
        <v>2022</v>
      </c>
      <c r="T744" t="s">
        <v>36</v>
      </c>
    </row>
    <row r="745" spans="1:20" hidden="1" x14ac:dyDescent="0.3">
      <c r="A745">
        <v>1259</v>
      </c>
      <c r="B745">
        <v>387</v>
      </c>
      <c r="C745" t="s">
        <v>40</v>
      </c>
      <c r="D745" t="s">
        <v>34</v>
      </c>
      <c r="E745" t="s">
        <v>37</v>
      </c>
      <c r="F745" s="1">
        <v>44720</v>
      </c>
      <c r="G745" s="1">
        <v>44968</v>
      </c>
      <c r="H745">
        <v>3837</v>
      </c>
      <c r="I745">
        <v>554</v>
      </c>
      <c r="J745">
        <v>3283</v>
      </c>
      <c r="K745" t="s">
        <v>54</v>
      </c>
      <c r="L745">
        <v>8</v>
      </c>
      <c r="M745" t="str">
        <f t="shared" si="11"/>
        <v>6-12 Months</v>
      </c>
      <c r="N745" s="1">
        <v>44968</v>
      </c>
      <c r="O745">
        <v>0</v>
      </c>
      <c r="P745">
        <v>744</v>
      </c>
      <c r="Q745" s="2">
        <v>0.86</v>
      </c>
      <c r="R745" t="s">
        <v>27</v>
      </c>
      <c r="S745">
        <v>2023</v>
      </c>
      <c r="T745" t="s">
        <v>43</v>
      </c>
    </row>
    <row r="746" spans="1:20" x14ac:dyDescent="0.3">
      <c r="A746">
        <v>1260</v>
      </c>
      <c r="B746">
        <v>211</v>
      </c>
      <c r="C746" t="s">
        <v>45</v>
      </c>
      <c r="D746" t="s">
        <v>34</v>
      </c>
      <c r="E746" t="s">
        <v>37</v>
      </c>
      <c r="F746" s="1">
        <v>44651</v>
      </c>
      <c r="G746" s="1">
        <v>45152</v>
      </c>
      <c r="H746">
        <v>6858</v>
      </c>
      <c r="I746">
        <v>6540</v>
      </c>
      <c r="J746">
        <v>318</v>
      </c>
      <c r="K746" t="s">
        <v>35</v>
      </c>
      <c r="L746">
        <v>16</v>
      </c>
      <c r="M746" t="str">
        <f t="shared" si="11"/>
        <v>6-12 Months</v>
      </c>
      <c r="N746" s="1">
        <v>45152</v>
      </c>
      <c r="O746">
        <v>1</v>
      </c>
      <c r="P746">
        <v>745</v>
      </c>
      <c r="Q746" s="2">
        <v>0.05</v>
      </c>
      <c r="R746" t="s">
        <v>27</v>
      </c>
      <c r="S746">
        <v>2023</v>
      </c>
      <c r="T746" t="s">
        <v>36</v>
      </c>
    </row>
    <row r="747" spans="1:20" hidden="1" x14ac:dyDescent="0.3">
      <c r="A747">
        <v>1263</v>
      </c>
      <c r="B747">
        <v>493</v>
      </c>
      <c r="C747" t="s">
        <v>40</v>
      </c>
      <c r="D747" t="s">
        <v>19</v>
      </c>
      <c r="E747" t="s">
        <v>37</v>
      </c>
      <c r="F747" s="1">
        <v>44917</v>
      </c>
      <c r="G747" s="1">
        <v>45372</v>
      </c>
      <c r="H747">
        <v>4565</v>
      </c>
      <c r="I747">
        <v>4903</v>
      </c>
      <c r="J747">
        <v>-338</v>
      </c>
      <c r="K747" t="s">
        <v>54</v>
      </c>
      <c r="L747">
        <v>14</v>
      </c>
      <c r="M747" t="str">
        <f t="shared" si="11"/>
        <v>6-12 Months</v>
      </c>
      <c r="N747" s="1">
        <v>45372</v>
      </c>
      <c r="O747">
        <v>1</v>
      </c>
      <c r="P747">
        <v>746</v>
      </c>
      <c r="Q747" s="2">
        <v>-7.0000000000000007E-2</v>
      </c>
      <c r="R747" t="s">
        <v>27</v>
      </c>
      <c r="S747">
        <v>2024</v>
      </c>
      <c r="T747" t="s">
        <v>38</v>
      </c>
    </row>
    <row r="748" spans="1:20" x14ac:dyDescent="0.3">
      <c r="A748">
        <v>1265</v>
      </c>
      <c r="B748">
        <v>374</v>
      </c>
      <c r="C748" t="s">
        <v>45</v>
      </c>
      <c r="D748" t="s">
        <v>19</v>
      </c>
      <c r="E748" t="s">
        <v>20</v>
      </c>
      <c r="F748" s="1">
        <v>44764</v>
      </c>
      <c r="G748" s="1">
        <v>45222</v>
      </c>
      <c r="H748">
        <v>7565</v>
      </c>
      <c r="I748">
        <v>4848</v>
      </c>
      <c r="J748">
        <v>2717</v>
      </c>
      <c r="K748" t="s">
        <v>35</v>
      </c>
      <c r="L748">
        <v>15</v>
      </c>
      <c r="M748" t="str">
        <f t="shared" si="11"/>
        <v>6-12 Months</v>
      </c>
      <c r="N748" s="1">
        <v>45222</v>
      </c>
      <c r="O748">
        <v>0</v>
      </c>
      <c r="P748">
        <v>747</v>
      </c>
      <c r="Q748" s="2">
        <v>0.36</v>
      </c>
      <c r="R748" t="s">
        <v>27</v>
      </c>
      <c r="S748">
        <v>2023</v>
      </c>
      <c r="T748" t="s">
        <v>33</v>
      </c>
    </row>
    <row r="749" spans="1:20" hidden="1" x14ac:dyDescent="0.3">
      <c r="A749">
        <v>1268</v>
      </c>
      <c r="B749">
        <v>262</v>
      </c>
      <c r="C749" t="s">
        <v>24</v>
      </c>
      <c r="D749" t="s">
        <v>19</v>
      </c>
      <c r="E749" t="s">
        <v>20</v>
      </c>
      <c r="F749" s="1">
        <v>44571</v>
      </c>
      <c r="G749" s="1">
        <v>44702</v>
      </c>
      <c r="H749">
        <v>1295</v>
      </c>
      <c r="I749">
        <v>4573</v>
      </c>
      <c r="J749">
        <v>-3278</v>
      </c>
      <c r="K749" t="s">
        <v>54</v>
      </c>
      <c r="L749">
        <v>4</v>
      </c>
      <c r="M749" t="str">
        <f t="shared" si="11"/>
        <v>0-6 Months</v>
      </c>
      <c r="N749" s="1">
        <v>44702</v>
      </c>
      <c r="O749">
        <v>0</v>
      </c>
      <c r="P749">
        <v>748</v>
      </c>
      <c r="Q749" s="2">
        <v>-2.5299999999999998</v>
      </c>
      <c r="R749" t="s">
        <v>22</v>
      </c>
      <c r="S749">
        <v>2022</v>
      </c>
      <c r="T749" t="s">
        <v>28</v>
      </c>
    </row>
    <row r="750" spans="1:20" hidden="1" x14ac:dyDescent="0.3">
      <c r="A750">
        <v>1269</v>
      </c>
      <c r="B750">
        <v>257</v>
      </c>
      <c r="C750" t="s">
        <v>24</v>
      </c>
      <c r="D750" t="s">
        <v>25</v>
      </c>
      <c r="E750" t="s">
        <v>20</v>
      </c>
      <c r="F750" s="1">
        <v>44831</v>
      </c>
      <c r="G750" s="1">
        <v>45259</v>
      </c>
      <c r="H750">
        <v>4967.93</v>
      </c>
      <c r="I750">
        <v>5371</v>
      </c>
      <c r="J750">
        <v>-6333</v>
      </c>
      <c r="K750" t="s">
        <v>54</v>
      </c>
      <c r="L750">
        <v>14</v>
      </c>
      <c r="M750" t="str">
        <f t="shared" si="11"/>
        <v>6-12 Months</v>
      </c>
      <c r="N750" s="1">
        <v>45259</v>
      </c>
      <c r="O750">
        <v>0</v>
      </c>
      <c r="P750">
        <v>749</v>
      </c>
      <c r="Q750" s="2">
        <v>-1.27</v>
      </c>
      <c r="R750" t="s">
        <v>22</v>
      </c>
      <c r="S750">
        <v>2023</v>
      </c>
      <c r="T750" t="s">
        <v>42</v>
      </c>
    </row>
    <row r="751" spans="1:20" hidden="1" x14ac:dyDescent="0.3">
      <c r="A751">
        <v>1270</v>
      </c>
      <c r="B751">
        <v>205</v>
      </c>
      <c r="C751" t="s">
        <v>45</v>
      </c>
      <c r="D751" t="s">
        <v>34</v>
      </c>
      <c r="E751" t="s">
        <v>37</v>
      </c>
      <c r="F751" s="1">
        <v>44825</v>
      </c>
      <c r="G751" s="1">
        <v>44943</v>
      </c>
      <c r="H751">
        <v>7502</v>
      </c>
      <c r="I751">
        <v>6992</v>
      </c>
      <c r="J751">
        <v>510</v>
      </c>
      <c r="K751" t="s">
        <v>54</v>
      </c>
      <c r="L751">
        <v>3</v>
      </c>
      <c r="M751" t="str">
        <f t="shared" si="11"/>
        <v>0-6 Months</v>
      </c>
      <c r="N751" s="1">
        <v>44943</v>
      </c>
      <c r="O751">
        <v>0</v>
      </c>
      <c r="P751">
        <v>750</v>
      </c>
      <c r="Q751" s="2">
        <v>7.0000000000000007E-2</v>
      </c>
      <c r="R751" t="s">
        <v>27</v>
      </c>
      <c r="S751">
        <v>2023</v>
      </c>
      <c r="T751" t="s">
        <v>23</v>
      </c>
    </row>
    <row r="752" spans="1:20" hidden="1" x14ac:dyDescent="0.3">
      <c r="A752">
        <v>1271</v>
      </c>
      <c r="B752">
        <v>145</v>
      </c>
      <c r="C752" t="s">
        <v>39</v>
      </c>
      <c r="D752" t="s">
        <v>25</v>
      </c>
      <c r="E752" t="s">
        <v>20</v>
      </c>
      <c r="F752" s="1">
        <v>44582</v>
      </c>
      <c r="G752" s="1">
        <v>44994</v>
      </c>
      <c r="H752">
        <v>6355</v>
      </c>
      <c r="I752">
        <v>6721</v>
      </c>
      <c r="J752">
        <v>-366</v>
      </c>
      <c r="K752" t="s">
        <v>21</v>
      </c>
      <c r="L752">
        <v>13</v>
      </c>
      <c r="M752" t="str">
        <f t="shared" si="11"/>
        <v>6-12 Months</v>
      </c>
      <c r="N752" s="1">
        <v>44994</v>
      </c>
      <c r="O752">
        <v>0</v>
      </c>
      <c r="P752">
        <v>751</v>
      </c>
      <c r="Q752" s="2">
        <v>-0.06</v>
      </c>
      <c r="R752" t="s">
        <v>27</v>
      </c>
      <c r="S752">
        <v>2023</v>
      </c>
      <c r="T752" t="s">
        <v>38</v>
      </c>
    </row>
    <row r="753" spans="1:20" hidden="1" x14ac:dyDescent="0.3">
      <c r="A753">
        <v>1273</v>
      </c>
      <c r="B753">
        <v>227</v>
      </c>
      <c r="C753" t="s">
        <v>53</v>
      </c>
      <c r="D753" t="s">
        <v>29</v>
      </c>
      <c r="E753" t="s">
        <v>20</v>
      </c>
      <c r="F753" s="1">
        <v>44765</v>
      </c>
      <c r="G753" s="1">
        <v>44945</v>
      </c>
      <c r="H753">
        <v>757</v>
      </c>
      <c r="I753">
        <v>3160</v>
      </c>
      <c r="J753">
        <v>-2403</v>
      </c>
      <c r="K753" t="s">
        <v>54</v>
      </c>
      <c r="L753">
        <v>5</v>
      </c>
      <c r="M753" t="str">
        <f t="shared" si="11"/>
        <v>0-6 Months</v>
      </c>
      <c r="N753" s="1">
        <v>44945</v>
      </c>
      <c r="O753">
        <v>1</v>
      </c>
      <c r="P753">
        <v>752</v>
      </c>
      <c r="Q753" s="2">
        <v>-3.17</v>
      </c>
      <c r="R753" t="s">
        <v>22</v>
      </c>
      <c r="S753">
        <v>2023</v>
      </c>
      <c r="T753" t="s">
        <v>23</v>
      </c>
    </row>
    <row r="754" spans="1:20" hidden="1" x14ac:dyDescent="0.3">
      <c r="A754">
        <v>1274</v>
      </c>
      <c r="B754">
        <v>438</v>
      </c>
      <c r="C754" t="s">
        <v>53</v>
      </c>
      <c r="D754" t="s">
        <v>19</v>
      </c>
      <c r="E754" t="s">
        <v>37</v>
      </c>
      <c r="F754" s="1">
        <v>44872</v>
      </c>
      <c r="G754" s="1">
        <v>44928</v>
      </c>
      <c r="H754">
        <v>2502</v>
      </c>
      <c r="I754">
        <v>772</v>
      </c>
      <c r="J754">
        <v>577.01</v>
      </c>
      <c r="K754" t="s">
        <v>54</v>
      </c>
      <c r="L754">
        <v>1</v>
      </c>
      <c r="M754" t="str">
        <f t="shared" si="11"/>
        <v>0-6 Months</v>
      </c>
      <c r="N754" s="1">
        <v>44928</v>
      </c>
      <c r="O754">
        <v>0</v>
      </c>
      <c r="P754">
        <v>753</v>
      </c>
      <c r="Q754" s="2">
        <v>0.23</v>
      </c>
      <c r="R754" t="s">
        <v>27</v>
      </c>
      <c r="S754">
        <v>2023</v>
      </c>
      <c r="T754" t="s">
        <v>23</v>
      </c>
    </row>
    <row r="755" spans="1:20" hidden="1" x14ac:dyDescent="0.3">
      <c r="A755">
        <v>1279</v>
      </c>
      <c r="B755">
        <v>203</v>
      </c>
      <c r="C755" t="s">
        <v>39</v>
      </c>
      <c r="D755" t="s">
        <v>29</v>
      </c>
      <c r="E755" t="s">
        <v>26</v>
      </c>
      <c r="F755" s="1">
        <v>44870</v>
      </c>
      <c r="G755" s="1">
        <v>45418</v>
      </c>
      <c r="H755">
        <v>1348</v>
      </c>
      <c r="I755">
        <v>5118</v>
      </c>
      <c r="J755">
        <v>-3770</v>
      </c>
      <c r="K755" t="s">
        <v>21</v>
      </c>
      <c r="L755">
        <v>18</v>
      </c>
      <c r="M755" t="str">
        <f t="shared" si="11"/>
        <v>6-12 Months</v>
      </c>
      <c r="N755" s="1">
        <v>45418</v>
      </c>
      <c r="O755">
        <v>1</v>
      </c>
      <c r="P755">
        <v>754</v>
      </c>
      <c r="Q755" s="2">
        <v>-2.8</v>
      </c>
      <c r="R755" t="s">
        <v>22</v>
      </c>
      <c r="S755">
        <v>2024</v>
      </c>
      <c r="T755" t="s">
        <v>28</v>
      </c>
    </row>
    <row r="756" spans="1:20" x14ac:dyDescent="0.3">
      <c r="A756">
        <v>1280</v>
      </c>
      <c r="B756">
        <v>468</v>
      </c>
      <c r="C756" t="s">
        <v>53</v>
      </c>
      <c r="D756" t="s">
        <v>25</v>
      </c>
      <c r="E756" t="s">
        <v>26</v>
      </c>
      <c r="F756" s="1">
        <v>44751</v>
      </c>
      <c r="G756" s="1">
        <v>45102</v>
      </c>
      <c r="H756">
        <v>2861</v>
      </c>
      <c r="I756">
        <v>4343</v>
      </c>
      <c r="J756">
        <v>-1482</v>
      </c>
      <c r="K756" t="s">
        <v>35</v>
      </c>
      <c r="L756">
        <v>11</v>
      </c>
      <c r="M756" t="str">
        <f t="shared" si="11"/>
        <v>6-12 Months</v>
      </c>
      <c r="N756" s="1">
        <v>45102</v>
      </c>
      <c r="O756">
        <v>1</v>
      </c>
      <c r="P756">
        <v>755</v>
      </c>
      <c r="Q756" s="2">
        <v>-0.52</v>
      </c>
      <c r="R756" t="s">
        <v>27</v>
      </c>
      <c r="S756">
        <v>2023</v>
      </c>
      <c r="T756" t="s">
        <v>41</v>
      </c>
    </row>
    <row r="757" spans="1:20" hidden="1" x14ac:dyDescent="0.3">
      <c r="A757">
        <v>1283</v>
      </c>
      <c r="B757">
        <v>454</v>
      </c>
      <c r="C757" t="s">
        <v>53</v>
      </c>
      <c r="D757" t="s">
        <v>29</v>
      </c>
      <c r="E757" t="s">
        <v>37</v>
      </c>
      <c r="F757" s="1">
        <v>44801</v>
      </c>
      <c r="G757" s="1">
        <v>44923</v>
      </c>
      <c r="H757">
        <v>4967.93</v>
      </c>
      <c r="I757">
        <v>7467</v>
      </c>
      <c r="J757">
        <v>-7574</v>
      </c>
      <c r="K757" t="s">
        <v>54</v>
      </c>
      <c r="L757">
        <v>4</v>
      </c>
      <c r="M757" t="str">
        <f t="shared" si="11"/>
        <v>0-6 Months</v>
      </c>
      <c r="N757" s="1">
        <v>44923</v>
      </c>
      <c r="O757">
        <v>0</v>
      </c>
      <c r="P757">
        <v>756</v>
      </c>
      <c r="Q757" s="2">
        <v>-1.52</v>
      </c>
      <c r="R757" t="s">
        <v>22</v>
      </c>
      <c r="S757">
        <v>2022</v>
      </c>
      <c r="T757" t="s">
        <v>31</v>
      </c>
    </row>
    <row r="758" spans="1:20" hidden="1" x14ac:dyDescent="0.3">
      <c r="A758">
        <v>1284</v>
      </c>
      <c r="B758">
        <v>344</v>
      </c>
      <c r="C758" t="s">
        <v>40</v>
      </c>
      <c r="D758" t="s">
        <v>19</v>
      </c>
      <c r="E758" t="s">
        <v>37</v>
      </c>
      <c r="F758" s="1">
        <v>44884</v>
      </c>
      <c r="G758" s="1">
        <v>45258</v>
      </c>
      <c r="H758">
        <v>3146</v>
      </c>
      <c r="I758">
        <v>4436</v>
      </c>
      <c r="J758">
        <v>-1290</v>
      </c>
      <c r="K758" t="s">
        <v>21</v>
      </c>
      <c r="L758">
        <v>12</v>
      </c>
      <c r="M758" t="str">
        <f t="shared" si="11"/>
        <v>6-12 Months</v>
      </c>
      <c r="N758" s="1">
        <v>45258</v>
      </c>
      <c r="O758">
        <v>1</v>
      </c>
      <c r="P758">
        <v>757</v>
      </c>
      <c r="Q758" s="2">
        <v>-0.41</v>
      </c>
      <c r="R758" t="s">
        <v>27</v>
      </c>
      <c r="S758">
        <v>2023</v>
      </c>
      <c r="T758" t="s">
        <v>42</v>
      </c>
    </row>
    <row r="759" spans="1:20" hidden="1" x14ac:dyDescent="0.3">
      <c r="A759">
        <v>1289</v>
      </c>
      <c r="B759">
        <v>403</v>
      </c>
      <c r="C759" t="s">
        <v>45</v>
      </c>
      <c r="D759" t="s">
        <v>19</v>
      </c>
      <c r="E759" t="s">
        <v>37</v>
      </c>
      <c r="F759" s="1">
        <v>44749</v>
      </c>
      <c r="G759" s="1">
        <v>45195</v>
      </c>
      <c r="H759">
        <v>4104</v>
      </c>
      <c r="I759">
        <v>6061</v>
      </c>
      <c r="J759">
        <v>-1957</v>
      </c>
      <c r="K759" t="s">
        <v>54</v>
      </c>
      <c r="L759">
        <v>14</v>
      </c>
      <c r="M759" t="str">
        <f t="shared" si="11"/>
        <v>6-12 Months</v>
      </c>
      <c r="N759" s="1">
        <v>45195</v>
      </c>
      <c r="O759">
        <v>1</v>
      </c>
      <c r="P759">
        <v>758</v>
      </c>
      <c r="Q759" s="2">
        <v>-0.48</v>
      </c>
      <c r="R759" t="s">
        <v>27</v>
      </c>
      <c r="S759">
        <v>2023</v>
      </c>
      <c r="T759" t="s">
        <v>30</v>
      </c>
    </row>
    <row r="760" spans="1:20" hidden="1" x14ac:dyDescent="0.3">
      <c r="A760">
        <v>1291</v>
      </c>
      <c r="B760">
        <v>459</v>
      </c>
      <c r="C760" t="s">
        <v>39</v>
      </c>
      <c r="D760" t="s">
        <v>34</v>
      </c>
      <c r="E760" t="s">
        <v>20</v>
      </c>
      <c r="F760" s="1">
        <v>44873</v>
      </c>
      <c r="G760" s="1">
        <v>45222</v>
      </c>
      <c r="H760">
        <v>4967.93</v>
      </c>
      <c r="I760">
        <v>3724</v>
      </c>
      <c r="J760">
        <v>-3744</v>
      </c>
      <c r="K760" t="s">
        <v>21</v>
      </c>
      <c r="L760">
        <v>11</v>
      </c>
      <c r="M760" t="str">
        <f t="shared" si="11"/>
        <v>6-12 Months</v>
      </c>
      <c r="N760" s="1">
        <v>45222</v>
      </c>
      <c r="O760">
        <v>0</v>
      </c>
      <c r="P760">
        <v>759</v>
      </c>
      <c r="Q760" s="2">
        <v>-0.75</v>
      </c>
      <c r="R760" t="s">
        <v>27</v>
      </c>
      <c r="S760">
        <v>2023</v>
      </c>
      <c r="T760" t="s">
        <v>33</v>
      </c>
    </row>
    <row r="761" spans="1:20" hidden="1" x14ac:dyDescent="0.3">
      <c r="A761">
        <v>1293</v>
      </c>
      <c r="B761">
        <v>302</v>
      </c>
      <c r="C761" t="s">
        <v>39</v>
      </c>
      <c r="D761" t="s">
        <v>29</v>
      </c>
      <c r="E761" t="s">
        <v>20</v>
      </c>
      <c r="F761" s="1">
        <v>44837</v>
      </c>
      <c r="G761" s="1">
        <v>45308</v>
      </c>
      <c r="H761">
        <v>2112</v>
      </c>
      <c r="I761">
        <v>4012.75</v>
      </c>
      <c r="J761">
        <v>2693</v>
      </c>
      <c r="K761" t="s">
        <v>21</v>
      </c>
      <c r="L761">
        <v>15</v>
      </c>
      <c r="M761" t="str">
        <f t="shared" si="11"/>
        <v>6-12 Months</v>
      </c>
      <c r="N761" s="1">
        <v>45308</v>
      </c>
      <c r="O761">
        <v>1</v>
      </c>
      <c r="P761">
        <v>760</v>
      </c>
      <c r="Q761" s="2">
        <v>1.28</v>
      </c>
      <c r="R761" t="s">
        <v>22</v>
      </c>
      <c r="S761">
        <v>2024</v>
      </c>
      <c r="T761" t="s">
        <v>23</v>
      </c>
    </row>
    <row r="762" spans="1:20" hidden="1" x14ac:dyDescent="0.3">
      <c r="A762">
        <v>1296</v>
      </c>
      <c r="B762">
        <v>229</v>
      </c>
      <c r="C762" t="s">
        <v>45</v>
      </c>
      <c r="D762" t="s">
        <v>29</v>
      </c>
      <c r="E762" t="s">
        <v>37</v>
      </c>
      <c r="F762" s="1">
        <v>44688</v>
      </c>
      <c r="G762" s="1">
        <v>44978</v>
      </c>
      <c r="H762">
        <v>6755</v>
      </c>
      <c r="I762">
        <v>7017</v>
      </c>
      <c r="J762">
        <v>-262</v>
      </c>
      <c r="K762" t="s">
        <v>21</v>
      </c>
      <c r="L762">
        <v>9</v>
      </c>
      <c r="M762" t="str">
        <f t="shared" si="11"/>
        <v>6-12 Months</v>
      </c>
      <c r="N762" s="1">
        <v>44978</v>
      </c>
      <c r="O762">
        <v>1</v>
      </c>
      <c r="P762">
        <v>761</v>
      </c>
      <c r="Q762" s="2">
        <v>-0.04</v>
      </c>
      <c r="R762" t="s">
        <v>27</v>
      </c>
      <c r="S762">
        <v>2023</v>
      </c>
      <c r="T762" t="s">
        <v>43</v>
      </c>
    </row>
    <row r="763" spans="1:20" hidden="1" x14ac:dyDescent="0.3">
      <c r="A763">
        <v>1300</v>
      </c>
      <c r="B763">
        <v>185</v>
      </c>
      <c r="C763" t="s">
        <v>39</v>
      </c>
      <c r="D763" t="s">
        <v>34</v>
      </c>
      <c r="E763" t="s">
        <v>26</v>
      </c>
      <c r="F763" s="1">
        <v>44589</v>
      </c>
      <c r="G763" s="1">
        <v>45153</v>
      </c>
      <c r="H763">
        <v>6090</v>
      </c>
      <c r="I763">
        <v>311</v>
      </c>
      <c r="J763">
        <v>5779</v>
      </c>
      <c r="K763" t="s">
        <v>54</v>
      </c>
      <c r="L763">
        <v>18</v>
      </c>
      <c r="M763" t="str">
        <f t="shared" si="11"/>
        <v>6-12 Months</v>
      </c>
      <c r="N763" s="1">
        <v>45153</v>
      </c>
      <c r="O763">
        <v>0</v>
      </c>
      <c r="P763">
        <v>762</v>
      </c>
      <c r="Q763" s="2">
        <v>0.95</v>
      </c>
      <c r="R763" t="s">
        <v>27</v>
      </c>
      <c r="S763">
        <v>2023</v>
      </c>
      <c r="T763" t="s">
        <v>36</v>
      </c>
    </row>
    <row r="764" spans="1:20" x14ac:dyDescent="0.3">
      <c r="A764">
        <v>1303</v>
      </c>
      <c r="B764">
        <v>417</v>
      </c>
      <c r="C764" t="s">
        <v>53</v>
      </c>
      <c r="D764" t="s">
        <v>29</v>
      </c>
      <c r="E764" t="s">
        <v>26</v>
      </c>
      <c r="F764" s="1">
        <v>44812</v>
      </c>
      <c r="G764" s="1">
        <v>45340</v>
      </c>
      <c r="H764">
        <v>8136</v>
      </c>
      <c r="I764">
        <v>1948</v>
      </c>
      <c r="J764">
        <v>6188</v>
      </c>
      <c r="K764" t="s">
        <v>35</v>
      </c>
      <c r="L764">
        <v>17</v>
      </c>
      <c r="M764" t="str">
        <f t="shared" si="11"/>
        <v>6-12 Months</v>
      </c>
      <c r="N764" s="1">
        <v>45340</v>
      </c>
      <c r="O764">
        <v>1</v>
      </c>
      <c r="P764">
        <v>763</v>
      </c>
      <c r="Q764" s="2">
        <v>0.76</v>
      </c>
      <c r="R764" t="s">
        <v>27</v>
      </c>
      <c r="S764">
        <v>2024</v>
      </c>
      <c r="T764" t="s">
        <v>43</v>
      </c>
    </row>
    <row r="765" spans="1:20" hidden="1" x14ac:dyDescent="0.3">
      <c r="A765">
        <v>1304</v>
      </c>
      <c r="B765">
        <v>370</v>
      </c>
      <c r="C765" t="s">
        <v>40</v>
      </c>
      <c r="D765" t="s">
        <v>34</v>
      </c>
      <c r="E765" t="s">
        <v>26</v>
      </c>
      <c r="F765" s="1">
        <v>44833</v>
      </c>
      <c r="G765" s="1">
        <v>45125</v>
      </c>
      <c r="H765">
        <v>5431</v>
      </c>
      <c r="I765">
        <v>7338</v>
      </c>
      <c r="J765">
        <v>-1907</v>
      </c>
      <c r="K765" t="s">
        <v>54</v>
      </c>
      <c r="L765">
        <v>9</v>
      </c>
      <c r="M765" t="str">
        <f t="shared" si="11"/>
        <v>6-12 Months</v>
      </c>
      <c r="N765" s="1">
        <v>45125</v>
      </c>
      <c r="O765">
        <v>1</v>
      </c>
      <c r="P765">
        <v>764</v>
      </c>
      <c r="Q765" s="2">
        <v>-0.35</v>
      </c>
      <c r="R765" t="s">
        <v>27</v>
      </c>
      <c r="S765">
        <v>2023</v>
      </c>
      <c r="T765" t="s">
        <v>44</v>
      </c>
    </row>
    <row r="766" spans="1:20" x14ac:dyDescent="0.3">
      <c r="A766">
        <v>1305</v>
      </c>
      <c r="B766">
        <v>327</v>
      </c>
      <c r="C766" t="s">
        <v>39</v>
      </c>
      <c r="D766" t="s">
        <v>29</v>
      </c>
      <c r="E766" t="s">
        <v>37</v>
      </c>
      <c r="F766" s="1">
        <v>44913</v>
      </c>
      <c r="G766" s="1">
        <v>45189</v>
      </c>
      <c r="H766">
        <v>8908</v>
      </c>
      <c r="I766">
        <v>7914</v>
      </c>
      <c r="J766">
        <v>994</v>
      </c>
      <c r="K766" t="s">
        <v>35</v>
      </c>
      <c r="L766">
        <v>9</v>
      </c>
      <c r="M766" t="str">
        <f t="shared" si="11"/>
        <v>6-12 Months</v>
      </c>
      <c r="N766" s="1">
        <v>45189</v>
      </c>
      <c r="O766">
        <v>0</v>
      </c>
      <c r="P766">
        <v>765</v>
      </c>
      <c r="Q766" s="2">
        <v>0.11</v>
      </c>
      <c r="R766" t="s">
        <v>27</v>
      </c>
      <c r="S766">
        <v>2023</v>
      </c>
      <c r="T766" t="s">
        <v>30</v>
      </c>
    </row>
    <row r="767" spans="1:20" x14ac:dyDescent="0.3">
      <c r="A767">
        <v>1306</v>
      </c>
      <c r="B767">
        <v>328</v>
      </c>
      <c r="C767" t="s">
        <v>53</v>
      </c>
      <c r="D767" t="s">
        <v>29</v>
      </c>
      <c r="E767" t="s">
        <v>20</v>
      </c>
      <c r="F767" s="1">
        <v>44817</v>
      </c>
      <c r="G767" s="1">
        <v>45375</v>
      </c>
      <c r="H767">
        <v>5037</v>
      </c>
      <c r="I767">
        <v>2173</v>
      </c>
      <c r="J767">
        <v>2864</v>
      </c>
      <c r="K767" t="s">
        <v>35</v>
      </c>
      <c r="L767">
        <v>18</v>
      </c>
      <c r="M767" t="str">
        <f t="shared" si="11"/>
        <v>6-12 Months</v>
      </c>
      <c r="N767" s="1">
        <v>45375</v>
      </c>
      <c r="O767">
        <v>0</v>
      </c>
      <c r="P767">
        <v>766</v>
      </c>
      <c r="Q767" s="2">
        <v>0.56999999999999995</v>
      </c>
      <c r="R767" t="s">
        <v>27</v>
      </c>
      <c r="S767">
        <v>2024</v>
      </c>
      <c r="T767" t="s">
        <v>38</v>
      </c>
    </row>
    <row r="768" spans="1:20" hidden="1" x14ac:dyDescent="0.3">
      <c r="A768">
        <v>1307</v>
      </c>
      <c r="B768">
        <v>247</v>
      </c>
      <c r="C768" t="s">
        <v>24</v>
      </c>
      <c r="D768" t="s">
        <v>19</v>
      </c>
      <c r="E768" t="s">
        <v>26</v>
      </c>
      <c r="F768" s="1">
        <v>44744</v>
      </c>
      <c r="G768" s="1">
        <v>45307</v>
      </c>
      <c r="H768">
        <v>4670</v>
      </c>
      <c r="I768">
        <v>1777</v>
      </c>
      <c r="J768">
        <v>2893</v>
      </c>
      <c r="K768" t="s">
        <v>54</v>
      </c>
      <c r="L768">
        <v>18</v>
      </c>
      <c r="M768" t="str">
        <f t="shared" si="11"/>
        <v>6-12 Months</v>
      </c>
      <c r="N768" s="1">
        <v>45307</v>
      </c>
      <c r="O768">
        <v>0</v>
      </c>
      <c r="P768">
        <v>767</v>
      </c>
      <c r="Q768" s="2">
        <v>0.62</v>
      </c>
      <c r="R768" t="s">
        <v>27</v>
      </c>
      <c r="S768">
        <v>2024</v>
      </c>
      <c r="T768" t="s">
        <v>23</v>
      </c>
    </row>
    <row r="769" spans="1:20" x14ac:dyDescent="0.3">
      <c r="A769">
        <v>1308</v>
      </c>
      <c r="B769">
        <v>309</v>
      </c>
      <c r="C769" t="s">
        <v>39</v>
      </c>
      <c r="D769" t="s">
        <v>19</v>
      </c>
      <c r="E769" t="s">
        <v>20</v>
      </c>
      <c r="F769" s="1">
        <v>44900</v>
      </c>
      <c r="G769" s="1">
        <v>45399</v>
      </c>
      <c r="H769">
        <v>9129</v>
      </c>
      <c r="I769">
        <v>2035</v>
      </c>
      <c r="J769">
        <v>7094</v>
      </c>
      <c r="K769" t="s">
        <v>35</v>
      </c>
      <c r="L769">
        <v>16</v>
      </c>
      <c r="M769" t="str">
        <f t="shared" si="11"/>
        <v>6-12 Months</v>
      </c>
      <c r="N769" s="1">
        <v>45399</v>
      </c>
      <c r="O769">
        <v>1</v>
      </c>
      <c r="P769">
        <v>768</v>
      </c>
      <c r="Q769" s="2">
        <v>0.78</v>
      </c>
      <c r="R769" t="s">
        <v>27</v>
      </c>
      <c r="S769">
        <v>2024</v>
      </c>
      <c r="T769" t="s">
        <v>32</v>
      </c>
    </row>
    <row r="770" spans="1:20" x14ac:dyDescent="0.3">
      <c r="A770">
        <v>1309</v>
      </c>
      <c r="B770">
        <v>459</v>
      </c>
      <c r="C770" t="s">
        <v>39</v>
      </c>
      <c r="D770" t="s">
        <v>34</v>
      </c>
      <c r="E770" t="s">
        <v>26</v>
      </c>
      <c r="F770" s="1">
        <v>44602</v>
      </c>
      <c r="G770" s="1">
        <v>44851</v>
      </c>
      <c r="H770">
        <v>4444</v>
      </c>
      <c r="I770">
        <v>7368</v>
      </c>
      <c r="J770">
        <v>-2924</v>
      </c>
      <c r="K770" t="s">
        <v>35</v>
      </c>
      <c r="L770">
        <v>8</v>
      </c>
      <c r="M770" t="str">
        <f t="shared" ref="M770:M833" si="12">IF(L770&lt;6,"0-6 Months",IF(L770&gt;6,"6-12 Months","12+ Months"))</f>
        <v>6-12 Months</v>
      </c>
      <c r="N770" s="1">
        <v>44851</v>
      </c>
      <c r="O770">
        <v>0</v>
      </c>
      <c r="P770">
        <v>769</v>
      </c>
      <c r="Q770" s="2">
        <v>-0.66</v>
      </c>
      <c r="R770" t="s">
        <v>27</v>
      </c>
      <c r="S770">
        <v>2022</v>
      </c>
      <c r="T770" t="s">
        <v>33</v>
      </c>
    </row>
    <row r="771" spans="1:20" hidden="1" x14ac:dyDescent="0.3">
      <c r="A771">
        <v>1310</v>
      </c>
      <c r="B771">
        <v>277</v>
      </c>
      <c r="C771" t="s">
        <v>24</v>
      </c>
      <c r="D771" t="s">
        <v>29</v>
      </c>
      <c r="E771" t="s">
        <v>20</v>
      </c>
      <c r="F771" s="1">
        <v>44630</v>
      </c>
      <c r="G771" s="1">
        <v>44691</v>
      </c>
      <c r="H771">
        <v>2209</v>
      </c>
      <c r="I771">
        <v>2301</v>
      </c>
      <c r="J771">
        <v>-92</v>
      </c>
      <c r="K771" t="s">
        <v>54</v>
      </c>
      <c r="L771">
        <v>2</v>
      </c>
      <c r="M771" t="str">
        <f t="shared" si="12"/>
        <v>0-6 Months</v>
      </c>
      <c r="N771" s="1">
        <v>44691</v>
      </c>
      <c r="O771">
        <v>0</v>
      </c>
      <c r="P771">
        <v>770</v>
      </c>
      <c r="Q771" s="2">
        <v>-0.04</v>
      </c>
      <c r="R771" t="s">
        <v>27</v>
      </c>
      <c r="S771">
        <v>2022</v>
      </c>
      <c r="T771" t="s">
        <v>28</v>
      </c>
    </row>
    <row r="772" spans="1:20" hidden="1" x14ac:dyDescent="0.3">
      <c r="A772">
        <v>1311</v>
      </c>
      <c r="B772">
        <v>116</v>
      </c>
      <c r="C772" t="s">
        <v>24</v>
      </c>
      <c r="D772" t="s">
        <v>34</v>
      </c>
      <c r="E772" t="s">
        <v>26</v>
      </c>
      <c r="F772" s="1">
        <v>44587</v>
      </c>
      <c r="G772" s="1">
        <v>45014</v>
      </c>
      <c r="H772">
        <v>4967.93</v>
      </c>
      <c r="I772">
        <v>5742</v>
      </c>
      <c r="J772">
        <v>-6556</v>
      </c>
      <c r="K772" t="s">
        <v>54</v>
      </c>
      <c r="L772">
        <v>14</v>
      </c>
      <c r="M772" t="str">
        <f t="shared" si="12"/>
        <v>6-12 Months</v>
      </c>
      <c r="N772" s="1">
        <v>45014</v>
      </c>
      <c r="O772">
        <v>0</v>
      </c>
      <c r="P772">
        <v>771</v>
      </c>
      <c r="Q772" s="2">
        <v>-1.32</v>
      </c>
      <c r="R772" t="s">
        <v>22</v>
      </c>
      <c r="S772">
        <v>2023</v>
      </c>
      <c r="T772" t="s">
        <v>38</v>
      </c>
    </row>
    <row r="773" spans="1:20" hidden="1" x14ac:dyDescent="0.3">
      <c r="A773">
        <v>1312</v>
      </c>
      <c r="B773">
        <v>343</v>
      </c>
      <c r="C773" t="s">
        <v>53</v>
      </c>
      <c r="D773" t="s">
        <v>25</v>
      </c>
      <c r="E773" t="s">
        <v>20</v>
      </c>
      <c r="F773" s="1">
        <v>44620</v>
      </c>
      <c r="G773" s="1">
        <v>44707</v>
      </c>
      <c r="H773">
        <v>11</v>
      </c>
      <c r="I773">
        <v>2259</v>
      </c>
      <c r="J773">
        <v>-2248</v>
      </c>
      <c r="K773" t="s">
        <v>21</v>
      </c>
      <c r="L773">
        <v>2</v>
      </c>
      <c r="M773" t="str">
        <f t="shared" si="12"/>
        <v>0-6 Months</v>
      </c>
      <c r="N773" s="1">
        <v>44707</v>
      </c>
      <c r="O773">
        <v>1</v>
      </c>
      <c r="P773">
        <v>772</v>
      </c>
      <c r="Q773" s="2">
        <v>-204.36</v>
      </c>
      <c r="R773" t="s">
        <v>22</v>
      </c>
      <c r="S773">
        <v>2022</v>
      </c>
      <c r="T773" t="s">
        <v>28</v>
      </c>
    </row>
    <row r="774" spans="1:20" hidden="1" x14ac:dyDescent="0.3">
      <c r="A774">
        <v>1313</v>
      </c>
      <c r="B774">
        <v>176</v>
      </c>
      <c r="C774" t="s">
        <v>24</v>
      </c>
      <c r="D774" t="s">
        <v>29</v>
      </c>
      <c r="E774" t="s">
        <v>26</v>
      </c>
      <c r="F774" s="1">
        <v>44867</v>
      </c>
      <c r="G774" s="1">
        <v>44986</v>
      </c>
      <c r="H774">
        <v>5547</v>
      </c>
      <c r="I774">
        <v>3555</v>
      </c>
      <c r="J774">
        <v>1992</v>
      </c>
      <c r="K774" t="s">
        <v>54</v>
      </c>
      <c r="L774">
        <v>3</v>
      </c>
      <c r="M774" t="str">
        <f t="shared" si="12"/>
        <v>0-6 Months</v>
      </c>
      <c r="N774" s="1">
        <v>44986</v>
      </c>
      <c r="O774">
        <v>1</v>
      </c>
      <c r="P774">
        <v>773</v>
      </c>
      <c r="Q774" s="2">
        <v>0.36</v>
      </c>
      <c r="R774" t="s">
        <v>27</v>
      </c>
      <c r="S774">
        <v>2023</v>
      </c>
      <c r="T774" t="s">
        <v>38</v>
      </c>
    </row>
    <row r="775" spans="1:20" x14ac:dyDescent="0.3">
      <c r="A775">
        <v>1316</v>
      </c>
      <c r="B775">
        <v>385</v>
      </c>
      <c r="C775" t="s">
        <v>40</v>
      </c>
      <c r="D775" t="s">
        <v>29</v>
      </c>
      <c r="E775" t="s">
        <v>26</v>
      </c>
      <c r="F775" s="1">
        <v>44831</v>
      </c>
      <c r="G775" s="1">
        <v>45171</v>
      </c>
      <c r="H775">
        <v>6872</v>
      </c>
      <c r="I775">
        <v>4012.75</v>
      </c>
      <c r="J775">
        <v>6992</v>
      </c>
      <c r="K775" t="s">
        <v>35</v>
      </c>
      <c r="L775">
        <v>11</v>
      </c>
      <c r="M775" t="str">
        <f t="shared" si="12"/>
        <v>6-12 Months</v>
      </c>
      <c r="N775" s="1">
        <v>45171</v>
      </c>
      <c r="O775">
        <v>1</v>
      </c>
      <c r="P775">
        <v>774</v>
      </c>
      <c r="Q775" s="2">
        <v>1.02</v>
      </c>
      <c r="R775" t="s">
        <v>22</v>
      </c>
      <c r="S775">
        <v>2023</v>
      </c>
      <c r="T775" t="s">
        <v>30</v>
      </c>
    </row>
    <row r="776" spans="1:20" hidden="1" x14ac:dyDescent="0.3">
      <c r="A776">
        <v>1318</v>
      </c>
      <c r="B776">
        <v>317</v>
      </c>
      <c r="C776" t="s">
        <v>53</v>
      </c>
      <c r="D776" t="s">
        <v>19</v>
      </c>
      <c r="E776" t="s">
        <v>20</v>
      </c>
      <c r="F776" s="1">
        <v>44736</v>
      </c>
      <c r="G776" s="1">
        <v>45258</v>
      </c>
      <c r="H776">
        <v>3613</v>
      </c>
      <c r="I776">
        <v>2061</v>
      </c>
      <c r="J776">
        <v>1552</v>
      </c>
      <c r="K776" t="s">
        <v>54</v>
      </c>
      <c r="L776">
        <v>17</v>
      </c>
      <c r="M776" t="str">
        <f t="shared" si="12"/>
        <v>6-12 Months</v>
      </c>
      <c r="N776" s="1">
        <v>45258</v>
      </c>
      <c r="O776">
        <v>0</v>
      </c>
      <c r="P776">
        <v>775</v>
      </c>
      <c r="Q776" s="2">
        <v>0.43</v>
      </c>
      <c r="R776" t="s">
        <v>27</v>
      </c>
      <c r="S776">
        <v>2023</v>
      </c>
      <c r="T776" t="s">
        <v>42</v>
      </c>
    </row>
    <row r="777" spans="1:20" x14ac:dyDescent="0.3">
      <c r="A777">
        <v>1319</v>
      </c>
      <c r="B777">
        <v>207</v>
      </c>
      <c r="C777" t="s">
        <v>40</v>
      </c>
      <c r="D777" t="s">
        <v>34</v>
      </c>
      <c r="E777" t="s">
        <v>37</v>
      </c>
      <c r="F777" s="1">
        <v>44794</v>
      </c>
      <c r="G777" s="1">
        <v>45167</v>
      </c>
      <c r="H777">
        <v>7010</v>
      </c>
      <c r="I777">
        <v>939</v>
      </c>
      <c r="J777">
        <v>6071</v>
      </c>
      <c r="K777" t="s">
        <v>35</v>
      </c>
      <c r="L777">
        <v>12</v>
      </c>
      <c r="M777" t="str">
        <f t="shared" si="12"/>
        <v>6-12 Months</v>
      </c>
      <c r="N777" s="1">
        <v>45167</v>
      </c>
      <c r="O777">
        <v>0</v>
      </c>
      <c r="P777">
        <v>776</v>
      </c>
      <c r="Q777" s="2">
        <v>0.87</v>
      </c>
      <c r="R777" t="s">
        <v>27</v>
      </c>
      <c r="S777">
        <v>2023</v>
      </c>
      <c r="T777" t="s">
        <v>36</v>
      </c>
    </row>
    <row r="778" spans="1:20" hidden="1" x14ac:dyDescent="0.3">
      <c r="A778">
        <v>1321</v>
      </c>
      <c r="B778">
        <v>355</v>
      </c>
      <c r="C778" t="s">
        <v>24</v>
      </c>
      <c r="D778" t="s">
        <v>25</v>
      </c>
      <c r="E778" t="s">
        <v>26</v>
      </c>
      <c r="F778" s="1">
        <v>44879</v>
      </c>
      <c r="G778" s="1">
        <v>45032</v>
      </c>
      <c r="H778">
        <v>7736</v>
      </c>
      <c r="I778">
        <v>3547</v>
      </c>
      <c r="J778">
        <v>4189</v>
      </c>
      <c r="K778" t="s">
        <v>54</v>
      </c>
      <c r="L778">
        <v>5</v>
      </c>
      <c r="M778" t="str">
        <f t="shared" si="12"/>
        <v>0-6 Months</v>
      </c>
      <c r="N778" s="1">
        <v>45032</v>
      </c>
      <c r="O778">
        <v>1</v>
      </c>
      <c r="P778">
        <v>777</v>
      </c>
      <c r="Q778" s="2">
        <v>0.54</v>
      </c>
      <c r="R778" t="s">
        <v>27</v>
      </c>
      <c r="S778">
        <v>2023</v>
      </c>
      <c r="T778" t="s">
        <v>32</v>
      </c>
    </row>
    <row r="779" spans="1:20" hidden="1" x14ac:dyDescent="0.3">
      <c r="A779">
        <v>1323</v>
      </c>
      <c r="B779">
        <v>217</v>
      </c>
      <c r="C779" t="s">
        <v>45</v>
      </c>
      <c r="D779" t="s">
        <v>29</v>
      </c>
      <c r="E779" t="s">
        <v>26</v>
      </c>
      <c r="F779" s="1">
        <v>44893</v>
      </c>
      <c r="G779" s="1">
        <v>45413</v>
      </c>
      <c r="H779">
        <v>4967.93</v>
      </c>
      <c r="I779">
        <v>7813</v>
      </c>
      <c r="J779">
        <v>-8634</v>
      </c>
      <c r="K779" t="s">
        <v>54</v>
      </c>
      <c r="L779">
        <v>17</v>
      </c>
      <c r="M779" t="str">
        <f t="shared" si="12"/>
        <v>6-12 Months</v>
      </c>
      <c r="N779" s="1">
        <v>45413</v>
      </c>
      <c r="O779">
        <v>0</v>
      </c>
      <c r="P779">
        <v>778</v>
      </c>
      <c r="Q779" s="2">
        <v>-1.74</v>
      </c>
      <c r="R779" t="s">
        <v>22</v>
      </c>
      <c r="S779">
        <v>2024</v>
      </c>
      <c r="T779" t="s">
        <v>28</v>
      </c>
    </row>
    <row r="780" spans="1:20" hidden="1" x14ac:dyDescent="0.3">
      <c r="A780">
        <v>1327</v>
      </c>
      <c r="B780">
        <v>128</v>
      </c>
      <c r="C780" t="s">
        <v>39</v>
      </c>
      <c r="D780" t="s">
        <v>29</v>
      </c>
      <c r="E780" t="s">
        <v>20</v>
      </c>
      <c r="F780" s="1">
        <v>44680</v>
      </c>
      <c r="G780" s="1">
        <v>45226</v>
      </c>
      <c r="H780">
        <v>3313</v>
      </c>
      <c r="I780">
        <v>4012.75</v>
      </c>
      <c r="J780">
        <v>3841</v>
      </c>
      <c r="K780" t="s">
        <v>54</v>
      </c>
      <c r="L780">
        <v>17</v>
      </c>
      <c r="M780" t="str">
        <f t="shared" si="12"/>
        <v>6-12 Months</v>
      </c>
      <c r="N780" s="1">
        <v>45226</v>
      </c>
      <c r="O780">
        <v>0</v>
      </c>
      <c r="P780">
        <v>779</v>
      </c>
      <c r="Q780" s="2">
        <v>1.1599999999999999</v>
      </c>
      <c r="R780" t="s">
        <v>22</v>
      </c>
      <c r="S780">
        <v>2023</v>
      </c>
      <c r="T780" t="s">
        <v>33</v>
      </c>
    </row>
    <row r="781" spans="1:20" hidden="1" x14ac:dyDescent="0.3">
      <c r="A781">
        <v>1329</v>
      </c>
      <c r="B781">
        <v>317</v>
      </c>
      <c r="C781" t="s">
        <v>39</v>
      </c>
      <c r="D781" t="s">
        <v>29</v>
      </c>
      <c r="E781" t="s">
        <v>26</v>
      </c>
      <c r="F781" s="1">
        <v>44830</v>
      </c>
      <c r="G781" s="1">
        <v>45357</v>
      </c>
      <c r="H781">
        <v>4311</v>
      </c>
      <c r="I781">
        <v>7714</v>
      </c>
      <c r="J781">
        <v>-3403</v>
      </c>
      <c r="K781" t="s">
        <v>54</v>
      </c>
      <c r="L781">
        <v>17</v>
      </c>
      <c r="M781" t="str">
        <f t="shared" si="12"/>
        <v>6-12 Months</v>
      </c>
      <c r="N781" s="1">
        <v>45357</v>
      </c>
      <c r="O781">
        <v>0</v>
      </c>
      <c r="P781">
        <v>780</v>
      </c>
      <c r="Q781" s="2">
        <v>-0.79</v>
      </c>
      <c r="R781" t="s">
        <v>27</v>
      </c>
      <c r="S781">
        <v>2024</v>
      </c>
      <c r="T781" t="s">
        <v>38</v>
      </c>
    </row>
    <row r="782" spans="1:20" hidden="1" x14ac:dyDescent="0.3">
      <c r="A782">
        <v>1330</v>
      </c>
      <c r="B782">
        <v>443</v>
      </c>
      <c r="C782" t="s">
        <v>39</v>
      </c>
      <c r="D782" t="s">
        <v>19</v>
      </c>
      <c r="E782" t="s">
        <v>20</v>
      </c>
      <c r="F782" s="1">
        <v>44781</v>
      </c>
      <c r="G782" s="1">
        <v>45126</v>
      </c>
      <c r="H782">
        <v>7273</v>
      </c>
      <c r="I782">
        <v>7651</v>
      </c>
      <c r="J782">
        <v>-378</v>
      </c>
      <c r="K782" t="s">
        <v>54</v>
      </c>
      <c r="L782">
        <v>11</v>
      </c>
      <c r="M782" t="str">
        <f t="shared" si="12"/>
        <v>6-12 Months</v>
      </c>
      <c r="N782" s="1">
        <v>45126</v>
      </c>
      <c r="O782">
        <v>1</v>
      </c>
      <c r="P782">
        <v>781</v>
      </c>
      <c r="Q782" s="2">
        <v>-0.05</v>
      </c>
      <c r="R782" t="s">
        <v>27</v>
      </c>
      <c r="S782">
        <v>2023</v>
      </c>
      <c r="T782" t="s">
        <v>44</v>
      </c>
    </row>
    <row r="783" spans="1:20" x14ac:dyDescent="0.3">
      <c r="A783">
        <v>1331</v>
      </c>
      <c r="B783">
        <v>360</v>
      </c>
      <c r="C783" t="s">
        <v>45</v>
      </c>
      <c r="D783" t="s">
        <v>34</v>
      </c>
      <c r="E783" t="s">
        <v>20</v>
      </c>
      <c r="F783" s="1">
        <v>44725</v>
      </c>
      <c r="G783" s="1">
        <v>44999</v>
      </c>
      <c r="H783">
        <v>5916</v>
      </c>
      <c r="I783">
        <v>4012.75</v>
      </c>
      <c r="J783">
        <v>6078</v>
      </c>
      <c r="K783" t="s">
        <v>35</v>
      </c>
      <c r="L783">
        <v>9</v>
      </c>
      <c r="M783" t="str">
        <f t="shared" si="12"/>
        <v>6-12 Months</v>
      </c>
      <c r="N783" s="1">
        <v>44999</v>
      </c>
      <c r="O783">
        <v>0</v>
      </c>
      <c r="P783">
        <v>782</v>
      </c>
      <c r="Q783" s="2">
        <v>1.03</v>
      </c>
      <c r="R783" t="s">
        <v>22</v>
      </c>
      <c r="S783">
        <v>2023</v>
      </c>
      <c r="T783" t="s">
        <v>38</v>
      </c>
    </row>
    <row r="784" spans="1:20" x14ac:dyDescent="0.3">
      <c r="A784">
        <v>1332</v>
      </c>
      <c r="B784">
        <v>244</v>
      </c>
      <c r="C784" t="s">
        <v>40</v>
      </c>
      <c r="D784" t="s">
        <v>34</v>
      </c>
      <c r="E784" t="s">
        <v>26</v>
      </c>
      <c r="F784" s="1">
        <v>44699</v>
      </c>
      <c r="G784" s="1">
        <v>45148</v>
      </c>
      <c r="H784">
        <v>2647</v>
      </c>
      <c r="I784">
        <v>495</v>
      </c>
      <c r="J784">
        <v>2152</v>
      </c>
      <c r="K784" t="s">
        <v>35</v>
      </c>
      <c r="L784">
        <v>14</v>
      </c>
      <c r="M784" t="str">
        <f t="shared" si="12"/>
        <v>6-12 Months</v>
      </c>
      <c r="N784" s="1">
        <v>45148</v>
      </c>
      <c r="O784">
        <v>0</v>
      </c>
      <c r="P784">
        <v>783</v>
      </c>
      <c r="Q784" s="2">
        <v>0.81</v>
      </c>
      <c r="R784" t="s">
        <v>27</v>
      </c>
      <c r="S784">
        <v>2023</v>
      </c>
      <c r="T784" t="s">
        <v>36</v>
      </c>
    </row>
    <row r="785" spans="1:20" hidden="1" x14ac:dyDescent="0.3">
      <c r="A785">
        <v>1333</v>
      </c>
      <c r="B785">
        <v>465</v>
      </c>
      <c r="C785" t="s">
        <v>39</v>
      </c>
      <c r="D785" t="s">
        <v>25</v>
      </c>
      <c r="E785" t="s">
        <v>20</v>
      </c>
      <c r="F785" s="1">
        <v>44612</v>
      </c>
      <c r="G785" s="1">
        <v>45164</v>
      </c>
      <c r="H785">
        <v>5842</v>
      </c>
      <c r="I785">
        <v>4403</v>
      </c>
      <c r="J785">
        <v>1439</v>
      </c>
      <c r="K785" t="s">
        <v>54</v>
      </c>
      <c r="L785">
        <v>18</v>
      </c>
      <c r="M785" t="str">
        <f t="shared" si="12"/>
        <v>6-12 Months</v>
      </c>
      <c r="N785" s="1">
        <v>45164</v>
      </c>
      <c r="O785">
        <v>0</v>
      </c>
      <c r="P785">
        <v>784</v>
      </c>
      <c r="Q785" s="2">
        <v>0.25</v>
      </c>
      <c r="R785" t="s">
        <v>27</v>
      </c>
      <c r="S785">
        <v>2023</v>
      </c>
      <c r="T785" t="s">
        <v>36</v>
      </c>
    </row>
    <row r="786" spans="1:20" hidden="1" x14ac:dyDescent="0.3">
      <c r="A786">
        <v>1334</v>
      </c>
      <c r="B786">
        <v>202</v>
      </c>
      <c r="C786" t="s">
        <v>40</v>
      </c>
      <c r="D786" t="s">
        <v>29</v>
      </c>
      <c r="E786" t="s">
        <v>26</v>
      </c>
      <c r="F786" s="1">
        <v>44899</v>
      </c>
      <c r="G786" s="1">
        <v>44990</v>
      </c>
      <c r="H786">
        <v>4809</v>
      </c>
      <c r="I786">
        <v>4012.75</v>
      </c>
      <c r="J786">
        <v>4860</v>
      </c>
      <c r="K786" t="s">
        <v>54</v>
      </c>
      <c r="L786">
        <v>3</v>
      </c>
      <c r="M786" t="str">
        <f t="shared" si="12"/>
        <v>0-6 Months</v>
      </c>
      <c r="N786" s="1">
        <v>44990</v>
      </c>
      <c r="O786">
        <v>1</v>
      </c>
      <c r="P786">
        <v>785</v>
      </c>
      <c r="Q786" s="2">
        <v>1.01</v>
      </c>
      <c r="R786" t="s">
        <v>22</v>
      </c>
      <c r="S786">
        <v>2023</v>
      </c>
      <c r="T786" t="s">
        <v>38</v>
      </c>
    </row>
    <row r="787" spans="1:20" hidden="1" x14ac:dyDescent="0.3">
      <c r="A787">
        <v>1335</v>
      </c>
      <c r="B787">
        <v>242</v>
      </c>
      <c r="C787" t="s">
        <v>45</v>
      </c>
      <c r="D787" t="s">
        <v>29</v>
      </c>
      <c r="E787" t="s">
        <v>20</v>
      </c>
      <c r="F787" s="1">
        <v>44702</v>
      </c>
      <c r="G787" s="1">
        <v>44828</v>
      </c>
      <c r="H787">
        <v>4967.93</v>
      </c>
      <c r="I787">
        <v>6265</v>
      </c>
      <c r="J787">
        <v>-6307</v>
      </c>
      <c r="K787" t="s">
        <v>21</v>
      </c>
      <c r="L787">
        <v>4</v>
      </c>
      <c r="M787" t="str">
        <f t="shared" si="12"/>
        <v>0-6 Months</v>
      </c>
      <c r="N787" s="1">
        <v>44828</v>
      </c>
      <c r="O787">
        <v>1</v>
      </c>
      <c r="P787">
        <v>786</v>
      </c>
      <c r="Q787" s="2">
        <v>-1.27</v>
      </c>
      <c r="R787" t="s">
        <v>22</v>
      </c>
      <c r="S787">
        <v>2022</v>
      </c>
      <c r="T787" t="s">
        <v>30</v>
      </c>
    </row>
    <row r="788" spans="1:20" hidden="1" x14ac:dyDescent="0.3">
      <c r="A788">
        <v>1338</v>
      </c>
      <c r="B788">
        <v>357</v>
      </c>
      <c r="C788" t="s">
        <v>53</v>
      </c>
      <c r="D788" t="s">
        <v>19</v>
      </c>
      <c r="E788" t="s">
        <v>20</v>
      </c>
      <c r="F788" s="1">
        <v>44618</v>
      </c>
      <c r="G788" s="1">
        <v>45153</v>
      </c>
      <c r="H788">
        <v>4967.93</v>
      </c>
      <c r="I788">
        <v>3263</v>
      </c>
      <c r="J788">
        <v>577.01</v>
      </c>
      <c r="K788" t="s">
        <v>21</v>
      </c>
      <c r="L788">
        <v>17</v>
      </c>
      <c r="M788" t="str">
        <f t="shared" si="12"/>
        <v>6-12 Months</v>
      </c>
      <c r="N788" s="1">
        <v>45153</v>
      </c>
      <c r="O788">
        <v>0</v>
      </c>
      <c r="P788">
        <v>787</v>
      </c>
      <c r="Q788" s="2">
        <v>0.12</v>
      </c>
      <c r="R788" t="s">
        <v>27</v>
      </c>
      <c r="S788">
        <v>2023</v>
      </c>
      <c r="T788" t="s">
        <v>36</v>
      </c>
    </row>
    <row r="789" spans="1:20" hidden="1" x14ac:dyDescent="0.3">
      <c r="A789">
        <v>1339</v>
      </c>
      <c r="B789">
        <v>290</v>
      </c>
      <c r="C789" t="s">
        <v>39</v>
      </c>
      <c r="D789" t="s">
        <v>19</v>
      </c>
      <c r="E789" t="s">
        <v>20</v>
      </c>
      <c r="F789" s="1">
        <v>44863</v>
      </c>
      <c r="G789" s="1">
        <v>45295</v>
      </c>
      <c r="H789">
        <v>4967.93</v>
      </c>
      <c r="I789">
        <v>4012.75</v>
      </c>
      <c r="J789">
        <v>-804</v>
      </c>
      <c r="K789" t="s">
        <v>54</v>
      </c>
      <c r="L789">
        <v>14</v>
      </c>
      <c r="M789" t="str">
        <f t="shared" si="12"/>
        <v>6-12 Months</v>
      </c>
      <c r="N789" s="1">
        <v>45295</v>
      </c>
      <c r="O789">
        <v>1</v>
      </c>
      <c r="P789">
        <v>788</v>
      </c>
      <c r="Q789" s="2">
        <v>-0.16</v>
      </c>
      <c r="R789" t="s">
        <v>27</v>
      </c>
      <c r="S789">
        <v>2024</v>
      </c>
      <c r="T789" t="s">
        <v>23</v>
      </c>
    </row>
    <row r="790" spans="1:20" hidden="1" x14ac:dyDescent="0.3">
      <c r="A790">
        <v>1341</v>
      </c>
      <c r="B790">
        <v>188</v>
      </c>
      <c r="C790" t="s">
        <v>39</v>
      </c>
      <c r="D790" t="s">
        <v>34</v>
      </c>
      <c r="E790" t="s">
        <v>20</v>
      </c>
      <c r="F790" s="1">
        <v>44794</v>
      </c>
      <c r="G790" s="1">
        <v>45296</v>
      </c>
      <c r="H790">
        <v>7696</v>
      </c>
      <c r="I790">
        <v>6088</v>
      </c>
      <c r="J790">
        <v>577.01</v>
      </c>
      <c r="K790" t="s">
        <v>54</v>
      </c>
      <c r="L790">
        <v>16</v>
      </c>
      <c r="M790" t="str">
        <f t="shared" si="12"/>
        <v>6-12 Months</v>
      </c>
      <c r="N790" s="1">
        <v>45296</v>
      </c>
      <c r="O790">
        <v>0</v>
      </c>
      <c r="P790">
        <v>789</v>
      </c>
      <c r="Q790" s="2">
        <v>7.0000000000000007E-2</v>
      </c>
      <c r="R790" t="s">
        <v>27</v>
      </c>
      <c r="S790">
        <v>2024</v>
      </c>
      <c r="T790" t="s">
        <v>23</v>
      </c>
    </row>
    <row r="791" spans="1:20" x14ac:dyDescent="0.3">
      <c r="A791">
        <v>1342</v>
      </c>
      <c r="B791">
        <v>167</v>
      </c>
      <c r="C791" t="s">
        <v>40</v>
      </c>
      <c r="D791" t="s">
        <v>19</v>
      </c>
      <c r="E791" t="s">
        <v>26</v>
      </c>
      <c r="F791" s="1">
        <v>44678</v>
      </c>
      <c r="G791" s="1">
        <v>44755</v>
      </c>
      <c r="H791">
        <v>1680</v>
      </c>
      <c r="I791">
        <v>4012.75</v>
      </c>
      <c r="J791">
        <v>1830</v>
      </c>
      <c r="K791" t="s">
        <v>35</v>
      </c>
      <c r="L791">
        <v>2</v>
      </c>
      <c r="M791" t="str">
        <f t="shared" si="12"/>
        <v>0-6 Months</v>
      </c>
      <c r="N791" s="1">
        <v>44755</v>
      </c>
      <c r="O791">
        <v>1</v>
      </c>
      <c r="P791">
        <v>790</v>
      </c>
      <c r="Q791" s="2">
        <v>1.0900000000000001</v>
      </c>
      <c r="R791" t="s">
        <v>22</v>
      </c>
      <c r="S791">
        <v>2022</v>
      </c>
      <c r="T791" t="s">
        <v>44</v>
      </c>
    </row>
    <row r="792" spans="1:20" x14ac:dyDescent="0.3">
      <c r="A792">
        <v>1344</v>
      </c>
      <c r="B792">
        <v>410</v>
      </c>
      <c r="C792" t="s">
        <v>39</v>
      </c>
      <c r="D792" t="s">
        <v>34</v>
      </c>
      <c r="E792" t="s">
        <v>26</v>
      </c>
      <c r="F792" s="1">
        <v>44661</v>
      </c>
      <c r="G792" s="1">
        <v>44841</v>
      </c>
      <c r="H792">
        <v>5919</v>
      </c>
      <c r="I792">
        <v>1657</v>
      </c>
      <c r="J792">
        <v>4262</v>
      </c>
      <c r="K792" t="s">
        <v>35</v>
      </c>
      <c r="L792">
        <v>5</v>
      </c>
      <c r="M792" t="str">
        <f t="shared" si="12"/>
        <v>0-6 Months</v>
      </c>
      <c r="N792" s="1">
        <v>44841</v>
      </c>
      <c r="O792">
        <v>0</v>
      </c>
      <c r="P792">
        <v>791</v>
      </c>
      <c r="Q792" s="2">
        <v>0.72</v>
      </c>
      <c r="R792" t="s">
        <v>27</v>
      </c>
      <c r="S792">
        <v>2022</v>
      </c>
      <c r="T792" t="s">
        <v>33</v>
      </c>
    </row>
    <row r="793" spans="1:20" hidden="1" x14ac:dyDescent="0.3">
      <c r="A793">
        <v>1345</v>
      </c>
      <c r="B793">
        <v>449</v>
      </c>
      <c r="C793" t="s">
        <v>24</v>
      </c>
      <c r="D793" t="s">
        <v>29</v>
      </c>
      <c r="E793" t="s">
        <v>26</v>
      </c>
      <c r="F793" s="1">
        <v>44889</v>
      </c>
      <c r="G793" s="1">
        <v>45015</v>
      </c>
      <c r="H793">
        <v>6101</v>
      </c>
      <c r="I793">
        <v>3541</v>
      </c>
      <c r="J793">
        <v>2560</v>
      </c>
      <c r="K793" t="s">
        <v>54</v>
      </c>
      <c r="L793">
        <v>4</v>
      </c>
      <c r="M793" t="str">
        <f t="shared" si="12"/>
        <v>0-6 Months</v>
      </c>
      <c r="N793" s="1">
        <v>45015</v>
      </c>
      <c r="O793">
        <v>1</v>
      </c>
      <c r="P793">
        <v>792</v>
      </c>
      <c r="Q793" s="2">
        <v>0.42</v>
      </c>
      <c r="R793" t="s">
        <v>27</v>
      </c>
      <c r="S793">
        <v>2023</v>
      </c>
      <c r="T793" t="s">
        <v>38</v>
      </c>
    </row>
    <row r="794" spans="1:20" hidden="1" x14ac:dyDescent="0.3">
      <c r="A794">
        <v>1346</v>
      </c>
      <c r="B794">
        <v>139</v>
      </c>
      <c r="C794" t="s">
        <v>39</v>
      </c>
      <c r="D794" t="s">
        <v>34</v>
      </c>
      <c r="E794" t="s">
        <v>26</v>
      </c>
      <c r="F794" s="1">
        <v>44823</v>
      </c>
      <c r="G794" s="1">
        <v>44899</v>
      </c>
      <c r="H794">
        <v>8405</v>
      </c>
      <c r="I794">
        <v>2916</v>
      </c>
      <c r="J794">
        <v>577.01</v>
      </c>
      <c r="K794" t="s">
        <v>21</v>
      </c>
      <c r="L794">
        <v>2</v>
      </c>
      <c r="M794" t="str">
        <f t="shared" si="12"/>
        <v>0-6 Months</v>
      </c>
      <c r="N794" s="1">
        <v>44899</v>
      </c>
      <c r="O794">
        <v>1</v>
      </c>
      <c r="P794">
        <v>793</v>
      </c>
      <c r="Q794" s="2">
        <v>7.0000000000000007E-2</v>
      </c>
      <c r="R794" t="s">
        <v>27</v>
      </c>
      <c r="S794">
        <v>2022</v>
      </c>
      <c r="T794" t="s">
        <v>31</v>
      </c>
    </row>
    <row r="795" spans="1:20" hidden="1" x14ac:dyDescent="0.3">
      <c r="A795">
        <v>1347</v>
      </c>
      <c r="B795">
        <v>325</v>
      </c>
      <c r="C795" t="s">
        <v>53</v>
      </c>
      <c r="D795" t="s">
        <v>29</v>
      </c>
      <c r="E795" t="s">
        <v>26</v>
      </c>
      <c r="F795" s="1">
        <v>44773</v>
      </c>
      <c r="G795" s="1">
        <v>44812</v>
      </c>
      <c r="H795">
        <v>9880</v>
      </c>
      <c r="I795">
        <v>2699</v>
      </c>
      <c r="J795">
        <v>7181</v>
      </c>
      <c r="K795" t="s">
        <v>54</v>
      </c>
      <c r="L795">
        <v>1</v>
      </c>
      <c r="M795" t="str">
        <f t="shared" si="12"/>
        <v>0-6 Months</v>
      </c>
      <c r="N795" s="1">
        <v>44812</v>
      </c>
      <c r="O795">
        <v>1</v>
      </c>
      <c r="P795">
        <v>794</v>
      </c>
      <c r="Q795" s="2">
        <v>0.73</v>
      </c>
      <c r="R795" t="s">
        <v>27</v>
      </c>
      <c r="S795">
        <v>2022</v>
      </c>
      <c r="T795" t="s">
        <v>30</v>
      </c>
    </row>
    <row r="796" spans="1:20" hidden="1" x14ac:dyDescent="0.3">
      <c r="A796">
        <v>1348</v>
      </c>
      <c r="B796">
        <v>213</v>
      </c>
      <c r="C796" t="s">
        <v>40</v>
      </c>
      <c r="D796" t="s">
        <v>19</v>
      </c>
      <c r="E796" t="s">
        <v>37</v>
      </c>
      <c r="F796" s="1">
        <v>44583</v>
      </c>
      <c r="G796" s="1">
        <v>44961</v>
      </c>
      <c r="H796">
        <v>4967.93</v>
      </c>
      <c r="I796">
        <v>5845</v>
      </c>
      <c r="J796">
        <v>-6821</v>
      </c>
      <c r="K796" t="s">
        <v>54</v>
      </c>
      <c r="L796">
        <v>12</v>
      </c>
      <c r="M796" t="str">
        <f t="shared" si="12"/>
        <v>6-12 Months</v>
      </c>
      <c r="N796" s="1">
        <v>44961</v>
      </c>
      <c r="O796">
        <v>0</v>
      </c>
      <c r="P796">
        <v>795</v>
      </c>
      <c r="Q796" s="2">
        <v>-1.37</v>
      </c>
      <c r="R796" t="s">
        <v>22</v>
      </c>
      <c r="S796">
        <v>2023</v>
      </c>
      <c r="T796" t="s">
        <v>43</v>
      </c>
    </row>
    <row r="797" spans="1:20" hidden="1" x14ac:dyDescent="0.3">
      <c r="A797">
        <v>1349</v>
      </c>
      <c r="B797">
        <v>425</v>
      </c>
      <c r="C797" t="s">
        <v>24</v>
      </c>
      <c r="D797" t="s">
        <v>19</v>
      </c>
      <c r="E797" t="s">
        <v>26</v>
      </c>
      <c r="F797" s="1">
        <v>44707</v>
      </c>
      <c r="G797" s="1">
        <v>45069</v>
      </c>
      <c r="H797">
        <v>5007</v>
      </c>
      <c r="I797">
        <v>496</v>
      </c>
      <c r="J797">
        <v>4511</v>
      </c>
      <c r="K797" t="s">
        <v>54</v>
      </c>
      <c r="L797">
        <v>11</v>
      </c>
      <c r="M797" t="str">
        <f t="shared" si="12"/>
        <v>6-12 Months</v>
      </c>
      <c r="N797" s="1">
        <v>45069</v>
      </c>
      <c r="O797">
        <v>0</v>
      </c>
      <c r="P797">
        <v>796</v>
      </c>
      <c r="Q797" s="2">
        <v>0.9</v>
      </c>
      <c r="R797" t="s">
        <v>27</v>
      </c>
      <c r="S797">
        <v>2023</v>
      </c>
      <c r="T797" t="s">
        <v>28</v>
      </c>
    </row>
    <row r="798" spans="1:20" x14ac:dyDescent="0.3">
      <c r="A798">
        <v>1350</v>
      </c>
      <c r="B798">
        <v>473</v>
      </c>
      <c r="C798" t="s">
        <v>39</v>
      </c>
      <c r="D798" t="s">
        <v>34</v>
      </c>
      <c r="E798" t="s">
        <v>37</v>
      </c>
      <c r="F798" s="1">
        <v>44712</v>
      </c>
      <c r="G798" s="1">
        <v>45140</v>
      </c>
      <c r="H798">
        <v>4967.93</v>
      </c>
      <c r="I798">
        <v>7094</v>
      </c>
      <c r="J798">
        <v>-8611</v>
      </c>
      <c r="K798" t="s">
        <v>35</v>
      </c>
      <c r="L798">
        <v>14</v>
      </c>
      <c r="M798" t="str">
        <f t="shared" si="12"/>
        <v>6-12 Months</v>
      </c>
      <c r="N798" s="1">
        <v>45140</v>
      </c>
      <c r="O798">
        <v>0</v>
      </c>
      <c r="P798">
        <v>797</v>
      </c>
      <c r="Q798" s="2">
        <v>-1.73</v>
      </c>
      <c r="R798" t="s">
        <v>22</v>
      </c>
      <c r="S798">
        <v>2023</v>
      </c>
      <c r="T798" t="s">
        <v>36</v>
      </c>
    </row>
    <row r="799" spans="1:20" hidden="1" x14ac:dyDescent="0.3">
      <c r="A799">
        <v>1352</v>
      </c>
      <c r="B799">
        <v>407</v>
      </c>
      <c r="C799" t="s">
        <v>53</v>
      </c>
      <c r="D799" t="s">
        <v>29</v>
      </c>
      <c r="E799" t="s">
        <v>37</v>
      </c>
      <c r="F799" s="1">
        <v>44773</v>
      </c>
      <c r="G799" s="1">
        <v>44990</v>
      </c>
      <c r="H799">
        <v>531</v>
      </c>
      <c r="I799">
        <v>6076</v>
      </c>
      <c r="J799">
        <v>577.01</v>
      </c>
      <c r="K799" t="s">
        <v>54</v>
      </c>
      <c r="L799">
        <v>7</v>
      </c>
      <c r="M799" t="str">
        <f t="shared" si="12"/>
        <v>6-12 Months</v>
      </c>
      <c r="N799" s="1">
        <v>44990</v>
      </c>
      <c r="O799">
        <v>1</v>
      </c>
      <c r="P799">
        <v>798</v>
      </c>
      <c r="Q799" s="2">
        <v>1.0900000000000001</v>
      </c>
      <c r="R799" t="s">
        <v>22</v>
      </c>
      <c r="S799">
        <v>2023</v>
      </c>
      <c r="T799" t="s">
        <v>38</v>
      </c>
    </row>
    <row r="800" spans="1:20" hidden="1" x14ac:dyDescent="0.3">
      <c r="A800">
        <v>1353</v>
      </c>
      <c r="B800">
        <v>378</v>
      </c>
      <c r="C800" t="s">
        <v>45</v>
      </c>
      <c r="D800" t="s">
        <v>19</v>
      </c>
      <c r="E800" t="s">
        <v>37</v>
      </c>
      <c r="F800" s="1">
        <v>44573</v>
      </c>
      <c r="G800" s="1">
        <v>44785</v>
      </c>
      <c r="H800">
        <v>4116</v>
      </c>
      <c r="I800">
        <v>3401</v>
      </c>
      <c r="J800">
        <v>715</v>
      </c>
      <c r="K800" t="s">
        <v>54</v>
      </c>
      <c r="L800">
        <v>7</v>
      </c>
      <c r="M800" t="str">
        <f t="shared" si="12"/>
        <v>6-12 Months</v>
      </c>
      <c r="N800" s="1">
        <v>44785</v>
      </c>
      <c r="O800">
        <v>1</v>
      </c>
      <c r="P800">
        <v>799</v>
      </c>
      <c r="Q800" s="2">
        <v>0.17</v>
      </c>
      <c r="R800" t="s">
        <v>27</v>
      </c>
      <c r="S800">
        <v>2022</v>
      </c>
      <c r="T800" t="s">
        <v>36</v>
      </c>
    </row>
    <row r="801" spans="1:20" hidden="1" x14ac:dyDescent="0.3">
      <c r="A801">
        <v>1354</v>
      </c>
      <c r="B801">
        <v>170</v>
      </c>
      <c r="C801" t="s">
        <v>45</v>
      </c>
      <c r="D801" t="s">
        <v>19</v>
      </c>
      <c r="E801" t="s">
        <v>20</v>
      </c>
      <c r="F801" s="1">
        <v>44663</v>
      </c>
      <c r="G801" s="1">
        <v>45063</v>
      </c>
      <c r="H801">
        <v>5624</v>
      </c>
      <c r="I801">
        <v>6725</v>
      </c>
      <c r="J801">
        <v>-1101</v>
      </c>
      <c r="K801" t="s">
        <v>21</v>
      </c>
      <c r="L801">
        <v>13</v>
      </c>
      <c r="M801" t="str">
        <f t="shared" si="12"/>
        <v>6-12 Months</v>
      </c>
      <c r="N801" s="1">
        <v>45063</v>
      </c>
      <c r="O801">
        <v>0</v>
      </c>
      <c r="P801">
        <v>800</v>
      </c>
      <c r="Q801" s="2">
        <v>-0.2</v>
      </c>
      <c r="R801" t="s">
        <v>27</v>
      </c>
      <c r="S801">
        <v>2023</v>
      </c>
      <c r="T801" t="s">
        <v>28</v>
      </c>
    </row>
    <row r="802" spans="1:20" hidden="1" x14ac:dyDescent="0.3">
      <c r="A802">
        <v>1355</v>
      </c>
      <c r="B802">
        <v>249</v>
      </c>
      <c r="C802" t="s">
        <v>39</v>
      </c>
      <c r="D802" t="s">
        <v>19</v>
      </c>
      <c r="E802" t="s">
        <v>37</v>
      </c>
      <c r="F802" s="1">
        <v>44843</v>
      </c>
      <c r="G802" s="1">
        <v>45304</v>
      </c>
      <c r="H802">
        <v>8273</v>
      </c>
      <c r="I802">
        <v>5441</v>
      </c>
      <c r="J802">
        <v>2832</v>
      </c>
      <c r="K802" t="s">
        <v>54</v>
      </c>
      <c r="L802">
        <v>15</v>
      </c>
      <c r="M802" t="str">
        <f t="shared" si="12"/>
        <v>6-12 Months</v>
      </c>
      <c r="N802" s="1">
        <v>45304</v>
      </c>
      <c r="O802">
        <v>0</v>
      </c>
      <c r="P802">
        <v>801</v>
      </c>
      <c r="Q802" s="2">
        <v>0.34</v>
      </c>
      <c r="R802" t="s">
        <v>27</v>
      </c>
      <c r="S802">
        <v>2024</v>
      </c>
      <c r="T802" t="s">
        <v>23</v>
      </c>
    </row>
    <row r="803" spans="1:20" x14ac:dyDescent="0.3">
      <c r="A803">
        <v>1356</v>
      </c>
      <c r="B803">
        <v>262</v>
      </c>
      <c r="C803" t="s">
        <v>45</v>
      </c>
      <c r="D803" t="s">
        <v>29</v>
      </c>
      <c r="E803" t="s">
        <v>37</v>
      </c>
      <c r="F803" s="1">
        <v>44914</v>
      </c>
      <c r="G803" s="1">
        <v>45397</v>
      </c>
      <c r="H803">
        <v>1079</v>
      </c>
      <c r="I803">
        <v>1487</v>
      </c>
      <c r="J803">
        <v>-408</v>
      </c>
      <c r="K803" t="s">
        <v>35</v>
      </c>
      <c r="L803">
        <v>15</v>
      </c>
      <c r="M803" t="str">
        <f t="shared" si="12"/>
        <v>6-12 Months</v>
      </c>
      <c r="N803" s="1">
        <v>45397</v>
      </c>
      <c r="O803">
        <v>1</v>
      </c>
      <c r="P803">
        <v>802</v>
      </c>
      <c r="Q803" s="2">
        <v>-0.38</v>
      </c>
      <c r="R803" t="s">
        <v>27</v>
      </c>
      <c r="S803">
        <v>2024</v>
      </c>
      <c r="T803" t="s">
        <v>32</v>
      </c>
    </row>
    <row r="804" spans="1:20" hidden="1" x14ac:dyDescent="0.3">
      <c r="A804">
        <v>1358</v>
      </c>
      <c r="B804">
        <v>391</v>
      </c>
      <c r="C804" t="s">
        <v>24</v>
      </c>
      <c r="D804" t="s">
        <v>25</v>
      </c>
      <c r="E804" t="s">
        <v>20</v>
      </c>
      <c r="F804" s="1">
        <v>44874</v>
      </c>
      <c r="G804" s="1">
        <v>45047</v>
      </c>
      <c r="H804">
        <v>7485</v>
      </c>
      <c r="I804">
        <v>6895</v>
      </c>
      <c r="J804">
        <v>590</v>
      </c>
      <c r="K804" t="s">
        <v>54</v>
      </c>
      <c r="L804">
        <v>5</v>
      </c>
      <c r="M804" t="str">
        <f t="shared" si="12"/>
        <v>0-6 Months</v>
      </c>
      <c r="N804" s="1">
        <v>45047</v>
      </c>
      <c r="O804">
        <v>0</v>
      </c>
      <c r="P804">
        <v>803</v>
      </c>
      <c r="Q804" s="2">
        <v>0.08</v>
      </c>
      <c r="R804" t="s">
        <v>27</v>
      </c>
      <c r="S804">
        <v>2023</v>
      </c>
      <c r="T804" t="s">
        <v>28</v>
      </c>
    </row>
    <row r="805" spans="1:20" hidden="1" x14ac:dyDescent="0.3">
      <c r="A805">
        <v>1359</v>
      </c>
      <c r="B805">
        <v>209</v>
      </c>
      <c r="C805" t="s">
        <v>45</v>
      </c>
      <c r="D805" t="s">
        <v>19</v>
      </c>
      <c r="E805" t="s">
        <v>37</v>
      </c>
      <c r="F805" s="1">
        <v>44598</v>
      </c>
      <c r="G805" s="1">
        <v>45169</v>
      </c>
      <c r="H805">
        <v>6408</v>
      </c>
      <c r="I805">
        <v>1970</v>
      </c>
      <c r="J805">
        <v>4438</v>
      </c>
      <c r="K805" t="s">
        <v>54</v>
      </c>
      <c r="L805">
        <v>18</v>
      </c>
      <c r="M805" t="str">
        <f t="shared" si="12"/>
        <v>6-12 Months</v>
      </c>
      <c r="N805" s="1">
        <v>45169</v>
      </c>
      <c r="O805">
        <v>1</v>
      </c>
      <c r="P805">
        <v>804</v>
      </c>
      <c r="Q805" s="2">
        <v>0.69</v>
      </c>
      <c r="R805" t="s">
        <v>27</v>
      </c>
      <c r="S805">
        <v>2023</v>
      </c>
      <c r="T805" t="s">
        <v>36</v>
      </c>
    </row>
    <row r="806" spans="1:20" hidden="1" x14ac:dyDescent="0.3">
      <c r="A806">
        <v>1360</v>
      </c>
      <c r="B806">
        <v>447</v>
      </c>
      <c r="C806" t="s">
        <v>53</v>
      </c>
      <c r="D806" t="s">
        <v>19</v>
      </c>
      <c r="E806" t="s">
        <v>26</v>
      </c>
      <c r="F806" s="1">
        <v>44645</v>
      </c>
      <c r="G806" s="1">
        <v>45004</v>
      </c>
      <c r="H806">
        <v>7832</v>
      </c>
      <c r="I806">
        <v>348</v>
      </c>
      <c r="J806">
        <v>7484</v>
      </c>
      <c r="K806" t="s">
        <v>21</v>
      </c>
      <c r="L806">
        <v>11</v>
      </c>
      <c r="M806" t="str">
        <f t="shared" si="12"/>
        <v>6-12 Months</v>
      </c>
      <c r="N806" s="1">
        <v>45004</v>
      </c>
      <c r="O806">
        <v>1</v>
      </c>
      <c r="P806">
        <v>805</v>
      </c>
      <c r="Q806" s="2">
        <v>0.96</v>
      </c>
      <c r="R806" t="s">
        <v>27</v>
      </c>
      <c r="S806">
        <v>2023</v>
      </c>
      <c r="T806" t="s">
        <v>38</v>
      </c>
    </row>
    <row r="807" spans="1:20" hidden="1" x14ac:dyDescent="0.3">
      <c r="A807">
        <v>1361</v>
      </c>
      <c r="B807">
        <v>219</v>
      </c>
      <c r="C807" t="s">
        <v>24</v>
      </c>
      <c r="D807" t="s">
        <v>29</v>
      </c>
      <c r="E807" t="s">
        <v>20</v>
      </c>
      <c r="F807" s="1">
        <v>44840</v>
      </c>
      <c r="G807" s="1">
        <v>44997</v>
      </c>
      <c r="H807">
        <v>4967.93</v>
      </c>
      <c r="I807">
        <v>4321</v>
      </c>
      <c r="J807">
        <v>-4365</v>
      </c>
      <c r="K807" t="s">
        <v>54</v>
      </c>
      <c r="L807">
        <v>5</v>
      </c>
      <c r="M807" t="str">
        <f t="shared" si="12"/>
        <v>0-6 Months</v>
      </c>
      <c r="N807" s="1">
        <v>44997</v>
      </c>
      <c r="O807">
        <v>1</v>
      </c>
      <c r="P807">
        <v>806</v>
      </c>
      <c r="Q807" s="2">
        <v>-0.88</v>
      </c>
      <c r="R807" t="s">
        <v>27</v>
      </c>
      <c r="S807">
        <v>2023</v>
      </c>
      <c r="T807" t="s">
        <v>38</v>
      </c>
    </row>
    <row r="808" spans="1:20" x14ac:dyDescent="0.3">
      <c r="A808">
        <v>1362</v>
      </c>
      <c r="B808">
        <v>416</v>
      </c>
      <c r="C808" t="s">
        <v>53</v>
      </c>
      <c r="D808" t="s">
        <v>34</v>
      </c>
      <c r="E808" t="s">
        <v>37</v>
      </c>
      <c r="F808" s="1">
        <v>44830</v>
      </c>
      <c r="G808" s="1">
        <v>45341</v>
      </c>
      <c r="H808">
        <v>952</v>
      </c>
      <c r="I808">
        <v>3344</v>
      </c>
      <c r="J808">
        <v>-2392</v>
      </c>
      <c r="K808" t="s">
        <v>35</v>
      </c>
      <c r="L808">
        <v>16</v>
      </c>
      <c r="M808" t="str">
        <f t="shared" si="12"/>
        <v>6-12 Months</v>
      </c>
      <c r="N808" s="1">
        <v>45341</v>
      </c>
      <c r="O808">
        <v>0</v>
      </c>
      <c r="P808">
        <v>807</v>
      </c>
      <c r="Q808" s="2">
        <v>-2.5099999999999998</v>
      </c>
      <c r="R808" t="s">
        <v>22</v>
      </c>
      <c r="S808">
        <v>2024</v>
      </c>
      <c r="T808" t="s">
        <v>43</v>
      </c>
    </row>
    <row r="809" spans="1:20" hidden="1" x14ac:dyDescent="0.3">
      <c r="A809">
        <v>1363</v>
      </c>
      <c r="B809">
        <v>407</v>
      </c>
      <c r="C809" t="s">
        <v>24</v>
      </c>
      <c r="D809" t="s">
        <v>19</v>
      </c>
      <c r="E809" t="s">
        <v>37</v>
      </c>
      <c r="F809" s="1">
        <v>44843</v>
      </c>
      <c r="G809" s="1">
        <v>44983</v>
      </c>
      <c r="H809">
        <v>6632</v>
      </c>
      <c r="I809">
        <v>4012.75</v>
      </c>
      <c r="J809">
        <v>6877</v>
      </c>
      <c r="K809" t="s">
        <v>54</v>
      </c>
      <c r="L809">
        <v>4</v>
      </c>
      <c r="M809" t="str">
        <f t="shared" si="12"/>
        <v>0-6 Months</v>
      </c>
      <c r="N809" s="1">
        <v>44983</v>
      </c>
      <c r="O809">
        <v>1</v>
      </c>
      <c r="P809">
        <v>808</v>
      </c>
      <c r="Q809" s="2">
        <v>1.04</v>
      </c>
      <c r="R809" t="s">
        <v>22</v>
      </c>
      <c r="S809">
        <v>2023</v>
      </c>
      <c r="T809" t="s">
        <v>43</v>
      </c>
    </row>
    <row r="810" spans="1:20" hidden="1" x14ac:dyDescent="0.3">
      <c r="A810">
        <v>1364</v>
      </c>
      <c r="B810">
        <v>110</v>
      </c>
      <c r="C810" t="s">
        <v>39</v>
      </c>
      <c r="D810" t="s">
        <v>25</v>
      </c>
      <c r="E810" t="s">
        <v>20</v>
      </c>
      <c r="F810" s="1">
        <v>44562</v>
      </c>
      <c r="G810" s="1">
        <v>44613</v>
      </c>
      <c r="H810">
        <v>7954</v>
      </c>
      <c r="I810">
        <v>2280</v>
      </c>
      <c r="J810">
        <v>5674</v>
      </c>
      <c r="K810" t="s">
        <v>21</v>
      </c>
      <c r="L810">
        <v>1</v>
      </c>
      <c r="M810" t="str">
        <f t="shared" si="12"/>
        <v>0-6 Months</v>
      </c>
      <c r="N810" s="1">
        <v>44613</v>
      </c>
      <c r="O810">
        <v>0</v>
      </c>
      <c r="P810">
        <v>809</v>
      </c>
      <c r="Q810" s="2">
        <v>0.71</v>
      </c>
      <c r="R810" t="s">
        <v>27</v>
      </c>
      <c r="S810">
        <v>2022</v>
      </c>
      <c r="T810" t="s">
        <v>43</v>
      </c>
    </row>
    <row r="811" spans="1:20" hidden="1" x14ac:dyDescent="0.3">
      <c r="A811">
        <v>1365</v>
      </c>
      <c r="B811">
        <v>442</v>
      </c>
      <c r="C811" t="s">
        <v>24</v>
      </c>
      <c r="D811" t="s">
        <v>25</v>
      </c>
      <c r="E811" t="s">
        <v>20</v>
      </c>
      <c r="F811" s="1">
        <v>44755</v>
      </c>
      <c r="G811" s="1">
        <v>44903</v>
      </c>
      <c r="H811">
        <v>3815</v>
      </c>
      <c r="I811">
        <v>654</v>
      </c>
      <c r="J811">
        <v>3161</v>
      </c>
      <c r="K811" t="s">
        <v>21</v>
      </c>
      <c r="L811">
        <v>4</v>
      </c>
      <c r="M811" t="str">
        <f t="shared" si="12"/>
        <v>0-6 Months</v>
      </c>
      <c r="N811" s="1">
        <v>44903</v>
      </c>
      <c r="O811">
        <v>1</v>
      </c>
      <c r="P811">
        <v>810</v>
      </c>
      <c r="Q811" s="2">
        <v>0.83</v>
      </c>
      <c r="R811" t="s">
        <v>27</v>
      </c>
      <c r="S811">
        <v>2022</v>
      </c>
      <c r="T811" t="s">
        <v>31</v>
      </c>
    </row>
    <row r="812" spans="1:20" x14ac:dyDescent="0.3">
      <c r="A812">
        <v>1366</v>
      </c>
      <c r="B812">
        <v>258</v>
      </c>
      <c r="C812" t="s">
        <v>40</v>
      </c>
      <c r="D812" t="s">
        <v>29</v>
      </c>
      <c r="E812" t="s">
        <v>37</v>
      </c>
      <c r="F812" s="1">
        <v>44654</v>
      </c>
      <c r="G812" s="1">
        <v>44719</v>
      </c>
      <c r="H812">
        <v>4967.93</v>
      </c>
      <c r="I812">
        <v>6524</v>
      </c>
      <c r="J812">
        <v>-7925</v>
      </c>
      <c r="K812" t="s">
        <v>35</v>
      </c>
      <c r="L812">
        <v>2</v>
      </c>
      <c r="M812" t="str">
        <f t="shared" si="12"/>
        <v>0-6 Months</v>
      </c>
      <c r="N812" s="1">
        <v>44719</v>
      </c>
      <c r="O812">
        <v>0</v>
      </c>
      <c r="P812">
        <v>811</v>
      </c>
      <c r="Q812" s="2">
        <v>-1.6</v>
      </c>
      <c r="R812" t="s">
        <v>22</v>
      </c>
      <c r="S812">
        <v>2022</v>
      </c>
      <c r="T812" t="s">
        <v>41</v>
      </c>
    </row>
    <row r="813" spans="1:20" hidden="1" x14ac:dyDescent="0.3">
      <c r="A813">
        <v>1370</v>
      </c>
      <c r="B813">
        <v>176</v>
      </c>
      <c r="C813" t="s">
        <v>40</v>
      </c>
      <c r="D813" t="s">
        <v>19</v>
      </c>
      <c r="E813" t="s">
        <v>26</v>
      </c>
      <c r="F813" s="1">
        <v>44611</v>
      </c>
      <c r="G813" s="1">
        <v>45140</v>
      </c>
      <c r="H813">
        <v>3299</v>
      </c>
      <c r="I813">
        <v>5433</v>
      </c>
      <c r="J813">
        <v>-2134</v>
      </c>
      <c r="K813" t="s">
        <v>21</v>
      </c>
      <c r="L813">
        <v>17</v>
      </c>
      <c r="M813" t="str">
        <f t="shared" si="12"/>
        <v>6-12 Months</v>
      </c>
      <c r="N813" s="1">
        <v>45140</v>
      </c>
      <c r="O813">
        <v>1</v>
      </c>
      <c r="P813">
        <v>812</v>
      </c>
      <c r="Q813" s="2">
        <v>-0.65</v>
      </c>
      <c r="R813" t="s">
        <v>27</v>
      </c>
      <c r="S813">
        <v>2023</v>
      </c>
      <c r="T813" t="s">
        <v>36</v>
      </c>
    </row>
    <row r="814" spans="1:20" hidden="1" x14ac:dyDescent="0.3">
      <c r="A814">
        <v>1372</v>
      </c>
      <c r="B814">
        <v>115</v>
      </c>
      <c r="C814" t="s">
        <v>39</v>
      </c>
      <c r="D814" t="s">
        <v>25</v>
      </c>
      <c r="E814" t="s">
        <v>20</v>
      </c>
      <c r="F814" s="1">
        <v>44752</v>
      </c>
      <c r="G814" s="1">
        <v>44933</v>
      </c>
      <c r="H814">
        <v>4967.93</v>
      </c>
      <c r="I814">
        <v>3751</v>
      </c>
      <c r="J814">
        <v>-4323</v>
      </c>
      <c r="K814" t="s">
        <v>54</v>
      </c>
      <c r="L814">
        <v>5</v>
      </c>
      <c r="M814" t="str">
        <f t="shared" si="12"/>
        <v>0-6 Months</v>
      </c>
      <c r="N814" s="1">
        <v>44933</v>
      </c>
      <c r="O814">
        <v>0</v>
      </c>
      <c r="P814">
        <v>813</v>
      </c>
      <c r="Q814" s="2">
        <v>-0.87</v>
      </c>
      <c r="R814" t="s">
        <v>27</v>
      </c>
      <c r="S814">
        <v>2023</v>
      </c>
      <c r="T814" t="s">
        <v>23</v>
      </c>
    </row>
    <row r="815" spans="1:20" x14ac:dyDescent="0.3">
      <c r="A815">
        <v>1373</v>
      </c>
      <c r="B815">
        <v>101</v>
      </c>
      <c r="C815" t="s">
        <v>53</v>
      </c>
      <c r="D815" t="s">
        <v>19</v>
      </c>
      <c r="E815" t="s">
        <v>26</v>
      </c>
      <c r="F815" s="1">
        <v>44775</v>
      </c>
      <c r="G815" s="1">
        <v>45274</v>
      </c>
      <c r="H815">
        <v>2913</v>
      </c>
      <c r="I815">
        <v>7314</v>
      </c>
      <c r="J815">
        <v>-4401</v>
      </c>
      <c r="K815" t="s">
        <v>35</v>
      </c>
      <c r="L815">
        <v>16</v>
      </c>
      <c r="M815" t="str">
        <f t="shared" si="12"/>
        <v>6-12 Months</v>
      </c>
      <c r="N815" s="1">
        <v>45274</v>
      </c>
      <c r="O815">
        <v>0</v>
      </c>
      <c r="P815">
        <v>814</v>
      </c>
      <c r="Q815" s="2">
        <v>-1.51</v>
      </c>
      <c r="R815" t="s">
        <v>22</v>
      </c>
      <c r="S815">
        <v>2023</v>
      </c>
      <c r="T815" t="s">
        <v>31</v>
      </c>
    </row>
    <row r="816" spans="1:20" x14ac:dyDescent="0.3">
      <c r="A816">
        <v>1374</v>
      </c>
      <c r="B816">
        <v>249</v>
      </c>
      <c r="C816" t="s">
        <v>39</v>
      </c>
      <c r="D816" t="s">
        <v>19</v>
      </c>
      <c r="E816" t="s">
        <v>37</v>
      </c>
      <c r="F816" s="1">
        <v>44668</v>
      </c>
      <c r="G816" s="1">
        <v>44775</v>
      </c>
      <c r="H816">
        <v>8259</v>
      </c>
      <c r="I816">
        <v>119</v>
      </c>
      <c r="J816">
        <v>8140</v>
      </c>
      <c r="K816" t="s">
        <v>35</v>
      </c>
      <c r="L816">
        <v>3</v>
      </c>
      <c r="M816" t="str">
        <f t="shared" si="12"/>
        <v>0-6 Months</v>
      </c>
      <c r="N816" s="1">
        <v>44775</v>
      </c>
      <c r="O816">
        <v>0</v>
      </c>
      <c r="P816">
        <v>815</v>
      </c>
      <c r="Q816" s="2">
        <v>0.99</v>
      </c>
      <c r="R816" t="s">
        <v>27</v>
      </c>
      <c r="S816">
        <v>2022</v>
      </c>
      <c r="T816" t="s">
        <v>36</v>
      </c>
    </row>
    <row r="817" spans="1:20" hidden="1" x14ac:dyDescent="0.3">
      <c r="A817">
        <v>1375</v>
      </c>
      <c r="B817">
        <v>485</v>
      </c>
      <c r="C817" t="s">
        <v>40</v>
      </c>
      <c r="D817" t="s">
        <v>34</v>
      </c>
      <c r="E817" t="s">
        <v>37</v>
      </c>
      <c r="F817" s="1">
        <v>44628</v>
      </c>
      <c r="G817" s="1">
        <v>45114</v>
      </c>
      <c r="H817">
        <v>6288</v>
      </c>
      <c r="I817">
        <v>2020</v>
      </c>
      <c r="J817">
        <v>4268</v>
      </c>
      <c r="K817" t="s">
        <v>54</v>
      </c>
      <c r="L817">
        <v>15</v>
      </c>
      <c r="M817" t="str">
        <f t="shared" si="12"/>
        <v>6-12 Months</v>
      </c>
      <c r="N817" s="1">
        <v>45114</v>
      </c>
      <c r="O817">
        <v>1</v>
      </c>
      <c r="P817">
        <v>816</v>
      </c>
      <c r="Q817" s="2">
        <v>0.68</v>
      </c>
      <c r="R817" t="s">
        <v>27</v>
      </c>
      <c r="S817">
        <v>2023</v>
      </c>
      <c r="T817" t="s">
        <v>44</v>
      </c>
    </row>
    <row r="818" spans="1:20" x14ac:dyDescent="0.3">
      <c r="A818">
        <v>1377</v>
      </c>
      <c r="B818">
        <v>426</v>
      </c>
      <c r="C818" t="s">
        <v>39</v>
      </c>
      <c r="D818" t="s">
        <v>25</v>
      </c>
      <c r="E818" t="s">
        <v>37</v>
      </c>
      <c r="F818" s="1">
        <v>44657</v>
      </c>
      <c r="G818" s="1">
        <v>45207</v>
      </c>
      <c r="H818">
        <v>8836</v>
      </c>
      <c r="I818">
        <v>2297</v>
      </c>
      <c r="J818">
        <v>6539</v>
      </c>
      <c r="K818" t="s">
        <v>35</v>
      </c>
      <c r="L818">
        <v>18</v>
      </c>
      <c r="M818" t="str">
        <f t="shared" si="12"/>
        <v>6-12 Months</v>
      </c>
      <c r="N818" s="1">
        <v>45207</v>
      </c>
      <c r="O818">
        <v>1</v>
      </c>
      <c r="P818">
        <v>817</v>
      </c>
      <c r="Q818" s="2">
        <v>0.74</v>
      </c>
      <c r="R818" t="s">
        <v>27</v>
      </c>
      <c r="S818">
        <v>2023</v>
      </c>
      <c r="T818" t="s">
        <v>33</v>
      </c>
    </row>
    <row r="819" spans="1:20" x14ac:dyDescent="0.3">
      <c r="A819">
        <v>1378</v>
      </c>
      <c r="B819">
        <v>347</v>
      </c>
      <c r="C819" t="s">
        <v>45</v>
      </c>
      <c r="D819" t="s">
        <v>29</v>
      </c>
      <c r="E819" t="s">
        <v>37</v>
      </c>
      <c r="F819" s="1">
        <v>44803</v>
      </c>
      <c r="G819" s="1">
        <v>45374</v>
      </c>
      <c r="H819">
        <v>7775</v>
      </c>
      <c r="I819">
        <v>3040</v>
      </c>
      <c r="J819">
        <v>4735</v>
      </c>
      <c r="K819" t="s">
        <v>35</v>
      </c>
      <c r="L819">
        <v>18</v>
      </c>
      <c r="M819" t="str">
        <f t="shared" si="12"/>
        <v>6-12 Months</v>
      </c>
      <c r="N819" s="1">
        <v>45374</v>
      </c>
      <c r="O819">
        <v>1</v>
      </c>
      <c r="P819">
        <v>818</v>
      </c>
      <c r="Q819" s="2">
        <v>0.61</v>
      </c>
      <c r="R819" t="s">
        <v>27</v>
      </c>
      <c r="S819">
        <v>2024</v>
      </c>
      <c r="T819" t="s">
        <v>38</v>
      </c>
    </row>
    <row r="820" spans="1:20" hidden="1" x14ac:dyDescent="0.3">
      <c r="A820">
        <v>1379</v>
      </c>
      <c r="B820">
        <v>255</v>
      </c>
      <c r="C820" t="s">
        <v>39</v>
      </c>
      <c r="D820" t="s">
        <v>25</v>
      </c>
      <c r="E820" t="s">
        <v>20</v>
      </c>
      <c r="F820" s="1">
        <v>44912</v>
      </c>
      <c r="G820" s="1">
        <v>45512</v>
      </c>
      <c r="H820">
        <v>5141</v>
      </c>
      <c r="I820">
        <v>3051</v>
      </c>
      <c r="J820">
        <v>2090</v>
      </c>
      <c r="K820" t="s">
        <v>21</v>
      </c>
      <c r="L820">
        <v>19</v>
      </c>
      <c r="M820" t="str">
        <f t="shared" si="12"/>
        <v>6-12 Months</v>
      </c>
      <c r="N820" s="1">
        <v>45512</v>
      </c>
      <c r="O820">
        <v>0</v>
      </c>
      <c r="P820">
        <v>819</v>
      </c>
      <c r="Q820" s="2">
        <v>0.41</v>
      </c>
      <c r="R820" t="s">
        <v>27</v>
      </c>
      <c r="S820">
        <v>2024</v>
      </c>
      <c r="T820" t="s">
        <v>36</v>
      </c>
    </row>
    <row r="821" spans="1:20" x14ac:dyDescent="0.3">
      <c r="A821">
        <v>1380</v>
      </c>
      <c r="B821">
        <v>469</v>
      </c>
      <c r="C821" t="s">
        <v>24</v>
      </c>
      <c r="D821" t="s">
        <v>19</v>
      </c>
      <c r="E821" t="s">
        <v>26</v>
      </c>
      <c r="F821" s="1">
        <v>44769</v>
      </c>
      <c r="G821" s="1">
        <v>45028</v>
      </c>
      <c r="H821">
        <v>5862</v>
      </c>
      <c r="I821">
        <v>2331</v>
      </c>
      <c r="J821">
        <v>3531</v>
      </c>
      <c r="K821" t="s">
        <v>35</v>
      </c>
      <c r="L821">
        <v>8</v>
      </c>
      <c r="M821" t="str">
        <f t="shared" si="12"/>
        <v>6-12 Months</v>
      </c>
      <c r="N821" s="1">
        <v>45028</v>
      </c>
      <c r="O821">
        <v>1</v>
      </c>
      <c r="P821">
        <v>820</v>
      </c>
      <c r="Q821" s="2">
        <v>0.6</v>
      </c>
      <c r="R821" t="s">
        <v>27</v>
      </c>
      <c r="S821">
        <v>2023</v>
      </c>
      <c r="T821" t="s">
        <v>32</v>
      </c>
    </row>
    <row r="822" spans="1:20" hidden="1" x14ac:dyDescent="0.3">
      <c r="A822">
        <v>1381</v>
      </c>
      <c r="B822">
        <v>381</v>
      </c>
      <c r="C822" t="s">
        <v>40</v>
      </c>
      <c r="D822" t="s">
        <v>19</v>
      </c>
      <c r="E822" t="s">
        <v>20</v>
      </c>
      <c r="F822" s="1">
        <v>44770</v>
      </c>
      <c r="G822" s="1">
        <v>45268</v>
      </c>
      <c r="H822">
        <v>2369</v>
      </c>
      <c r="I822">
        <v>5604</v>
      </c>
      <c r="J822">
        <v>-3235</v>
      </c>
      <c r="K822" t="s">
        <v>54</v>
      </c>
      <c r="L822">
        <v>16</v>
      </c>
      <c r="M822" t="str">
        <f t="shared" si="12"/>
        <v>6-12 Months</v>
      </c>
      <c r="N822" s="1">
        <v>45268</v>
      </c>
      <c r="O822">
        <v>1</v>
      </c>
      <c r="P822">
        <v>821</v>
      </c>
      <c r="Q822" s="2">
        <v>-1.37</v>
      </c>
      <c r="R822" t="s">
        <v>22</v>
      </c>
      <c r="S822">
        <v>2023</v>
      </c>
      <c r="T822" t="s">
        <v>31</v>
      </c>
    </row>
    <row r="823" spans="1:20" hidden="1" x14ac:dyDescent="0.3">
      <c r="A823">
        <v>1382</v>
      </c>
      <c r="B823">
        <v>124</v>
      </c>
      <c r="C823" t="s">
        <v>24</v>
      </c>
      <c r="D823" t="s">
        <v>34</v>
      </c>
      <c r="E823" t="s">
        <v>37</v>
      </c>
      <c r="F823" s="1">
        <v>44720</v>
      </c>
      <c r="G823" s="1">
        <v>45304</v>
      </c>
      <c r="H823">
        <v>3</v>
      </c>
      <c r="I823">
        <v>2117</v>
      </c>
      <c r="J823">
        <v>-2114</v>
      </c>
      <c r="K823" t="s">
        <v>21</v>
      </c>
      <c r="L823">
        <v>19</v>
      </c>
      <c r="M823" t="str">
        <f t="shared" si="12"/>
        <v>6-12 Months</v>
      </c>
      <c r="N823" s="1">
        <v>45304</v>
      </c>
      <c r="O823">
        <v>1</v>
      </c>
      <c r="P823">
        <v>822</v>
      </c>
      <c r="Q823" s="2">
        <v>-704.67</v>
      </c>
      <c r="R823" t="s">
        <v>22</v>
      </c>
      <c r="S823">
        <v>2024</v>
      </c>
      <c r="T823" t="s">
        <v>23</v>
      </c>
    </row>
    <row r="824" spans="1:20" hidden="1" x14ac:dyDescent="0.3">
      <c r="A824">
        <v>1383</v>
      </c>
      <c r="B824">
        <v>376</v>
      </c>
      <c r="C824" t="s">
        <v>45</v>
      </c>
      <c r="D824" t="s">
        <v>34</v>
      </c>
      <c r="E824" t="s">
        <v>37</v>
      </c>
      <c r="F824" s="1">
        <v>44836</v>
      </c>
      <c r="G824" s="1">
        <v>45241</v>
      </c>
      <c r="H824">
        <v>8945</v>
      </c>
      <c r="I824">
        <v>1424</v>
      </c>
      <c r="J824">
        <v>7521</v>
      </c>
      <c r="K824" t="s">
        <v>54</v>
      </c>
      <c r="L824">
        <v>13</v>
      </c>
      <c r="M824" t="str">
        <f t="shared" si="12"/>
        <v>6-12 Months</v>
      </c>
      <c r="N824" s="1">
        <v>45241</v>
      </c>
      <c r="O824">
        <v>0</v>
      </c>
      <c r="P824">
        <v>823</v>
      </c>
      <c r="Q824" s="2">
        <v>0.84</v>
      </c>
      <c r="R824" t="s">
        <v>27</v>
      </c>
      <c r="S824">
        <v>2023</v>
      </c>
      <c r="T824" t="s">
        <v>42</v>
      </c>
    </row>
    <row r="825" spans="1:20" hidden="1" x14ac:dyDescent="0.3">
      <c r="A825">
        <v>1387</v>
      </c>
      <c r="B825">
        <v>444</v>
      </c>
      <c r="C825" t="s">
        <v>40</v>
      </c>
      <c r="D825" t="s">
        <v>19</v>
      </c>
      <c r="E825" t="s">
        <v>20</v>
      </c>
      <c r="F825" s="1">
        <v>44854</v>
      </c>
      <c r="G825" s="1">
        <v>45081</v>
      </c>
      <c r="H825">
        <v>4967.93</v>
      </c>
      <c r="I825">
        <v>7947</v>
      </c>
      <c r="J825">
        <v>577.01</v>
      </c>
      <c r="K825" t="s">
        <v>54</v>
      </c>
      <c r="L825">
        <v>7</v>
      </c>
      <c r="M825" t="str">
        <f t="shared" si="12"/>
        <v>6-12 Months</v>
      </c>
      <c r="N825" s="1">
        <v>45081</v>
      </c>
      <c r="O825">
        <v>1</v>
      </c>
      <c r="P825">
        <v>824</v>
      </c>
      <c r="Q825" s="2">
        <v>0.12</v>
      </c>
      <c r="R825" t="s">
        <v>27</v>
      </c>
      <c r="S825">
        <v>2023</v>
      </c>
      <c r="T825" t="s">
        <v>41</v>
      </c>
    </row>
    <row r="826" spans="1:20" hidden="1" x14ac:dyDescent="0.3">
      <c r="A826">
        <v>1389</v>
      </c>
      <c r="B826">
        <v>386</v>
      </c>
      <c r="C826" t="s">
        <v>45</v>
      </c>
      <c r="D826" t="s">
        <v>34</v>
      </c>
      <c r="E826" t="s">
        <v>20</v>
      </c>
      <c r="F826" s="1">
        <v>44792</v>
      </c>
      <c r="G826" s="1">
        <v>44973</v>
      </c>
      <c r="H826">
        <v>1043</v>
      </c>
      <c r="I826">
        <v>6363</v>
      </c>
      <c r="J826">
        <v>-5320</v>
      </c>
      <c r="K826" t="s">
        <v>54</v>
      </c>
      <c r="L826">
        <v>5</v>
      </c>
      <c r="M826" t="str">
        <f t="shared" si="12"/>
        <v>0-6 Months</v>
      </c>
      <c r="N826" s="1">
        <v>44973</v>
      </c>
      <c r="O826">
        <v>1</v>
      </c>
      <c r="P826">
        <v>825</v>
      </c>
      <c r="Q826" s="2">
        <v>-5.0999999999999996</v>
      </c>
      <c r="R826" t="s">
        <v>22</v>
      </c>
      <c r="S826">
        <v>2023</v>
      </c>
      <c r="T826" t="s">
        <v>43</v>
      </c>
    </row>
    <row r="827" spans="1:20" hidden="1" x14ac:dyDescent="0.3">
      <c r="A827">
        <v>1390</v>
      </c>
      <c r="B827">
        <v>442</v>
      </c>
      <c r="C827" t="s">
        <v>53</v>
      </c>
      <c r="D827" t="s">
        <v>29</v>
      </c>
      <c r="E827" t="s">
        <v>20</v>
      </c>
      <c r="F827" s="1">
        <v>44594</v>
      </c>
      <c r="G827" s="1">
        <v>44784</v>
      </c>
      <c r="H827">
        <v>4967.93</v>
      </c>
      <c r="I827">
        <v>730</v>
      </c>
      <c r="J827">
        <v>-1369</v>
      </c>
      <c r="K827" t="s">
        <v>21</v>
      </c>
      <c r="L827">
        <v>6</v>
      </c>
      <c r="M827" t="str">
        <f t="shared" si="12"/>
        <v>12+ Months</v>
      </c>
      <c r="N827" s="1">
        <v>44784</v>
      </c>
      <c r="O827">
        <v>0</v>
      </c>
      <c r="P827">
        <v>826</v>
      </c>
      <c r="Q827" s="2">
        <v>-0.28000000000000003</v>
      </c>
      <c r="R827" t="s">
        <v>27</v>
      </c>
      <c r="S827">
        <v>2022</v>
      </c>
      <c r="T827" t="s">
        <v>36</v>
      </c>
    </row>
    <row r="828" spans="1:20" hidden="1" x14ac:dyDescent="0.3">
      <c r="A828">
        <v>1391</v>
      </c>
      <c r="B828">
        <v>136</v>
      </c>
      <c r="C828" t="s">
        <v>39</v>
      </c>
      <c r="D828" t="s">
        <v>19</v>
      </c>
      <c r="E828" t="s">
        <v>37</v>
      </c>
      <c r="F828" s="1">
        <v>44869</v>
      </c>
      <c r="G828" s="1">
        <v>45086</v>
      </c>
      <c r="H828">
        <v>4967.93</v>
      </c>
      <c r="I828">
        <v>6595</v>
      </c>
      <c r="J828">
        <v>-7505</v>
      </c>
      <c r="K828" t="s">
        <v>54</v>
      </c>
      <c r="L828">
        <v>7</v>
      </c>
      <c r="M828" t="str">
        <f t="shared" si="12"/>
        <v>6-12 Months</v>
      </c>
      <c r="N828" s="1">
        <v>45086</v>
      </c>
      <c r="O828">
        <v>0</v>
      </c>
      <c r="P828">
        <v>827</v>
      </c>
      <c r="Q828" s="2">
        <v>-1.51</v>
      </c>
      <c r="R828" t="s">
        <v>22</v>
      </c>
      <c r="S828">
        <v>2023</v>
      </c>
      <c r="T828" t="s">
        <v>41</v>
      </c>
    </row>
    <row r="829" spans="1:20" x14ac:dyDescent="0.3">
      <c r="A829">
        <v>1392</v>
      </c>
      <c r="B829">
        <v>134</v>
      </c>
      <c r="C829" t="s">
        <v>45</v>
      </c>
      <c r="D829" t="s">
        <v>34</v>
      </c>
      <c r="E829" t="s">
        <v>26</v>
      </c>
      <c r="F829" s="1">
        <v>44661</v>
      </c>
      <c r="G829" s="1">
        <v>44962</v>
      </c>
      <c r="H829">
        <v>1821</v>
      </c>
      <c r="I829">
        <v>1520</v>
      </c>
      <c r="J829">
        <v>301</v>
      </c>
      <c r="K829" t="s">
        <v>35</v>
      </c>
      <c r="L829">
        <v>9</v>
      </c>
      <c r="M829" t="str">
        <f t="shared" si="12"/>
        <v>6-12 Months</v>
      </c>
      <c r="N829" s="1">
        <v>44962</v>
      </c>
      <c r="O829">
        <v>1</v>
      </c>
      <c r="P829">
        <v>828</v>
      </c>
      <c r="Q829" s="2">
        <v>0.17</v>
      </c>
      <c r="R829" t="s">
        <v>27</v>
      </c>
      <c r="S829">
        <v>2023</v>
      </c>
      <c r="T829" t="s">
        <v>43</v>
      </c>
    </row>
    <row r="830" spans="1:20" hidden="1" x14ac:dyDescent="0.3">
      <c r="A830">
        <v>1393</v>
      </c>
      <c r="B830">
        <v>309</v>
      </c>
      <c r="C830" t="s">
        <v>39</v>
      </c>
      <c r="D830" t="s">
        <v>34</v>
      </c>
      <c r="E830" t="s">
        <v>37</v>
      </c>
      <c r="F830" s="1">
        <v>44801</v>
      </c>
      <c r="G830" s="1">
        <v>45349</v>
      </c>
      <c r="H830">
        <v>3396</v>
      </c>
      <c r="I830">
        <v>4423</v>
      </c>
      <c r="J830">
        <v>-1027</v>
      </c>
      <c r="K830" t="s">
        <v>54</v>
      </c>
      <c r="L830">
        <v>17</v>
      </c>
      <c r="M830" t="str">
        <f t="shared" si="12"/>
        <v>6-12 Months</v>
      </c>
      <c r="N830" s="1">
        <v>45349</v>
      </c>
      <c r="O830">
        <v>0</v>
      </c>
      <c r="P830">
        <v>829</v>
      </c>
      <c r="Q830" s="2">
        <v>-0.3</v>
      </c>
      <c r="R830" t="s">
        <v>27</v>
      </c>
      <c r="S830">
        <v>2024</v>
      </c>
      <c r="T830" t="s">
        <v>43</v>
      </c>
    </row>
    <row r="831" spans="1:20" hidden="1" x14ac:dyDescent="0.3">
      <c r="A831">
        <v>1395</v>
      </c>
      <c r="B831">
        <v>354</v>
      </c>
      <c r="C831" t="s">
        <v>45</v>
      </c>
      <c r="D831" t="s">
        <v>19</v>
      </c>
      <c r="E831" t="s">
        <v>26</v>
      </c>
      <c r="F831" s="1">
        <v>44869</v>
      </c>
      <c r="G831" s="1">
        <v>45264</v>
      </c>
      <c r="H831">
        <v>259</v>
      </c>
      <c r="I831">
        <v>4012.75</v>
      </c>
      <c r="J831">
        <v>967</v>
      </c>
      <c r="K831" t="s">
        <v>54</v>
      </c>
      <c r="L831">
        <v>13</v>
      </c>
      <c r="M831" t="str">
        <f t="shared" si="12"/>
        <v>6-12 Months</v>
      </c>
      <c r="N831" s="1">
        <v>45264</v>
      </c>
      <c r="O831">
        <v>1</v>
      </c>
      <c r="P831">
        <v>830</v>
      </c>
      <c r="Q831" s="2">
        <v>3.73</v>
      </c>
      <c r="R831" t="s">
        <v>22</v>
      </c>
      <c r="S831">
        <v>2023</v>
      </c>
      <c r="T831" t="s">
        <v>31</v>
      </c>
    </row>
    <row r="832" spans="1:20" hidden="1" x14ac:dyDescent="0.3">
      <c r="A832">
        <v>1396</v>
      </c>
      <c r="B832">
        <v>237</v>
      </c>
      <c r="C832" t="s">
        <v>40</v>
      </c>
      <c r="D832" t="s">
        <v>19</v>
      </c>
      <c r="E832" t="s">
        <v>37</v>
      </c>
      <c r="F832" s="1">
        <v>44858</v>
      </c>
      <c r="G832" s="1">
        <v>45001</v>
      </c>
      <c r="H832">
        <v>3045</v>
      </c>
      <c r="I832">
        <v>218</v>
      </c>
      <c r="J832">
        <v>2827</v>
      </c>
      <c r="K832" t="s">
        <v>21</v>
      </c>
      <c r="L832">
        <v>4</v>
      </c>
      <c r="M832" t="str">
        <f t="shared" si="12"/>
        <v>0-6 Months</v>
      </c>
      <c r="N832" s="1">
        <v>45001</v>
      </c>
      <c r="O832">
        <v>0</v>
      </c>
      <c r="P832">
        <v>831</v>
      </c>
      <c r="Q832" s="2">
        <v>0.93</v>
      </c>
      <c r="R832" t="s">
        <v>27</v>
      </c>
      <c r="S832">
        <v>2023</v>
      </c>
      <c r="T832" t="s">
        <v>38</v>
      </c>
    </row>
    <row r="833" spans="1:20" hidden="1" x14ac:dyDescent="0.3">
      <c r="A833">
        <v>1399</v>
      </c>
      <c r="B833">
        <v>113</v>
      </c>
      <c r="C833" t="s">
        <v>45</v>
      </c>
      <c r="D833" t="s">
        <v>29</v>
      </c>
      <c r="E833" t="s">
        <v>26</v>
      </c>
      <c r="F833" s="1">
        <v>44746</v>
      </c>
      <c r="G833" s="1">
        <v>44839</v>
      </c>
      <c r="H833">
        <v>5081</v>
      </c>
      <c r="I833">
        <v>1726</v>
      </c>
      <c r="J833">
        <v>3355</v>
      </c>
      <c r="K833" t="s">
        <v>54</v>
      </c>
      <c r="L833">
        <v>3</v>
      </c>
      <c r="M833" t="str">
        <f t="shared" si="12"/>
        <v>0-6 Months</v>
      </c>
      <c r="N833" s="1">
        <v>44839</v>
      </c>
      <c r="O833">
        <v>0</v>
      </c>
      <c r="P833">
        <v>832</v>
      </c>
      <c r="Q833" s="2">
        <v>0.66</v>
      </c>
      <c r="R833" t="s">
        <v>27</v>
      </c>
      <c r="S833">
        <v>2022</v>
      </c>
      <c r="T833" t="s">
        <v>33</v>
      </c>
    </row>
    <row r="834" spans="1:20" hidden="1" x14ac:dyDescent="0.3">
      <c r="A834">
        <v>1401</v>
      </c>
      <c r="B834">
        <v>167</v>
      </c>
      <c r="C834" t="s">
        <v>53</v>
      </c>
      <c r="D834" t="s">
        <v>19</v>
      </c>
      <c r="E834" t="s">
        <v>20</v>
      </c>
      <c r="F834" s="1">
        <v>44669</v>
      </c>
      <c r="G834" s="1">
        <v>44779</v>
      </c>
      <c r="H834">
        <v>3563</v>
      </c>
      <c r="I834">
        <v>2649</v>
      </c>
      <c r="J834">
        <v>914</v>
      </c>
      <c r="K834" t="s">
        <v>54</v>
      </c>
      <c r="L834">
        <v>3</v>
      </c>
      <c r="M834" t="str">
        <f t="shared" ref="M834:M897" si="13">IF(L834&lt;6,"0-6 Months",IF(L834&gt;6,"6-12 Months","12+ Months"))</f>
        <v>0-6 Months</v>
      </c>
      <c r="N834" s="1">
        <v>44779</v>
      </c>
      <c r="O834">
        <v>1</v>
      </c>
      <c r="P834">
        <v>833</v>
      </c>
      <c r="Q834" s="2">
        <v>0.26</v>
      </c>
      <c r="R834" t="s">
        <v>27</v>
      </c>
      <c r="S834">
        <v>2022</v>
      </c>
      <c r="T834" t="s">
        <v>36</v>
      </c>
    </row>
    <row r="835" spans="1:20" hidden="1" x14ac:dyDescent="0.3">
      <c r="A835">
        <v>1402</v>
      </c>
      <c r="B835">
        <v>449</v>
      </c>
      <c r="C835" t="s">
        <v>39</v>
      </c>
      <c r="D835" t="s">
        <v>25</v>
      </c>
      <c r="E835" t="s">
        <v>26</v>
      </c>
      <c r="F835" s="1">
        <v>44592</v>
      </c>
      <c r="G835" s="1">
        <v>44743</v>
      </c>
      <c r="H835">
        <v>4967.93</v>
      </c>
      <c r="I835">
        <v>1787</v>
      </c>
      <c r="J835">
        <v>-2414</v>
      </c>
      <c r="K835" t="s">
        <v>21</v>
      </c>
      <c r="L835">
        <v>5</v>
      </c>
      <c r="M835" t="str">
        <f t="shared" si="13"/>
        <v>0-6 Months</v>
      </c>
      <c r="N835" s="1">
        <v>44743</v>
      </c>
      <c r="O835">
        <v>1</v>
      </c>
      <c r="P835">
        <v>834</v>
      </c>
      <c r="Q835" s="2">
        <v>-0.49</v>
      </c>
      <c r="R835" t="s">
        <v>27</v>
      </c>
      <c r="S835">
        <v>2022</v>
      </c>
      <c r="T835" t="s">
        <v>44</v>
      </c>
    </row>
    <row r="836" spans="1:20" hidden="1" x14ac:dyDescent="0.3">
      <c r="A836">
        <v>1409</v>
      </c>
      <c r="B836">
        <v>486</v>
      </c>
      <c r="C836" t="s">
        <v>53</v>
      </c>
      <c r="D836" t="s">
        <v>34</v>
      </c>
      <c r="E836" t="s">
        <v>20</v>
      </c>
      <c r="F836" s="1">
        <v>44676</v>
      </c>
      <c r="G836" s="1">
        <v>44868</v>
      </c>
      <c r="H836">
        <v>2982</v>
      </c>
      <c r="I836">
        <v>4012.75</v>
      </c>
      <c r="J836">
        <v>577.01</v>
      </c>
      <c r="K836" t="s">
        <v>54</v>
      </c>
      <c r="L836">
        <v>6</v>
      </c>
      <c r="M836" t="str">
        <f t="shared" si="13"/>
        <v>12+ Months</v>
      </c>
      <c r="N836" s="1">
        <v>44868</v>
      </c>
      <c r="O836">
        <v>0</v>
      </c>
      <c r="P836">
        <v>835</v>
      </c>
      <c r="Q836" s="2">
        <v>0.19</v>
      </c>
      <c r="R836" t="s">
        <v>27</v>
      </c>
      <c r="S836">
        <v>2022</v>
      </c>
      <c r="T836" t="s">
        <v>42</v>
      </c>
    </row>
    <row r="837" spans="1:20" hidden="1" x14ac:dyDescent="0.3">
      <c r="A837">
        <v>1412</v>
      </c>
      <c r="B837">
        <v>118</v>
      </c>
      <c r="C837" t="s">
        <v>45</v>
      </c>
      <c r="D837" t="s">
        <v>29</v>
      </c>
      <c r="E837" t="s">
        <v>37</v>
      </c>
      <c r="F837" s="1">
        <v>44873</v>
      </c>
      <c r="G837" s="1">
        <v>45189</v>
      </c>
      <c r="H837">
        <v>4967.93</v>
      </c>
      <c r="I837">
        <v>7804</v>
      </c>
      <c r="J837">
        <v>-8150</v>
      </c>
      <c r="K837" t="s">
        <v>54</v>
      </c>
      <c r="L837">
        <v>10</v>
      </c>
      <c r="M837" t="str">
        <f t="shared" si="13"/>
        <v>6-12 Months</v>
      </c>
      <c r="N837" s="1">
        <v>45189</v>
      </c>
      <c r="O837">
        <v>0</v>
      </c>
      <c r="P837">
        <v>836</v>
      </c>
      <c r="Q837" s="2">
        <v>-1.64</v>
      </c>
      <c r="R837" t="s">
        <v>22</v>
      </c>
      <c r="S837">
        <v>2023</v>
      </c>
      <c r="T837" t="s">
        <v>30</v>
      </c>
    </row>
    <row r="838" spans="1:20" hidden="1" x14ac:dyDescent="0.3">
      <c r="A838">
        <v>1414</v>
      </c>
      <c r="B838">
        <v>293</v>
      </c>
      <c r="C838" t="s">
        <v>40</v>
      </c>
      <c r="D838" t="s">
        <v>29</v>
      </c>
      <c r="E838" t="s">
        <v>20</v>
      </c>
      <c r="F838" s="1">
        <v>44824</v>
      </c>
      <c r="G838" s="1">
        <v>45208</v>
      </c>
      <c r="H838">
        <v>426</v>
      </c>
      <c r="I838">
        <v>1831</v>
      </c>
      <c r="J838">
        <v>577.01</v>
      </c>
      <c r="K838" t="s">
        <v>21</v>
      </c>
      <c r="L838">
        <v>12</v>
      </c>
      <c r="M838" t="str">
        <f t="shared" si="13"/>
        <v>6-12 Months</v>
      </c>
      <c r="N838" s="1">
        <v>45208</v>
      </c>
      <c r="O838">
        <v>0</v>
      </c>
      <c r="P838">
        <v>837</v>
      </c>
      <c r="Q838" s="2">
        <v>1.35</v>
      </c>
      <c r="R838" t="s">
        <v>22</v>
      </c>
      <c r="S838">
        <v>2023</v>
      </c>
      <c r="T838" t="s">
        <v>33</v>
      </c>
    </row>
    <row r="839" spans="1:20" hidden="1" x14ac:dyDescent="0.3">
      <c r="A839">
        <v>1416</v>
      </c>
      <c r="B839">
        <v>321</v>
      </c>
      <c r="C839" t="s">
        <v>24</v>
      </c>
      <c r="D839" t="s">
        <v>29</v>
      </c>
      <c r="E839" t="s">
        <v>37</v>
      </c>
      <c r="F839" s="1">
        <v>44893</v>
      </c>
      <c r="G839" s="1">
        <v>45478</v>
      </c>
      <c r="H839">
        <v>2843</v>
      </c>
      <c r="I839">
        <v>2549</v>
      </c>
      <c r="J839">
        <v>577.01</v>
      </c>
      <c r="K839" t="s">
        <v>21</v>
      </c>
      <c r="L839">
        <v>19</v>
      </c>
      <c r="M839" t="str">
        <f t="shared" si="13"/>
        <v>6-12 Months</v>
      </c>
      <c r="N839" s="1">
        <v>45478</v>
      </c>
      <c r="O839">
        <v>0</v>
      </c>
      <c r="P839">
        <v>838</v>
      </c>
      <c r="Q839" s="2">
        <v>0.2</v>
      </c>
      <c r="R839" t="s">
        <v>27</v>
      </c>
      <c r="S839">
        <v>2024</v>
      </c>
      <c r="T839" t="s">
        <v>44</v>
      </c>
    </row>
    <row r="840" spans="1:20" x14ac:dyDescent="0.3">
      <c r="A840">
        <v>1417</v>
      </c>
      <c r="B840">
        <v>420</v>
      </c>
      <c r="C840" t="s">
        <v>53</v>
      </c>
      <c r="D840" t="s">
        <v>29</v>
      </c>
      <c r="E840" t="s">
        <v>37</v>
      </c>
      <c r="F840" s="1">
        <v>44849</v>
      </c>
      <c r="G840" s="1">
        <v>45254</v>
      </c>
      <c r="H840">
        <v>1151</v>
      </c>
      <c r="I840">
        <v>7158</v>
      </c>
      <c r="J840">
        <v>-6007</v>
      </c>
      <c r="K840" t="s">
        <v>35</v>
      </c>
      <c r="L840">
        <v>13</v>
      </c>
      <c r="M840" t="str">
        <f t="shared" si="13"/>
        <v>6-12 Months</v>
      </c>
      <c r="N840" s="1">
        <v>45254</v>
      </c>
      <c r="O840">
        <v>1</v>
      </c>
      <c r="P840">
        <v>839</v>
      </c>
      <c r="Q840" s="2">
        <v>-5.22</v>
      </c>
      <c r="R840" t="s">
        <v>22</v>
      </c>
      <c r="S840">
        <v>2023</v>
      </c>
      <c r="T840" t="s">
        <v>42</v>
      </c>
    </row>
    <row r="841" spans="1:20" hidden="1" x14ac:dyDescent="0.3">
      <c r="A841">
        <v>1418</v>
      </c>
      <c r="B841">
        <v>486</v>
      </c>
      <c r="C841" t="s">
        <v>24</v>
      </c>
      <c r="D841" t="s">
        <v>34</v>
      </c>
      <c r="E841" t="s">
        <v>37</v>
      </c>
      <c r="F841" s="1">
        <v>44915</v>
      </c>
      <c r="G841" s="1">
        <v>45410</v>
      </c>
      <c r="H841">
        <v>8071</v>
      </c>
      <c r="I841">
        <v>4864</v>
      </c>
      <c r="J841">
        <v>3207</v>
      </c>
      <c r="K841" t="s">
        <v>54</v>
      </c>
      <c r="L841">
        <v>16</v>
      </c>
      <c r="M841" t="str">
        <f t="shared" si="13"/>
        <v>6-12 Months</v>
      </c>
      <c r="N841" s="1">
        <v>45410</v>
      </c>
      <c r="O841">
        <v>1</v>
      </c>
      <c r="P841">
        <v>840</v>
      </c>
      <c r="Q841" s="2">
        <v>0.4</v>
      </c>
      <c r="R841" t="s">
        <v>27</v>
      </c>
      <c r="S841">
        <v>2024</v>
      </c>
      <c r="T841" t="s">
        <v>32</v>
      </c>
    </row>
    <row r="842" spans="1:20" x14ac:dyDescent="0.3">
      <c r="A842">
        <v>1420</v>
      </c>
      <c r="B842">
        <v>296</v>
      </c>
      <c r="C842" t="s">
        <v>39</v>
      </c>
      <c r="D842" t="s">
        <v>25</v>
      </c>
      <c r="E842" t="s">
        <v>20</v>
      </c>
      <c r="F842" s="1">
        <v>44851</v>
      </c>
      <c r="G842" s="1">
        <v>44962</v>
      </c>
      <c r="H842">
        <v>8193</v>
      </c>
      <c r="I842">
        <v>4012.75</v>
      </c>
      <c r="J842">
        <v>577.01</v>
      </c>
      <c r="K842" t="s">
        <v>35</v>
      </c>
      <c r="L842">
        <v>3</v>
      </c>
      <c r="M842" t="str">
        <f t="shared" si="13"/>
        <v>0-6 Months</v>
      </c>
      <c r="N842" s="1">
        <v>44962</v>
      </c>
      <c r="O842">
        <v>1</v>
      </c>
      <c r="P842">
        <v>841</v>
      </c>
      <c r="Q842" s="2">
        <v>7.0000000000000007E-2</v>
      </c>
      <c r="R842" t="s">
        <v>27</v>
      </c>
      <c r="S842">
        <v>2023</v>
      </c>
      <c r="T842" t="s">
        <v>43</v>
      </c>
    </row>
    <row r="843" spans="1:20" hidden="1" x14ac:dyDescent="0.3">
      <c r="A843">
        <v>1421</v>
      </c>
      <c r="B843">
        <v>137</v>
      </c>
      <c r="C843" t="s">
        <v>40</v>
      </c>
      <c r="D843" t="s">
        <v>34</v>
      </c>
      <c r="E843" t="s">
        <v>20</v>
      </c>
      <c r="F843" s="1">
        <v>44618</v>
      </c>
      <c r="G843" s="1">
        <v>44854</v>
      </c>
      <c r="H843">
        <v>8211</v>
      </c>
      <c r="I843">
        <v>1762</v>
      </c>
      <c r="J843">
        <v>6449</v>
      </c>
      <c r="K843" t="s">
        <v>21</v>
      </c>
      <c r="L843">
        <v>7</v>
      </c>
      <c r="M843" t="str">
        <f t="shared" si="13"/>
        <v>6-12 Months</v>
      </c>
      <c r="N843" s="1">
        <v>44854</v>
      </c>
      <c r="O843">
        <v>0</v>
      </c>
      <c r="P843">
        <v>842</v>
      </c>
      <c r="Q843" s="2">
        <v>0.79</v>
      </c>
      <c r="R843" t="s">
        <v>27</v>
      </c>
      <c r="S843">
        <v>2022</v>
      </c>
      <c r="T843" t="s">
        <v>33</v>
      </c>
    </row>
    <row r="844" spans="1:20" hidden="1" x14ac:dyDescent="0.3">
      <c r="A844">
        <v>1424</v>
      </c>
      <c r="B844">
        <v>345</v>
      </c>
      <c r="C844" t="s">
        <v>24</v>
      </c>
      <c r="D844" t="s">
        <v>19</v>
      </c>
      <c r="E844" t="s">
        <v>20</v>
      </c>
      <c r="F844" s="1">
        <v>44701</v>
      </c>
      <c r="G844" s="1">
        <v>44759</v>
      </c>
      <c r="H844">
        <v>2752</v>
      </c>
      <c r="I844">
        <v>5576</v>
      </c>
      <c r="J844">
        <v>-2824</v>
      </c>
      <c r="K844" t="s">
        <v>21</v>
      </c>
      <c r="L844">
        <v>1</v>
      </c>
      <c r="M844" t="str">
        <f t="shared" si="13"/>
        <v>0-6 Months</v>
      </c>
      <c r="N844" s="1">
        <v>44759</v>
      </c>
      <c r="O844">
        <v>1</v>
      </c>
      <c r="P844">
        <v>843</v>
      </c>
      <c r="Q844" s="2">
        <v>-1.03</v>
      </c>
      <c r="R844" t="s">
        <v>22</v>
      </c>
      <c r="S844">
        <v>2022</v>
      </c>
      <c r="T844" t="s">
        <v>44</v>
      </c>
    </row>
    <row r="845" spans="1:20" x14ac:dyDescent="0.3">
      <c r="A845">
        <v>1425</v>
      </c>
      <c r="B845">
        <v>113</v>
      </c>
      <c r="C845" t="s">
        <v>24</v>
      </c>
      <c r="D845" t="s">
        <v>19</v>
      </c>
      <c r="E845" t="s">
        <v>37</v>
      </c>
      <c r="F845" s="1">
        <v>44829</v>
      </c>
      <c r="G845" s="1">
        <v>44996</v>
      </c>
      <c r="H845">
        <v>1693</v>
      </c>
      <c r="I845">
        <v>5186</v>
      </c>
      <c r="J845">
        <v>-3493</v>
      </c>
      <c r="K845" t="s">
        <v>35</v>
      </c>
      <c r="L845">
        <v>5</v>
      </c>
      <c r="M845" t="str">
        <f t="shared" si="13"/>
        <v>0-6 Months</v>
      </c>
      <c r="N845" s="1">
        <v>44996</v>
      </c>
      <c r="O845">
        <v>0</v>
      </c>
      <c r="P845">
        <v>844</v>
      </c>
      <c r="Q845" s="2">
        <v>-2.06</v>
      </c>
      <c r="R845" t="s">
        <v>22</v>
      </c>
      <c r="S845">
        <v>2023</v>
      </c>
      <c r="T845" t="s">
        <v>38</v>
      </c>
    </row>
    <row r="846" spans="1:20" x14ac:dyDescent="0.3">
      <c r="A846">
        <v>1427</v>
      </c>
      <c r="B846">
        <v>452</v>
      </c>
      <c r="C846" t="s">
        <v>40</v>
      </c>
      <c r="D846" t="s">
        <v>29</v>
      </c>
      <c r="E846" t="s">
        <v>20</v>
      </c>
      <c r="F846" s="1">
        <v>44921</v>
      </c>
      <c r="G846" s="1">
        <v>45011</v>
      </c>
      <c r="H846">
        <v>3404</v>
      </c>
      <c r="I846">
        <v>3034</v>
      </c>
      <c r="J846">
        <v>370</v>
      </c>
      <c r="K846" t="s">
        <v>35</v>
      </c>
      <c r="L846">
        <v>3</v>
      </c>
      <c r="M846" t="str">
        <f t="shared" si="13"/>
        <v>0-6 Months</v>
      </c>
      <c r="N846" s="1">
        <v>45011</v>
      </c>
      <c r="O846">
        <v>0</v>
      </c>
      <c r="P846">
        <v>845</v>
      </c>
      <c r="Q846" s="2">
        <v>0.11</v>
      </c>
      <c r="R846" t="s">
        <v>27</v>
      </c>
      <c r="S846">
        <v>2023</v>
      </c>
      <c r="T846" t="s">
        <v>38</v>
      </c>
    </row>
    <row r="847" spans="1:20" hidden="1" x14ac:dyDescent="0.3">
      <c r="A847">
        <v>1428</v>
      </c>
      <c r="B847">
        <v>272</v>
      </c>
      <c r="C847" t="s">
        <v>53</v>
      </c>
      <c r="D847" t="s">
        <v>19</v>
      </c>
      <c r="E847" t="s">
        <v>20</v>
      </c>
      <c r="F847" s="1">
        <v>44635</v>
      </c>
      <c r="G847" s="1">
        <v>44707</v>
      </c>
      <c r="H847">
        <v>6100</v>
      </c>
      <c r="I847">
        <v>6484</v>
      </c>
      <c r="J847">
        <v>-384</v>
      </c>
      <c r="K847" t="s">
        <v>21</v>
      </c>
      <c r="L847">
        <v>2</v>
      </c>
      <c r="M847" t="str">
        <f t="shared" si="13"/>
        <v>0-6 Months</v>
      </c>
      <c r="N847" s="1">
        <v>44707</v>
      </c>
      <c r="O847">
        <v>1</v>
      </c>
      <c r="P847">
        <v>846</v>
      </c>
      <c r="Q847" s="2">
        <v>-0.06</v>
      </c>
      <c r="R847" t="s">
        <v>27</v>
      </c>
      <c r="S847">
        <v>2022</v>
      </c>
      <c r="T847" t="s">
        <v>28</v>
      </c>
    </row>
    <row r="848" spans="1:20" x14ac:dyDescent="0.3">
      <c r="A848">
        <v>1429</v>
      </c>
      <c r="B848">
        <v>299</v>
      </c>
      <c r="C848" t="s">
        <v>45</v>
      </c>
      <c r="D848" t="s">
        <v>19</v>
      </c>
      <c r="E848" t="s">
        <v>20</v>
      </c>
      <c r="F848" s="1">
        <v>44703</v>
      </c>
      <c r="G848" s="1">
        <v>44781</v>
      </c>
      <c r="H848">
        <v>7521</v>
      </c>
      <c r="I848">
        <v>1849</v>
      </c>
      <c r="J848">
        <v>5672</v>
      </c>
      <c r="K848" t="s">
        <v>35</v>
      </c>
      <c r="L848">
        <v>2</v>
      </c>
      <c r="M848" t="str">
        <f t="shared" si="13"/>
        <v>0-6 Months</v>
      </c>
      <c r="N848" s="1">
        <v>44781</v>
      </c>
      <c r="O848">
        <v>1</v>
      </c>
      <c r="P848">
        <v>847</v>
      </c>
      <c r="Q848" s="2">
        <v>0.75</v>
      </c>
      <c r="R848" t="s">
        <v>27</v>
      </c>
      <c r="S848">
        <v>2022</v>
      </c>
      <c r="T848" t="s">
        <v>36</v>
      </c>
    </row>
    <row r="849" spans="1:20" hidden="1" x14ac:dyDescent="0.3">
      <c r="A849">
        <v>1431</v>
      </c>
      <c r="B849">
        <v>429</v>
      </c>
      <c r="C849" t="s">
        <v>45</v>
      </c>
      <c r="D849" t="s">
        <v>25</v>
      </c>
      <c r="E849" t="s">
        <v>26</v>
      </c>
      <c r="F849" s="1">
        <v>44626</v>
      </c>
      <c r="G849" s="1">
        <v>44724</v>
      </c>
      <c r="H849">
        <v>6331</v>
      </c>
      <c r="I849">
        <v>1315</v>
      </c>
      <c r="J849">
        <v>5016</v>
      </c>
      <c r="K849" t="s">
        <v>54</v>
      </c>
      <c r="L849">
        <v>3</v>
      </c>
      <c r="M849" t="str">
        <f t="shared" si="13"/>
        <v>0-6 Months</v>
      </c>
      <c r="N849" s="1">
        <v>44724</v>
      </c>
      <c r="O849">
        <v>0</v>
      </c>
      <c r="P849">
        <v>848</v>
      </c>
      <c r="Q849" s="2">
        <v>0.79</v>
      </c>
      <c r="R849" t="s">
        <v>27</v>
      </c>
      <c r="S849">
        <v>2022</v>
      </c>
      <c r="T849" t="s">
        <v>41</v>
      </c>
    </row>
    <row r="850" spans="1:20" hidden="1" x14ac:dyDescent="0.3">
      <c r="A850">
        <v>1432</v>
      </c>
      <c r="B850">
        <v>465</v>
      </c>
      <c r="C850" t="s">
        <v>39</v>
      </c>
      <c r="D850" t="s">
        <v>29</v>
      </c>
      <c r="E850" t="s">
        <v>37</v>
      </c>
      <c r="F850" s="1">
        <v>44807</v>
      </c>
      <c r="G850" s="1">
        <v>45100</v>
      </c>
      <c r="H850">
        <v>7428</v>
      </c>
      <c r="I850">
        <v>971</v>
      </c>
      <c r="J850">
        <v>6457</v>
      </c>
      <c r="K850" t="s">
        <v>21</v>
      </c>
      <c r="L850">
        <v>9</v>
      </c>
      <c r="M850" t="str">
        <f t="shared" si="13"/>
        <v>6-12 Months</v>
      </c>
      <c r="N850" s="1">
        <v>45100</v>
      </c>
      <c r="O850">
        <v>1</v>
      </c>
      <c r="P850">
        <v>849</v>
      </c>
      <c r="Q850" s="2">
        <v>0.87</v>
      </c>
      <c r="R850" t="s">
        <v>27</v>
      </c>
      <c r="S850">
        <v>2023</v>
      </c>
      <c r="T850" t="s">
        <v>41</v>
      </c>
    </row>
    <row r="851" spans="1:20" x14ac:dyDescent="0.3">
      <c r="A851">
        <v>1434</v>
      </c>
      <c r="B851">
        <v>244</v>
      </c>
      <c r="C851" t="s">
        <v>53</v>
      </c>
      <c r="D851" t="s">
        <v>34</v>
      </c>
      <c r="E851" t="s">
        <v>20</v>
      </c>
      <c r="F851" s="1">
        <v>44921</v>
      </c>
      <c r="G851" s="1">
        <v>44968</v>
      </c>
      <c r="H851">
        <v>3709</v>
      </c>
      <c r="I851">
        <v>6091</v>
      </c>
      <c r="J851">
        <v>-2382</v>
      </c>
      <c r="K851" t="s">
        <v>35</v>
      </c>
      <c r="L851">
        <v>1</v>
      </c>
      <c r="M851" t="str">
        <f t="shared" si="13"/>
        <v>0-6 Months</v>
      </c>
      <c r="N851" s="1">
        <v>44968</v>
      </c>
      <c r="O851">
        <v>1</v>
      </c>
      <c r="P851">
        <v>850</v>
      </c>
      <c r="Q851" s="2">
        <v>-0.64</v>
      </c>
      <c r="R851" t="s">
        <v>27</v>
      </c>
      <c r="S851">
        <v>2023</v>
      </c>
      <c r="T851" t="s">
        <v>43</v>
      </c>
    </row>
    <row r="852" spans="1:20" x14ac:dyDescent="0.3">
      <c r="A852">
        <v>1436</v>
      </c>
      <c r="B852">
        <v>326</v>
      </c>
      <c r="C852" t="s">
        <v>40</v>
      </c>
      <c r="D852" t="s">
        <v>34</v>
      </c>
      <c r="E852" t="s">
        <v>26</v>
      </c>
      <c r="F852" s="1">
        <v>44612</v>
      </c>
      <c r="G852" s="1">
        <v>45021</v>
      </c>
      <c r="H852">
        <v>8679</v>
      </c>
      <c r="I852">
        <v>7882</v>
      </c>
      <c r="J852">
        <v>797</v>
      </c>
      <c r="K852" t="s">
        <v>35</v>
      </c>
      <c r="L852">
        <v>13</v>
      </c>
      <c r="M852" t="str">
        <f t="shared" si="13"/>
        <v>6-12 Months</v>
      </c>
      <c r="N852" s="1">
        <v>45021</v>
      </c>
      <c r="O852">
        <v>0</v>
      </c>
      <c r="P852">
        <v>851</v>
      </c>
      <c r="Q852" s="2">
        <v>0.09</v>
      </c>
      <c r="R852" t="s">
        <v>27</v>
      </c>
      <c r="S852">
        <v>2023</v>
      </c>
      <c r="T852" t="s">
        <v>32</v>
      </c>
    </row>
    <row r="853" spans="1:20" hidden="1" x14ac:dyDescent="0.3">
      <c r="A853">
        <v>1437</v>
      </c>
      <c r="B853">
        <v>331</v>
      </c>
      <c r="C853" t="s">
        <v>24</v>
      </c>
      <c r="D853" t="s">
        <v>19</v>
      </c>
      <c r="E853" t="s">
        <v>37</v>
      </c>
      <c r="F853" s="1">
        <v>44709</v>
      </c>
      <c r="G853" s="1">
        <v>45225</v>
      </c>
      <c r="H853">
        <v>194</v>
      </c>
      <c r="I853">
        <v>260</v>
      </c>
      <c r="J853">
        <v>-66</v>
      </c>
      <c r="K853" t="s">
        <v>21</v>
      </c>
      <c r="L853">
        <v>16</v>
      </c>
      <c r="M853" t="str">
        <f t="shared" si="13"/>
        <v>6-12 Months</v>
      </c>
      <c r="N853" s="1">
        <v>45225</v>
      </c>
      <c r="O853">
        <v>0</v>
      </c>
      <c r="P853">
        <v>852</v>
      </c>
      <c r="Q853" s="2">
        <v>-0.34</v>
      </c>
      <c r="R853" t="s">
        <v>27</v>
      </c>
      <c r="S853">
        <v>2023</v>
      </c>
      <c r="T853" t="s">
        <v>33</v>
      </c>
    </row>
    <row r="854" spans="1:20" hidden="1" x14ac:dyDescent="0.3">
      <c r="A854">
        <v>1438</v>
      </c>
      <c r="B854">
        <v>401</v>
      </c>
      <c r="C854" t="s">
        <v>39</v>
      </c>
      <c r="D854" t="s">
        <v>34</v>
      </c>
      <c r="E854" t="s">
        <v>26</v>
      </c>
      <c r="F854" s="1">
        <v>44593</v>
      </c>
      <c r="G854" s="1">
        <v>45031</v>
      </c>
      <c r="H854">
        <v>6308</v>
      </c>
      <c r="I854">
        <v>221</v>
      </c>
      <c r="J854">
        <v>6087</v>
      </c>
      <c r="K854" t="s">
        <v>54</v>
      </c>
      <c r="L854">
        <v>14</v>
      </c>
      <c r="M854" t="str">
        <f t="shared" si="13"/>
        <v>6-12 Months</v>
      </c>
      <c r="N854" s="1">
        <v>45031</v>
      </c>
      <c r="O854">
        <v>1</v>
      </c>
      <c r="P854">
        <v>853</v>
      </c>
      <c r="Q854" s="2">
        <v>0.96</v>
      </c>
      <c r="R854" t="s">
        <v>27</v>
      </c>
      <c r="S854">
        <v>2023</v>
      </c>
      <c r="T854" t="s">
        <v>32</v>
      </c>
    </row>
    <row r="855" spans="1:20" hidden="1" x14ac:dyDescent="0.3">
      <c r="A855">
        <v>1439</v>
      </c>
      <c r="B855">
        <v>362</v>
      </c>
      <c r="C855" t="s">
        <v>24</v>
      </c>
      <c r="D855" t="s">
        <v>25</v>
      </c>
      <c r="E855" t="s">
        <v>20</v>
      </c>
      <c r="F855" s="1">
        <v>44716</v>
      </c>
      <c r="G855" s="1">
        <v>45034</v>
      </c>
      <c r="H855">
        <v>4784</v>
      </c>
      <c r="I855">
        <v>4012.75</v>
      </c>
      <c r="J855">
        <v>5418</v>
      </c>
      <c r="K855" t="s">
        <v>54</v>
      </c>
      <c r="L855">
        <v>10</v>
      </c>
      <c r="M855" t="str">
        <f t="shared" si="13"/>
        <v>6-12 Months</v>
      </c>
      <c r="N855" s="1">
        <v>45034</v>
      </c>
      <c r="O855">
        <v>0</v>
      </c>
      <c r="P855">
        <v>854</v>
      </c>
      <c r="Q855" s="2">
        <v>1.1299999999999999</v>
      </c>
      <c r="R855" t="s">
        <v>22</v>
      </c>
      <c r="S855">
        <v>2023</v>
      </c>
      <c r="T855" t="s">
        <v>32</v>
      </c>
    </row>
    <row r="856" spans="1:20" hidden="1" x14ac:dyDescent="0.3">
      <c r="A856">
        <v>1440</v>
      </c>
      <c r="B856">
        <v>429</v>
      </c>
      <c r="C856" t="s">
        <v>53</v>
      </c>
      <c r="D856" t="s">
        <v>19</v>
      </c>
      <c r="E856" t="s">
        <v>26</v>
      </c>
      <c r="F856" s="1">
        <v>44892</v>
      </c>
      <c r="G856" s="1">
        <v>45098</v>
      </c>
      <c r="H856">
        <v>5766</v>
      </c>
      <c r="I856">
        <v>7618</v>
      </c>
      <c r="J856">
        <v>-1852</v>
      </c>
      <c r="K856" t="s">
        <v>21</v>
      </c>
      <c r="L856">
        <v>6</v>
      </c>
      <c r="M856" t="str">
        <f t="shared" si="13"/>
        <v>12+ Months</v>
      </c>
      <c r="N856" s="1">
        <v>45098</v>
      </c>
      <c r="O856">
        <v>0</v>
      </c>
      <c r="P856">
        <v>855</v>
      </c>
      <c r="Q856" s="2">
        <v>-0.32</v>
      </c>
      <c r="R856" t="s">
        <v>27</v>
      </c>
      <c r="S856">
        <v>2023</v>
      </c>
      <c r="T856" t="s">
        <v>41</v>
      </c>
    </row>
    <row r="857" spans="1:20" hidden="1" x14ac:dyDescent="0.3">
      <c r="A857">
        <v>1441</v>
      </c>
      <c r="B857">
        <v>177</v>
      </c>
      <c r="C857" t="s">
        <v>39</v>
      </c>
      <c r="D857" t="s">
        <v>29</v>
      </c>
      <c r="E857" t="s">
        <v>26</v>
      </c>
      <c r="F857" s="1">
        <v>44726</v>
      </c>
      <c r="G857" s="1">
        <v>45201</v>
      </c>
      <c r="H857">
        <v>4967.93</v>
      </c>
      <c r="I857">
        <v>6672</v>
      </c>
      <c r="J857">
        <v>-7518</v>
      </c>
      <c r="K857" t="s">
        <v>54</v>
      </c>
      <c r="L857">
        <v>15</v>
      </c>
      <c r="M857" t="str">
        <f t="shared" si="13"/>
        <v>6-12 Months</v>
      </c>
      <c r="N857" s="1">
        <v>45201</v>
      </c>
      <c r="O857">
        <v>0</v>
      </c>
      <c r="P857">
        <v>856</v>
      </c>
      <c r="Q857" s="2">
        <v>-1.51</v>
      </c>
      <c r="R857" t="s">
        <v>22</v>
      </c>
      <c r="S857">
        <v>2023</v>
      </c>
      <c r="T857" t="s">
        <v>33</v>
      </c>
    </row>
    <row r="858" spans="1:20" hidden="1" x14ac:dyDescent="0.3">
      <c r="A858">
        <v>1442</v>
      </c>
      <c r="B858">
        <v>248</v>
      </c>
      <c r="C858" t="s">
        <v>24</v>
      </c>
      <c r="D858" t="s">
        <v>19</v>
      </c>
      <c r="E858" t="s">
        <v>20</v>
      </c>
      <c r="F858" s="1">
        <v>44822</v>
      </c>
      <c r="G858" s="1">
        <v>45253</v>
      </c>
      <c r="H858">
        <v>6609</v>
      </c>
      <c r="I858">
        <v>1480</v>
      </c>
      <c r="J858">
        <v>5129</v>
      </c>
      <c r="K858" t="s">
        <v>21</v>
      </c>
      <c r="L858">
        <v>14</v>
      </c>
      <c r="M858" t="str">
        <f t="shared" si="13"/>
        <v>6-12 Months</v>
      </c>
      <c r="N858" s="1">
        <v>45253</v>
      </c>
      <c r="O858">
        <v>0</v>
      </c>
      <c r="P858">
        <v>857</v>
      </c>
      <c r="Q858" s="2">
        <v>0.78</v>
      </c>
      <c r="R858" t="s">
        <v>27</v>
      </c>
      <c r="S858">
        <v>2023</v>
      </c>
      <c r="T858" t="s">
        <v>42</v>
      </c>
    </row>
    <row r="859" spans="1:20" x14ac:dyDescent="0.3">
      <c r="A859">
        <v>1444</v>
      </c>
      <c r="B859">
        <v>268</v>
      </c>
      <c r="C859" t="s">
        <v>39</v>
      </c>
      <c r="D859" t="s">
        <v>34</v>
      </c>
      <c r="E859" t="s">
        <v>20</v>
      </c>
      <c r="F859" s="1">
        <v>44601</v>
      </c>
      <c r="G859" s="1">
        <v>44733</v>
      </c>
      <c r="H859">
        <v>9570</v>
      </c>
      <c r="I859">
        <v>594</v>
      </c>
      <c r="J859">
        <v>8976</v>
      </c>
      <c r="K859" t="s">
        <v>35</v>
      </c>
      <c r="L859">
        <v>4</v>
      </c>
      <c r="M859" t="str">
        <f t="shared" si="13"/>
        <v>0-6 Months</v>
      </c>
      <c r="N859" s="1">
        <v>44733</v>
      </c>
      <c r="O859">
        <v>0</v>
      </c>
      <c r="P859">
        <v>858</v>
      </c>
      <c r="Q859" s="2">
        <v>0.94</v>
      </c>
      <c r="R859" t="s">
        <v>27</v>
      </c>
      <c r="S859">
        <v>2022</v>
      </c>
      <c r="T859" t="s">
        <v>41</v>
      </c>
    </row>
    <row r="860" spans="1:20" x14ac:dyDescent="0.3">
      <c r="A860">
        <v>1445</v>
      </c>
      <c r="B860">
        <v>105</v>
      </c>
      <c r="C860" t="s">
        <v>40</v>
      </c>
      <c r="D860" t="s">
        <v>29</v>
      </c>
      <c r="E860" t="s">
        <v>26</v>
      </c>
      <c r="F860" s="1">
        <v>44784</v>
      </c>
      <c r="G860" s="1">
        <v>45179</v>
      </c>
      <c r="H860">
        <v>8478</v>
      </c>
      <c r="I860">
        <v>6457</v>
      </c>
      <c r="J860">
        <v>2021</v>
      </c>
      <c r="K860" t="s">
        <v>35</v>
      </c>
      <c r="L860">
        <v>12</v>
      </c>
      <c r="M860" t="str">
        <f t="shared" si="13"/>
        <v>6-12 Months</v>
      </c>
      <c r="N860" s="1">
        <v>45179</v>
      </c>
      <c r="O860">
        <v>1</v>
      </c>
      <c r="P860">
        <v>859</v>
      </c>
      <c r="Q860" s="2">
        <v>0.24</v>
      </c>
      <c r="R860" t="s">
        <v>27</v>
      </c>
      <c r="S860">
        <v>2023</v>
      </c>
      <c r="T860" t="s">
        <v>30</v>
      </c>
    </row>
    <row r="861" spans="1:20" x14ac:dyDescent="0.3">
      <c r="A861">
        <v>1448</v>
      </c>
      <c r="B861">
        <v>455</v>
      </c>
      <c r="C861" t="s">
        <v>24</v>
      </c>
      <c r="D861" t="s">
        <v>34</v>
      </c>
      <c r="E861" t="s">
        <v>26</v>
      </c>
      <c r="F861" s="1">
        <v>44668</v>
      </c>
      <c r="G861" s="1">
        <v>45069</v>
      </c>
      <c r="H861">
        <v>7566</v>
      </c>
      <c r="I861">
        <v>4012.75</v>
      </c>
      <c r="J861">
        <v>8240</v>
      </c>
      <c r="K861" t="s">
        <v>35</v>
      </c>
      <c r="L861">
        <v>13</v>
      </c>
      <c r="M861" t="str">
        <f t="shared" si="13"/>
        <v>6-12 Months</v>
      </c>
      <c r="N861" s="1">
        <v>45069</v>
      </c>
      <c r="O861">
        <v>0</v>
      </c>
      <c r="P861">
        <v>860</v>
      </c>
      <c r="Q861" s="2">
        <v>1.0900000000000001</v>
      </c>
      <c r="R861" t="s">
        <v>22</v>
      </c>
      <c r="S861">
        <v>2023</v>
      </c>
      <c r="T861" t="s">
        <v>28</v>
      </c>
    </row>
    <row r="862" spans="1:20" hidden="1" x14ac:dyDescent="0.3">
      <c r="A862">
        <v>1450</v>
      </c>
      <c r="B862">
        <v>471</v>
      </c>
      <c r="C862" t="s">
        <v>39</v>
      </c>
      <c r="D862" t="s">
        <v>25</v>
      </c>
      <c r="E862" t="s">
        <v>37</v>
      </c>
      <c r="F862" s="1">
        <v>44565</v>
      </c>
      <c r="G862" s="1">
        <v>44701</v>
      </c>
      <c r="H862">
        <v>6263</v>
      </c>
      <c r="I862">
        <v>2453</v>
      </c>
      <c r="J862">
        <v>3810</v>
      </c>
      <c r="K862" t="s">
        <v>54</v>
      </c>
      <c r="L862">
        <v>4</v>
      </c>
      <c r="M862" t="str">
        <f t="shared" si="13"/>
        <v>0-6 Months</v>
      </c>
      <c r="N862" s="1">
        <v>44701</v>
      </c>
      <c r="O862">
        <v>1</v>
      </c>
      <c r="P862">
        <v>861</v>
      </c>
      <c r="Q862" s="2">
        <v>0.61</v>
      </c>
      <c r="R862" t="s">
        <v>27</v>
      </c>
      <c r="S862">
        <v>2022</v>
      </c>
      <c r="T862" t="s">
        <v>28</v>
      </c>
    </row>
    <row r="863" spans="1:20" hidden="1" x14ac:dyDescent="0.3">
      <c r="A863">
        <v>1451</v>
      </c>
      <c r="B863">
        <v>314</v>
      </c>
      <c r="C863" t="s">
        <v>40</v>
      </c>
      <c r="D863" t="s">
        <v>19</v>
      </c>
      <c r="E863" t="s">
        <v>26</v>
      </c>
      <c r="F863" s="1">
        <v>44768</v>
      </c>
      <c r="G863" s="1">
        <v>45160</v>
      </c>
      <c r="H863">
        <v>9832</v>
      </c>
      <c r="I863">
        <v>7114</v>
      </c>
      <c r="J863">
        <v>577.01</v>
      </c>
      <c r="K863" t="s">
        <v>21</v>
      </c>
      <c r="L863">
        <v>12</v>
      </c>
      <c r="M863" t="str">
        <f t="shared" si="13"/>
        <v>6-12 Months</v>
      </c>
      <c r="N863" s="1">
        <v>45160</v>
      </c>
      <c r="O863">
        <v>0</v>
      </c>
      <c r="P863">
        <v>862</v>
      </c>
      <c r="Q863" s="2">
        <v>0.06</v>
      </c>
      <c r="R863" t="s">
        <v>27</v>
      </c>
      <c r="S863">
        <v>2023</v>
      </c>
      <c r="T863" t="s">
        <v>36</v>
      </c>
    </row>
    <row r="864" spans="1:20" x14ac:dyDescent="0.3">
      <c r="A864">
        <v>1452</v>
      </c>
      <c r="B864">
        <v>338</v>
      </c>
      <c r="C864" t="s">
        <v>53</v>
      </c>
      <c r="D864" t="s">
        <v>19</v>
      </c>
      <c r="E864" t="s">
        <v>20</v>
      </c>
      <c r="F864" s="1">
        <v>44822</v>
      </c>
      <c r="G864" s="1">
        <v>45053</v>
      </c>
      <c r="H864">
        <v>9291</v>
      </c>
      <c r="I864">
        <v>3857</v>
      </c>
      <c r="J864">
        <v>5434</v>
      </c>
      <c r="K864" t="s">
        <v>35</v>
      </c>
      <c r="L864">
        <v>7</v>
      </c>
      <c r="M864" t="str">
        <f t="shared" si="13"/>
        <v>6-12 Months</v>
      </c>
      <c r="N864" s="1">
        <v>45053</v>
      </c>
      <c r="O864">
        <v>0</v>
      </c>
      <c r="P864">
        <v>863</v>
      </c>
      <c r="Q864" s="2">
        <v>0.57999999999999996</v>
      </c>
      <c r="R864" t="s">
        <v>27</v>
      </c>
      <c r="S864">
        <v>2023</v>
      </c>
      <c r="T864" t="s">
        <v>28</v>
      </c>
    </row>
    <row r="865" spans="1:20" hidden="1" x14ac:dyDescent="0.3">
      <c r="A865">
        <v>1453</v>
      </c>
      <c r="B865">
        <v>448</v>
      </c>
      <c r="C865" t="s">
        <v>45</v>
      </c>
      <c r="D865" t="s">
        <v>34</v>
      </c>
      <c r="E865" t="s">
        <v>26</v>
      </c>
      <c r="F865" s="1">
        <v>44714</v>
      </c>
      <c r="G865" s="1">
        <v>45085</v>
      </c>
      <c r="H865">
        <v>3996</v>
      </c>
      <c r="I865">
        <v>377</v>
      </c>
      <c r="J865">
        <v>3619</v>
      </c>
      <c r="K865" t="s">
        <v>54</v>
      </c>
      <c r="L865">
        <v>12</v>
      </c>
      <c r="M865" t="str">
        <f t="shared" si="13"/>
        <v>6-12 Months</v>
      </c>
      <c r="N865" s="1">
        <v>45085</v>
      </c>
      <c r="O865">
        <v>0</v>
      </c>
      <c r="P865">
        <v>864</v>
      </c>
      <c r="Q865" s="2">
        <v>0.91</v>
      </c>
      <c r="R865" t="s">
        <v>27</v>
      </c>
      <c r="S865">
        <v>2023</v>
      </c>
      <c r="T865" t="s">
        <v>41</v>
      </c>
    </row>
    <row r="866" spans="1:20" hidden="1" x14ac:dyDescent="0.3">
      <c r="A866">
        <v>1456</v>
      </c>
      <c r="B866">
        <v>469</v>
      </c>
      <c r="C866" t="s">
        <v>39</v>
      </c>
      <c r="D866" t="s">
        <v>19</v>
      </c>
      <c r="E866" t="s">
        <v>20</v>
      </c>
      <c r="F866" s="1">
        <v>44920</v>
      </c>
      <c r="G866" s="1">
        <v>44975</v>
      </c>
      <c r="H866">
        <v>9249</v>
      </c>
      <c r="I866">
        <v>3781</v>
      </c>
      <c r="J866">
        <v>5468</v>
      </c>
      <c r="K866" t="s">
        <v>54</v>
      </c>
      <c r="L866">
        <v>1</v>
      </c>
      <c r="M866" t="str">
        <f t="shared" si="13"/>
        <v>0-6 Months</v>
      </c>
      <c r="N866" s="1">
        <v>44975</v>
      </c>
      <c r="O866">
        <v>0</v>
      </c>
      <c r="P866">
        <v>865</v>
      </c>
      <c r="Q866" s="2">
        <v>0.59</v>
      </c>
      <c r="R866" t="s">
        <v>27</v>
      </c>
      <c r="S866">
        <v>2023</v>
      </c>
      <c r="T866" t="s">
        <v>43</v>
      </c>
    </row>
    <row r="867" spans="1:20" hidden="1" x14ac:dyDescent="0.3">
      <c r="A867">
        <v>1459</v>
      </c>
      <c r="B867">
        <v>403</v>
      </c>
      <c r="C867" t="s">
        <v>39</v>
      </c>
      <c r="D867" t="s">
        <v>19</v>
      </c>
      <c r="E867" t="s">
        <v>37</v>
      </c>
      <c r="F867" s="1">
        <v>44709</v>
      </c>
      <c r="G867" s="1">
        <v>45200</v>
      </c>
      <c r="H867">
        <v>4967.93</v>
      </c>
      <c r="I867">
        <v>6851</v>
      </c>
      <c r="J867">
        <v>-8238</v>
      </c>
      <c r="K867" t="s">
        <v>54</v>
      </c>
      <c r="L867">
        <v>16</v>
      </c>
      <c r="M867" t="str">
        <f t="shared" si="13"/>
        <v>6-12 Months</v>
      </c>
      <c r="N867" s="1">
        <v>45200</v>
      </c>
      <c r="O867">
        <v>1</v>
      </c>
      <c r="P867">
        <v>866</v>
      </c>
      <c r="Q867" s="2">
        <v>-1.66</v>
      </c>
      <c r="R867" t="s">
        <v>22</v>
      </c>
      <c r="S867">
        <v>2023</v>
      </c>
      <c r="T867" t="s">
        <v>33</v>
      </c>
    </row>
    <row r="868" spans="1:20" hidden="1" x14ac:dyDescent="0.3">
      <c r="A868">
        <v>1461</v>
      </c>
      <c r="B868">
        <v>373</v>
      </c>
      <c r="C868" t="s">
        <v>40</v>
      </c>
      <c r="D868" t="s">
        <v>25</v>
      </c>
      <c r="E868" t="s">
        <v>26</v>
      </c>
      <c r="F868" s="1">
        <v>44908</v>
      </c>
      <c r="G868" s="1">
        <v>45126</v>
      </c>
      <c r="H868">
        <v>4967.93</v>
      </c>
      <c r="I868">
        <v>1681</v>
      </c>
      <c r="J868">
        <v>-3465</v>
      </c>
      <c r="K868" t="s">
        <v>54</v>
      </c>
      <c r="L868">
        <v>7</v>
      </c>
      <c r="M868" t="str">
        <f t="shared" si="13"/>
        <v>6-12 Months</v>
      </c>
      <c r="N868" s="1">
        <v>45126</v>
      </c>
      <c r="O868">
        <v>1</v>
      </c>
      <c r="P868">
        <v>867</v>
      </c>
      <c r="Q868" s="2">
        <v>-0.7</v>
      </c>
      <c r="R868" t="s">
        <v>27</v>
      </c>
      <c r="S868">
        <v>2023</v>
      </c>
      <c r="T868" t="s">
        <v>44</v>
      </c>
    </row>
    <row r="869" spans="1:20" hidden="1" x14ac:dyDescent="0.3">
      <c r="A869">
        <v>1462</v>
      </c>
      <c r="B869">
        <v>109</v>
      </c>
      <c r="C869" t="s">
        <v>45</v>
      </c>
      <c r="D869" t="s">
        <v>19</v>
      </c>
      <c r="E869" t="s">
        <v>26</v>
      </c>
      <c r="F869" s="1">
        <v>44635</v>
      </c>
      <c r="G869" s="1">
        <v>45212</v>
      </c>
      <c r="H869">
        <v>1573</v>
      </c>
      <c r="I869">
        <v>2316</v>
      </c>
      <c r="J869">
        <v>-743</v>
      </c>
      <c r="K869" t="s">
        <v>54</v>
      </c>
      <c r="L869">
        <v>18</v>
      </c>
      <c r="M869" t="str">
        <f t="shared" si="13"/>
        <v>6-12 Months</v>
      </c>
      <c r="N869" s="1">
        <v>45212</v>
      </c>
      <c r="O869">
        <v>1</v>
      </c>
      <c r="P869">
        <v>868</v>
      </c>
      <c r="Q869" s="2">
        <v>-0.47</v>
      </c>
      <c r="R869" t="s">
        <v>27</v>
      </c>
      <c r="S869">
        <v>2023</v>
      </c>
      <c r="T869" t="s">
        <v>33</v>
      </c>
    </row>
    <row r="870" spans="1:20" hidden="1" x14ac:dyDescent="0.3">
      <c r="A870">
        <v>1463</v>
      </c>
      <c r="B870">
        <v>146</v>
      </c>
      <c r="C870" t="s">
        <v>39</v>
      </c>
      <c r="D870" t="s">
        <v>29</v>
      </c>
      <c r="E870" t="s">
        <v>26</v>
      </c>
      <c r="F870" s="1">
        <v>44606</v>
      </c>
      <c r="G870" s="1">
        <v>44853</v>
      </c>
      <c r="H870">
        <v>8671</v>
      </c>
      <c r="I870">
        <v>5187</v>
      </c>
      <c r="J870">
        <v>3484</v>
      </c>
      <c r="K870" t="s">
        <v>54</v>
      </c>
      <c r="L870">
        <v>8</v>
      </c>
      <c r="M870" t="str">
        <f t="shared" si="13"/>
        <v>6-12 Months</v>
      </c>
      <c r="N870" s="1">
        <v>44853</v>
      </c>
      <c r="O870">
        <v>1</v>
      </c>
      <c r="P870">
        <v>869</v>
      </c>
      <c r="Q870" s="2">
        <v>0.4</v>
      </c>
      <c r="R870" t="s">
        <v>27</v>
      </c>
      <c r="S870">
        <v>2022</v>
      </c>
      <c r="T870" t="s">
        <v>33</v>
      </c>
    </row>
    <row r="871" spans="1:20" hidden="1" x14ac:dyDescent="0.3">
      <c r="A871">
        <v>1464</v>
      </c>
      <c r="B871">
        <v>146</v>
      </c>
      <c r="C871" t="s">
        <v>40</v>
      </c>
      <c r="D871" t="s">
        <v>34</v>
      </c>
      <c r="E871" t="s">
        <v>37</v>
      </c>
      <c r="F871" s="1">
        <v>44599</v>
      </c>
      <c r="G871" s="1">
        <v>44712</v>
      </c>
      <c r="H871">
        <v>4967.93</v>
      </c>
      <c r="I871">
        <v>7077</v>
      </c>
      <c r="J871">
        <v>-7747</v>
      </c>
      <c r="K871" t="s">
        <v>54</v>
      </c>
      <c r="L871">
        <v>3</v>
      </c>
      <c r="M871" t="str">
        <f t="shared" si="13"/>
        <v>0-6 Months</v>
      </c>
      <c r="N871" s="1">
        <v>44712</v>
      </c>
      <c r="O871">
        <v>0</v>
      </c>
      <c r="P871">
        <v>870</v>
      </c>
      <c r="Q871" s="2">
        <v>-1.56</v>
      </c>
      <c r="R871" t="s">
        <v>22</v>
      </c>
      <c r="S871">
        <v>2022</v>
      </c>
      <c r="T871" t="s">
        <v>28</v>
      </c>
    </row>
    <row r="872" spans="1:20" hidden="1" x14ac:dyDescent="0.3">
      <c r="A872">
        <v>1465</v>
      </c>
      <c r="B872">
        <v>111</v>
      </c>
      <c r="C872" t="s">
        <v>53</v>
      </c>
      <c r="D872" t="s">
        <v>19</v>
      </c>
      <c r="E872" t="s">
        <v>37</v>
      </c>
      <c r="F872" s="1">
        <v>44617</v>
      </c>
      <c r="G872" s="1">
        <v>44999</v>
      </c>
      <c r="H872">
        <v>5273</v>
      </c>
      <c r="I872">
        <v>1155</v>
      </c>
      <c r="J872">
        <v>4118</v>
      </c>
      <c r="K872" t="s">
        <v>54</v>
      </c>
      <c r="L872">
        <v>12</v>
      </c>
      <c r="M872" t="str">
        <f t="shared" si="13"/>
        <v>6-12 Months</v>
      </c>
      <c r="N872" s="1">
        <v>44999</v>
      </c>
      <c r="O872">
        <v>1</v>
      </c>
      <c r="P872">
        <v>871</v>
      </c>
      <c r="Q872" s="2">
        <v>0.78</v>
      </c>
      <c r="R872" t="s">
        <v>27</v>
      </c>
      <c r="S872">
        <v>2023</v>
      </c>
      <c r="T872" t="s">
        <v>38</v>
      </c>
    </row>
    <row r="873" spans="1:20" x14ac:dyDescent="0.3">
      <c r="A873">
        <v>1467</v>
      </c>
      <c r="B873">
        <v>149</v>
      </c>
      <c r="C873" t="s">
        <v>40</v>
      </c>
      <c r="D873" t="s">
        <v>19</v>
      </c>
      <c r="E873" t="s">
        <v>20</v>
      </c>
      <c r="F873" s="1">
        <v>44920</v>
      </c>
      <c r="G873" s="1">
        <v>44965</v>
      </c>
      <c r="H873">
        <v>6902</v>
      </c>
      <c r="I873">
        <v>4012.75</v>
      </c>
      <c r="J873">
        <v>7002</v>
      </c>
      <c r="K873" t="s">
        <v>35</v>
      </c>
      <c r="L873">
        <v>1</v>
      </c>
      <c r="M873" t="str">
        <f t="shared" si="13"/>
        <v>0-6 Months</v>
      </c>
      <c r="N873" s="1">
        <v>44965</v>
      </c>
      <c r="O873">
        <v>1</v>
      </c>
      <c r="P873">
        <v>872</v>
      </c>
      <c r="Q873" s="2">
        <v>1.01</v>
      </c>
      <c r="R873" t="s">
        <v>22</v>
      </c>
      <c r="S873">
        <v>2023</v>
      </c>
      <c r="T873" t="s">
        <v>43</v>
      </c>
    </row>
    <row r="874" spans="1:20" hidden="1" x14ac:dyDescent="0.3">
      <c r="A874">
        <v>1468</v>
      </c>
      <c r="B874">
        <v>336</v>
      </c>
      <c r="C874" t="s">
        <v>24</v>
      </c>
      <c r="D874" t="s">
        <v>34</v>
      </c>
      <c r="E874" t="s">
        <v>37</v>
      </c>
      <c r="F874" s="1">
        <v>44708</v>
      </c>
      <c r="G874" s="1">
        <v>44818</v>
      </c>
      <c r="H874">
        <v>1323</v>
      </c>
      <c r="I874">
        <v>89</v>
      </c>
      <c r="J874">
        <v>1234</v>
      </c>
      <c r="K874" t="s">
        <v>21</v>
      </c>
      <c r="L874">
        <v>3</v>
      </c>
      <c r="M874" t="str">
        <f t="shared" si="13"/>
        <v>0-6 Months</v>
      </c>
      <c r="N874" s="1">
        <v>44818</v>
      </c>
      <c r="O874">
        <v>1</v>
      </c>
      <c r="P874">
        <v>873</v>
      </c>
      <c r="Q874" s="2">
        <v>0.93</v>
      </c>
      <c r="R874" t="s">
        <v>27</v>
      </c>
      <c r="S874">
        <v>2022</v>
      </c>
      <c r="T874" t="s">
        <v>30</v>
      </c>
    </row>
    <row r="875" spans="1:20" hidden="1" x14ac:dyDescent="0.3">
      <c r="A875">
        <v>1469</v>
      </c>
      <c r="B875">
        <v>249</v>
      </c>
      <c r="C875" t="s">
        <v>45</v>
      </c>
      <c r="D875" t="s">
        <v>25</v>
      </c>
      <c r="E875" t="s">
        <v>26</v>
      </c>
      <c r="F875" s="1">
        <v>44893</v>
      </c>
      <c r="G875" s="1">
        <v>45047</v>
      </c>
      <c r="H875">
        <v>5533</v>
      </c>
      <c r="I875">
        <v>6453</v>
      </c>
      <c r="J875">
        <v>-920</v>
      </c>
      <c r="K875" t="s">
        <v>54</v>
      </c>
      <c r="L875">
        <v>5</v>
      </c>
      <c r="M875" t="str">
        <f t="shared" si="13"/>
        <v>0-6 Months</v>
      </c>
      <c r="N875" s="1">
        <v>45047</v>
      </c>
      <c r="O875">
        <v>0</v>
      </c>
      <c r="P875">
        <v>874</v>
      </c>
      <c r="Q875" s="2">
        <v>-0.17</v>
      </c>
      <c r="R875" t="s">
        <v>27</v>
      </c>
      <c r="S875">
        <v>2023</v>
      </c>
      <c r="T875" t="s">
        <v>28</v>
      </c>
    </row>
    <row r="876" spans="1:20" hidden="1" x14ac:dyDescent="0.3">
      <c r="A876">
        <v>1470</v>
      </c>
      <c r="B876">
        <v>195</v>
      </c>
      <c r="C876" t="s">
        <v>45</v>
      </c>
      <c r="D876" t="s">
        <v>19</v>
      </c>
      <c r="E876" t="s">
        <v>26</v>
      </c>
      <c r="F876" s="1">
        <v>44849</v>
      </c>
      <c r="G876" s="1">
        <v>45328</v>
      </c>
      <c r="H876">
        <v>1498</v>
      </c>
      <c r="I876">
        <v>3491</v>
      </c>
      <c r="J876">
        <v>577.01</v>
      </c>
      <c r="K876" t="s">
        <v>54</v>
      </c>
      <c r="L876">
        <v>15</v>
      </c>
      <c r="M876" t="str">
        <f t="shared" si="13"/>
        <v>6-12 Months</v>
      </c>
      <c r="N876" s="1">
        <v>45328</v>
      </c>
      <c r="O876">
        <v>0</v>
      </c>
      <c r="P876">
        <v>875</v>
      </c>
      <c r="Q876" s="2">
        <v>0.39</v>
      </c>
      <c r="R876" t="s">
        <v>27</v>
      </c>
      <c r="S876">
        <v>2024</v>
      </c>
      <c r="T876" t="s">
        <v>43</v>
      </c>
    </row>
    <row r="877" spans="1:20" hidden="1" x14ac:dyDescent="0.3">
      <c r="A877">
        <v>1471</v>
      </c>
      <c r="B877">
        <v>262</v>
      </c>
      <c r="C877" t="s">
        <v>39</v>
      </c>
      <c r="D877" t="s">
        <v>25</v>
      </c>
      <c r="E877" t="s">
        <v>37</v>
      </c>
      <c r="F877" s="1">
        <v>44589</v>
      </c>
      <c r="G877" s="1">
        <v>45168</v>
      </c>
      <c r="H877">
        <v>8364</v>
      </c>
      <c r="I877">
        <v>1877</v>
      </c>
      <c r="J877">
        <v>6487</v>
      </c>
      <c r="K877" t="s">
        <v>21</v>
      </c>
      <c r="L877">
        <v>19</v>
      </c>
      <c r="M877" t="str">
        <f t="shared" si="13"/>
        <v>6-12 Months</v>
      </c>
      <c r="N877" s="1">
        <v>45168</v>
      </c>
      <c r="O877">
        <v>1</v>
      </c>
      <c r="P877">
        <v>876</v>
      </c>
      <c r="Q877" s="2">
        <v>0.78</v>
      </c>
      <c r="R877" t="s">
        <v>27</v>
      </c>
      <c r="S877">
        <v>2023</v>
      </c>
      <c r="T877" t="s">
        <v>36</v>
      </c>
    </row>
    <row r="878" spans="1:20" hidden="1" x14ac:dyDescent="0.3">
      <c r="A878">
        <v>1472</v>
      </c>
      <c r="B878">
        <v>406</v>
      </c>
      <c r="C878" t="s">
        <v>45</v>
      </c>
      <c r="D878" t="s">
        <v>25</v>
      </c>
      <c r="E878" t="s">
        <v>26</v>
      </c>
      <c r="F878" s="1">
        <v>44634</v>
      </c>
      <c r="G878" s="1">
        <v>44857</v>
      </c>
      <c r="H878">
        <v>4967.93</v>
      </c>
      <c r="I878">
        <v>5662</v>
      </c>
      <c r="J878">
        <v>-5712</v>
      </c>
      <c r="K878" t="s">
        <v>54</v>
      </c>
      <c r="L878">
        <v>7</v>
      </c>
      <c r="M878" t="str">
        <f t="shared" si="13"/>
        <v>6-12 Months</v>
      </c>
      <c r="N878" s="1">
        <v>44857</v>
      </c>
      <c r="O878">
        <v>0</v>
      </c>
      <c r="P878">
        <v>877</v>
      </c>
      <c r="Q878" s="2">
        <v>-1.1499999999999999</v>
      </c>
      <c r="R878" t="s">
        <v>22</v>
      </c>
      <c r="S878">
        <v>2022</v>
      </c>
      <c r="T878" t="s">
        <v>33</v>
      </c>
    </row>
    <row r="879" spans="1:20" hidden="1" x14ac:dyDescent="0.3">
      <c r="A879">
        <v>1473</v>
      </c>
      <c r="B879">
        <v>336</v>
      </c>
      <c r="C879" t="s">
        <v>24</v>
      </c>
      <c r="D879" t="s">
        <v>29</v>
      </c>
      <c r="E879" t="s">
        <v>20</v>
      </c>
      <c r="F879" s="1">
        <v>44748</v>
      </c>
      <c r="G879" s="1">
        <v>45051</v>
      </c>
      <c r="H879">
        <v>7664</v>
      </c>
      <c r="I879">
        <v>857</v>
      </c>
      <c r="J879">
        <v>6807</v>
      </c>
      <c r="K879" t="s">
        <v>54</v>
      </c>
      <c r="L879">
        <v>9</v>
      </c>
      <c r="M879" t="str">
        <f t="shared" si="13"/>
        <v>6-12 Months</v>
      </c>
      <c r="N879" s="1">
        <v>45051</v>
      </c>
      <c r="O879">
        <v>0</v>
      </c>
      <c r="P879">
        <v>878</v>
      </c>
      <c r="Q879" s="2">
        <v>0.89</v>
      </c>
      <c r="R879" t="s">
        <v>27</v>
      </c>
      <c r="S879">
        <v>2023</v>
      </c>
      <c r="T879" t="s">
        <v>28</v>
      </c>
    </row>
    <row r="880" spans="1:20" hidden="1" x14ac:dyDescent="0.3">
      <c r="A880">
        <v>1475</v>
      </c>
      <c r="B880">
        <v>234</v>
      </c>
      <c r="C880" t="s">
        <v>45</v>
      </c>
      <c r="D880" t="s">
        <v>19</v>
      </c>
      <c r="E880" t="s">
        <v>20</v>
      </c>
      <c r="F880" s="1">
        <v>44918</v>
      </c>
      <c r="G880" s="1">
        <v>45164</v>
      </c>
      <c r="H880">
        <v>2810</v>
      </c>
      <c r="I880">
        <v>3085</v>
      </c>
      <c r="J880">
        <v>-275</v>
      </c>
      <c r="K880" t="s">
        <v>54</v>
      </c>
      <c r="L880">
        <v>8</v>
      </c>
      <c r="M880" t="str">
        <f t="shared" si="13"/>
        <v>6-12 Months</v>
      </c>
      <c r="N880" s="1">
        <v>45164</v>
      </c>
      <c r="O880">
        <v>1</v>
      </c>
      <c r="P880">
        <v>879</v>
      </c>
      <c r="Q880" s="2">
        <v>-0.1</v>
      </c>
      <c r="R880" t="s">
        <v>27</v>
      </c>
      <c r="S880">
        <v>2023</v>
      </c>
      <c r="T880" t="s">
        <v>36</v>
      </c>
    </row>
    <row r="881" spans="1:20" hidden="1" x14ac:dyDescent="0.3">
      <c r="A881">
        <v>1476</v>
      </c>
      <c r="B881">
        <v>145</v>
      </c>
      <c r="C881" t="s">
        <v>24</v>
      </c>
      <c r="D881" t="s">
        <v>34</v>
      </c>
      <c r="E881" t="s">
        <v>37</v>
      </c>
      <c r="F881" s="1">
        <v>44850</v>
      </c>
      <c r="G881" s="1">
        <v>45014</v>
      </c>
      <c r="H881">
        <v>8740</v>
      </c>
      <c r="I881">
        <v>4420</v>
      </c>
      <c r="J881">
        <v>4320</v>
      </c>
      <c r="K881" t="s">
        <v>21</v>
      </c>
      <c r="L881">
        <v>5</v>
      </c>
      <c r="M881" t="str">
        <f t="shared" si="13"/>
        <v>0-6 Months</v>
      </c>
      <c r="N881" s="1">
        <v>45014</v>
      </c>
      <c r="O881">
        <v>1</v>
      </c>
      <c r="P881">
        <v>880</v>
      </c>
      <c r="Q881" s="2">
        <v>0.49</v>
      </c>
      <c r="R881" t="s">
        <v>27</v>
      </c>
      <c r="S881">
        <v>2023</v>
      </c>
      <c r="T881" t="s">
        <v>38</v>
      </c>
    </row>
    <row r="882" spans="1:20" x14ac:dyDescent="0.3">
      <c r="A882">
        <v>1478</v>
      </c>
      <c r="B882">
        <v>113</v>
      </c>
      <c r="C882" t="s">
        <v>45</v>
      </c>
      <c r="D882" t="s">
        <v>25</v>
      </c>
      <c r="E882" t="s">
        <v>37</v>
      </c>
      <c r="F882" s="1">
        <v>44836</v>
      </c>
      <c r="G882" s="1">
        <v>45210</v>
      </c>
      <c r="H882">
        <v>94</v>
      </c>
      <c r="I882">
        <v>1940</v>
      </c>
      <c r="J882">
        <v>-1846</v>
      </c>
      <c r="K882" t="s">
        <v>35</v>
      </c>
      <c r="L882">
        <v>12</v>
      </c>
      <c r="M882" t="str">
        <f t="shared" si="13"/>
        <v>6-12 Months</v>
      </c>
      <c r="N882" s="1">
        <v>45210</v>
      </c>
      <c r="O882">
        <v>0</v>
      </c>
      <c r="P882">
        <v>881</v>
      </c>
      <c r="Q882" s="2">
        <v>-19.64</v>
      </c>
      <c r="R882" t="s">
        <v>22</v>
      </c>
      <c r="S882">
        <v>2023</v>
      </c>
      <c r="T882" t="s">
        <v>33</v>
      </c>
    </row>
    <row r="883" spans="1:20" hidden="1" x14ac:dyDescent="0.3">
      <c r="A883">
        <v>1479</v>
      </c>
      <c r="B883">
        <v>130</v>
      </c>
      <c r="C883" t="s">
        <v>39</v>
      </c>
      <c r="D883" t="s">
        <v>29</v>
      </c>
      <c r="E883" t="s">
        <v>26</v>
      </c>
      <c r="F883" s="1">
        <v>44662</v>
      </c>
      <c r="G883" s="1">
        <v>44784</v>
      </c>
      <c r="H883">
        <v>153</v>
      </c>
      <c r="I883">
        <v>4614</v>
      </c>
      <c r="J883">
        <v>-4461</v>
      </c>
      <c r="K883" t="s">
        <v>54</v>
      </c>
      <c r="L883">
        <v>4</v>
      </c>
      <c r="M883" t="str">
        <f t="shared" si="13"/>
        <v>0-6 Months</v>
      </c>
      <c r="N883" s="1">
        <v>44784</v>
      </c>
      <c r="O883">
        <v>0</v>
      </c>
      <c r="P883">
        <v>882</v>
      </c>
      <c r="Q883" s="2">
        <v>-29.16</v>
      </c>
      <c r="R883" t="s">
        <v>22</v>
      </c>
      <c r="S883">
        <v>2022</v>
      </c>
      <c r="T883" t="s">
        <v>36</v>
      </c>
    </row>
    <row r="884" spans="1:20" hidden="1" x14ac:dyDescent="0.3">
      <c r="A884">
        <v>1480</v>
      </c>
      <c r="B884">
        <v>164</v>
      </c>
      <c r="C884" t="s">
        <v>45</v>
      </c>
      <c r="D884" t="s">
        <v>29</v>
      </c>
      <c r="E884" t="s">
        <v>26</v>
      </c>
      <c r="F884" s="1">
        <v>44726</v>
      </c>
      <c r="G884" s="1">
        <v>44805</v>
      </c>
      <c r="H884">
        <v>8870</v>
      </c>
      <c r="I884">
        <v>3191</v>
      </c>
      <c r="J884">
        <v>5679</v>
      </c>
      <c r="K884" t="s">
        <v>21</v>
      </c>
      <c r="L884">
        <v>2</v>
      </c>
      <c r="M884" t="str">
        <f t="shared" si="13"/>
        <v>0-6 Months</v>
      </c>
      <c r="N884" s="1">
        <v>44805</v>
      </c>
      <c r="O884">
        <v>1</v>
      </c>
      <c r="P884">
        <v>883</v>
      </c>
      <c r="Q884" s="2">
        <v>0.64</v>
      </c>
      <c r="R884" t="s">
        <v>27</v>
      </c>
      <c r="S884">
        <v>2022</v>
      </c>
      <c r="T884" t="s">
        <v>30</v>
      </c>
    </row>
    <row r="885" spans="1:20" hidden="1" x14ac:dyDescent="0.3">
      <c r="A885">
        <v>1482</v>
      </c>
      <c r="B885">
        <v>341</v>
      </c>
      <c r="C885" t="s">
        <v>53</v>
      </c>
      <c r="D885" t="s">
        <v>19</v>
      </c>
      <c r="E885" t="s">
        <v>26</v>
      </c>
      <c r="F885" s="1">
        <v>44713</v>
      </c>
      <c r="G885" s="1">
        <v>44943</v>
      </c>
      <c r="H885">
        <v>2155</v>
      </c>
      <c r="I885">
        <v>2637</v>
      </c>
      <c r="J885">
        <v>-482</v>
      </c>
      <c r="K885" t="s">
        <v>54</v>
      </c>
      <c r="L885">
        <v>7</v>
      </c>
      <c r="M885" t="str">
        <f t="shared" si="13"/>
        <v>6-12 Months</v>
      </c>
      <c r="N885" s="1">
        <v>44943</v>
      </c>
      <c r="O885">
        <v>0</v>
      </c>
      <c r="P885">
        <v>884</v>
      </c>
      <c r="Q885" s="2">
        <v>-0.22</v>
      </c>
      <c r="R885" t="s">
        <v>27</v>
      </c>
      <c r="S885">
        <v>2023</v>
      </c>
      <c r="T885" t="s">
        <v>23</v>
      </c>
    </row>
    <row r="886" spans="1:20" hidden="1" x14ac:dyDescent="0.3">
      <c r="A886">
        <v>1484</v>
      </c>
      <c r="B886">
        <v>110</v>
      </c>
      <c r="C886" t="s">
        <v>40</v>
      </c>
      <c r="D886" t="s">
        <v>29</v>
      </c>
      <c r="E886" t="s">
        <v>26</v>
      </c>
      <c r="F886" s="1">
        <v>44913</v>
      </c>
      <c r="G886" s="1">
        <v>45439</v>
      </c>
      <c r="H886">
        <v>8140</v>
      </c>
      <c r="I886">
        <v>5964</v>
      </c>
      <c r="J886">
        <v>2176</v>
      </c>
      <c r="K886" t="s">
        <v>54</v>
      </c>
      <c r="L886">
        <v>17</v>
      </c>
      <c r="M886" t="str">
        <f t="shared" si="13"/>
        <v>6-12 Months</v>
      </c>
      <c r="N886" s="1">
        <v>45439</v>
      </c>
      <c r="O886">
        <v>0</v>
      </c>
      <c r="P886">
        <v>885</v>
      </c>
      <c r="Q886" s="2">
        <v>0.27</v>
      </c>
      <c r="R886" t="s">
        <v>27</v>
      </c>
      <c r="S886">
        <v>2024</v>
      </c>
      <c r="T886" t="s">
        <v>28</v>
      </c>
    </row>
    <row r="887" spans="1:20" hidden="1" x14ac:dyDescent="0.3">
      <c r="A887">
        <v>1487</v>
      </c>
      <c r="B887">
        <v>444</v>
      </c>
      <c r="C887" t="s">
        <v>40</v>
      </c>
      <c r="D887" t="s">
        <v>19</v>
      </c>
      <c r="E887" t="s">
        <v>37</v>
      </c>
      <c r="F887" s="1">
        <v>44766</v>
      </c>
      <c r="G887" s="1">
        <v>45016</v>
      </c>
      <c r="H887">
        <v>3729</v>
      </c>
      <c r="I887">
        <v>2529</v>
      </c>
      <c r="J887">
        <v>1200</v>
      </c>
      <c r="K887" t="s">
        <v>21</v>
      </c>
      <c r="L887">
        <v>8</v>
      </c>
      <c r="M887" t="str">
        <f t="shared" si="13"/>
        <v>6-12 Months</v>
      </c>
      <c r="N887" s="1">
        <v>45016</v>
      </c>
      <c r="O887">
        <v>0</v>
      </c>
      <c r="P887">
        <v>886</v>
      </c>
      <c r="Q887" s="2">
        <v>0.32</v>
      </c>
      <c r="R887" t="s">
        <v>27</v>
      </c>
      <c r="S887">
        <v>2023</v>
      </c>
      <c r="T887" t="s">
        <v>38</v>
      </c>
    </row>
    <row r="888" spans="1:20" hidden="1" x14ac:dyDescent="0.3">
      <c r="A888">
        <v>1488</v>
      </c>
      <c r="B888">
        <v>479</v>
      </c>
      <c r="C888" t="s">
        <v>24</v>
      </c>
      <c r="D888" t="s">
        <v>19</v>
      </c>
      <c r="E888" t="s">
        <v>37</v>
      </c>
      <c r="F888" s="1">
        <v>44626</v>
      </c>
      <c r="G888" s="1">
        <v>44813</v>
      </c>
      <c r="H888">
        <v>4967.93</v>
      </c>
      <c r="I888">
        <v>3009</v>
      </c>
      <c r="J888">
        <v>577.01</v>
      </c>
      <c r="K888" t="s">
        <v>54</v>
      </c>
      <c r="L888">
        <v>6</v>
      </c>
      <c r="M888" t="str">
        <f t="shared" si="13"/>
        <v>12+ Months</v>
      </c>
      <c r="N888" s="1">
        <v>44813</v>
      </c>
      <c r="O888">
        <v>0</v>
      </c>
      <c r="P888">
        <v>887</v>
      </c>
      <c r="Q888" s="2">
        <v>0.12</v>
      </c>
      <c r="R888" t="s">
        <v>27</v>
      </c>
      <c r="S888">
        <v>2022</v>
      </c>
      <c r="T888" t="s">
        <v>30</v>
      </c>
    </row>
    <row r="889" spans="1:20" hidden="1" x14ac:dyDescent="0.3">
      <c r="A889">
        <v>1492</v>
      </c>
      <c r="B889">
        <v>389</v>
      </c>
      <c r="C889" t="s">
        <v>53</v>
      </c>
      <c r="D889" t="s">
        <v>25</v>
      </c>
      <c r="E889" t="s">
        <v>26</v>
      </c>
      <c r="F889" s="1">
        <v>44906</v>
      </c>
      <c r="G889" s="1">
        <v>45501</v>
      </c>
      <c r="H889">
        <v>4967.93</v>
      </c>
      <c r="I889">
        <v>2003</v>
      </c>
      <c r="J889">
        <v>-2384</v>
      </c>
      <c r="K889" t="s">
        <v>54</v>
      </c>
      <c r="L889">
        <v>19</v>
      </c>
      <c r="M889" t="str">
        <f t="shared" si="13"/>
        <v>6-12 Months</v>
      </c>
      <c r="N889" s="1">
        <v>45501</v>
      </c>
      <c r="O889">
        <v>1</v>
      </c>
      <c r="P889">
        <v>888</v>
      </c>
      <c r="Q889" s="2">
        <v>-0.48</v>
      </c>
      <c r="R889" t="s">
        <v>27</v>
      </c>
      <c r="S889">
        <v>2024</v>
      </c>
      <c r="T889" t="s">
        <v>44</v>
      </c>
    </row>
    <row r="890" spans="1:20" x14ac:dyDescent="0.3">
      <c r="A890">
        <v>1493</v>
      </c>
      <c r="B890">
        <v>491</v>
      </c>
      <c r="C890" t="s">
        <v>53</v>
      </c>
      <c r="D890" t="s">
        <v>29</v>
      </c>
      <c r="E890" t="s">
        <v>37</v>
      </c>
      <c r="F890" s="1">
        <v>44723</v>
      </c>
      <c r="G890" s="1">
        <v>45039</v>
      </c>
      <c r="H890">
        <v>8505</v>
      </c>
      <c r="I890">
        <v>4012.75</v>
      </c>
      <c r="J890">
        <v>9136</v>
      </c>
      <c r="K890" t="s">
        <v>35</v>
      </c>
      <c r="L890">
        <v>10</v>
      </c>
      <c r="M890" t="str">
        <f t="shared" si="13"/>
        <v>6-12 Months</v>
      </c>
      <c r="N890" s="1">
        <v>45039</v>
      </c>
      <c r="O890">
        <v>0</v>
      </c>
      <c r="P890">
        <v>889</v>
      </c>
      <c r="Q890" s="2">
        <v>1.07</v>
      </c>
      <c r="R890" t="s">
        <v>22</v>
      </c>
      <c r="S890">
        <v>2023</v>
      </c>
      <c r="T890" t="s">
        <v>32</v>
      </c>
    </row>
    <row r="891" spans="1:20" x14ac:dyDescent="0.3">
      <c r="A891">
        <v>1494</v>
      </c>
      <c r="B891">
        <v>476</v>
      </c>
      <c r="C891" t="s">
        <v>40</v>
      </c>
      <c r="D891" t="s">
        <v>19</v>
      </c>
      <c r="E891" t="s">
        <v>26</v>
      </c>
      <c r="F891" s="1">
        <v>44591</v>
      </c>
      <c r="G891" s="1">
        <v>44646</v>
      </c>
      <c r="H891">
        <v>9332</v>
      </c>
      <c r="I891">
        <v>2847</v>
      </c>
      <c r="J891">
        <v>6485</v>
      </c>
      <c r="K891" t="s">
        <v>35</v>
      </c>
      <c r="L891">
        <v>1</v>
      </c>
      <c r="M891" t="str">
        <f t="shared" si="13"/>
        <v>0-6 Months</v>
      </c>
      <c r="N891" s="1">
        <v>44646</v>
      </c>
      <c r="O891">
        <v>1</v>
      </c>
      <c r="P891">
        <v>890</v>
      </c>
      <c r="Q891" s="2">
        <v>0.69</v>
      </c>
      <c r="R891" t="s">
        <v>27</v>
      </c>
      <c r="S891">
        <v>2022</v>
      </c>
      <c r="T891" t="s">
        <v>38</v>
      </c>
    </row>
    <row r="892" spans="1:20" hidden="1" x14ac:dyDescent="0.3">
      <c r="A892">
        <v>1498</v>
      </c>
      <c r="B892">
        <v>281</v>
      </c>
      <c r="C892" t="s">
        <v>53</v>
      </c>
      <c r="D892" t="s">
        <v>19</v>
      </c>
      <c r="E892" t="s">
        <v>26</v>
      </c>
      <c r="F892" s="1">
        <v>44840</v>
      </c>
      <c r="G892" s="1">
        <v>44924</v>
      </c>
      <c r="H892">
        <v>3187</v>
      </c>
      <c r="I892">
        <v>4239</v>
      </c>
      <c r="J892">
        <v>577.01</v>
      </c>
      <c r="K892" t="s">
        <v>54</v>
      </c>
      <c r="L892">
        <v>2</v>
      </c>
      <c r="M892" t="str">
        <f t="shared" si="13"/>
        <v>0-6 Months</v>
      </c>
      <c r="N892" s="1">
        <v>44924</v>
      </c>
      <c r="O892">
        <v>1</v>
      </c>
      <c r="P892">
        <v>891</v>
      </c>
      <c r="Q892" s="2">
        <v>0.18</v>
      </c>
      <c r="R892" t="s">
        <v>27</v>
      </c>
      <c r="S892">
        <v>2022</v>
      </c>
      <c r="T892" t="s">
        <v>31</v>
      </c>
    </row>
    <row r="893" spans="1:20" hidden="1" x14ac:dyDescent="0.3">
      <c r="A893">
        <v>1499</v>
      </c>
      <c r="B893">
        <v>137</v>
      </c>
      <c r="C893" t="s">
        <v>53</v>
      </c>
      <c r="D893" t="s">
        <v>19</v>
      </c>
      <c r="E893" t="s">
        <v>37</v>
      </c>
      <c r="F893" s="1">
        <v>44630</v>
      </c>
      <c r="G893" s="1">
        <v>44796</v>
      </c>
      <c r="H893">
        <v>4967.93</v>
      </c>
      <c r="I893">
        <v>5977</v>
      </c>
      <c r="J893">
        <v>-7503</v>
      </c>
      <c r="K893" t="s">
        <v>54</v>
      </c>
      <c r="L893">
        <v>5</v>
      </c>
      <c r="M893" t="str">
        <f t="shared" si="13"/>
        <v>0-6 Months</v>
      </c>
      <c r="N893" s="1">
        <v>44796</v>
      </c>
      <c r="O893">
        <v>0</v>
      </c>
      <c r="P893">
        <v>892</v>
      </c>
      <c r="Q893" s="2">
        <v>-1.51</v>
      </c>
      <c r="R893" t="s">
        <v>22</v>
      </c>
      <c r="S893">
        <v>2022</v>
      </c>
      <c r="T893" t="s">
        <v>36</v>
      </c>
    </row>
    <row r="894" spans="1:20" hidden="1" x14ac:dyDescent="0.3">
      <c r="A894">
        <v>1500</v>
      </c>
      <c r="B894">
        <v>420</v>
      </c>
      <c r="C894" t="s">
        <v>45</v>
      </c>
      <c r="D894" t="s">
        <v>34</v>
      </c>
      <c r="E894" t="s">
        <v>26</v>
      </c>
      <c r="F894" s="1">
        <v>44773</v>
      </c>
      <c r="G894" s="1">
        <v>45006</v>
      </c>
      <c r="H894">
        <v>4967.93</v>
      </c>
      <c r="I894">
        <v>2735</v>
      </c>
      <c r="J894">
        <v>-2757</v>
      </c>
      <c r="K894" t="s">
        <v>21</v>
      </c>
      <c r="L894">
        <v>7</v>
      </c>
      <c r="M894" t="str">
        <f t="shared" si="13"/>
        <v>6-12 Months</v>
      </c>
      <c r="N894" s="1">
        <v>45006</v>
      </c>
      <c r="O894">
        <v>0</v>
      </c>
      <c r="P894">
        <v>893</v>
      </c>
      <c r="Q894" s="2">
        <v>-0.55000000000000004</v>
      </c>
      <c r="R894" t="s">
        <v>27</v>
      </c>
      <c r="S894">
        <v>2023</v>
      </c>
      <c r="T894" t="s">
        <v>38</v>
      </c>
    </row>
    <row r="895" spans="1:20" hidden="1" x14ac:dyDescent="0.3">
      <c r="A895">
        <v>1501</v>
      </c>
      <c r="B895">
        <v>303</v>
      </c>
      <c r="C895" t="s">
        <v>24</v>
      </c>
      <c r="D895" t="s">
        <v>29</v>
      </c>
      <c r="E895" t="s">
        <v>20</v>
      </c>
      <c r="F895" s="1">
        <v>44885</v>
      </c>
      <c r="G895" s="1">
        <v>45318</v>
      </c>
      <c r="H895">
        <v>3631</v>
      </c>
      <c r="I895">
        <v>1645</v>
      </c>
      <c r="J895">
        <v>1986</v>
      </c>
      <c r="K895" t="s">
        <v>54</v>
      </c>
      <c r="L895">
        <v>14</v>
      </c>
      <c r="M895" t="str">
        <f t="shared" si="13"/>
        <v>6-12 Months</v>
      </c>
      <c r="N895" s="1">
        <v>45318</v>
      </c>
      <c r="O895">
        <v>0</v>
      </c>
      <c r="P895">
        <v>894</v>
      </c>
      <c r="Q895" s="2">
        <v>0.55000000000000004</v>
      </c>
      <c r="R895" t="s">
        <v>27</v>
      </c>
      <c r="S895">
        <v>2024</v>
      </c>
      <c r="T895" t="s">
        <v>23</v>
      </c>
    </row>
    <row r="896" spans="1:20" hidden="1" x14ac:dyDescent="0.3">
      <c r="A896">
        <v>1502</v>
      </c>
      <c r="B896">
        <v>254</v>
      </c>
      <c r="C896" t="s">
        <v>40</v>
      </c>
      <c r="D896" t="s">
        <v>25</v>
      </c>
      <c r="E896" t="s">
        <v>26</v>
      </c>
      <c r="F896" s="1">
        <v>44742</v>
      </c>
      <c r="G896" s="1">
        <v>44972</v>
      </c>
      <c r="H896">
        <v>696</v>
      </c>
      <c r="I896">
        <v>3716</v>
      </c>
      <c r="J896">
        <v>-3020</v>
      </c>
      <c r="K896" t="s">
        <v>54</v>
      </c>
      <c r="L896">
        <v>7</v>
      </c>
      <c r="M896" t="str">
        <f t="shared" si="13"/>
        <v>6-12 Months</v>
      </c>
      <c r="N896" s="1">
        <v>44972</v>
      </c>
      <c r="O896">
        <v>0</v>
      </c>
      <c r="P896">
        <v>895</v>
      </c>
      <c r="Q896" s="2">
        <v>-4.34</v>
      </c>
      <c r="R896" t="s">
        <v>22</v>
      </c>
      <c r="S896">
        <v>2023</v>
      </c>
      <c r="T896" t="s">
        <v>43</v>
      </c>
    </row>
    <row r="897" spans="1:20" x14ac:dyDescent="0.3">
      <c r="A897">
        <v>1503</v>
      </c>
      <c r="B897">
        <v>420</v>
      </c>
      <c r="C897" t="s">
        <v>39</v>
      </c>
      <c r="D897" t="s">
        <v>19</v>
      </c>
      <c r="E897" t="s">
        <v>26</v>
      </c>
      <c r="F897" s="1">
        <v>44920</v>
      </c>
      <c r="G897" s="1">
        <v>45087</v>
      </c>
      <c r="H897">
        <v>131</v>
      </c>
      <c r="I897">
        <v>3504</v>
      </c>
      <c r="J897">
        <v>-3373</v>
      </c>
      <c r="K897" t="s">
        <v>35</v>
      </c>
      <c r="L897">
        <v>5</v>
      </c>
      <c r="M897" t="str">
        <f t="shared" si="13"/>
        <v>0-6 Months</v>
      </c>
      <c r="N897" s="1">
        <v>45087</v>
      </c>
      <c r="O897">
        <v>0</v>
      </c>
      <c r="P897">
        <v>896</v>
      </c>
      <c r="Q897" s="2">
        <v>-25.75</v>
      </c>
      <c r="R897" t="s">
        <v>22</v>
      </c>
      <c r="S897">
        <v>2023</v>
      </c>
      <c r="T897" t="s">
        <v>41</v>
      </c>
    </row>
    <row r="898" spans="1:20" x14ac:dyDescent="0.3">
      <c r="A898">
        <v>1505</v>
      </c>
      <c r="B898">
        <v>325</v>
      </c>
      <c r="C898" t="s">
        <v>53</v>
      </c>
      <c r="D898" t="s">
        <v>19</v>
      </c>
      <c r="E898" t="s">
        <v>37</v>
      </c>
      <c r="F898" s="1">
        <v>44788</v>
      </c>
      <c r="G898" s="1">
        <v>44922</v>
      </c>
      <c r="H898">
        <v>6663</v>
      </c>
      <c r="I898">
        <v>1493</v>
      </c>
      <c r="J898">
        <v>5170</v>
      </c>
      <c r="K898" t="s">
        <v>35</v>
      </c>
      <c r="L898">
        <v>4</v>
      </c>
      <c r="M898" t="str">
        <f t="shared" ref="M898:M961" si="14">IF(L898&lt;6,"0-6 Months",IF(L898&gt;6,"6-12 Months","12+ Months"))</f>
        <v>0-6 Months</v>
      </c>
      <c r="N898" s="1">
        <v>44922</v>
      </c>
      <c r="O898">
        <v>0</v>
      </c>
      <c r="P898">
        <v>897</v>
      </c>
      <c r="Q898" s="2">
        <v>0.78</v>
      </c>
      <c r="R898" t="s">
        <v>27</v>
      </c>
      <c r="S898">
        <v>2022</v>
      </c>
      <c r="T898" t="s">
        <v>31</v>
      </c>
    </row>
    <row r="899" spans="1:20" hidden="1" x14ac:dyDescent="0.3">
      <c r="A899">
        <v>1506</v>
      </c>
      <c r="B899">
        <v>204</v>
      </c>
      <c r="C899" t="s">
        <v>40</v>
      </c>
      <c r="D899" t="s">
        <v>19</v>
      </c>
      <c r="E899" t="s">
        <v>37</v>
      </c>
      <c r="F899" s="1">
        <v>44884</v>
      </c>
      <c r="G899" s="1">
        <v>45094</v>
      </c>
      <c r="H899">
        <v>1913</v>
      </c>
      <c r="I899">
        <v>3821</v>
      </c>
      <c r="J899">
        <v>-1908</v>
      </c>
      <c r="K899" t="s">
        <v>54</v>
      </c>
      <c r="L899">
        <v>6</v>
      </c>
      <c r="M899" t="str">
        <f t="shared" si="14"/>
        <v>12+ Months</v>
      </c>
      <c r="N899" s="1">
        <v>45094</v>
      </c>
      <c r="O899">
        <v>0</v>
      </c>
      <c r="P899">
        <v>898</v>
      </c>
      <c r="Q899" s="2">
        <v>-1</v>
      </c>
      <c r="R899" t="s">
        <v>27</v>
      </c>
      <c r="S899">
        <v>2023</v>
      </c>
      <c r="T899" t="s">
        <v>41</v>
      </c>
    </row>
    <row r="900" spans="1:20" hidden="1" x14ac:dyDescent="0.3">
      <c r="A900">
        <v>1510</v>
      </c>
      <c r="B900">
        <v>214</v>
      </c>
      <c r="C900" t="s">
        <v>40</v>
      </c>
      <c r="D900" t="s">
        <v>29</v>
      </c>
      <c r="E900" t="s">
        <v>20</v>
      </c>
      <c r="F900" s="1">
        <v>44753</v>
      </c>
      <c r="G900" s="1">
        <v>45200</v>
      </c>
      <c r="H900">
        <v>9253</v>
      </c>
      <c r="I900">
        <v>1735</v>
      </c>
      <c r="J900">
        <v>7518</v>
      </c>
      <c r="K900" t="s">
        <v>54</v>
      </c>
      <c r="L900">
        <v>14</v>
      </c>
      <c r="M900" t="str">
        <f t="shared" si="14"/>
        <v>6-12 Months</v>
      </c>
      <c r="N900" s="1">
        <v>45200</v>
      </c>
      <c r="O900">
        <v>1</v>
      </c>
      <c r="P900">
        <v>899</v>
      </c>
      <c r="Q900" s="2">
        <v>0.81</v>
      </c>
      <c r="R900" t="s">
        <v>27</v>
      </c>
      <c r="S900">
        <v>2023</v>
      </c>
      <c r="T900" t="s">
        <v>33</v>
      </c>
    </row>
    <row r="901" spans="1:20" hidden="1" x14ac:dyDescent="0.3">
      <c r="A901">
        <v>1511</v>
      </c>
      <c r="B901">
        <v>354</v>
      </c>
      <c r="C901" t="s">
        <v>45</v>
      </c>
      <c r="D901" t="s">
        <v>25</v>
      </c>
      <c r="E901" t="s">
        <v>26</v>
      </c>
      <c r="F901" s="1">
        <v>44719</v>
      </c>
      <c r="G901" s="1">
        <v>44941</v>
      </c>
      <c r="H901">
        <v>2933</v>
      </c>
      <c r="I901">
        <v>5803</v>
      </c>
      <c r="J901">
        <v>-2870</v>
      </c>
      <c r="K901" t="s">
        <v>54</v>
      </c>
      <c r="L901">
        <v>7</v>
      </c>
      <c r="M901" t="str">
        <f t="shared" si="14"/>
        <v>6-12 Months</v>
      </c>
      <c r="N901" s="1">
        <v>44941</v>
      </c>
      <c r="O901">
        <v>1</v>
      </c>
      <c r="P901">
        <v>900</v>
      </c>
      <c r="Q901" s="2">
        <v>-0.98</v>
      </c>
      <c r="R901" t="s">
        <v>27</v>
      </c>
      <c r="S901">
        <v>2023</v>
      </c>
      <c r="T901" t="s">
        <v>23</v>
      </c>
    </row>
    <row r="902" spans="1:20" hidden="1" x14ac:dyDescent="0.3">
      <c r="A902">
        <v>1512</v>
      </c>
      <c r="B902">
        <v>262</v>
      </c>
      <c r="C902" t="s">
        <v>53</v>
      </c>
      <c r="D902" t="s">
        <v>34</v>
      </c>
      <c r="E902" t="s">
        <v>26</v>
      </c>
      <c r="F902" s="1">
        <v>44654</v>
      </c>
      <c r="G902" s="1">
        <v>45048</v>
      </c>
      <c r="H902">
        <v>8742</v>
      </c>
      <c r="I902">
        <v>4307</v>
      </c>
      <c r="J902">
        <v>4435</v>
      </c>
      <c r="K902" t="s">
        <v>21</v>
      </c>
      <c r="L902">
        <v>12</v>
      </c>
      <c r="M902" t="str">
        <f t="shared" si="14"/>
        <v>6-12 Months</v>
      </c>
      <c r="N902" s="1">
        <v>45048</v>
      </c>
      <c r="O902">
        <v>0</v>
      </c>
      <c r="P902">
        <v>901</v>
      </c>
      <c r="Q902" s="2">
        <v>0.51</v>
      </c>
      <c r="R902" t="s">
        <v>27</v>
      </c>
      <c r="S902">
        <v>2023</v>
      </c>
      <c r="T902" t="s">
        <v>28</v>
      </c>
    </row>
    <row r="903" spans="1:20" hidden="1" x14ac:dyDescent="0.3">
      <c r="A903">
        <v>1513</v>
      </c>
      <c r="B903">
        <v>106</v>
      </c>
      <c r="C903" t="s">
        <v>53</v>
      </c>
      <c r="D903" t="s">
        <v>34</v>
      </c>
      <c r="E903" t="s">
        <v>26</v>
      </c>
      <c r="F903" s="1">
        <v>44762</v>
      </c>
      <c r="G903" s="1">
        <v>45039</v>
      </c>
      <c r="H903">
        <v>3442</v>
      </c>
      <c r="I903">
        <v>4012.75</v>
      </c>
      <c r="J903">
        <v>4071</v>
      </c>
      <c r="K903" t="s">
        <v>21</v>
      </c>
      <c r="L903">
        <v>9</v>
      </c>
      <c r="M903" t="str">
        <f t="shared" si="14"/>
        <v>6-12 Months</v>
      </c>
      <c r="N903" s="1">
        <v>45039</v>
      </c>
      <c r="O903">
        <v>1</v>
      </c>
      <c r="P903">
        <v>902</v>
      </c>
      <c r="Q903" s="2">
        <v>1.18</v>
      </c>
      <c r="R903" t="s">
        <v>22</v>
      </c>
      <c r="S903">
        <v>2023</v>
      </c>
      <c r="T903" t="s">
        <v>32</v>
      </c>
    </row>
    <row r="904" spans="1:20" hidden="1" x14ac:dyDescent="0.3">
      <c r="A904">
        <v>1515</v>
      </c>
      <c r="B904">
        <v>268</v>
      </c>
      <c r="C904" t="s">
        <v>53</v>
      </c>
      <c r="D904" t="s">
        <v>34</v>
      </c>
      <c r="E904" t="s">
        <v>26</v>
      </c>
      <c r="F904" s="1">
        <v>44821</v>
      </c>
      <c r="G904" s="1">
        <v>45279</v>
      </c>
      <c r="H904">
        <v>6657</v>
      </c>
      <c r="I904">
        <v>1305</v>
      </c>
      <c r="J904">
        <v>5352</v>
      </c>
      <c r="K904" t="s">
        <v>21</v>
      </c>
      <c r="L904">
        <v>15</v>
      </c>
      <c r="M904" t="str">
        <f t="shared" si="14"/>
        <v>6-12 Months</v>
      </c>
      <c r="N904" s="1">
        <v>45279</v>
      </c>
      <c r="O904">
        <v>1</v>
      </c>
      <c r="P904">
        <v>903</v>
      </c>
      <c r="Q904" s="2">
        <v>0.8</v>
      </c>
      <c r="R904" t="s">
        <v>27</v>
      </c>
      <c r="S904">
        <v>2023</v>
      </c>
      <c r="T904" t="s">
        <v>31</v>
      </c>
    </row>
    <row r="905" spans="1:20" hidden="1" x14ac:dyDescent="0.3">
      <c r="A905">
        <v>1517</v>
      </c>
      <c r="B905">
        <v>145</v>
      </c>
      <c r="C905" t="s">
        <v>40</v>
      </c>
      <c r="D905" t="s">
        <v>29</v>
      </c>
      <c r="E905" t="s">
        <v>37</v>
      </c>
      <c r="F905" s="1">
        <v>44886</v>
      </c>
      <c r="G905" s="1">
        <v>45272</v>
      </c>
      <c r="H905">
        <v>4967.93</v>
      </c>
      <c r="I905">
        <v>5678</v>
      </c>
      <c r="J905">
        <v>-6192</v>
      </c>
      <c r="K905" t="s">
        <v>21</v>
      </c>
      <c r="L905">
        <v>12</v>
      </c>
      <c r="M905" t="str">
        <f t="shared" si="14"/>
        <v>6-12 Months</v>
      </c>
      <c r="N905" s="1">
        <v>45272</v>
      </c>
      <c r="O905">
        <v>0</v>
      </c>
      <c r="P905">
        <v>904</v>
      </c>
      <c r="Q905" s="2">
        <v>-1.25</v>
      </c>
      <c r="R905" t="s">
        <v>22</v>
      </c>
      <c r="S905">
        <v>2023</v>
      </c>
      <c r="T905" t="s">
        <v>31</v>
      </c>
    </row>
    <row r="906" spans="1:20" hidden="1" x14ac:dyDescent="0.3">
      <c r="A906">
        <v>1519</v>
      </c>
      <c r="B906">
        <v>306</v>
      </c>
      <c r="C906" t="s">
        <v>40</v>
      </c>
      <c r="D906" t="s">
        <v>25</v>
      </c>
      <c r="E906" t="s">
        <v>37</v>
      </c>
      <c r="F906" s="1">
        <v>44662</v>
      </c>
      <c r="G906" s="1">
        <v>45032</v>
      </c>
      <c r="H906">
        <v>1222</v>
      </c>
      <c r="I906">
        <v>1438</v>
      </c>
      <c r="J906">
        <v>-216</v>
      </c>
      <c r="K906" t="s">
        <v>21</v>
      </c>
      <c r="L906">
        <v>12</v>
      </c>
      <c r="M906" t="str">
        <f t="shared" si="14"/>
        <v>6-12 Months</v>
      </c>
      <c r="N906" s="1">
        <v>45032</v>
      </c>
      <c r="O906">
        <v>0</v>
      </c>
      <c r="P906">
        <v>905</v>
      </c>
      <c r="Q906" s="2">
        <v>-0.18</v>
      </c>
      <c r="R906" t="s">
        <v>27</v>
      </c>
      <c r="S906">
        <v>2023</v>
      </c>
      <c r="T906" t="s">
        <v>32</v>
      </c>
    </row>
    <row r="907" spans="1:20" hidden="1" x14ac:dyDescent="0.3">
      <c r="A907">
        <v>1520</v>
      </c>
      <c r="B907">
        <v>305</v>
      </c>
      <c r="C907" t="s">
        <v>39</v>
      </c>
      <c r="D907" t="s">
        <v>34</v>
      </c>
      <c r="E907" t="s">
        <v>26</v>
      </c>
      <c r="F907" s="1">
        <v>44720</v>
      </c>
      <c r="G907" s="1">
        <v>44815</v>
      </c>
      <c r="H907">
        <v>9399</v>
      </c>
      <c r="I907">
        <v>5679</v>
      </c>
      <c r="J907">
        <v>3720</v>
      </c>
      <c r="K907" t="s">
        <v>21</v>
      </c>
      <c r="L907">
        <v>3</v>
      </c>
      <c r="M907" t="str">
        <f t="shared" si="14"/>
        <v>0-6 Months</v>
      </c>
      <c r="N907" s="1">
        <v>44815</v>
      </c>
      <c r="O907">
        <v>1</v>
      </c>
      <c r="P907">
        <v>906</v>
      </c>
      <c r="Q907" s="2">
        <v>0.4</v>
      </c>
      <c r="R907" t="s">
        <v>27</v>
      </c>
      <c r="S907">
        <v>2022</v>
      </c>
      <c r="T907" t="s">
        <v>30</v>
      </c>
    </row>
    <row r="908" spans="1:20" hidden="1" x14ac:dyDescent="0.3">
      <c r="A908">
        <v>1521</v>
      </c>
      <c r="B908">
        <v>357</v>
      </c>
      <c r="C908" t="s">
        <v>53</v>
      </c>
      <c r="D908" t="s">
        <v>25</v>
      </c>
      <c r="E908" t="s">
        <v>37</v>
      </c>
      <c r="F908" s="1">
        <v>44865</v>
      </c>
      <c r="G908" s="1">
        <v>45407</v>
      </c>
      <c r="H908">
        <v>8164</v>
      </c>
      <c r="I908">
        <v>7939</v>
      </c>
      <c r="J908">
        <v>225</v>
      </c>
      <c r="K908" t="s">
        <v>21</v>
      </c>
      <c r="L908">
        <v>17</v>
      </c>
      <c r="M908" t="str">
        <f t="shared" si="14"/>
        <v>6-12 Months</v>
      </c>
      <c r="N908" s="1">
        <v>45407</v>
      </c>
      <c r="O908">
        <v>1</v>
      </c>
      <c r="P908">
        <v>907</v>
      </c>
      <c r="Q908" s="2">
        <v>0.03</v>
      </c>
      <c r="R908" t="s">
        <v>27</v>
      </c>
      <c r="S908">
        <v>2024</v>
      </c>
      <c r="T908" t="s">
        <v>32</v>
      </c>
    </row>
    <row r="909" spans="1:20" hidden="1" x14ac:dyDescent="0.3">
      <c r="A909">
        <v>1523</v>
      </c>
      <c r="B909">
        <v>159</v>
      </c>
      <c r="C909" t="s">
        <v>45</v>
      </c>
      <c r="D909" t="s">
        <v>19</v>
      </c>
      <c r="E909" t="s">
        <v>26</v>
      </c>
      <c r="F909" s="1">
        <v>44697</v>
      </c>
      <c r="G909" s="1">
        <v>45116</v>
      </c>
      <c r="H909">
        <v>4967.93</v>
      </c>
      <c r="I909">
        <v>2120</v>
      </c>
      <c r="J909">
        <v>-3404</v>
      </c>
      <c r="K909" t="s">
        <v>54</v>
      </c>
      <c r="L909">
        <v>13</v>
      </c>
      <c r="M909" t="str">
        <f t="shared" si="14"/>
        <v>6-12 Months</v>
      </c>
      <c r="N909" s="1">
        <v>45116</v>
      </c>
      <c r="O909">
        <v>0</v>
      </c>
      <c r="P909">
        <v>908</v>
      </c>
      <c r="Q909" s="2">
        <v>-0.69</v>
      </c>
      <c r="R909" t="s">
        <v>27</v>
      </c>
      <c r="S909">
        <v>2023</v>
      </c>
      <c r="T909" t="s">
        <v>44</v>
      </c>
    </row>
    <row r="910" spans="1:20" hidden="1" x14ac:dyDescent="0.3">
      <c r="A910">
        <v>1525</v>
      </c>
      <c r="B910">
        <v>310</v>
      </c>
      <c r="C910" t="s">
        <v>39</v>
      </c>
      <c r="D910" t="s">
        <v>25</v>
      </c>
      <c r="E910" t="s">
        <v>20</v>
      </c>
      <c r="F910" s="1">
        <v>44573</v>
      </c>
      <c r="G910" s="1">
        <v>44681</v>
      </c>
      <c r="H910">
        <v>4967.93</v>
      </c>
      <c r="I910">
        <v>7473</v>
      </c>
      <c r="J910">
        <v>-8456</v>
      </c>
      <c r="K910" t="s">
        <v>21</v>
      </c>
      <c r="L910">
        <v>3</v>
      </c>
      <c r="M910" t="str">
        <f t="shared" si="14"/>
        <v>0-6 Months</v>
      </c>
      <c r="N910" s="1">
        <v>44681</v>
      </c>
      <c r="O910">
        <v>1</v>
      </c>
      <c r="P910">
        <v>909</v>
      </c>
      <c r="Q910" s="2">
        <v>-1.7</v>
      </c>
      <c r="R910" t="s">
        <v>22</v>
      </c>
      <c r="S910">
        <v>2022</v>
      </c>
      <c r="T910" t="s">
        <v>32</v>
      </c>
    </row>
    <row r="911" spans="1:20" hidden="1" x14ac:dyDescent="0.3">
      <c r="A911">
        <v>1527</v>
      </c>
      <c r="B911">
        <v>403</v>
      </c>
      <c r="C911" t="s">
        <v>24</v>
      </c>
      <c r="D911" t="s">
        <v>25</v>
      </c>
      <c r="E911" t="s">
        <v>20</v>
      </c>
      <c r="F911" s="1">
        <v>44582</v>
      </c>
      <c r="G911" s="1">
        <v>44832</v>
      </c>
      <c r="H911">
        <v>627</v>
      </c>
      <c r="I911">
        <v>1621</v>
      </c>
      <c r="J911">
        <v>-994</v>
      </c>
      <c r="K911" t="s">
        <v>54</v>
      </c>
      <c r="L911">
        <v>8</v>
      </c>
      <c r="M911" t="str">
        <f t="shared" si="14"/>
        <v>6-12 Months</v>
      </c>
      <c r="N911" s="1">
        <v>44832</v>
      </c>
      <c r="O911">
        <v>1</v>
      </c>
      <c r="P911">
        <v>910</v>
      </c>
      <c r="Q911" s="2">
        <v>-1.59</v>
      </c>
      <c r="R911" t="s">
        <v>22</v>
      </c>
      <c r="S911">
        <v>2022</v>
      </c>
      <c r="T911" t="s">
        <v>30</v>
      </c>
    </row>
    <row r="912" spans="1:20" x14ac:dyDescent="0.3">
      <c r="A912">
        <v>1528</v>
      </c>
      <c r="B912">
        <v>261</v>
      </c>
      <c r="C912" t="s">
        <v>45</v>
      </c>
      <c r="D912" t="s">
        <v>25</v>
      </c>
      <c r="E912" t="s">
        <v>37</v>
      </c>
      <c r="F912" s="1">
        <v>44579</v>
      </c>
      <c r="G912" s="1">
        <v>44876</v>
      </c>
      <c r="H912">
        <v>9137</v>
      </c>
      <c r="I912">
        <v>460</v>
      </c>
      <c r="J912">
        <v>8677</v>
      </c>
      <c r="K912" t="s">
        <v>35</v>
      </c>
      <c r="L912">
        <v>9</v>
      </c>
      <c r="M912" t="str">
        <f t="shared" si="14"/>
        <v>6-12 Months</v>
      </c>
      <c r="N912" s="1">
        <v>44876</v>
      </c>
      <c r="O912">
        <v>0</v>
      </c>
      <c r="P912">
        <v>911</v>
      </c>
      <c r="Q912" s="2">
        <v>0.95</v>
      </c>
      <c r="R912" t="s">
        <v>27</v>
      </c>
      <c r="S912">
        <v>2022</v>
      </c>
      <c r="T912" t="s">
        <v>42</v>
      </c>
    </row>
    <row r="913" spans="1:20" hidden="1" x14ac:dyDescent="0.3">
      <c r="A913">
        <v>1530</v>
      </c>
      <c r="B913">
        <v>333</v>
      </c>
      <c r="C913" t="s">
        <v>40</v>
      </c>
      <c r="D913" t="s">
        <v>25</v>
      </c>
      <c r="E913" t="s">
        <v>20</v>
      </c>
      <c r="F913" s="1">
        <v>44664</v>
      </c>
      <c r="G913" s="1">
        <v>44913</v>
      </c>
      <c r="H913">
        <v>4036</v>
      </c>
      <c r="I913">
        <v>4012.75</v>
      </c>
      <c r="J913">
        <v>577.01</v>
      </c>
      <c r="K913" t="s">
        <v>54</v>
      </c>
      <c r="L913">
        <v>8</v>
      </c>
      <c r="M913" t="str">
        <f t="shared" si="14"/>
        <v>6-12 Months</v>
      </c>
      <c r="N913" s="1">
        <v>44913</v>
      </c>
      <c r="O913">
        <v>1</v>
      </c>
      <c r="P913">
        <v>912</v>
      </c>
      <c r="Q913" s="2">
        <v>0.14000000000000001</v>
      </c>
      <c r="R913" t="s">
        <v>27</v>
      </c>
      <c r="S913">
        <v>2022</v>
      </c>
      <c r="T913" t="s">
        <v>31</v>
      </c>
    </row>
    <row r="914" spans="1:20" hidden="1" x14ac:dyDescent="0.3">
      <c r="A914">
        <v>1531</v>
      </c>
      <c r="B914">
        <v>321</v>
      </c>
      <c r="C914" t="s">
        <v>24</v>
      </c>
      <c r="D914" t="s">
        <v>34</v>
      </c>
      <c r="E914" t="s">
        <v>26</v>
      </c>
      <c r="F914" s="1">
        <v>44838</v>
      </c>
      <c r="G914" s="1">
        <v>45049</v>
      </c>
      <c r="H914">
        <v>2588</v>
      </c>
      <c r="I914">
        <v>768</v>
      </c>
      <c r="J914">
        <v>1820</v>
      </c>
      <c r="K914" t="s">
        <v>21</v>
      </c>
      <c r="L914">
        <v>6</v>
      </c>
      <c r="M914" t="str">
        <f t="shared" si="14"/>
        <v>12+ Months</v>
      </c>
      <c r="N914" s="1">
        <v>45049</v>
      </c>
      <c r="O914">
        <v>1</v>
      </c>
      <c r="P914">
        <v>913</v>
      </c>
      <c r="Q914" s="2">
        <v>0.7</v>
      </c>
      <c r="R914" t="s">
        <v>27</v>
      </c>
      <c r="S914">
        <v>2023</v>
      </c>
      <c r="T914" t="s">
        <v>28</v>
      </c>
    </row>
    <row r="915" spans="1:20" hidden="1" x14ac:dyDescent="0.3">
      <c r="A915">
        <v>1533</v>
      </c>
      <c r="B915">
        <v>442</v>
      </c>
      <c r="C915" t="s">
        <v>24</v>
      </c>
      <c r="D915" t="s">
        <v>19</v>
      </c>
      <c r="E915" t="s">
        <v>37</v>
      </c>
      <c r="F915" s="1">
        <v>44634</v>
      </c>
      <c r="G915" s="1">
        <v>45192</v>
      </c>
      <c r="H915">
        <v>4967.93</v>
      </c>
      <c r="I915">
        <v>6032</v>
      </c>
      <c r="J915">
        <v>-7269</v>
      </c>
      <c r="K915" t="s">
        <v>54</v>
      </c>
      <c r="L915">
        <v>18</v>
      </c>
      <c r="M915" t="str">
        <f t="shared" si="14"/>
        <v>6-12 Months</v>
      </c>
      <c r="N915" s="1">
        <v>45192</v>
      </c>
      <c r="O915">
        <v>1</v>
      </c>
      <c r="P915">
        <v>914</v>
      </c>
      <c r="Q915" s="2">
        <v>-1.46</v>
      </c>
      <c r="R915" t="s">
        <v>22</v>
      </c>
      <c r="S915">
        <v>2023</v>
      </c>
      <c r="T915" t="s">
        <v>30</v>
      </c>
    </row>
    <row r="916" spans="1:20" hidden="1" x14ac:dyDescent="0.3">
      <c r="A916">
        <v>1534</v>
      </c>
      <c r="B916">
        <v>477</v>
      </c>
      <c r="C916" t="s">
        <v>24</v>
      </c>
      <c r="D916" t="s">
        <v>19</v>
      </c>
      <c r="E916" t="s">
        <v>20</v>
      </c>
      <c r="F916" s="1">
        <v>44599</v>
      </c>
      <c r="G916" s="1">
        <v>44758</v>
      </c>
      <c r="H916">
        <v>5546</v>
      </c>
      <c r="I916">
        <v>4012.75</v>
      </c>
      <c r="J916">
        <v>6261</v>
      </c>
      <c r="K916" t="s">
        <v>54</v>
      </c>
      <c r="L916">
        <v>5</v>
      </c>
      <c r="M916" t="str">
        <f t="shared" si="14"/>
        <v>0-6 Months</v>
      </c>
      <c r="N916" s="1">
        <v>44758</v>
      </c>
      <c r="O916">
        <v>0</v>
      </c>
      <c r="P916">
        <v>915</v>
      </c>
      <c r="Q916" s="2">
        <v>1.1299999999999999</v>
      </c>
      <c r="R916" t="s">
        <v>22</v>
      </c>
      <c r="S916">
        <v>2022</v>
      </c>
      <c r="T916" t="s">
        <v>44</v>
      </c>
    </row>
    <row r="917" spans="1:20" hidden="1" x14ac:dyDescent="0.3">
      <c r="A917">
        <v>1536</v>
      </c>
      <c r="B917">
        <v>495</v>
      </c>
      <c r="C917" t="s">
        <v>24</v>
      </c>
      <c r="D917" t="s">
        <v>25</v>
      </c>
      <c r="E917" t="s">
        <v>37</v>
      </c>
      <c r="F917" s="1">
        <v>44907</v>
      </c>
      <c r="G917" s="1">
        <v>45063</v>
      </c>
      <c r="H917">
        <v>8276</v>
      </c>
      <c r="I917">
        <v>5568</v>
      </c>
      <c r="J917">
        <v>2708</v>
      </c>
      <c r="K917" t="s">
        <v>54</v>
      </c>
      <c r="L917">
        <v>5</v>
      </c>
      <c r="M917" t="str">
        <f t="shared" si="14"/>
        <v>0-6 Months</v>
      </c>
      <c r="N917" s="1">
        <v>45063</v>
      </c>
      <c r="O917">
        <v>1</v>
      </c>
      <c r="P917">
        <v>916</v>
      </c>
      <c r="Q917" s="2">
        <v>0.33</v>
      </c>
      <c r="R917" t="s">
        <v>27</v>
      </c>
      <c r="S917">
        <v>2023</v>
      </c>
      <c r="T917" t="s">
        <v>28</v>
      </c>
    </row>
    <row r="918" spans="1:20" x14ac:dyDescent="0.3">
      <c r="A918">
        <v>1537</v>
      </c>
      <c r="B918">
        <v>443</v>
      </c>
      <c r="C918" t="s">
        <v>24</v>
      </c>
      <c r="D918" t="s">
        <v>19</v>
      </c>
      <c r="E918" t="s">
        <v>20</v>
      </c>
      <c r="F918" s="1">
        <v>44592</v>
      </c>
      <c r="G918" s="1">
        <v>45111</v>
      </c>
      <c r="H918">
        <v>281</v>
      </c>
      <c r="I918">
        <v>4012.75</v>
      </c>
      <c r="J918">
        <v>411</v>
      </c>
      <c r="K918" t="s">
        <v>35</v>
      </c>
      <c r="L918">
        <v>17</v>
      </c>
      <c r="M918" t="str">
        <f t="shared" si="14"/>
        <v>6-12 Months</v>
      </c>
      <c r="N918" s="1">
        <v>45111</v>
      </c>
      <c r="O918">
        <v>0</v>
      </c>
      <c r="P918">
        <v>917</v>
      </c>
      <c r="Q918" s="2">
        <v>1.46</v>
      </c>
      <c r="R918" t="s">
        <v>22</v>
      </c>
      <c r="S918">
        <v>2023</v>
      </c>
      <c r="T918" t="s">
        <v>44</v>
      </c>
    </row>
    <row r="919" spans="1:20" hidden="1" x14ac:dyDescent="0.3">
      <c r="A919">
        <v>1539</v>
      </c>
      <c r="B919">
        <v>283</v>
      </c>
      <c r="C919" t="s">
        <v>40</v>
      </c>
      <c r="D919" t="s">
        <v>34</v>
      </c>
      <c r="E919" t="s">
        <v>26</v>
      </c>
      <c r="F919" s="1">
        <v>44636</v>
      </c>
      <c r="G919" s="1">
        <v>44767</v>
      </c>
      <c r="H919">
        <v>6845</v>
      </c>
      <c r="I919">
        <v>4863</v>
      </c>
      <c r="J919">
        <v>1982</v>
      </c>
      <c r="K919" t="s">
        <v>21</v>
      </c>
      <c r="L919">
        <v>4</v>
      </c>
      <c r="M919" t="str">
        <f t="shared" si="14"/>
        <v>0-6 Months</v>
      </c>
      <c r="N919" s="1">
        <v>44767</v>
      </c>
      <c r="O919">
        <v>0</v>
      </c>
      <c r="P919">
        <v>918</v>
      </c>
      <c r="Q919" s="2">
        <v>0.28999999999999998</v>
      </c>
      <c r="R919" t="s">
        <v>27</v>
      </c>
      <c r="S919">
        <v>2022</v>
      </c>
      <c r="T919" t="s">
        <v>44</v>
      </c>
    </row>
    <row r="920" spans="1:20" x14ac:dyDescent="0.3">
      <c r="A920">
        <v>1540</v>
      </c>
      <c r="B920">
        <v>134</v>
      </c>
      <c r="C920" t="s">
        <v>45</v>
      </c>
      <c r="D920" t="s">
        <v>29</v>
      </c>
      <c r="E920" t="s">
        <v>26</v>
      </c>
      <c r="F920" s="1">
        <v>44806</v>
      </c>
      <c r="G920" s="1">
        <v>44925</v>
      </c>
      <c r="H920">
        <v>6812</v>
      </c>
      <c r="I920">
        <v>5022</v>
      </c>
      <c r="J920">
        <v>1790</v>
      </c>
      <c r="K920" t="s">
        <v>35</v>
      </c>
      <c r="L920">
        <v>3</v>
      </c>
      <c r="M920" t="str">
        <f t="shared" si="14"/>
        <v>0-6 Months</v>
      </c>
      <c r="N920" s="1">
        <v>44925</v>
      </c>
      <c r="O920">
        <v>0</v>
      </c>
      <c r="P920">
        <v>919</v>
      </c>
      <c r="Q920" s="2">
        <v>0.26</v>
      </c>
      <c r="R920" t="s">
        <v>27</v>
      </c>
      <c r="S920">
        <v>2022</v>
      </c>
      <c r="T920" t="s">
        <v>31</v>
      </c>
    </row>
    <row r="921" spans="1:20" hidden="1" x14ac:dyDescent="0.3">
      <c r="A921">
        <v>1542</v>
      </c>
      <c r="B921">
        <v>479</v>
      </c>
      <c r="C921" t="s">
        <v>53</v>
      </c>
      <c r="D921" t="s">
        <v>25</v>
      </c>
      <c r="E921" t="s">
        <v>37</v>
      </c>
      <c r="F921" s="1">
        <v>44602</v>
      </c>
      <c r="G921" s="1">
        <v>45029</v>
      </c>
      <c r="H921">
        <v>4967.93</v>
      </c>
      <c r="I921">
        <v>5233</v>
      </c>
      <c r="J921">
        <v>-7037</v>
      </c>
      <c r="K921" t="s">
        <v>54</v>
      </c>
      <c r="L921">
        <v>14</v>
      </c>
      <c r="M921" t="str">
        <f t="shared" si="14"/>
        <v>6-12 Months</v>
      </c>
      <c r="N921" s="1">
        <v>45029</v>
      </c>
      <c r="O921">
        <v>1</v>
      </c>
      <c r="P921">
        <v>920</v>
      </c>
      <c r="Q921" s="2">
        <v>-1.42</v>
      </c>
      <c r="R921" t="s">
        <v>22</v>
      </c>
      <c r="S921">
        <v>2023</v>
      </c>
      <c r="T921" t="s">
        <v>32</v>
      </c>
    </row>
    <row r="922" spans="1:20" hidden="1" x14ac:dyDescent="0.3">
      <c r="A922">
        <v>1543</v>
      </c>
      <c r="B922">
        <v>366</v>
      </c>
      <c r="C922" t="s">
        <v>53</v>
      </c>
      <c r="D922" t="s">
        <v>29</v>
      </c>
      <c r="E922" t="s">
        <v>37</v>
      </c>
      <c r="F922" s="1">
        <v>44922</v>
      </c>
      <c r="G922" s="1">
        <v>45114</v>
      </c>
      <c r="H922">
        <v>6986</v>
      </c>
      <c r="I922">
        <v>2619</v>
      </c>
      <c r="J922">
        <v>577.01</v>
      </c>
      <c r="K922" t="s">
        <v>54</v>
      </c>
      <c r="L922">
        <v>6</v>
      </c>
      <c r="M922" t="str">
        <f t="shared" si="14"/>
        <v>12+ Months</v>
      </c>
      <c r="N922" s="1">
        <v>45114</v>
      </c>
      <c r="O922">
        <v>0</v>
      </c>
      <c r="P922">
        <v>921</v>
      </c>
      <c r="Q922" s="2">
        <v>0.08</v>
      </c>
      <c r="R922" t="s">
        <v>27</v>
      </c>
      <c r="S922">
        <v>2023</v>
      </c>
      <c r="T922" t="s">
        <v>44</v>
      </c>
    </row>
    <row r="923" spans="1:20" hidden="1" x14ac:dyDescent="0.3">
      <c r="A923">
        <v>1545</v>
      </c>
      <c r="B923">
        <v>117</v>
      </c>
      <c r="C923" t="s">
        <v>39</v>
      </c>
      <c r="D923" t="s">
        <v>34</v>
      </c>
      <c r="E923" t="s">
        <v>37</v>
      </c>
      <c r="F923" s="1">
        <v>44669</v>
      </c>
      <c r="G923" s="1">
        <v>44738</v>
      </c>
      <c r="H923">
        <v>4967.93</v>
      </c>
      <c r="I923">
        <v>7742</v>
      </c>
      <c r="J923">
        <v>-7814</v>
      </c>
      <c r="K923" t="s">
        <v>21</v>
      </c>
      <c r="L923">
        <v>2</v>
      </c>
      <c r="M923" t="str">
        <f t="shared" si="14"/>
        <v>0-6 Months</v>
      </c>
      <c r="N923" s="1">
        <v>44738</v>
      </c>
      <c r="O923">
        <v>1</v>
      </c>
      <c r="P923">
        <v>922</v>
      </c>
      <c r="Q923" s="2">
        <v>-1.57</v>
      </c>
      <c r="R923" t="s">
        <v>22</v>
      </c>
      <c r="S923">
        <v>2022</v>
      </c>
      <c r="T923" t="s">
        <v>41</v>
      </c>
    </row>
    <row r="924" spans="1:20" hidden="1" x14ac:dyDescent="0.3">
      <c r="A924">
        <v>1547</v>
      </c>
      <c r="B924">
        <v>297</v>
      </c>
      <c r="C924" t="s">
        <v>53</v>
      </c>
      <c r="D924" t="s">
        <v>29</v>
      </c>
      <c r="E924" t="s">
        <v>37</v>
      </c>
      <c r="F924" s="1">
        <v>44786</v>
      </c>
      <c r="G924" s="1">
        <v>45087</v>
      </c>
      <c r="H924">
        <v>7886</v>
      </c>
      <c r="I924">
        <v>2117</v>
      </c>
      <c r="J924">
        <v>5769</v>
      </c>
      <c r="K924" t="s">
        <v>54</v>
      </c>
      <c r="L924">
        <v>9</v>
      </c>
      <c r="M924" t="str">
        <f t="shared" si="14"/>
        <v>6-12 Months</v>
      </c>
      <c r="N924" s="1">
        <v>45087</v>
      </c>
      <c r="O924">
        <v>0</v>
      </c>
      <c r="P924">
        <v>923</v>
      </c>
      <c r="Q924" s="2">
        <v>0.73</v>
      </c>
      <c r="R924" t="s">
        <v>27</v>
      </c>
      <c r="S924">
        <v>2023</v>
      </c>
      <c r="T924" t="s">
        <v>41</v>
      </c>
    </row>
    <row r="925" spans="1:20" hidden="1" x14ac:dyDescent="0.3">
      <c r="A925">
        <v>1549</v>
      </c>
      <c r="B925">
        <v>446</v>
      </c>
      <c r="C925" t="s">
        <v>45</v>
      </c>
      <c r="D925" t="s">
        <v>34</v>
      </c>
      <c r="E925" t="s">
        <v>26</v>
      </c>
      <c r="F925" s="1">
        <v>44587</v>
      </c>
      <c r="G925" s="1">
        <v>44800</v>
      </c>
      <c r="H925">
        <v>1269</v>
      </c>
      <c r="I925">
        <v>4012.75</v>
      </c>
      <c r="J925">
        <v>1445</v>
      </c>
      <c r="K925" t="s">
        <v>21</v>
      </c>
      <c r="L925">
        <v>7</v>
      </c>
      <c r="M925" t="str">
        <f t="shared" si="14"/>
        <v>6-12 Months</v>
      </c>
      <c r="N925" s="1">
        <v>44800</v>
      </c>
      <c r="O925">
        <v>1</v>
      </c>
      <c r="P925">
        <v>924</v>
      </c>
      <c r="Q925" s="2">
        <v>1.1399999999999999</v>
      </c>
      <c r="R925" t="s">
        <v>22</v>
      </c>
      <c r="S925">
        <v>2022</v>
      </c>
      <c r="T925" t="s">
        <v>36</v>
      </c>
    </row>
    <row r="926" spans="1:20" x14ac:dyDescent="0.3">
      <c r="A926">
        <v>1551</v>
      </c>
      <c r="B926">
        <v>330</v>
      </c>
      <c r="C926" t="s">
        <v>39</v>
      </c>
      <c r="D926" t="s">
        <v>25</v>
      </c>
      <c r="E926" t="s">
        <v>37</v>
      </c>
      <c r="F926" s="1">
        <v>44835</v>
      </c>
      <c r="G926" s="1">
        <v>45128</v>
      </c>
      <c r="H926">
        <v>3918</v>
      </c>
      <c r="I926">
        <v>2414</v>
      </c>
      <c r="J926">
        <v>1504</v>
      </c>
      <c r="K926" t="s">
        <v>35</v>
      </c>
      <c r="L926">
        <v>9</v>
      </c>
      <c r="M926" t="str">
        <f t="shared" si="14"/>
        <v>6-12 Months</v>
      </c>
      <c r="N926" s="1">
        <v>45128</v>
      </c>
      <c r="O926">
        <v>0</v>
      </c>
      <c r="P926">
        <v>925</v>
      </c>
      <c r="Q926" s="2">
        <v>0.38</v>
      </c>
      <c r="R926" t="s">
        <v>27</v>
      </c>
      <c r="S926">
        <v>2023</v>
      </c>
      <c r="T926" t="s">
        <v>44</v>
      </c>
    </row>
    <row r="927" spans="1:20" hidden="1" x14ac:dyDescent="0.3">
      <c r="A927">
        <v>1552</v>
      </c>
      <c r="B927">
        <v>356</v>
      </c>
      <c r="C927" t="s">
        <v>53</v>
      </c>
      <c r="D927" t="s">
        <v>19</v>
      </c>
      <c r="E927" t="s">
        <v>20</v>
      </c>
      <c r="F927" s="1">
        <v>44802</v>
      </c>
      <c r="G927" s="1">
        <v>44861</v>
      </c>
      <c r="H927">
        <v>2765</v>
      </c>
      <c r="I927">
        <v>2162</v>
      </c>
      <c r="J927">
        <v>603</v>
      </c>
      <c r="K927" t="s">
        <v>21</v>
      </c>
      <c r="L927">
        <v>1</v>
      </c>
      <c r="M927" t="str">
        <f t="shared" si="14"/>
        <v>0-6 Months</v>
      </c>
      <c r="N927" s="1">
        <v>44861</v>
      </c>
      <c r="O927">
        <v>0</v>
      </c>
      <c r="P927">
        <v>926</v>
      </c>
      <c r="Q927" s="2">
        <v>0.22</v>
      </c>
      <c r="R927" t="s">
        <v>27</v>
      </c>
      <c r="S927">
        <v>2022</v>
      </c>
      <c r="T927" t="s">
        <v>33</v>
      </c>
    </row>
    <row r="928" spans="1:20" hidden="1" x14ac:dyDescent="0.3">
      <c r="A928">
        <v>1553</v>
      </c>
      <c r="B928">
        <v>244</v>
      </c>
      <c r="C928" t="s">
        <v>40</v>
      </c>
      <c r="D928" t="s">
        <v>29</v>
      </c>
      <c r="E928" t="s">
        <v>26</v>
      </c>
      <c r="F928" s="1">
        <v>44871</v>
      </c>
      <c r="G928" s="1">
        <v>45016</v>
      </c>
      <c r="H928">
        <v>1950</v>
      </c>
      <c r="I928">
        <v>7301</v>
      </c>
      <c r="J928">
        <v>577.01</v>
      </c>
      <c r="K928" t="s">
        <v>21</v>
      </c>
      <c r="L928">
        <v>4</v>
      </c>
      <c r="M928" t="str">
        <f t="shared" si="14"/>
        <v>0-6 Months</v>
      </c>
      <c r="N928" s="1">
        <v>45016</v>
      </c>
      <c r="O928">
        <v>1</v>
      </c>
      <c r="P928">
        <v>927</v>
      </c>
      <c r="Q928" s="2">
        <v>0.3</v>
      </c>
      <c r="R928" t="s">
        <v>27</v>
      </c>
      <c r="S928">
        <v>2023</v>
      </c>
      <c r="T928" t="s">
        <v>38</v>
      </c>
    </row>
    <row r="929" spans="1:20" x14ac:dyDescent="0.3">
      <c r="A929">
        <v>1555</v>
      </c>
      <c r="B929">
        <v>280</v>
      </c>
      <c r="C929" t="s">
        <v>40</v>
      </c>
      <c r="D929" t="s">
        <v>19</v>
      </c>
      <c r="E929" t="s">
        <v>37</v>
      </c>
      <c r="F929" s="1">
        <v>44664</v>
      </c>
      <c r="G929" s="1">
        <v>45055</v>
      </c>
      <c r="H929">
        <v>4967.93</v>
      </c>
      <c r="I929">
        <v>5980</v>
      </c>
      <c r="J929">
        <v>-6922</v>
      </c>
      <c r="K929" t="s">
        <v>35</v>
      </c>
      <c r="L929">
        <v>12</v>
      </c>
      <c r="M929" t="str">
        <f t="shared" si="14"/>
        <v>6-12 Months</v>
      </c>
      <c r="N929" s="1">
        <v>45055</v>
      </c>
      <c r="O929">
        <v>1</v>
      </c>
      <c r="P929">
        <v>928</v>
      </c>
      <c r="Q929" s="2">
        <v>-1.39</v>
      </c>
      <c r="R929" t="s">
        <v>22</v>
      </c>
      <c r="S929">
        <v>2023</v>
      </c>
      <c r="T929" t="s">
        <v>28</v>
      </c>
    </row>
    <row r="930" spans="1:20" hidden="1" x14ac:dyDescent="0.3">
      <c r="A930">
        <v>1563</v>
      </c>
      <c r="B930">
        <v>448</v>
      </c>
      <c r="C930" t="s">
        <v>45</v>
      </c>
      <c r="D930" t="s">
        <v>29</v>
      </c>
      <c r="E930" t="s">
        <v>20</v>
      </c>
      <c r="F930" s="1">
        <v>44741</v>
      </c>
      <c r="G930" s="1">
        <v>45129</v>
      </c>
      <c r="H930">
        <v>1587</v>
      </c>
      <c r="I930">
        <v>4342</v>
      </c>
      <c r="J930">
        <v>-2755</v>
      </c>
      <c r="K930" t="s">
        <v>54</v>
      </c>
      <c r="L930">
        <v>12</v>
      </c>
      <c r="M930" t="str">
        <f t="shared" si="14"/>
        <v>6-12 Months</v>
      </c>
      <c r="N930" s="1">
        <v>45129</v>
      </c>
      <c r="O930">
        <v>1</v>
      </c>
      <c r="P930">
        <v>929</v>
      </c>
      <c r="Q930" s="2">
        <v>-1.74</v>
      </c>
      <c r="R930" t="s">
        <v>22</v>
      </c>
      <c r="S930">
        <v>2023</v>
      </c>
      <c r="T930" t="s">
        <v>44</v>
      </c>
    </row>
    <row r="931" spans="1:20" hidden="1" x14ac:dyDescent="0.3">
      <c r="A931">
        <v>1564</v>
      </c>
      <c r="B931">
        <v>273</v>
      </c>
      <c r="C931" t="s">
        <v>39</v>
      </c>
      <c r="D931" t="s">
        <v>19</v>
      </c>
      <c r="E931" t="s">
        <v>37</v>
      </c>
      <c r="F931" s="1">
        <v>44827</v>
      </c>
      <c r="G931" s="1">
        <v>45268</v>
      </c>
      <c r="H931">
        <v>3606</v>
      </c>
      <c r="I931">
        <v>5035</v>
      </c>
      <c r="J931">
        <v>-1429</v>
      </c>
      <c r="K931" t="s">
        <v>54</v>
      </c>
      <c r="L931">
        <v>14</v>
      </c>
      <c r="M931" t="str">
        <f t="shared" si="14"/>
        <v>6-12 Months</v>
      </c>
      <c r="N931" s="1">
        <v>45268</v>
      </c>
      <c r="O931">
        <v>0</v>
      </c>
      <c r="P931">
        <v>930</v>
      </c>
      <c r="Q931" s="2">
        <v>-0.4</v>
      </c>
      <c r="R931" t="s">
        <v>27</v>
      </c>
      <c r="S931">
        <v>2023</v>
      </c>
      <c r="T931" t="s">
        <v>31</v>
      </c>
    </row>
    <row r="932" spans="1:20" x14ac:dyDescent="0.3">
      <c r="A932">
        <v>1565</v>
      </c>
      <c r="B932">
        <v>154</v>
      </c>
      <c r="C932" t="s">
        <v>40</v>
      </c>
      <c r="D932" t="s">
        <v>19</v>
      </c>
      <c r="E932" t="s">
        <v>20</v>
      </c>
      <c r="F932" s="1">
        <v>44750</v>
      </c>
      <c r="G932" s="1">
        <v>44824</v>
      </c>
      <c r="H932">
        <v>6316</v>
      </c>
      <c r="I932">
        <v>3080</v>
      </c>
      <c r="J932">
        <v>3236</v>
      </c>
      <c r="K932" t="s">
        <v>35</v>
      </c>
      <c r="L932">
        <v>2</v>
      </c>
      <c r="M932" t="str">
        <f t="shared" si="14"/>
        <v>0-6 Months</v>
      </c>
      <c r="N932" s="1">
        <v>44824</v>
      </c>
      <c r="O932">
        <v>1</v>
      </c>
      <c r="P932">
        <v>931</v>
      </c>
      <c r="Q932" s="2">
        <v>0.51</v>
      </c>
      <c r="R932" t="s">
        <v>27</v>
      </c>
      <c r="S932">
        <v>2022</v>
      </c>
      <c r="T932" t="s">
        <v>30</v>
      </c>
    </row>
    <row r="933" spans="1:20" hidden="1" x14ac:dyDescent="0.3">
      <c r="A933">
        <v>1568</v>
      </c>
      <c r="B933">
        <v>187</v>
      </c>
      <c r="C933" t="s">
        <v>24</v>
      </c>
      <c r="D933" t="s">
        <v>19</v>
      </c>
      <c r="E933" t="s">
        <v>37</v>
      </c>
      <c r="F933" s="1">
        <v>44687</v>
      </c>
      <c r="G933" s="1">
        <v>45146</v>
      </c>
      <c r="H933">
        <v>4967.93</v>
      </c>
      <c r="I933">
        <v>5080</v>
      </c>
      <c r="J933">
        <v>-6372</v>
      </c>
      <c r="K933" t="s">
        <v>54</v>
      </c>
      <c r="L933">
        <v>15</v>
      </c>
      <c r="M933" t="str">
        <f t="shared" si="14"/>
        <v>6-12 Months</v>
      </c>
      <c r="N933" s="1">
        <v>45146</v>
      </c>
      <c r="O933">
        <v>0</v>
      </c>
      <c r="P933">
        <v>932</v>
      </c>
      <c r="Q933" s="2">
        <v>-1.28</v>
      </c>
      <c r="R933" t="s">
        <v>22</v>
      </c>
      <c r="S933">
        <v>2023</v>
      </c>
      <c r="T933" t="s">
        <v>36</v>
      </c>
    </row>
    <row r="934" spans="1:20" x14ac:dyDescent="0.3">
      <c r="A934">
        <v>1569</v>
      </c>
      <c r="B934">
        <v>496</v>
      </c>
      <c r="C934" t="s">
        <v>24</v>
      </c>
      <c r="D934" t="s">
        <v>25</v>
      </c>
      <c r="E934" t="s">
        <v>26</v>
      </c>
      <c r="F934" s="1">
        <v>44655</v>
      </c>
      <c r="G934" s="1">
        <v>44859</v>
      </c>
      <c r="H934">
        <v>1230</v>
      </c>
      <c r="I934">
        <v>1159</v>
      </c>
      <c r="J934">
        <v>71</v>
      </c>
      <c r="K934" t="s">
        <v>35</v>
      </c>
      <c r="L934">
        <v>6</v>
      </c>
      <c r="M934" t="str">
        <f t="shared" si="14"/>
        <v>12+ Months</v>
      </c>
      <c r="N934" s="1">
        <v>44859</v>
      </c>
      <c r="O934">
        <v>0</v>
      </c>
      <c r="P934">
        <v>933</v>
      </c>
      <c r="Q934" s="2">
        <v>0.06</v>
      </c>
      <c r="R934" t="s">
        <v>27</v>
      </c>
      <c r="S934">
        <v>2022</v>
      </c>
      <c r="T934" t="s">
        <v>33</v>
      </c>
    </row>
    <row r="935" spans="1:20" hidden="1" x14ac:dyDescent="0.3">
      <c r="A935">
        <v>1570</v>
      </c>
      <c r="B935">
        <v>151</v>
      </c>
      <c r="C935" t="s">
        <v>53</v>
      </c>
      <c r="D935" t="s">
        <v>29</v>
      </c>
      <c r="E935" t="s">
        <v>26</v>
      </c>
      <c r="F935" s="1">
        <v>44686</v>
      </c>
      <c r="G935" s="1">
        <v>44990</v>
      </c>
      <c r="H935">
        <v>7490</v>
      </c>
      <c r="I935">
        <v>7978</v>
      </c>
      <c r="J935">
        <v>-488</v>
      </c>
      <c r="K935" t="s">
        <v>21</v>
      </c>
      <c r="L935">
        <v>10</v>
      </c>
      <c r="M935" t="str">
        <f t="shared" si="14"/>
        <v>6-12 Months</v>
      </c>
      <c r="N935" s="1">
        <v>44990</v>
      </c>
      <c r="O935">
        <v>1</v>
      </c>
      <c r="P935">
        <v>934</v>
      </c>
      <c r="Q935" s="2">
        <v>-7.0000000000000007E-2</v>
      </c>
      <c r="R935" t="s">
        <v>27</v>
      </c>
      <c r="S935">
        <v>2023</v>
      </c>
      <c r="T935" t="s">
        <v>38</v>
      </c>
    </row>
    <row r="936" spans="1:20" x14ac:dyDescent="0.3">
      <c r="A936">
        <v>1571</v>
      </c>
      <c r="B936">
        <v>157</v>
      </c>
      <c r="C936" t="s">
        <v>24</v>
      </c>
      <c r="D936" t="s">
        <v>29</v>
      </c>
      <c r="E936" t="s">
        <v>20</v>
      </c>
      <c r="F936" s="1">
        <v>44564</v>
      </c>
      <c r="G936" s="1">
        <v>44673</v>
      </c>
      <c r="H936">
        <v>7103</v>
      </c>
      <c r="I936">
        <v>5785</v>
      </c>
      <c r="J936">
        <v>1318</v>
      </c>
      <c r="K936" t="s">
        <v>35</v>
      </c>
      <c r="L936">
        <v>3</v>
      </c>
      <c r="M936" t="str">
        <f t="shared" si="14"/>
        <v>0-6 Months</v>
      </c>
      <c r="N936" s="1">
        <v>44673</v>
      </c>
      <c r="O936">
        <v>0</v>
      </c>
      <c r="P936">
        <v>935</v>
      </c>
      <c r="Q936" s="2">
        <v>0.19</v>
      </c>
      <c r="R936" t="s">
        <v>27</v>
      </c>
      <c r="S936">
        <v>2022</v>
      </c>
      <c r="T936" t="s">
        <v>32</v>
      </c>
    </row>
    <row r="937" spans="1:20" hidden="1" x14ac:dyDescent="0.3">
      <c r="A937">
        <v>1572</v>
      </c>
      <c r="B937">
        <v>233</v>
      </c>
      <c r="C937" t="s">
        <v>53</v>
      </c>
      <c r="D937" t="s">
        <v>34</v>
      </c>
      <c r="E937" t="s">
        <v>20</v>
      </c>
      <c r="F937" s="1">
        <v>44627</v>
      </c>
      <c r="G937" s="1">
        <v>44714</v>
      </c>
      <c r="H937">
        <v>4967.93</v>
      </c>
      <c r="I937">
        <v>6265</v>
      </c>
      <c r="J937">
        <v>-7653</v>
      </c>
      <c r="K937" t="s">
        <v>54</v>
      </c>
      <c r="L937">
        <v>2</v>
      </c>
      <c r="M937" t="str">
        <f t="shared" si="14"/>
        <v>0-6 Months</v>
      </c>
      <c r="N937" s="1">
        <v>44714</v>
      </c>
      <c r="O937">
        <v>1</v>
      </c>
      <c r="P937">
        <v>936</v>
      </c>
      <c r="Q937" s="2">
        <v>-1.54</v>
      </c>
      <c r="R937" t="s">
        <v>22</v>
      </c>
      <c r="S937">
        <v>2022</v>
      </c>
      <c r="T937" t="s">
        <v>41</v>
      </c>
    </row>
    <row r="938" spans="1:20" hidden="1" x14ac:dyDescent="0.3">
      <c r="A938">
        <v>1574</v>
      </c>
      <c r="B938">
        <v>356</v>
      </c>
      <c r="C938" t="s">
        <v>40</v>
      </c>
      <c r="D938" t="s">
        <v>29</v>
      </c>
      <c r="E938" t="s">
        <v>37</v>
      </c>
      <c r="F938" s="1">
        <v>44596</v>
      </c>
      <c r="G938" s="1">
        <v>45145</v>
      </c>
      <c r="H938">
        <v>9975</v>
      </c>
      <c r="I938">
        <v>1952</v>
      </c>
      <c r="J938">
        <v>8023</v>
      </c>
      <c r="K938" t="s">
        <v>54</v>
      </c>
      <c r="L938">
        <v>18</v>
      </c>
      <c r="M938" t="str">
        <f t="shared" si="14"/>
        <v>6-12 Months</v>
      </c>
      <c r="N938" s="1">
        <v>45145</v>
      </c>
      <c r="O938">
        <v>1</v>
      </c>
      <c r="P938">
        <v>937</v>
      </c>
      <c r="Q938" s="2">
        <v>0.8</v>
      </c>
      <c r="R938" t="s">
        <v>27</v>
      </c>
      <c r="S938">
        <v>2023</v>
      </c>
      <c r="T938" t="s">
        <v>36</v>
      </c>
    </row>
    <row r="939" spans="1:20" hidden="1" x14ac:dyDescent="0.3">
      <c r="A939">
        <v>1576</v>
      </c>
      <c r="B939">
        <v>498</v>
      </c>
      <c r="C939" t="s">
        <v>53</v>
      </c>
      <c r="D939" t="s">
        <v>34</v>
      </c>
      <c r="E939" t="s">
        <v>37</v>
      </c>
      <c r="F939" s="1">
        <v>44910</v>
      </c>
      <c r="G939" s="1">
        <v>45362</v>
      </c>
      <c r="H939">
        <v>4585</v>
      </c>
      <c r="I939">
        <v>6634</v>
      </c>
      <c r="J939">
        <v>-2049</v>
      </c>
      <c r="K939" t="s">
        <v>54</v>
      </c>
      <c r="L939">
        <v>14</v>
      </c>
      <c r="M939" t="str">
        <f t="shared" si="14"/>
        <v>6-12 Months</v>
      </c>
      <c r="N939" s="1">
        <v>45362</v>
      </c>
      <c r="O939">
        <v>1</v>
      </c>
      <c r="P939">
        <v>938</v>
      </c>
      <c r="Q939" s="2">
        <v>-0.45</v>
      </c>
      <c r="R939" t="s">
        <v>27</v>
      </c>
      <c r="S939">
        <v>2024</v>
      </c>
      <c r="T939" t="s">
        <v>38</v>
      </c>
    </row>
    <row r="940" spans="1:20" x14ac:dyDescent="0.3">
      <c r="A940">
        <v>1579</v>
      </c>
      <c r="B940">
        <v>405</v>
      </c>
      <c r="C940" t="s">
        <v>53</v>
      </c>
      <c r="D940" t="s">
        <v>25</v>
      </c>
      <c r="E940" t="s">
        <v>20</v>
      </c>
      <c r="F940" s="1">
        <v>44610</v>
      </c>
      <c r="G940" s="1">
        <v>44835</v>
      </c>
      <c r="H940">
        <v>5845</v>
      </c>
      <c r="I940">
        <v>3001</v>
      </c>
      <c r="J940">
        <v>2844</v>
      </c>
      <c r="K940" t="s">
        <v>35</v>
      </c>
      <c r="L940">
        <v>7</v>
      </c>
      <c r="M940" t="str">
        <f t="shared" si="14"/>
        <v>6-12 Months</v>
      </c>
      <c r="N940" s="1">
        <v>44835</v>
      </c>
      <c r="O940">
        <v>0</v>
      </c>
      <c r="P940">
        <v>939</v>
      </c>
      <c r="Q940" s="2">
        <v>0.49</v>
      </c>
      <c r="R940" t="s">
        <v>27</v>
      </c>
      <c r="S940">
        <v>2022</v>
      </c>
      <c r="T940" t="s">
        <v>33</v>
      </c>
    </row>
    <row r="941" spans="1:20" hidden="1" x14ac:dyDescent="0.3">
      <c r="A941">
        <v>1580</v>
      </c>
      <c r="B941">
        <v>227</v>
      </c>
      <c r="C941" t="s">
        <v>45</v>
      </c>
      <c r="D941" t="s">
        <v>19</v>
      </c>
      <c r="E941" t="s">
        <v>37</v>
      </c>
      <c r="F941" s="1">
        <v>44648</v>
      </c>
      <c r="G941" s="1">
        <v>44818</v>
      </c>
      <c r="H941">
        <v>3474</v>
      </c>
      <c r="I941">
        <v>4397</v>
      </c>
      <c r="J941">
        <v>-923</v>
      </c>
      <c r="K941" t="s">
        <v>54</v>
      </c>
      <c r="L941">
        <v>5</v>
      </c>
      <c r="M941" t="str">
        <f t="shared" si="14"/>
        <v>0-6 Months</v>
      </c>
      <c r="N941" s="1">
        <v>44818</v>
      </c>
      <c r="O941">
        <v>0</v>
      </c>
      <c r="P941">
        <v>940</v>
      </c>
      <c r="Q941" s="2">
        <v>-0.27</v>
      </c>
      <c r="R941" t="s">
        <v>27</v>
      </c>
      <c r="S941">
        <v>2022</v>
      </c>
      <c r="T941" t="s">
        <v>30</v>
      </c>
    </row>
    <row r="942" spans="1:20" hidden="1" x14ac:dyDescent="0.3">
      <c r="A942">
        <v>1582</v>
      </c>
      <c r="B942">
        <v>411</v>
      </c>
      <c r="C942" t="s">
        <v>53</v>
      </c>
      <c r="D942" t="s">
        <v>25</v>
      </c>
      <c r="E942" t="s">
        <v>20</v>
      </c>
      <c r="F942" s="1">
        <v>44764</v>
      </c>
      <c r="G942" s="1">
        <v>45186</v>
      </c>
      <c r="H942">
        <v>6905</v>
      </c>
      <c r="I942">
        <v>6291</v>
      </c>
      <c r="J942">
        <v>614</v>
      </c>
      <c r="K942" t="s">
        <v>54</v>
      </c>
      <c r="L942">
        <v>13</v>
      </c>
      <c r="M942" t="str">
        <f t="shared" si="14"/>
        <v>6-12 Months</v>
      </c>
      <c r="N942" s="1">
        <v>45186</v>
      </c>
      <c r="O942">
        <v>0</v>
      </c>
      <c r="P942">
        <v>941</v>
      </c>
      <c r="Q942" s="2">
        <v>0.09</v>
      </c>
      <c r="R942" t="s">
        <v>27</v>
      </c>
      <c r="S942">
        <v>2023</v>
      </c>
      <c r="T942" t="s">
        <v>30</v>
      </c>
    </row>
    <row r="943" spans="1:20" x14ac:dyDescent="0.3">
      <c r="A943">
        <v>1584</v>
      </c>
      <c r="B943">
        <v>187</v>
      </c>
      <c r="C943" t="s">
        <v>40</v>
      </c>
      <c r="D943" t="s">
        <v>25</v>
      </c>
      <c r="E943" t="s">
        <v>37</v>
      </c>
      <c r="F943" s="1">
        <v>44593</v>
      </c>
      <c r="G943" s="1">
        <v>44702</v>
      </c>
      <c r="H943">
        <v>4967.93</v>
      </c>
      <c r="I943">
        <v>2959</v>
      </c>
      <c r="J943">
        <v>-2972</v>
      </c>
      <c r="K943" t="s">
        <v>35</v>
      </c>
      <c r="L943">
        <v>3</v>
      </c>
      <c r="M943" t="str">
        <f t="shared" si="14"/>
        <v>0-6 Months</v>
      </c>
      <c r="N943" s="1">
        <v>44702</v>
      </c>
      <c r="O943">
        <v>0</v>
      </c>
      <c r="P943">
        <v>942</v>
      </c>
      <c r="Q943" s="2">
        <v>-0.6</v>
      </c>
      <c r="R943" t="s">
        <v>27</v>
      </c>
      <c r="S943">
        <v>2022</v>
      </c>
      <c r="T943" t="s">
        <v>28</v>
      </c>
    </row>
    <row r="944" spans="1:20" hidden="1" x14ac:dyDescent="0.3">
      <c r="A944">
        <v>1585</v>
      </c>
      <c r="B944">
        <v>155</v>
      </c>
      <c r="C944" t="s">
        <v>40</v>
      </c>
      <c r="D944" t="s">
        <v>19</v>
      </c>
      <c r="E944" t="s">
        <v>26</v>
      </c>
      <c r="F944" s="1">
        <v>44655</v>
      </c>
      <c r="G944" s="1">
        <v>44819</v>
      </c>
      <c r="H944">
        <v>962</v>
      </c>
      <c r="I944">
        <v>1506</v>
      </c>
      <c r="J944">
        <v>-544</v>
      </c>
      <c r="K944" t="s">
        <v>21</v>
      </c>
      <c r="L944">
        <v>5</v>
      </c>
      <c r="M944" t="str">
        <f t="shared" si="14"/>
        <v>0-6 Months</v>
      </c>
      <c r="N944" s="1">
        <v>44819</v>
      </c>
      <c r="O944">
        <v>0</v>
      </c>
      <c r="P944">
        <v>943</v>
      </c>
      <c r="Q944" s="2">
        <v>-0.56999999999999995</v>
      </c>
      <c r="R944" t="s">
        <v>27</v>
      </c>
      <c r="S944">
        <v>2022</v>
      </c>
      <c r="T944" t="s">
        <v>30</v>
      </c>
    </row>
    <row r="945" spans="1:20" hidden="1" x14ac:dyDescent="0.3">
      <c r="A945">
        <v>1587</v>
      </c>
      <c r="B945">
        <v>282</v>
      </c>
      <c r="C945" t="s">
        <v>39</v>
      </c>
      <c r="D945" t="s">
        <v>29</v>
      </c>
      <c r="E945" t="s">
        <v>26</v>
      </c>
      <c r="F945" s="1">
        <v>44819</v>
      </c>
      <c r="G945" s="1">
        <v>45025</v>
      </c>
      <c r="H945">
        <v>9175</v>
      </c>
      <c r="I945">
        <v>4505</v>
      </c>
      <c r="J945">
        <v>4670</v>
      </c>
      <c r="K945" t="s">
        <v>54</v>
      </c>
      <c r="L945">
        <v>6</v>
      </c>
      <c r="M945" t="str">
        <f t="shared" si="14"/>
        <v>12+ Months</v>
      </c>
      <c r="N945" s="1">
        <v>45025</v>
      </c>
      <c r="O945">
        <v>0</v>
      </c>
      <c r="P945">
        <v>944</v>
      </c>
      <c r="Q945" s="2">
        <v>0.51</v>
      </c>
      <c r="R945" t="s">
        <v>27</v>
      </c>
      <c r="S945">
        <v>2023</v>
      </c>
      <c r="T945" t="s">
        <v>32</v>
      </c>
    </row>
    <row r="946" spans="1:20" hidden="1" x14ac:dyDescent="0.3">
      <c r="A946">
        <v>1589</v>
      </c>
      <c r="B946">
        <v>223</v>
      </c>
      <c r="C946" t="s">
        <v>24</v>
      </c>
      <c r="D946" t="s">
        <v>29</v>
      </c>
      <c r="E946" t="s">
        <v>37</v>
      </c>
      <c r="F946" s="1">
        <v>44865</v>
      </c>
      <c r="G946" s="1">
        <v>45043</v>
      </c>
      <c r="H946">
        <v>3885</v>
      </c>
      <c r="I946">
        <v>6476</v>
      </c>
      <c r="J946">
        <v>-2591</v>
      </c>
      <c r="K946" t="s">
        <v>54</v>
      </c>
      <c r="L946">
        <v>5</v>
      </c>
      <c r="M946" t="str">
        <f t="shared" si="14"/>
        <v>0-6 Months</v>
      </c>
      <c r="N946" s="1">
        <v>45043</v>
      </c>
      <c r="O946">
        <v>1</v>
      </c>
      <c r="P946">
        <v>945</v>
      </c>
      <c r="Q946" s="2">
        <v>-0.67</v>
      </c>
      <c r="R946" t="s">
        <v>27</v>
      </c>
      <c r="S946">
        <v>2023</v>
      </c>
      <c r="T946" t="s">
        <v>32</v>
      </c>
    </row>
    <row r="947" spans="1:20" hidden="1" x14ac:dyDescent="0.3">
      <c r="A947">
        <v>1590</v>
      </c>
      <c r="B947">
        <v>194</v>
      </c>
      <c r="C947" t="s">
        <v>45</v>
      </c>
      <c r="D947" t="s">
        <v>19</v>
      </c>
      <c r="E947" t="s">
        <v>20</v>
      </c>
      <c r="F947" s="1">
        <v>44683</v>
      </c>
      <c r="G947" s="1">
        <v>44776</v>
      </c>
      <c r="H947">
        <v>7376</v>
      </c>
      <c r="I947">
        <v>6724</v>
      </c>
      <c r="J947">
        <v>577.01</v>
      </c>
      <c r="K947" t="s">
        <v>21</v>
      </c>
      <c r="L947">
        <v>3</v>
      </c>
      <c r="M947" t="str">
        <f t="shared" si="14"/>
        <v>0-6 Months</v>
      </c>
      <c r="N947" s="1">
        <v>44776</v>
      </c>
      <c r="O947">
        <v>0</v>
      </c>
      <c r="P947">
        <v>946</v>
      </c>
      <c r="Q947" s="2">
        <v>0.08</v>
      </c>
      <c r="R947" t="s">
        <v>27</v>
      </c>
      <c r="S947">
        <v>2022</v>
      </c>
      <c r="T947" t="s">
        <v>36</v>
      </c>
    </row>
    <row r="948" spans="1:20" hidden="1" x14ac:dyDescent="0.3">
      <c r="A948">
        <v>1591</v>
      </c>
      <c r="B948">
        <v>392</v>
      </c>
      <c r="C948" t="s">
        <v>53</v>
      </c>
      <c r="D948" t="s">
        <v>34</v>
      </c>
      <c r="E948" t="s">
        <v>20</v>
      </c>
      <c r="F948" s="1">
        <v>44569</v>
      </c>
      <c r="G948" s="1">
        <v>45059</v>
      </c>
      <c r="H948">
        <v>5900</v>
      </c>
      <c r="I948">
        <v>4012.75</v>
      </c>
      <c r="J948">
        <v>6171</v>
      </c>
      <c r="K948" t="s">
        <v>21</v>
      </c>
      <c r="L948">
        <v>16</v>
      </c>
      <c r="M948" t="str">
        <f t="shared" si="14"/>
        <v>6-12 Months</v>
      </c>
      <c r="N948" s="1">
        <v>45059</v>
      </c>
      <c r="O948">
        <v>0</v>
      </c>
      <c r="P948">
        <v>947</v>
      </c>
      <c r="Q948" s="2">
        <v>1.05</v>
      </c>
      <c r="R948" t="s">
        <v>22</v>
      </c>
      <c r="S948">
        <v>2023</v>
      </c>
      <c r="T948" t="s">
        <v>28</v>
      </c>
    </row>
    <row r="949" spans="1:20" hidden="1" x14ac:dyDescent="0.3">
      <c r="A949">
        <v>1594</v>
      </c>
      <c r="B949">
        <v>289</v>
      </c>
      <c r="C949" t="s">
        <v>53</v>
      </c>
      <c r="D949" t="s">
        <v>34</v>
      </c>
      <c r="E949" t="s">
        <v>20</v>
      </c>
      <c r="F949" s="1">
        <v>44856</v>
      </c>
      <c r="G949" s="1">
        <v>45393</v>
      </c>
      <c r="H949">
        <v>6994</v>
      </c>
      <c r="I949">
        <v>5902</v>
      </c>
      <c r="J949">
        <v>1092</v>
      </c>
      <c r="K949" t="s">
        <v>21</v>
      </c>
      <c r="L949">
        <v>17</v>
      </c>
      <c r="M949" t="str">
        <f t="shared" si="14"/>
        <v>6-12 Months</v>
      </c>
      <c r="N949" s="1">
        <v>45393</v>
      </c>
      <c r="O949">
        <v>0</v>
      </c>
      <c r="P949">
        <v>948</v>
      </c>
      <c r="Q949" s="2">
        <v>0.16</v>
      </c>
      <c r="R949" t="s">
        <v>27</v>
      </c>
      <c r="S949">
        <v>2024</v>
      </c>
      <c r="T949" t="s">
        <v>32</v>
      </c>
    </row>
    <row r="950" spans="1:20" hidden="1" x14ac:dyDescent="0.3">
      <c r="A950">
        <v>1596</v>
      </c>
      <c r="B950">
        <v>168</v>
      </c>
      <c r="C950" t="s">
        <v>24</v>
      </c>
      <c r="D950" t="s">
        <v>34</v>
      </c>
      <c r="E950" t="s">
        <v>37</v>
      </c>
      <c r="F950" s="1">
        <v>44758</v>
      </c>
      <c r="G950" s="1">
        <v>44844</v>
      </c>
      <c r="H950">
        <v>4590</v>
      </c>
      <c r="I950">
        <v>4797</v>
      </c>
      <c r="J950">
        <v>-207</v>
      </c>
      <c r="K950" t="s">
        <v>54</v>
      </c>
      <c r="L950">
        <v>2</v>
      </c>
      <c r="M950" t="str">
        <f t="shared" si="14"/>
        <v>0-6 Months</v>
      </c>
      <c r="N950" s="1">
        <v>44844</v>
      </c>
      <c r="O950">
        <v>0</v>
      </c>
      <c r="P950">
        <v>949</v>
      </c>
      <c r="Q950" s="2">
        <v>-0.05</v>
      </c>
      <c r="R950" t="s">
        <v>27</v>
      </c>
      <c r="S950">
        <v>2022</v>
      </c>
      <c r="T950" t="s">
        <v>33</v>
      </c>
    </row>
    <row r="951" spans="1:20" x14ac:dyDescent="0.3">
      <c r="A951">
        <v>1597</v>
      </c>
      <c r="B951">
        <v>471</v>
      </c>
      <c r="C951" t="s">
        <v>40</v>
      </c>
      <c r="D951" t="s">
        <v>29</v>
      </c>
      <c r="E951" t="s">
        <v>20</v>
      </c>
      <c r="F951" s="1">
        <v>44658</v>
      </c>
      <c r="G951" s="1">
        <v>45135</v>
      </c>
      <c r="H951">
        <v>7070</v>
      </c>
      <c r="I951">
        <v>1433</v>
      </c>
      <c r="J951">
        <v>5637</v>
      </c>
      <c r="K951" t="s">
        <v>35</v>
      </c>
      <c r="L951">
        <v>15</v>
      </c>
      <c r="M951" t="str">
        <f t="shared" si="14"/>
        <v>6-12 Months</v>
      </c>
      <c r="N951" s="1">
        <v>45135</v>
      </c>
      <c r="O951">
        <v>0</v>
      </c>
      <c r="P951">
        <v>950</v>
      </c>
      <c r="Q951" s="2">
        <v>0.8</v>
      </c>
      <c r="R951" t="s">
        <v>27</v>
      </c>
      <c r="S951">
        <v>2023</v>
      </c>
      <c r="T951" t="s">
        <v>44</v>
      </c>
    </row>
    <row r="952" spans="1:20" hidden="1" x14ac:dyDescent="0.3">
      <c r="A952">
        <v>1598</v>
      </c>
      <c r="B952">
        <v>233</v>
      </c>
      <c r="C952" t="s">
        <v>40</v>
      </c>
      <c r="D952" t="s">
        <v>19</v>
      </c>
      <c r="E952" t="s">
        <v>20</v>
      </c>
      <c r="F952" s="1">
        <v>44743</v>
      </c>
      <c r="G952" s="1">
        <v>45216</v>
      </c>
      <c r="H952">
        <v>6110</v>
      </c>
      <c r="I952">
        <v>1340</v>
      </c>
      <c r="J952">
        <v>4770</v>
      </c>
      <c r="K952" t="s">
        <v>21</v>
      </c>
      <c r="L952">
        <v>15</v>
      </c>
      <c r="M952" t="str">
        <f t="shared" si="14"/>
        <v>6-12 Months</v>
      </c>
      <c r="N952" s="1">
        <v>45216</v>
      </c>
      <c r="O952">
        <v>1</v>
      </c>
      <c r="P952">
        <v>951</v>
      </c>
      <c r="Q952" s="2">
        <v>0.78</v>
      </c>
      <c r="R952" t="s">
        <v>27</v>
      </c>
      <c r="S952">
        <v>2023</v>
      </c>
      <c r="T952" t="s">
        <v>33</v>
      </c>
    </row>
    <row r="953" spans="1:20" x14ac:dyDescent="0.3">
      <c r="A953">
        <v>1599</v>
      </c>
      <c r="B953">
        <v>390</v>
      </c>
      <c r="C953" t="s">
        <v>53</v>
      </c>
      <c r="D953" t="s">
        <v>29</v>
      </c>
      <c r="E953" t="s">
        <v>20</v>
      </c>
      <c r="F953" s="1">
        <v>44875</v>
      </c>
      <c r="G953" s="1">
        <v>45379</v>
      </c>
      <c r="H953">
        <v>2946</v>
      </c>
      <c r="I953">
        <v>4012.75</v>
      </c>
      <c r="J953">
        <v>3165</v>
      </c>
      <c r="K953" t="s">
        <v>35</v>
      </c>
      <c r="L953">
        <v>16</v>
      </c>
      <c r="M953" t="str">
        <f t="shared" si="14"/>
        <v>6-12 Months</v>
      </c>
      <c r="N953" s="1">
        <v>45379</v>
      </c>
      <c r="O953">
        <v>0</v>
      </c>
      <c r="P953">
        <v>952</v>
      </c>
      <c r="Q953" s="2">
        <v>1.07</v>
      </c>
      <c r="R953" t="s">
        <v>22</v>
      </c>
      <c r="S953">
        <v>2024</v>
      </c>
      <c r="T953" t="s">
        <v>38</v>
      </c>
    </row>
    <row r="954" spans="1:20" hidden="1" x14ac:dyDescent="0.3">
      <c r="A954">
        <v>1600</v>
      </c>
      <c r="B954">
        <v>316</v>
      </c>
      <c r="C954" t="s">
        <v>45</v>
      </c>
      <c r="D954" t="s">
        <v>19</v>
      </c>
      <c r="E954" t="s">
        <v>37</v>
      </c>
      <c r="F954" s="1">
        <v>44776</v>
      </c>
      <c r="G954" s="1">
        <v>45147</v>
      </c>
      <c r="H954">
        <v>4165</v>
      </c>
      <c r="I954">
        <v>4012.75</v>
      </c>
      <c r="J954">
        <v>4424</v>
      </c>
      <c r="K954" t="s">
        <v>54</v>
      </c>
      <c r="L954">
        <v>12</v>
      </c>
      <c r="M954" t="str">
        <f t="shared" si="14"/>
        <v>6-12 Months</v>
      </c>
      <c r="N954" s="1">
        <v>45147</v>
      </c>
      <c r="O954">
        <v>1</v>
      </c>
      <c r="P954">
        <v>953</v>
      </c>
      <c r="Q954" s="2">
        <v>1.06</v>
      </c>
      <c r="R954" t="s">
        <v>22</v>
      </c>
      <c r="S954">
        <v>2023</v>
      </c>
      <c r="T954" t="s">
        <v>36</v>
      </c>
    </row>
    <row r="955" spans="1:20" x14ac:dyDescent="0.3">
      <c r="A955">
        <v>1601</v>
      </c>
      <c r="B955">
        <v>476</v>
      </c>
      <c r="C955" t="s">
        <v>53</v>
      </c>
      <c r="D955" t="s">
        <v>25</v>
      </c>
      <c r="E955" t="s">
        <v>26</v>
      </c>
      <c r="F955" s="1">
        <v>44908</v>
      </c>
      <c r="G955" s="1">
        <v>45172</v>
      </c>
      <c r="H955">
        <v>2269</v>
      </c>
      <c r="I955">
        <v>4738</v>
      </c>
      <c r="J955">
        <v>-2469</v>
      </c>
      <c r="K955" t="s">
        <v>35</v>
      </c>
      <c r="L955">
        <v>8</v>
      </c>
      <c r="M955" t="str">
        <f t="shared" si="14"/>
        <v>6-12 Months</v>
      </c>
      <c r="N955" s="1">
        <v>45172</v>
      </c>
      <c r="O955">
        <v>0</v>
      </c>
      <c r="P955">
        <v>954</v>
      </c>
      <c r="Q955" s="2">
        <v>-1.0900000000000001</v>
      </c>
      <c r="R955" t="s">
        <v>22</v>
      </c>
      <c r="S955">
        <v>2023</v>
      </c>
      <c r="T955" t="s">
        <v>30</v>
      </c>
    </row>
    <row r="956" spans="1:20" x14ac:dyDescent="0.3">
      <c r="A956">
        <v>1603</v>
      </c>
      <c r="B956">
        <v>465</v>
      </c>
      <c r="C956" t="s">
        <v>24</v>
      </c>
      <c r="D956" t="s">
        <v>25</v>
      </c>
      <c r="E956" t="s">
        <v>26</v>
      </c>
      <c r="F956" s="1">
        <v>44586</v>
      </c>
      <c r="G956" s="1">
        <v>44871</v>
      </c>
      <c r="H956">
        <v>40</v>
      </c>
      <c r="I956">
        <v>1952</v>
      </c>
      <c r="J956">
        <v>-1912</v>
      </c>
      <c r="K956" t="s">
        <v>35</v>
      </c>
      <c r="L956">
        <v>9</v>
      </c>
      <c r="M956" t="str">
        <f t="shared" si="14"/>
        <v>6-12 Months</v>
      </c>
      <c r="N956" s="1">
        <v>44871</v>
      </c>
      <c r="O956">
        <v>1</v>
      </c>
      <c r="P956">
        <v>955</v>
      </c>
      <c r="Q956" s="2">
        <v>-47.8</v>
      </c>
      <c r="R956" t="s">
        <v>22</v>
      </c>
      <c r="S956">
        <v>2022</v>
      </c>
      <c r="T956" t="s">
        <v>42</v>
      </c>
    </row>
    <row r="957" spans="1:20" x14ac:dyDescent="0.3">
      <c r="A957">
        <v>1606</v>
      </c>
      <c r="B957">
        <v>497</v>
      </c>
      <c r="C957" t="s">
        <v>24</v>
      </c>
      <c r="D957" t="s">
        <v>34</v>
      </c>
      <c r="E957" t="s">
        <v>26</v>
      </c>
      <c r="F957" s="1">
        <v>44925</v>
      </c>
      <c r="G957" s="1">
        <v>45135</v>
      </c>
      <c r="H957">
        <v>892</v>
      </c>
      <c r="I957">
        <v>6640</v>
      </c>
      <c r="J957">
        <v>-5748</v>
      </c>
      <c r="K957" t="s">
        <v>35</v>
      </c>
      <c r="L957">
        <v>6</v>
      </c>
      <c r="M957" t="str">
        <f t="shared" si="14"/>
        <v>12+ Months</v>
      </c>
      <c r="N957" s="1">
        <v>45135</v>
      </c>
      <c r="O957">
        <v>0</v>
      </c>
      <c r="P957">
        <v>956</v>
      </c>
      <c r="Q957" s="2">
        <v>-6.44</v>
      </c>
      <c r="R957" t="s">
        <v>22</v>
      </c>
      <c r="S957">
        <v>2023</v>
      </c>
      <c r="T957" t="s">
        <v>44</v>
      </c>
    </row>
    <row r="958" spans="1:20" hidden="1" x14ac:dyDescent="0.3">
      <c r="A958">
        <v>1608</v>
      </c>
      <c r="B958">
        <v>390</v>
      </c>
      <c r="C958" t="s">
        <v>45</v>
      </c>
      <c r="D958" t="s">
        <v>25</v>
      </c>
      <c r="E958" t="s">
        <v>26</v>
      </c>
      <c r="F958" s="1">
        <v>44711</v>
      </c>
      <c r="G958" s="1">
        <v>44987</v>
      </c>
      <c r="H958">
        <v>7652</v>
      </c>
      <c r="I958">
        <v>7425</v>
      </c>
      <c r="J958">
        <v>227</v>
      </c>
      <c r="K958" t="s">
        <v>21</v>
      </c>
      <c r="L958">
        <v>9</v>
      </c>
      <c r="M958" t="str">
        <f t="shared" si="14"/>
        <v>6-12 Months</v>
      </c>
      <c r="N958" s="1">
        <v>44987</v>
      </c>
      <c r="O958">
        <v>1</v>
      </c>
      <c r="P958">
        <v>957</v>
      </c>
      <c r="Q958" s="2">
        <v>0.03</v>
      </c>
      <c r="R958" t="s">
        <v>27</v>
      </c>
      <c r="S958">
        <v>2023</v>
      </c>
      <c r="T958" t="s">
        <v>38</v>
      </c>
    </row>
    <row r="959" spans="1:20" x14ac:dyDescent="0.3">
      <c r="A959">
        <v>1610</v>
      </c>
      <c r="B959">
        <v>213</v>
      </c>
      <c r="C959" t="s">
        <v>40</v>
      </c>
      <c r="D959" t="s">
        <v>34</v>
      </c>
      <c r="E959" t="s">
        <v>20</v>
      </c>
      <c r="F959" s="1">
        <v>44695</v>
      </c>
      <c r="G959" s="1">
        <v>45058</v>
      </c>
      <c r="H959">
        <v>6900</v>
      </c>
      <c r="I959">
        <v>3780</v>
      </c>
      <c r="J959">
        <v>3120</v>
      </c>
      <c r="K959" t="s">
        <v>35</v>
      </c>
      <c r="L959">
        <v>11</v>
      </c>
      <c r="M959" t="str">
        <f t="shared" si="14"/>
        <v>6-12 Months</v>
      </c>
      <c r="N959" s="1">
        <v>45058</v>
      </c>
      <c r="O959">
        <v>1</v>
      </c>
      <c r="P959">
        <v>958</v>
      </c>
      <c r="Q959" s="2">
        <v>0.45</v>
      </c>
      <c r="R959" t="s">
        <v>27</v>
      </c>
      <c r="S959">
        <v>2023</v>
      </c>
      <c r="T959" t="s">
        <v>28</v>
      </c>
    </row>
    <row r="960" spans="1:20" hidden="1" x14ac:dyDescent="0.3">
      <c r="A960">
        <v>1611</v>
      </c>
      <c r="B960">
        <v>283</v>
      </c>
      <c r="C960" t="s">
        <v>53</v>
      </c>
      <c r="D960" t="s">
        <v>34</v>
      </c>
      <c r="E960" t="s">
        <v>20</v>
      </c>
      <c r="F960" s="1">
        <v>44619</v>
      </c>
      <c r="G960" s="1">
        <v>45149</v>
      </c>
      <c r="H960">
        <v>687</v>
      </c>
      <c r="I960">
        <v>1321</v>
      </c>
      <c r="J960">
        <v>-634</v>
      </c>
      <c r="K960" t="s">
        <v>54</v>
      </c>
      <c r="L960">
        <v>17</v>
      </c>
      <c r="M960" t="str">
        <f t="shared" si="14"/>
        <v>6-12 Months</v>
      </c>
      <c r="N960" s="1">
        <v>45149</v>
      </c>
      <c r="O960">
        <v>0</v>
      </c>
      <c r="P960">
        <v>959</v>
      </c>
      <c r="Q960" s="2">
        <v>-0.92</v>
      </c>
      <c r="R960" t="s">
        <v>27</v>
      </c>
      <c r="S960">
        <v>2023</v>
      </c>
      <c r="T960" t="s">
        <v>36</v>
      </c>
    </row>
    <row r="961" spans="1:20" hidden="1" x14ac:dyDescent="0.3">
      <c r="A961">
        <v>1613</v>
      </c>
      <c r="B961">
        <v>436</v>
      </c>
      <c r="C961" t="s">
        <v>45</v>
      </c>
      <c r="D961" t="s">
        <v>29</v>
      </c>
      <c r="E961" t="s">
        <v>37</v>
      </c>
      <c r="F961" s="1">
        <v>44704</v>
      </c>
      <c r="G961" s="1">
        <v>45238</v>
      </c>
      <c r="H961">
        <v>3765</v>
      </c>
      <c r="I961">
        <v>660</v>
      </c>
      <c r="J961">
        <v>3105</v>
      </c>
      <c r="K961" t="s">
        <v>54</v>
      </c>
      <c r="L961">
        <v>17</v>
      </c>
      <c r="M961" t="str">
        <f t="shared" si="14"/>
        <v>6-12 Months</v>
      </c>
      <c r="N961" s="1">
        <v>45238</v>
      </c>
      <c r="O961">
        <v>1</v>
      </c>
      <c r="P961">
        <v>960</v>
      </c>
      <c r="Q961" s="2">
        <v>0.82</v>
      </c>
      <c r="R961" t="s">
        <v>27</v>
      </c>
      <c r="S961">
        <v>2023</v>
      </c>
      <c r="T961" t="s">
        <v>42</v>
      </c>
    </row>
    <row r="962" spans="1:20" hidden="1" x14ac:dyDescent="0.3">
      <c r="A962">
        <v>1614</v>
      </c>
      <c r="B962">
        <v>312</v>
      </c>
      <c r="C962" t="s">
        <v>24</v>
      </c>
      <c r="D962" t="s">
        <v>34</v>
      </c>
      <c r="E962" t="s">
        <v>20</v>
      </c>
      <c r="F962" s="1">
        <v>44598</v>
      </c>
      <c r="G962" s="1">
        <v>44923</v>
      </c>
      <c r="H962">
        <v>2183</v>
      </c>
      <c r="I962">
        <v>1405</v>
      </c>
      <c r="J962">
        <v>778</v>
      </c>
      <c r="K962" t="s">
        <v>54</v>
      </c>
      <c r="L962">
        <v>10</v>
      </c>
      <c r="M962" t="str">
        <f t="shared" ref="M962:M1025" si="15">IF(L962&lt;6,"0-6 Months",IF(L962&gt;6,"6-12 Months","12+ Months"))</f>
        <v>6-12 Months</v>
      </c>
      <c r="N962" s="1">
        <v>44923</v>
      </c>
      <c r="O962">
        <v>1</v>
      </c>
      <c r="P962">
        <v>961</v>
      </c>
      <c r="Q962" s="2">
        <v>0.36</v>
      </c>
      <c r="R962" t="s">
        <v>27</v>
      </c>
      <c r="S962">
        <v>2022</v>
      </c>
      <c r="T962" t="s">
        <v>31</v>
      </c>
    </row>
    <row r="963" spans="1:20" hidden="1" x14ac:dyDescent="0.3">
      <c r="A963">
        <v>1616</v>
      </c>
      <c r="B963">
        <v>425</v>
      </c>
      <c r="C963" t="s">
        <v>39</v>
      </c>
      <c r="D963" t="s">
        <v>29</v>
      </c>
      <c r="E963" t="s">
        <v>26</v>
      </c>
      <c r="F963" s="1">
        <v>44861</v>
      </c>
      <c r="G963" s="1">
        <v>45364</v>
      </c>
      <c r="H963">
        <v>8877</v>
      </c>
      <c r="I963">
        <v>6182</v>
      </c>
      <c r="J963">
        <v>2695</v>
      </c>
      <c r="K963" t="s">
        <v>54</v>
      </c>
      <c r="L963">
        <v>16</v>
      </c>
      <c r="M963" t="str">
        <f t="shared" si="15"/>
        <v>6-12 Months</v>
      </c>
      <c r="N963" s="1">
        <v>45364</v>
      </c>
      <c r="O963">
        <v>1</v>
      </c>
      <c r="P963">
        <v>962</v>
      </c>
      <c r="Q963" s="2">
        <v>0.3</v>
      </c>
      <c r="R963" t="s">
        <v>27</v>
      </c>
      <c r="S963">
        <v>2024</v>
      </c>
      <c r="T963" t="s">
        <v>38</v>
      </c>
    </row>
    <row r="964" spans="1:20" hidden="1" x14ac:dyDescent="0.3">
      <c r="A964">
        <v>1620</v>
      </c>
      <c r="B964">
        <v>215</v>
      </c>
      <c r="C964" t="s">
        <v>53</v>
      </c>
      <c r="D964" t="s">
        <v>29</v>
      </c>
      <c r="E964" t="s">
        <v>26</v>
      </c>
      <c r="F964" s="1">
        <v>44678</v>
      </c>
      <c r="G964" s="1">
        <v>45089</v>
      </c>
      <c r="H964">
        <v>9262</v>
      </c>
      <c r="I964">
        <v>4590</v>
      </c>
      <c r="J964">
        <v>4672</v>
      </c>
      <c r="K964" t="s">
        <v>21</v>
      </c>
      <c r="L964">
        <v>13</v>
      </c>
      <c r="M964" t="str">
        <f t="shared" si="15"/>
        <v>6-12 Months</v>
      </c>
      <c r="N964" s="1">
        <v>45089</v>
      </c>
      <c r="O964">
        <v>1</v>
      </c>
      <c r="P964">
        <v>963</v>
      </c>
      <c r="Q964" s="2">
        <v>0.5</v>
      </c>
      <c r="R964" t="s">
        <v>27</v>
      </c>
      <c r="S964">
        <v>2023</v>
      </c>
      <c r="T964" t="s">
        <v>41</v>
      </c>
    </row>
    <row r="965" spans="1:20" x14ac:dyDescent="0.3">
      <c r="A965">
        <v>1622</v>
      </c>
      <c r="B965">
        <v>175</v>
      </c>
      <c r="C965" t="s">
        <v>40</v>
      </c>
      <c r="D965" t="s">
        <v>29</v>
      </c>
      <c r="E965" t="s">
        <v>20</v>
      </c>
      <c r="F965" s="1">
        <v>44593</v>
      </c>
      <c r="G965" s="1">
        <v>44708</v>
      </c>
      <c r="H965">
        <v>5471</v>
      </c>
      <c r="I965">
        <v>5892</v>
      </c>
      <c r="J965">
        <v>-421</v>
      </c>
      <c r="K965" t="s">
        <v>35</v>
      </c>
      <c r="L965">
        <v>3</v>
      </c>
      <c r="M965" t="str">
        <f t="shared" si="15"/>
        <v>0-6 Months</v>
      </c>
      <c r="N965" s="1">
        <v>44708</v>
      </c>
      <c r="O965">
        <v>1</v>
      </c>
      <c r="P965">
        <v>964</v>
      </c>
      <c r="Q965" s="2">
        <v>-0.08</v>
      </c>
      <c r="R965" t="s">
        <v>27</v>
      </c>
      <c r="S965">
        <v>2022</v>
      </c>
      <c r="T965" t="s">
        <v>28</v>
      </c>
    </row>
    <row r="966" spans="1:20" hidden="1" x14ac:dyDescent="0.3">
      <c r="A966">
        <v>1623</v>
      </c>
      <c r="B966">
        <v>285</v>
      </c>
      <c r="C966" t="s">
        <v>45</v>
      </c>
      <c r="D966" t="s">
        <v>29</v>
      </c>
      <c r="E966" t="s">
        <v>37</v>
      </c>
      <c r="F966" s="1">
        <v>44627</v>
      </c>
      <c r="G966" s="1">
        <v>44913</v>
      </c>
      <c r="H966">
        <v>2581</v>
      </c>
      <c r="I966">
        <v>4898</v>
      </c>
      <c r="J966">
        <v>-2317</v>
      </c>
      <c r="K966" t="s">
        <v>54</v>
      </c>
      <c r="L966">
        <v>9</v>
      </c>
      <c r="M966" t="str">
        <f t="shared" si="15"/>
        <v>6-12 Months</v>
      </c>
      <c r="N966" s="1">
        <v>44913</v>
      </c>
      <c r="O966">
        <v>0</v>
      </c>
      <c r="P966">
        <v>965</v>
      </c>
      <c r="Q966" s="2">
        <v>-0.9</v>
      </c>
      <c r="R966" t="s">
        <v>27</v>
      </c>
      <c r="S966">
        <v>2022</v>
      </c>
      <c r="T966" t="s">
        <v>31</v>
      </c>
    </row>
    <row r="967" spans="1:20" hidden="1" x14ac:dyDescent="0.3">
      <c r="A967">
        <v>1627</v>
      </c>
      <c r="B967">
        <v>398</v>
      </c>
      <c r="C967" t="s">
        <v>45</v>
      </c>
      <c r="D967" t="s">
        <v>25</v>
      </c>
      <c r="E967" t="s">
        <v>37</v>
      </c>
      <c r="F967" s="1">
        <v>44752</v>
      </c>
      <c r="G967" s="1">
        <v>45110</v>
      </c>
      <c r="H967">
        <v>1746</v>
      </c>
      <c r="I967">
        <v>6577</v>
      </c>
      <c r="J967">
        <v>577.01</v>
      </c>
      <c r="K967" t="s">
        <v>54</v>
      </c>
      <c r="L967">
        <v>11</v>
      </c>
      <c r="M967" t="str">
        <f t="shared" si="15"/>
        <v>6-12 Months</v>
      </c>
      <c r="N967" s="1">
        <v>45110</v>
      </c>
      <c r="O967">
        <v>1</v>
      </c>
      <c r="P967">
        <v>966</v>
      </c>
      <c r="Q967" s="2">
        <v>0.33</v>
      </c>
      <c r="R967" t="s">
        <v>27</v>
      </c>
      <c r="S967">
        <v>2023</v>
      </c>
      <c r="T967" t="s">
        <v>44</v>
      </c>
    </row>
    <row r="968" spans="1:20" x14ac:dyDescent="0.3">
      <c r="A968">
        <v>1628</v>
      </c>
      <c r="B968">
        <v>281</v>
      </c>
      <c r="C968" t="s">
        <v>45</v>
      </c>
      <c r="D968" t="s">
        <v>29</v>
      </c>
      <c r="E968" t="s">
        <v>20</v>
      </c>
      <c r="F968" s="1">
        <v>44805</v>
      </c>
      <c r="G968" s="1">
        <v>44937</v>
      </c>
      <c r="H968">
        <v>1258</v>
      </c>
      <c r="I968">
        <v>3419</v>
      </c>
      <c r="J968">
        <v>-2161</v>
      </c>
      <c r="K968" t="s">
        <v>35</v>
      </c>
      <c r="L968">
        <v>4</v>
      </c>
      <c r="M968" t="str">
        <f t="shared" si="15"/>
        <v>0-6 Months</v>
      </c>
      <c r="N968" s="1">
        <v>44937</v>
      </c>
      <c r="O968">
        <v>1</v>
      </c>
      <c r="P968">
        <v>967</v>
      </c>
      <c r="Q968" s="2">
        <v>-1.72</v>
      </c>
      <c r="R968" t="s">
        <v>22</v>
      </c>
      <c r="S968">
        <v>2023</v>
      </c>
      <c r="T968" t="s">
        <v>23</v>
      </c>
    </row>
    <row r="969" spans="1:20" hidden="1" x14ac:dyDescent="0.3">
      <c r="A969">
        <v>1629</v>
      </c>
      <c r="B969">
        <v>238</v>
      </c>
      <c r="C969" t="s">
        <v>39</v>
      </c>
      <c r="D969" t="s">
        <v>34</v>
      </c>
      <c r="E969" t="s">
        <v>37</v>
      </c>
      <c r="F969" s="1">
        <v>44912</v>
      </c>
      <c r="G969" s="1">
        <v>45093</v>
      </c>
      <c r="H969">
        <v>9486</v>
      </c>
      <c r="I969">
        <v>4012.75</v>
      </c>
      <c r="J969">
        <v>577.01</v>
      </c>
      <c r="K969" t="s">
        <v>21</v>
      </c>
      <c r="L969">
        <v>5</v>
      </c>
      <c r="M969" t="str">
        <f t="shared" si="15"/>
        <v>0-6 Months</v>
      </c>
      <c r="N969" s="1">
        <v>45093</v>
      </c>
      <c r="O969">
        <v>1</v>
      </c>
      <c r="P969">
        <v>968</v>
      </c>
      <c r="Q969" s="2">
        <v>0.06</v>
      </c>
      <c r="R969" t="s">
        <v>27</v>
      </c>
      <c r="S969">
        <v>2023</v>
      </c>
      <c r="T969" t="s">
        <v>41</v>
      </c>
    </row>
    <row r="970" spans="1:20" x14ac:dyDescent="0.3">
      <c r="A970">
        <v>1630</v>
      </c>
      <c r="B970">
        <v>307</v>
      </c>
      <c r="C970" t="s">
        <v>24</v>
      </c>
      <c r="D970" t="s">
        <v>19</v>
      </c>
      <c r="E970" t="s">
        <v>37</v>
      </c>
      <c r="F970" s="1">
        <v>44691</v>
      </c>
      <c r="G970" s="1">
        <v>44849</v>
      </c>
      <c r="H970">
        <v>502</v>
      </c>
      <c r="I970">
        <v>4295</v>
      </c>
      <c r="J970">
        <v>-3793</v>
      </c>
      <c r="K970" t="s">
        <v>35</v>
      </c>
      <c r="L970">
        <v>5</v>
      </c>
      <c r="M970" t="str">
        <f t="shared" si="15"/>
        <v>0-6 Months</v>
      </c>
      <c r="N970" s="1">
        <v>44849</v>
      </c>
      <c r="O970">
        <v>0</v>
      </c>
      <c r="P970">
        <v>969</v>
      </c>
      <c r="Q970" s="2">
        <v>-7.56</v>
      </c>
      <c r="R970" t="s">
        <v>22</v>
      </c>
      <c r="S970">
        <v>2022</v>
      </c>
      <c r="T970" t="s">
        <v>33</v>
      </c>
    </row>
    <row r="971" spans="1:20" x14ac:dyDescent="0.3">
      <c r="A971">
        <v>1631</v>
      </c>
      <c r="B971">
        <v>428</v>
      </c>
      <c r="C971" t="s">
        <v>24</v>
      </c>
      <c r="D971" t="s">
        <v>25</v>
      </c>
      <c r="E971" t="s">
        <v>37</v>
      </c>
      <c r="F971" s="1">
        <v>44747</v>
      </c>
      <c r="G971" s="1">
        <v>44786</v>
      </c>
      <c r="H971">
        <v>6883</v>
      </c>
      <c r="I971">
        <v>5478</v>
      </c>
      <c r="J971">
        <v>1405</v>
      </c>
      <c r="K971" t="s">
        <v>35</v>
      </c>
      <c r="L971">
        <v>1</v>
      </c>
      <c r="M971" t="str">
        <f t="shared" si="15"/>
        <v>0-6 Months</v>
      </c>
      <c r="N971" s="1">
        <v>44786</v>
      </c>
      <c r="O971">
        <v>0</v>
      </c>
      <c r="P971">
        <v>970</v>
      </c>
      <c r="Q971" s="2">
        <v>0.2</v>
      </c>
      <c r="R971" t="s">
        <v>27</v>
      </c>
      <c r="S971">
        <v>2022</v>
      </c>
      <c r="T971" t="s">
        <v>36</v>
      </c>
    </row>
    <row r="972" spans="1:20" hidden="1" x14ac:dyDescent="0.3">
      <c r="A972">
        <v>1632</v>
      </c>
      <c r="B972">
        <v>366</v>
      </c>
      <c r="C972" t="s">
        <v>24</v>
      </c>
      <c r="D972" t="s">
        <v>25</v>
      </c>
      <c r="E972" t="s">
        <v>37</v>
      </c>
      <c r="F972" s="1">
        <v>44671</v>
      </c>
      <c r="G972" s="1">
        <v>45171</v>
      </c>
      <c r="H972">
        <v>5316</v>
      </c>
      <c r="I972">
        <v>826</v>
      </c>
      <c r="J972">
        <v>4490</v>
      </c>
      <c r="K972" t="s">
        <v>21</v>
      </c>
      <c r="L972">
        <v>16</v>
      </c>
      <c r="M972" t="str">
        <f t="shared" si="15"/>
        <v>6-12 Months</v>
      </c>
      <c r="N972" s="1">
        <v>45171</v>
      </c>
      <c r="O972">
        <v>1</v>
      </c>
      <c r="P972">
        <v>971</v>
      </c>
      <c r="Q972" s="2">
        <v>0.84</v>
      </c>
      <c r="R972" t="s">
        <v>27</v>
      </c>
      <c r="S972">
        <v>2023</v>
      </c>
      <c r="T972" t="s">
        <v>30</v>
      </c>
    </row>
    <row r="973" spans="1:20" x14ac:dyDescent="0.3">
      <c r="A973">
        <v>1633</v>
      </c>
      <c r="B973">
        <v>150</v>
      </c>
      <c r="C973" t="s">
        <v>53</v>
      </c>
      <c r="D973" t="s">
        <v>34</v>
      </c>
      <c r="E973" t="s">
        <v>37</v>
      </c>
      <c r="F973" s="1">
        <v>44878</v>
      </c>
      <c r="G973" s="1">
        <v>44912</v>
      </c>
      <c r="H973">
        <v>8300</v>
      </c>
      <c r="I973">
        <v>7430</v>
      </c>
      <c r="J973">
        <v>870</v>
      </c>
      <c r="K973" t="s">
        <v>35</v>
      </c>
      <c r="L973">
        <v>1</v>
      </c>
      <c r="M973" t="str">
        <f t="shared" si="15"/>
        <v>0-6 Months</v>
      </c>
      <c r="N973" s="1">
        <v>44912</v>
      </c>
      <c r="O973">
        <v>0</v>
      </c>
      <c r="P973">
        <v>972</v>
      </c>
      <c r="Q973" s="2">
        <v>0.1</v>
      </c>
      <c r="R973" t="s">
        <v>27</v>
      </c>
      <c r="S973">
        <v>2022</v>
      </c>
      <c r="T973" t="s">
        <v>31</v>
      </c>
    </row>
    <row r="974" spans="1:20" hidden="1" x14ac:dyDescent="0.3">
      <c r="A974">
        <v>1634</v>
      </c>
      <c r="B974">
        <v>278</v>
      </c>
      <c r="C974" t="s">
        <v>39</v>
      </c>
      <c r="D974" t="s">
        <v>19</v>
      </c>
      <c r="E974" t="s">
        <v>26</v>
      </c>
      <c r="F974" s="1">
        <v>44584</v>
      </c>
      <c r="G974" s="1">
        <v>44818</v>
      </c>
      <c r="H974">
        <v>4933</v>
      </c>
      <c r="I974">
        <v>2861</v>
      </c>
      <c r="J974">
        <v>2072</v>
      </c>
      <c r="K974" t="s">
        <v>21</v>
      </c>
      <c r="L974">
        <v>7</v>
      </c>
      <c r="M974" t="str">
        <f t="shared" si="15"/>
        <v>6-12 Months</v>
      </c>
      <c r="N974" s="1">
        <v>44818</v>
      </c>
      <c r="O974">
        <v>0</v>
      </c>
      <c r="P974">
        <v>973</v>
      </c>
      <c r="Q974" s="2">
        <v>0.42</v>
      </c>
      <c r="R974" t="s">
        <v>27</v>
      </c>
      <c r="S974">
        <v>2022</v>
      </c>
      <c r="T974" t="s">
        <v>30</v>
      </c>
    </row>
    <row r="975" spans="1:20" x14ac:dyDescent="0.3">
      <c r="A975">
        <v>1635</v>
      </c>
      <c r="B975">
        <v>465</v>
      </c>
      <c r="C975" t="s">
        <v>39</v>
      </c>
      <c r="D975" t="s">
        <v>34</v>
      </c>
      <c r="E975" t="s">
        <v>26</v>
      </c>
      <c r="F975" s="1">
        <v>44917</v>
      </c>
      <c r="G975" s="1">
        <v>45106</v>
      </c>
      <c r="H975">
        <v>4967.93</v>
      </c>
      <c r="I975">
        <v>49</v>
      </c>
      <c r="J975">
        <v>-422</v>
      </c>
      <c r="K975" t="s">
        <v>35</v>
      </c>
      <c r="L975">
        <v>6</v>
      </c>
      <c r="M975" t="str">
        <f t="shared" si="15"/>
        <v>12+ Months</v>
      </c>
      <c r="N975" s="1">
        <v>45106</v>
      </c>
      <c r="O975">
        <v>1</v>
      </c>
      <c r="P975">
        <v>974</v>
      </c>
      <c r="Q975" s="2">
        <v>-0.08</v>
      </c>
      <c r="R975" t="s">
        <v>27</v>
      </c>
      <c r="S975">
        <v>2023</v>
      </c>
      <c r="T975" t="s">
        <v>41</v>
      </c>
    </row>
    <row r="976" spans="1:20" x14ac:dyDescent="0.3">
      <c r="A976">
        <v>1636</v>
      </c>
      <c r="B976">
        <v>480</v>
      </c>
      <c r="C976" t="s">
        <v>39</v>
      </c>
      <c r="D976" t="s">
        <v>25</v>
      </c>
      <c r="E976" t="s">
        <v>37</v>
      </c>
      <c r="F976" s="1">
        <v>44890</v>
      </c>
      <c r="G976" s="1">
        <v>45287</v>
      </c>
      <c r="H976">
        <v>9015</v>
      </c>
      <c r="I976">
        <v>4012.75</v>
      </c>
      <c r="J976">
        <v>9917</v>
      </c>
      <c r="K976" t="s">
        <v>35</v>
      </c>
      <c r="L976">
        <v>13</v>
      </c>
      <c r="M976" t="str">
        <f t="shared" si="15"/>
        <v>6-12 Months</v>
      </c>
      <c r="N976" s="1">
        <v>45287</v>
      </c>
      <c r="O976">
        <v>1</v>
      </c>
      <c r="P976">
        <v>975</v>
      </c>
      <c r="Q976" s="2">
        <v>1.1000000000000001</v>
      </c>
      <c r="R976" t="s">
        <v>22</v>
      </c>
      <c r="S976">
        <v>2023</v>
      </c>
      <c r="T976" t="s">
        <v>31</v>
      </c>
    </row>
    <row r="977" spans="1:20" hidden="1" x14ac:dyDescent="0.3">
      <c r="A977">
        <v>1637</v>
      </c>
      <c r="B977">
        <v>466</v>
      </c>
      <c r="C977" t="s">
        <v>39</v>
      </c>
      <c r="D977" t="s">
        <v>34</v>
      </c>
      <c r="E977" t="s">
        <v>26</v>
      </c>
      <c r="F977" s="1">
        <v>44623</v>
      </c>
      <c r="G977" s="1">
        <v>44765</v>
      </c>
      <c r="H977">
        <v>5329</v>
      </c>
      <c r="I977">
        <v>3465</v>
      </c>
      <c r="J977">
        <v>1864</v>
      </c>
      <c r="K977" t="s">
        <v>54</v>
      </c>
      <c r="L977">
        <v>4</v>
      </c>
      <c r="M977" t="str">
        <f t="shared" si="15"/>
        <v>0-6 Months</v>
      </c>
      <c r="N977" s="1">
        <v>44765</v>
      </c>
      <c r="O977">
        <v>0</v>
      </c>
      <c r="P977">
        <v>976</v>
      </c>
      <c r="Q977" s="2">
        <v>0.35</v>
      </c>
      <c r="R977" t="s">
        <v>27</v>
      </c>
      <c r="S977">
        <v>2022</v>
      </c>
      <c r="T977" t="s">
        <v>44</v>
      </c>
    </row>
    <row r="978" spans="1:20" hidden="1" x14ac:dyDescent="0.3">
      <c r="A978">
        <v>1638</v>
      </c>
      <c r="B978">
        <v>419</v>
      </c>
      <c r="C978" t="s">
        <v>53</v>
      </c>
      <c r="D978" t="s">
        <v>34</v>
      </c>
      <c r="E978" t="s">
        <v>20</v>
      </c>
      <c r="F978" s="1">
        <v>44890</v>
      </c>
      <c r="G978" s="1">
        <v>45236</v>
      </c>
      <c r="H978">
        <v>7539</v>
      </c>
      <c r="I978">
        <v>2534</v>
      </c>
      <c r="J978">
        <v>577.01</v>
      </c>
      <c r="K978" t="s">
        <v>21</v>
      </c>
      <c r="L978">
        <v>11</v>
      </c>
      <c r="M978" t="str">
        <f t="shared" si="15"/>
        <v>6-12 Months</v>
      </c>
      <c r="N978" s="1">
        <v>45236</v>
      </c>
      <c r="O978">
        <v>0</v>
      </c>
      <c r="P978">
        <v>977</v>
      </c>
      <c r="Q978" s="2">
        <v>0.08</v>
      </c>
      <c r="R978" t="s">
        <v>27</v>
      </c>
      <c r="S978">
        <v>2023</v>
      </c>
      <c r="T978" t="s">
        <v>42</v>
      </c>
    </row>
    <row r="979" spans="1:20" x14ac:dyDescent="0.3">
      <c r="A979">
        <v>1639</v>
      </c>
      <c r="B979">
        <v>397</v>
      </c>
      <c r="C979" t="s">
        <v>45</v>
      </c>
      <c r="D979" t="s">
        <v>25</v>
      </c>
      <c r="E979" t="s">
        <v>37</v>
      </c>
      <c r="F979" s="1">
        <v>44724</v>
      </c>
      <c r="G979" s="1">
        <v>44809</v>
      </c>
      <c r="H979">
        <v>896</v>
      </c>
      <c r="I979">
        <v>4012.75</v>
      </c>
      <c r="J979">
        <v>1875</v>
      </c>
      <c r="K979" t="s">
        <v>35</v>
      </c>
      <c r="L979">
        <v>2</v>
      </c>
      <c r="M979" t="str">
        <f t="shared" si="15"/>
        <v>0-6 Months</v>
      </c>
      <c r="N979" s="1">
        <v>44809</v>
      </c>
      <c r="O979">
        <v>1</v>
      </c>
      <c r="P979">
        <v>978</v>
      </c>
      <c r="Q979" s="2">
        <v>2.09</v>
      </c>
      <c r="R979" t="s">
        <v>22</v>
      </c>
      <c r="S979">
        <v>2022</v>
      </c>
      <c r="T979" t="s">
        <v>30</v>
      </c>
    </row>
    <row r="980" spans="1:20" hidden="1" x14ac:dyDescent="0.3">
      <c r="A980">
        <v>1642</v>
      </c>
      <c r="B980">
        <v>390</v>
      </c>
      <c r="C980" t="s">
        <v>24</v>
      </c>
      <c r="D980" t="s">
        <v>34</v>
      </c>
      <c r="E980" t="s">
        <v>26</v>
      </c>
      <c r="F980" s="1">
        <v>44854</v>
      </c>
      <c r="G980" s="1">
        <v>45071</v>
      </c>
      <c r="H980">
        <v>7757</v>
      </c>
      <c r="I980">
        <v>1131</v>
      </c>
      <c r="J980">
        <v>6626</v>
      </c>
      <c r="K980" t="s">
        <v>54</v>
      </c>
      <c r="L980">
        <v>7</v>
      </c>
      <c r="M980" t="str">
        <f t="shared" si="15"/>
        <v>6-12 Months</v>
      </c>
      <c r="N980" s="1">
        <v>45071</v>
      </c>
      <c r="O980">
        <v>0</v>
      </c>
      <c r="P980">
        <v>979</v>
      </c>
      <c r="Q980" s="2">
        <v>0.85</v>
      </c>
      <c r="R980" t="s">
        <v>27</v>
      </c>
      <c r="S980">
        <v>2023</v>
      </c>
      <c r="T980" t="s">
        <v>28</v>
      </c>
    </row>
    <row r="981" spans="1:20" hidden="1" x14ac:dyDescent="0.3">
      <c r="A981">
        <v>1643</v>
      </c>
      <c r="B981">
        <v>395</v>
      </c>
      <c r="C981" t="s">
        <v>53</v>
      </c>
      <c r="D981" t="s">
        <v>29</v>
      </c>
      <c r="E981" t="s">
        <v>20</v>
      </c>
      <c r="F981" s="1">
        <v>44882</v>
      </c>
      <c r="G981" s="1">
        <v>44992</v>
      </c>
      <c r="H981">
        <v>29</v>
      </c>
      <c r="I981">
        <v>3384</v>
      </c>
      <c r="J981">
        <v>-3355</v>
      </c>
      <c r="K981" t="s">
        <v>54</v>
      </c>
      <c r="L981">
        <v>3</v>
      </c>
      <c r="M981" t="str">
        <f t="shared" si="15"/>
        <v>0-6 Months</v>
      </c>
      <c r="N981" s="1">
        <v>44992</v>
      </c>
      <c r="O981">
        <v>0</v>
      </c>
      <c r="P981">
        <v>980</v>
      </c>
      <c r="Q981" s="2">
        <v>-115.69</v>
      </c>
      <c r="R981" t="s">
        <v>22</v>
      </c>
      <c r="S981">
        <v>2023</v>
      </c>
      <c r="T981" t="s">
        <v>38</v>
      </c>
    </row>
    <row r="982" spans="1:20" x14ac:dyDescent="0.3">
      <c r="A982">
        <v>1646</v>
      </c>
      <c r="B982">
        <v>101</v>
      </c>
      <c r="C982" t="s">
        <v>39</v>
      </c>
      <c r="D982" t="s">
        <v>29</v>
      </c>
      <c r="E982" t="s">
        <v>20</v>
      </c>
      <c r="F982" s="1">
        <v>44623</v>
      </c>
      <c r="G982" s="1">
        <v>45120</v>
      </c>
      <c r="H982">
        <v>7463</v>
      </c>
      <c r="I982">
        <v>7499</v>
      </c>
      <c r="J982">
        <v>-36</v>
      </c>
      <c r="K982" t="s">
        <v>35</v>
      </c>
      <c r="L982">
        <v>16</v>
      </c>
      <c r="M982" t="str">
        <f t="shared" si="15"/>
        <v>6-12 Months</v>
      </c>
      <c r="N982" s="1">
        <v>45120</v>
      </c>
      <c r="O982">
        <v>0</v>
      </c>
      <c r="P982">
        <v>981</v>
      </c>
      <c r="Q982" s="2">
        <v>0</v>
      </c>
      <c r="R982" t="s">
        <v>27</v>
      </c>
      <c r="S982">
        <v>2023</v>
      </c>
      <c r="T982" t="s">
        <v>44</v>
      </c>
    </row>
    <row r="983" spans="1:20" hidden="1" x14ac:dyDescent="0.3">
      <c r="A983">
        <v>1647</v>
      </c>
      <c r="B983">
        <v>110</v>
      </c>
      <c r="C983" t="s">
        <v>39</v>
      </c>
      <c r="D983" t="s">
        <v>25</v>
      </c>
      <c r="E983" t="s">
        <v>26</v>
      </c>
      <c r="F983" s="1">
        <v>44893</v>
      </c>
      <c r="G983" s="1">
        <v>44976</v>
      </c>
      <c r="H983">
        <v>763</v>
      </c>
      <c r="I983">
        <v>374</v>
      </c>
      <c r="J983">
        <v>389</v>
      </c>
      <c r="K983" t="s">
        <v>54</v>
      </c>
      <c r="L983">
        <v>2</v>
      </c>
      <c r="M983" t="str">
        <f t="shared" si="15"/>
        <v>0-6 Months</v>
      </c>
      <c r="N983" s="1">
        <v>44976</v>
      </c>
      <c r="O983">
        <v>1</v>
      </c>
      <c r="P983">
        <v>982</v>
      </c>
      <c r="Q983" s="2">
        <v>0.51</v>
      </c>
      <c r="R983" t="s">
        <v>27</v>
      </c>
      <c r="S983">
        <v>2023</v>
      </c>
      <c r="T983" t="s">
        <v>43</v>
      </c>
    </row>
    <row r="984" spans="1:20" x14ac:dyDescent="0.3">
      <c r="A984">
        <v>1648</v>
      </c>
      <c r="B984">
        <v>126</v>
      </c>
      <c r="C984" t="s">
        <v>39</v>
      </c>
      <c r="D984" t="s">
        <v>25</v>
      </c>
      <c r="E984" t="s">
        <v>26</v>
      </c>
      <c r="F984" s="1">
        <v>44840</v>
      </c>
      <c r="G984" s="1">
        <v>44874</v>
      </c>
      <c r="H984">
        <v>8609</v>
      </c>
      <c r="I984">
        <v>507</v>
      </c>
      <c r="J984">
        <v>8102</v>
      </c>
      <c r="K984" t="s">
        <v>35</v>
      </c>
      <c r="L984">
        <v>1</v>
      </c>
      <c r="M984" t="str">
        <f t="shared" si="15"/>
        <v>0-6 Months</v>
      </c>
      <c r="N984" s="1">
        <v>44874</v>
      </c>
      <c r="O984">
        <v>1</v>
      </c>
      <c r="P984">
        <v>983</v>
      </c>
      <c r="Q984" s="2">
        <v>0.94</v>
      </c>
      <c r="R984" t="s">
        <v>27</v>
      </c>
      <c r="S984">
        <v>2022</v>
      </c>
      <c r="T984" t="s">
        <v>42</v>
      </c>
    </row>
    <row r="985" spans="1:20" hidden="1" x14ac:dyDescent="0.3">
      <c r="A985">
        <v>1649</v>
      </c>
      <c r="B985">
        <v>427</v>
      </c>
      <c r="C985" t="s">
        <v>40</v>
      </c>
      <c r="D985" t="s">
        <v>29</v>
      </c>
      <c r="E985" t="s">
        <v>26</v>
      </c>
      <c r="F985" s="1">
        <v>44865</v>
      </c>
      <c r="G985" s="1">
        <v>45387</v>
      </c>
      <c r="H985">
        <v>2503</v>
      </c>
      <c r="I985">
        <v>1239</v>
      </c>
      <c r="J985">
        <v>1264</v>
      </c>
      <c r="K985" t="s">
        <v>54</v>
      </c>
      <c r="L985">
        <v>17</v>
      </c>
      <c r="M985" t="str">
        <f t="shared" si="15"/>
        <v>6-12 Months</v>
      </c>
      <c r="N985" s="1">
        <v>45387</v>
      </c>
      <c r="O985">
        <v>1</v>
      </c>
      <c r="P985">
        <v>984</v>
      </c>
      <c r="Q985" s="2">
        <v>0.5</v>
      </c>
      <c r="R985" t="s">
        <v>27</v>
      </c>
      <c r="S985">
        <v>2024</v>
      </c>
      <c r="T985" t="s">
        <v>32</v>
      </c>
    </row>
    <row r="986" spans="1:20" hidden="1" x14ac:dyDescent="0.3">
      <c r="A986">
        <v>1650</v>
      </c>
      <c r="B986">
        <v>347</v>
      </c>
      <c r="C986" t="s">
        <v>53</v>
      </c>
      <c r="D986" t="s">
        <v>34</v>
      </c>
      <c r="E986" t="s">
        <v>20</v>
      </c>
      <c r="F986" s="1">
        <v>44563</v>
      </c>
      <c r="G986" s="1">
        <v>45105</v>
      </c>
      <c r="H986">
        <v>7172</v>
      </c>
      <c r="I986">
        <v>5786</v>
      </c>
      <c r="J986">
        <v>1386</v>
      </c>
      <c r="K986" t="s">
        <v>54</v>
      </c>
      <c r="L986">
        <v>17</v>
      </c>
      <c r="M986" t="str">
        <f t="shared" si="15"/>
        <v>6-12 Months</v>
      </c>
      <c r="N986" s="1">
        <v>45105</v>
      </c>
      <c r="O986">
        <v>1</v>
      </c>
      <c r="P986">
        <v>985</v>
      </c>
      <c r="Q986" s="2">
        <v>0.19</v>
      </c>
      <c r="R986" t="s">
        <v>27</v>
      </c>
      <c r="S986">
        <v>2023</v>
      </c>
      <c r="T986" t="s">
        <v>41</v>
      </c>
    </row>
    <row r="987" spans="1:20" hidden="1" x14ac:dyDescent="0.3">
      <c r="A987">
        <v>1651</v>
      </c>
      <c r="B987">
        <v>107</v>
      </c>
      <c r="C987" t="s">
        <v>53</v>
      </c>
      <c r="D987" t="s">
        <v>34</v>
      </c>
      <c r="E987" t="s">
        <v>37</v>
      </c>
      <c r="F987" s="1">
        <v>44917</v>
      </c>
      <c r="G987" s="1">
        <v>45154</v>
      </c>
      <c r="H987">
        <v>3850</v>
      </c>
      <c r="I987">
        <v>2560</v>
      </c>
      <c r="J987">
        <v>1290</v>
      </c>
      <c r="K987" t="s">
        <v>21</v>
      </c>
      <c r="L987">
        <v>7</v>
      </c>
      <c r="M987" t="str">
        <f t="shared" si="15"/>
        <v>6-12 Months</v>
      </c>
      <c r="N987" s="1">
        <v>45154</v>
      </c>
      <c r="O987">
        <v>0</v>
      </c>
      <c r="P987">
        <v>986</v>
      </c>
      <c r="Q987" s="2">
        <v>0.34</v>
      </c>
      <c r="R987" t="s">
        <v>27</v>
      </c>
      <c r="S987">
        <v>2023</v>
      </c>
      <c r="T987" t="s">
        <v>36</v>
      </c>
    </row>
    <row r="988" spans="1:20" hidden="1" x14ac:dyDescent="0.3">
      <c r="A988">
        <v>1653</v>
      </c>
      <c r="B988">
        <v>311</v>
      </c>
      <c r="C988" t="s">
        <v>53</v>
      </c>
      <c r="D988" t="s">
        <v>25</v>
      </c>
      <c r="E988" t="s">
        <v>26</v>
      </c>
      <c r="F988" s="1">
        <v>44815</v>
      </c>
      <c r="G988" s="1">
        <v>44919</v>
      </c>
      <c r="H988">
        <v>8744</v>
      </c>
      <c r="I988">
        <v>3787</v>
      </c>
      <c r="J988">
        <v>4957</v>
      </c>
      <c r="K988" t="s">
        <v>54</v>
      </c>
      <c r="L988">
        <v>3</v>
      </c>
      <c r="M988" t="str">
        <f t="shared" si="15"/>
        <v>0-6 Months</v>
      </c>
      <c r="N988" s="1">
        <v>44919</v>
      </c>
      <c r="O988">
        <v>1</v>
      </c>
      <c r="P988">
        <v>987</v>
      </c>
      <c r="Q988" s="2">
        <v>0.56999999999999995</v>
      </c>
      <c r="R988" t="s">
        <v>27</v>
      </c>
      <c r="S988">
        <v>2022</v>
      </c>
      <c r="T988" t="s">
        <v>31</v>
      </c>
    </row>
    <row r="989" spans="1:20" hidden="1" x14ac:dyDescent="0.3">
      <c r="A989">
        <v>1655</v>
      </c>
      <c r="B989">
        <v>145</v>
      </c>
      <c r="C989" t="s">
        <v>40</v>
      </c>
      <c r="D989" t="s">
        <v>19</v>
      </c>
      <c r="E989" t="s">
        <v>26</v>
      </c>
      <c r="F989" s="1">
        <v>44563</v>
      </c>
      <c r="G989" s="1">
        <v>44684</v>
      </c>
      <c r="H989">
        <v>6911</v>
      </c>
      <c r="I989">
        <v>5853</v>
      </c>
      <c r="J989">
        <v>1058</v>
      </c>
      <c r="K989" t="s">
        <v>54</v>
      </c>
      <c r="L989">
        <v>4</v>
      </c>
      <c r="M989" t="str">
        <f t="shared" si="15"/>
        <v>0-6 Months</v>
      </c>
      <c r="N989" s="1">
        <v>44684</v>
      </c>
      <c r="O989">
        <v>0</v>
      </c>
      <c r="P989">
        <v>988</v>
      </c>
      <c r="Q989" s="2">
        <v>0.15</v>
      </c>
      <c r="R989" t="s">
        <v>27</v>
      </c>
      <c r="S989">
        <v>2022</v>
      </c>
      <c r="T989" t="s">
        <v>28</v>
      </c>
    </row>
    <row r="990" spans="1:20" hidden="1" x14ac:dyDescent="0.3">
      <c r="A990">
        <v>1656</v>
      </c>
      <c r="B990">
        <v>309</v>
      </c>
      <c r="C990" t="s">
        <v>24</v>
      </c>
      <c r="D990" t="s">
        <v>29</v>
      </c>
      <c r="E990" t="s">
        <v>20</v>
      </c>
      <c r="F990" s="1">
        <v>44601</v>
      </c>
      <c r="G990" s="1">
        <v>45110</v>
      </c>
      <c r="H990">
        <v>5616</v>
      </c>
      <c r="I990">
        <v>1038</v>
      </c>
      <c r="J990">
        <v>4578</v>
      </c>
      <c r="K990" t="s">
        <v>54</v>
      </c>
      <c r="L990">
        <v>16</v>
      </c>
      <c r="M990" t="str">
        <f t="shared" si="15"/>
        <v>6-12 Months</v>
      </c>
      <c r="N990" s="1">
        <v>45110</v>
      </c>
      <c r="O990">
        <v>0</v>
      </c>
      <c r="P990">
        <v>989</v>
      </c>
      <c r="Q990" s="2">
        <v>0.82</v>
      </c>
      <c r="R990" t="s">
        <v>27</v>
      </c>
      <c r="S990">
        <v>2023</v>
      </c>
      <c r="T990" t="s">
        <v>44</v>
      </c>
    </row>
    <row r="991" spans="1:20" hidden="1" x14ac:dyDescent="0.3">
      <c r="A991">
        <v>1657</v>
      </c>
      <c r="B991">
        <v>157</v>
      </c>
      <c r="C991" t="s">
        <v>53</v>
      </c>
      <c r="D991" t="s">
        <v>19</v>
      </c>
      <c r="E991" t="s">
        <v>20</v>
      </c>
      <c r="F991" s="1">
        <v>44578</v>
      </c>
      <c r="G991" s="1">
        <v>44811</v>
      </c>
      <c r="H991">
        <v>1306</v>
      </c>
      <c r="I991">
        <v>4180</v>
      </c>
      <c r="J991">
        <v>-2874</v>
      </c>
      <c r="K991" t="s">
        <v>21</v>
      </c>
      <c r="L991">
        <v>7</v>
      </c>
      <c r="M991" t="str">
        <f t="shared" si="15"/>
        <v>6-12 Months</v>
      </c>
      <c r="N991" s="1">
        <v>44811</v>
      </c>
      <c r="O991">
        <v>0</v>
      </c>
      <c r="P991">
        <v>990</v>
      </c>
      <c r="Q991" s="2">
        <v>-2.2000000000000002</v>
      </c>
      <c r="R991" t="s">
        <v>22</v>
      </c>
      <c r="S991">
        <v>2022</v>
      </c>
      <c r="T991" t="s">
        <v>30</v>
      </c>
    </row>
    <row r="992" spans="1:20" hidden="1" x14ac:dyDescent="0.3">
      <c r="A992">
        <v>1658</v>
      </c>
      <c r="B992">
        <v>426</v>
      </c>
      <c r="C992" t="s">
        <v>53</v>
      </c>
      <c r="D992" t="s">
        <v>34</v>
      </c>
      <c r="E992" t="s">
        <v>26</v>
      </c>
      <c r="F992" s="1">
        <v>44753</v>
      </c>
      <c r="G992" s="1">
        <v>45303</v>
      </c>
      <c r="H992">
        <v>4594</v>
      </c>
      <c r="I992">
        <v>5544</v>
      </c>
      <c r="J992">
        <v>-950</v>
      </c>
      <c r="K992" t="s">
        <v>21</v>
      </c>
      <c r="L992">
        <v>18</v>
      </c>
      <c r="M992" t="str">
        <f t="shared" si="15"/>
        <v>6-12 Months</v>
      </c>
      <c r="N992" s="1">
        <v>45303</v>
      </c>
      <c r="O992">
        <v>1</v>
      </c>
      <c r="P992">
        <v>991</v>
      </c>
      <c r="Q992" s="2">
        <v>-0.21</v>
      </c>
      <c r="R992" t="s">
        <v>27</v>
      </c>
      <c r="S992">
        <v>2024</v>
      </c>
      <c r="T992" t="s">
        <v>23</v>
      </c>
    </row>
    <row r="993" spans="1:20" x14ac:dyDescent="0.3">
      <c r="A993">
        <v>1659</v>
      </c>
      <c r="B993">
        <v>156</v>
      </c>
      <c r="C993" t="s">
        <v>24</v>
      </c>
      <c r="D993" t="s">
        <v>34</v>
      </c>
      <c r="E993" t="s">
        <v>37</v>
      </c>
      <c r="F993" s="1">
        <v>44768</v>
      </c>
      <c r="G993" s="1">
        <v>44865</v>
      </c>
      <c r="H993">
        <v>9325</v>
      </c>
      <c r="I993">
        <v>5108</v>
      </c>
      <c r="J993">
        <v>4217</v>
      </c>
      <c r="K993" t="s">
        <v>35</v>
      </c>
      <c r="L993">
        <v>3</v>
      </c>
      <c r="M993" t="str">
        <f t="shared" si="15"/>
        <v>0-6 Months</v>
      </c>
      <c r="N993" s="1">
        <v>44865</v>
      </c>
      <c r="O993">
        <v>1</v>
      </c>
      <c r="P993">
        <v>992</v>
      </c>
      <c r="Q993" s="2">
        <v>0.45</v>
      </c>
      <c r="R993" t="s">
        <v>27</v>
      </c>
      <c r="S993">
        <v>2022</v>
      </c>
      <c r="T993" t="s">
        <v>33</v>
      </c>
    </row>
    <row r="994" spans="1:20" x14ac:dyDescent="0.3">
      <c r="A994">
        <v>1661</v>
      </c>
      <c r="B994">
        <v>276</v>
      </c>
      <c r="C994" t="s">
        <v>40</v>
      </c>
      <c r="D994" t="s">
        <v>34</v>
      </c>
      <c r="E994" t="s">
        <v>20</v>
      </c>
      <c r="F994" s="1">
        <v>44681</v>
      </c>
      <c r="G994" s="1">
        <v>44904</v>
      </c>
      <c r="H994">
        <v>8463</v>
      </c>
      <c r="I994">
        <v>3930</v>
      </c>
      <c r="J994">
        <v>4533</v>
      </c>
      <c r="K994" t="s">
        <v>35</v>
      </c>
      <c r="L994">
        <v>7</v>
      </c>
      <c r="M994" t="str">
        <f t="shared" si="15"/>
        <v>6-12 Months</v>
      </c>
      <c r="N994" s="1">
        <v>44904</v>
      </c>
      <c r="O994">
        <v>0</v>
      </c>
      <c r="P994">
        <v>993</v>
      </c>
      <c r="Q994" s="2">
        <v>0.54</v>
      </c>
      <c r="R994" t="s">
        <v>27</v>
      </c>
      <c r="S994">
        <v>2022</v>
      </c>
      <c r="T994" t="s">
        <v>31</v>
      </c>
    </row>
    <row r="995" spans="1:20" hidden="1" x14ac:dyDescent="0.3">
      <c r="A995">
        <v>1667</v>
      </c>
      <c r="B995">
        <v>356</v>
      </c>
      <c r="C995" t="s">
        <v>24</v>
      </c>
      <c r="D995" t="s">
        <v>34</v>
      </c>
      <c r="E995" t="s">
        <v>20</v>
      </c>
      <c r="F995" s="1">
        <v>44884</v>
      </c>
      <c r="G995" s="1">
        <v>45057</v>
      </c>
      <c r="H995">
        <v>4967.93</v>
      </c>
      <c r="I995">
        <v>4012.75</v>
      </c>
      <c r="J995">
        <v>-605</v>
      </c>
      <c r="K995" t="s">
        <v>54</v>
      </c>
      <c r="L995">
        <v>5</v>
      </c>
      <c r="M995" t="str">
        <f t="shared" si="15"/>
        <v>0-6 Months</v>
      </c>
      <c r="N995" s="1">
        <v>45057</v>
      </c>
      <c r="O995">
        <v>0</v>
      </c>
      <c r="P995">
        <v>994</v>
      </c>
      <c r="Q995" s="2">
        <v>-0.12</v>
      </c>
      <c r="R995" t="s">
        <v>27</v>
      </c>
      <c r="S995">
        <v>2023</v>
      </c>
      <c r="T995" t="s">
        <v>28</v>
      </c>
    </row>
    <row r="996" spans="1:20" hidden="1" x14ac:dyDescent="0.3">
      <c r="A996">
        <v>1668</v>
      </c>
      <c r="B996">
        <v>120</v>
      </c>
      <c r="C996" t="s">
        <v>45</v>
      </c>
      <c r="D996" t="s">
        <v>34</v>
      </c>
      <c r="E996" t="s">
        <v>20</v>
      </c>
      <c r="F996" s="1">
        <v>44707</v>
      </c>
      <c r="G996" s="1">
        <v>44888</v>
      </c>
      <c r="H996">
        <v>4967.93</v>
      </c>
      <c r="I996">
        <v>5163</v>
      </c>
      <c r="J996">
        <v>-7046</v>
      </c>
      <c r="K996" t="s">
        <v>21</v>
      </c>
      <c r="L996">
        <v>5</v>
      </c>
      <c r="M996" t="str">
        <f t="shared" si="15"/>
        <v>0-6 Months</v>
      </c>
      <c r="N996" s="1">
        <v>44888</v>
      </c>
      <c r="O996">
        <v>0</v>
      </c>
      <c r="P996">
        <v>995</v>
      </c>
      <c r="Q996" s="2">
        <v>-1.42</v>
      </c>
      <c r="R996" t="s">
        <v>22</v>
      </c>
      <c r="S996">
        <v>2022</v>
      </c>
      <c r="T996" t="s">
        <v>42</v>
      </c>
    </row>
    <row r="997" spans="1:20" x14ac:dyDescent="0.3">
      <c r="A997">
        <v>1670</v>
      </c>
      <c r="B997">
        <v>195</v>
      </c>
      <c r="C997" t="s">
        <v>40</v>
      </c>
      <c r="D997" t="s">
        <v>29</v>
      </c>
      <c r="E997" t="s">
        <v>20</v>
      </c>
      <c r="F997" s="1">
        <v>44562</v>
      </c>
      <c r="G997" s="1">
        <v>45021</v>
      </c>
      <c r="H997">
        <v>5616</v>
      </c>
      <c r="I997">
        <v>7866</v>
      </c>
      <c r="J997">
        <v>577.01</v>
      </c>
      <c r="K997" t="s">
        <v>35</v>
      </c>
      <c r="L997">
        <v>15</v>
      </c>
      <c r="M997" t="str">
        <f t="shared" si="15"/>
        <v>6-12 Months</v>
      </c>
      <c r="N997" s="1">
        <v>45021</v>
      </c>
      <c r="O997">
        <v>1</v>
      </c>
      <c r="P997">
        <v>996</v>
      </c>
      <c r="Q997" s="2">
        <v>0.1</v>
      </c>
      <c r="R997" t="s">
        <v>27</v>
      </c>
      <c r="S997">
        <v>2023</v>
      </c>
      <c r="T997" t="s">
        <v>32</v>
      </c>
    </row>
    <row r="998" spans="1:20" hidden="1" x14ac:dyDescent="0.3">
      <c r="A998">
        <v>1671</v>
      </c>
      <c r="B998">
        <v>121</v>
      </c>
      <c r="C998" t="s">
        <v>53</v>
      </c>
      <c r="D998" t="s">
        <v>19</v>
      </c>
      <c r="E998" t="s">
        <v>26</v>
      </c>
      <c r="F998" s="1">
        <v>44587</v>
      </c>
      <c r="G998" s="1">
        <v>44956</v>
      </c>
      <c r="H998">
        <v>4846</v>
      </c>
      <c r="I998">
        <v>1000</v>
      </c>
      <c r="J998">
        <v>3846</v>
      </c>
      <c r="K998" t="s">
        <v>21</v>
      </c>
      <c r="L998">
        <v>12</v>
      </c>
      <c r="M998" t="str">
        <f t="shared" si="15"/>
        <v>6-12 Months</v>
      </c>
      <c r="N998" s="1">
        <v>44956</v>
      </c>
      <c r="O998">
        <v>0</v>
      </c>
      <c r="P998">
        <v>997</v>
      </c>
      <c r="Q998" s="2">
        <v>0.79</v>
      </c>
      <c r="R998" t="s">
        <v>27</v>
      </c>
      <c r="S998">
        <v>2023</v>
      </c>
      <c r="T998" t="s">
        <v>23</v>
      </c>
    </row>
    <row r="999" spans="1:20" hidden="1" x14ac:dyDescent="0.3">
      <c r="A999">
        <v>1672</v>
      </c>
      <c r="B999">
        <v>297</v>
      </c>
      <c r="C999" t="s">
        <v>53</v>
      </c>
      <c r="D999" t="s">
        <v>29</v>
      </c>
      <c r="E999" t="s">
        <v>20</v>
      </c>
      <c r="F999" s="1">
        <v>44783</v>
      </c>
      <c r="G999" s="1">
        <v>45155</v>
      </c>
      <c r="H999">
        <v>657</v>
      </c>
      <c r="I999">
        <v>6859</v>
      </c>
      <c r="J999">
        <v>577.01</v>
      </c>
      <c r="K999" t="s">
        <v>54</v>
      </c>
      <c r="L999">
        <v>12</v>
      </c>
      <c r="M999" t="str">
        <f t="shared" si="15"/>
        <v>6-12 Months</v>
      </c>
      <c r="N999" s="1">
        <v>45155</v>
      </c>
      <c r="O999">
        <v>1</v>
      </c>
      <c r="P999">
        <v>998</v>
      </c>
      <c r="Q999" s="2">
        <v>0.88</v>
      </c>
      <c r="R999" t="s">
        <v>27</v>
      </c>
      <c r="S999">
        <v>2023</v>
      </c>
      <c r="T999" t="s">
        <v>36</v>
      </c>
    </row>
    <row r="1000" spans="1:20" hidden="1" x14ac:dyDescent="0.3">
      <c r="A1000">
        <v>1674</v>
      </c>
      <c r="B1000">
        <v>366</v>
      </c>
      <c r="C1000" t="s">
        <v>45</v>
      </c>
      <c r="D1000" t="s">
        <v>29</v>
      </c>
      <c r="E1000" t="s">
        <v>37</v>
      </c>
      <c r="F1000" s="1">
        <v>44731</v>
      </c>
      <c r="G1000" s="1">
        <v>44883</v>
      </c>
      <c r="H1000">
        <v>7757</v>
      </c>
      <c r="I1000">
        <v>7064</v>
      </c>
      <c r="J1000">
        <v>693</v>
      </c>
      <c r="K1000" t="s">
        <v>54</v>
      </c>
      <c r="L1000">
        <v>4</v>
      </c>
      <c r="M1000" t="str">
        <f t="shared" si="15"/>
        <v>0-6 Months</v>
      </c>
      <c r="N1000" s="1">
        <v>44883</v>
      </c>
      <c r="O1000">
        <v>0</v>
      </c>
      <c r="P1000">
        <v>999</v>
      </c>
      <c r="Q1000" s="2">
        <v>0.09</v>
      </c>
      <c r="R1000" t="s">
        <v>27</v>
      </c>
      <c r="S1000">
        <v>2022</v>
      </c>
      <c r="T1000" t="s">
        <v>42</v>
      </c>
    </row>
    <row r="1001" spans="1:20" hidden="1" x14ac:dyDescent="0.3">
      <c r="A1001">
        <v>1676</v>
      </c>
      <c r="B1001">
        <v>428</v>
      </c>
      <c r="C1001" t="s">
        <v>40</v>
      </c>
      <c r="D1001" t="s">
        <v>29</v>
      </c>
      <c r="E1001" t="s">
        <v>20</v>
      </c>
      <c r="F1001" s="1">
        <v>44657</v>
      </c>
      <c r="G1001" s="1">
        <v>45025</v>
      </c>
      <c r="H1001">
        <v>4967.93</v>
      </c>
      <c r="I1001">
        <v>7381</v>
      </c>
      <c r="J1001">
        <v>-9380</v>
      </c>
      <c r="K1001" t="s">
        <v>54</v>
      </c>
      <c r="L1001">
        <v>12</v>
      </c>
      <c r="M1001" t="str">
        <f t="shared" si="15"/>
        <v>6-12 Months</v>
      </c>
      <c r="N1001" s="1">
        <v>45025</v>
      </c>
      <c r="O1001">
        <v>0</v>
      </c>
      <c r="P1001">
        <v>1000</v>
      </c>
      <c r="Q1001" s="2">
        <v>-1.89</v>
      </c>
      <c r="R1001" t="s">
        <v>22</v>
      </c>
      <c r="S1001">
        <v>2023</v>
      </c>
      <c r="T1001" t="s">
        <v>32</v>
      </c>
    </row>
    <row r="1002" spans="1:20" hidden="1" x14ac:dyDescent="0.3">
      <c r="A1002">
        <v>1681</v>
      </c>
      <c r="B1002">
        <v>285</v>
      </c>
      <c r="C1002" t="s">
        <v>39</v>
      </c>
      <c r="D1002" t="s">
        <v>25</v>
      </c>
      <c r="E1002" t="s">
        <v>26</v>
      </c>
      <c r="F1002" s="1">
        <v>44639</v>
      </c>
      <c r="G1002" s="1">
        <v>45198</v>
      </c>
      <c r="H1002">
        <v>7303</v>
      </c>
      <c r="I1002">
        <v>646</v>
      </c>
      <c r="J1002">
        <v>6657</v>
      </c>
      <c r="K1002" t="s">
        <v>21</v>
      </c>
      <c r="L1002">
        <v>18</v>
      </c>
      <c r="M1002" t="str">
        <f t="shared" si="15"/>
        <v>6-12 Months</v>
      </c>
      <c r="N1002" s="1">
        <v>45198</v>
      </c>
      <c r="O1002">
        <v>0</v>
      </c>
      <c r="P1002">
        <v>1001</v>
      </c>
      <c r="Q1002" s="2">
        <v>0.91</v>
      </c>
      <c r="R1002" t="s">
        <v>27</v>
      </c>
      <c r="S1002">
        <v>2023</v>
      </c>
      <c r="T1002" t="s">
        <v>30</v>
      </c>
    </row>
    <row r="1003" spans="1:20" hidden="1" x14ac:dyDescent="0.3">
      <c r="A1003">
        <v>1684</v>
      </c>
      <c r="B1003">
        <v>230</v>
      </c>
      <c r="C1003" t="s">
        <v>53</v>
      </c>
      <c r="D1003" t="s">
        <v>34</v>
      </c>
      <c r="E1003" t="s">
        <v>20</v>
      </c>
      <c r="F1003" s="1">
        <v>44852</v>
      </c>
      <c r="G1003" s="1">
        <v>45333</v>
      </c>
      <c r="H1003">
        <v>4967.93</v>
      </c>
      <c r="I1003">
        <v>4012.75</v>
      </c>
      <c r="J1003">
        <v>231</v>
      </c>
      <c r="K1003" t="s">
        <v>21</v>
      </c>
      <c r="L1003">
        <v>15</v>
      </c>
      <c r="M1003" t="str">
        <f t="shared" si="15"/>
        <v>6-12 Months</v>
      </c>
      <c r="N1003" s="1">
        <v>45333</v>
      </c>
      <c r="O1003">
        <v>1</v>
      </c>
      <c r="P1003">
        <v>1002</v>
      </c>
      <c r="Q1003" s="2">
        <v>0.05</v>
      </c>
      <c r="R1003" t="s">
        <v>27</v>
      </c>
      <c r="S1003">
        <v>2024</v>
      </c>
      <c r="T1003" t="s">
        <v>43</v>
      </c>
    </row>
    <row r="1004" spans="1:20" x14ac:dyDescent="0.3">
      <c r="A1004">
        <v>1685</v>
      </c>
      <c r="B1004">
        <v>147</v>
      </c>
      <c r="C1004" t="s">
        <v>40</v>
      </c>
      <c r="D1004" t="s">
        <v>25</v>
      </c>
      <c r="E1004" t="s">
        <v>26</v>
      </c>
      <c r="F1004" s="1">
        <v>44664</v>
      </c>
      <c r="G1004" s="1">
        <v>44712</v>
      </c>
      <c r="H1004">
        <v>8766</v>
      </c>
      <c r="I1004">
        <v>3240</v>
      </c>
      <c r="J1004">
        <v>5526</v>
      </c>
      <c r="K1004" t="s">
        <v>35</v>
      </c>
      <c r="L1004">
        <v>1</v>
      </c>
      <c r="M1004" t="str">
        <f t="shared" si="15"/>
        <v>0-6 Months</v>
      </c>
      <c r="N1004" s="1">
        <v>44712</v>
      </c>
      <c r="O1004">
        <v>1</v>
      </c>
      <c r="P1004">
        <v>1003</v>
      </c>
      <c r="Q1004" s="2">
        <v>0.63</v>
      </c>
      <c r="R1004" t="s">
        <v>27</v>
      </c>
      <c r="S1004">
        <v>2022</v>
      </c>
      <c r="T1004" t="s">
        <v>28</v>
      </c>
    </row>
    <row r="1005" spans="1:20" x14ac:dyDescent="0.3">
      <c r="A1005">
        <v>1687</v>
      </c>
      <c r="B1005">
        <v>115</v>
      </c>
      <c r="C1005" t="s">
        <v>40</v>
      </c>
      <c r="D1005" t="s">
        <v>34</v>
      </c>
      <c r="E1005" t="s">
        <v>26</v>
      </c>
      <c r="F1005" s="1">
        <v>44647</v>
      </c>
      <c r="G1005" s="1">
        <v>44685</v>
      </c>
      <c r="H1005">
        <v>2668</v>
      </c>
      <c r="I1005">
        <v>6153</v>
      </c>
      <c r="J1005">
        <v>577.01</v>
      </c>
      <c r="K1005" t="s">
        <v>35</v>
      </c>
      <c r="L1005">
        <v>1</v>
      </c>
      <c r="M1005" t="str">
        <f t="shared" si="15"/>
        <v>0-6 Months</v>
      </c>
      <c r="N1005" s="1">
        <v>44685</v>
      </c>
      <c r="O1005">
        <v>1</v>
      </c>
      <c r="P1005">
        <v>1004</v>
      </c>
      <c r="Q1005" s="2">
        <v>0.22</v>
      </c>
      <c r="R1005" t="s">
        <v>27</v>
      </c>
      <c r="S1005">
        <v>2022</v>
      </c>
      <c r="T1005" t="s">
        <v>28</v>
      </c>
    </row>
    <row r="1006" spans="1:20" x14ac:dyDescent="0.3">
      <c r="A1006">
        <v>1688</v>
      </c>
      <c r="B1006">
        <v>264</v>
      </c>
      <c r="C1006" t="s">
        <v>53</v>
      </c>
      <c r="D1006" t="s">
        <v>25</v>
      </c>
      <c r="E1006" t="s">
        <v>37</v>
      </c>
      <c r="F1006" s="1">
        <v>44667</v>
      </c>
      <c r="G1006" s="1">
        <v>44925</v>
      </c>
      <c r="H1006">
        <v>480</v>
      </c>
      <c r="I1006">
        <v>255</v>
      </c>
      <c r="J1006">
        <v>225</v>
      </c>
      <c r="K1006" t="s">
        <v>35</v>
      </c>
      <c r="L1006">
        <v>8</v>
      </c>
      <c r="M1006" t="str">
        <f t="shared" si="15"/>
        <v>6-12 Months</v>
      </c>
      <c r="N1006" s="1">
        <v>44925</v>
      </c>
      <c r="O1006">
        <v>1</v>
      </c>
      <c r="P1006">
        <v>1005</v>
      </c>
      <c r="Q1006" s="2">
        <v>0.47</v>
      </c>
      <c r="R1006" t="s">
        <v>27</v>
      </c>
      <c r="S1006">
        <v>2022</v>
      </c>
      <c r="T1006" t="s">
        <v>31</v>
      </c>
    </row>
    <row r="1007" spans="1:20" hidden="1" x14ac:dyDescent="0.3">
      <c r="A1007">
        <v>1689</v>
      </c>
      <c r="B1007">
        <v>294</v>
      </c>
      <c r="C1007" t="s">
        <v>39</v>
      </c>
      <c r="D1007" t="s">
        <v>25</v>
      </c>
      <c r="E1007" t="s">
        <v>20</v>
      </c>
      <c r="F1007" s="1">
        <v>44598</v>
      </c>
      <c r="G1007" s="1">
        <v>44911</v>
      </c>
      <c r="H1007">
        <v>5163</v>
      </c>
      <c r="I1007">
        <v>4012.75</v>
      </c>
      <c r="J1007">
        <v>5418</v>
      </c>
      <c r="K1007" t="s">
        <v>54</v>
      </c>
      <c r="L1007">
        <v>10</v>
      </c>
      <c r="M1007" t="str">
        <f t="shared" si="15"/>
        <v>6-12 Months</v>
      </c>
      <c r="N1007" s="1">
        <v>44911</v>
      </c>
      <c r="O1007">
        <v>0</v>
      </c>
      <c r="P1007">
        <v>1006</v>
      </c>
      <c r="Q1007" s="2">
        <v>1.05</v>
      </c>
      <c r="R1007" t="s">
        <v>22</v>
      </c>
      <c r="S1007">
        <v>2022</v>
      </c>
      <c r="T1007" t="s">
        <v>31</v>
      </c>
    </row>
    <row r="1008" spans="1:20" hidden="1" x14ac:dyDescent="0.3">
      <c r="A1008">
        <v>1690</v>
      </c>
      <c r="B1008">
        <v>418</v>
      </c>
      <c r="C1008" t="s">
        <v>53</v>
      </c>
      <c r="D1008" t="s">
        <v>19</v>
      </c>
      <c r="E1008" t="s">
        <v>20</v>
      </c>
      <c r="F1008" s="1">
        <v>44580</v>
      </c>
      <c r="G1008" s="1">
        <v>44762</v>
      </c>
      <c r="H1008">
        <v>6997</v>
      </c>
      <c r="I1008">
        <v>4012.75</v>
      </c>
      <c r="J1008">
        <v>7662</v>
      </c>
      <c r="K1008" t="s">
        <v>54</v>
      </c>
      <c r="L1008">
        <v>6</v>
      </c>
      <c r="M1008" t="str">
        <f t="shared" si="15"/>
        <v>12+ Months</v>
      </c>
      <c r="N1008" s="1">
        <v>44762</v>
      </c>
      <c r="O1008">
        <v>1</v>
      </c>
      <c r="P1008">
        <v>1007</v>
      </c>
      <c r="Q1008" s="2">
        <v>1.1000000000000001</v>
      </c>
      <c r="R1008" t="s">
        <v>22</v>
      </c>
      <c r="S1008">
        <v>2022</v>
      </c>
      <c r="T1008" t="s">
        <v>44</v>
      </c>
    </row>
    <row r="1009" spans="1:20" hidden="1" x14ac:dyDescent="0.3">
      <c r="A1009">
        <v>1691</v>
      </c>
      <c r="B1009">
        <v>485</v>
      </c>
      <c r="C1009" t="s">
        <v>45</v>
      </c>
      <c r="D1009" t="s">
        <v>19</v>
      </c>
      <c r="E1009" t="s">
        <v>37</v>
      </c>
      <c r="F1009" s="1">
        <v>44803</v>
      </c>
      <c r="G1009" s="1">
        <v>44996</v>
      </c>
      <c r="H1009">
        <v>8831</v>
      </c>
      <c r="I1009">
        <v>2581</v>
      </c>
      <c r="J1009">
        <v>6250</v>
      </c>
      <c r="K1009" t="s">
        <v>21</v>
      </c>
      <c r="L1009">
        <v>6</v>
      </c>
      <c r="M1009" t="str">
        <f t="shared" si="15"/>
        <v>12+ Months</v>
      </c>
      <c r="N1009" s="1">
        <v>44996</v>
      </c>
      <c r="O1009">
        <v>1</v>
      </c>
      <c r="P1009">
        <v>1008</v>
      </c>
      <c r="Q1009" s="2">
        <v>0.71</v>
      </c>
      <c r="R1009" t="s">
        <v>27</v>
      </c>
      <c r="S1009">
        <v>2023</v>
      </c>
      <c r="T1009" t="s">
        <v>38</v>
      </c>
    </row>
    <row r="1010" spans="1:20" hidden="1" x14ac:dyDescent="0.3">
      <c r="A1010">
        <v>1692</v>
      </c>
      <c r="B1010">
        <v>172</v>
      </c>
      <c r="C1010" t="s">
        <v>45</v>
      </c>
      <c r="D1010" t="s">
        <v>34</v>
      </c>
      <c r="E1010" t="s">
        <v>26</v>
      </c>
      <c r="F1010" s="1">
        <v>44674</v>
      </c>
      <c r="G1010" s="1">
        <v>45030</v>
      </c>
      <c r="H1010">
        <v>6047</v>
      </c>
      <c r="I1010">
        <v>7426</v>
      </c>
      <c r="J1010">
        <v>-1379</v>
      </c>
      <c r="K1010" t="s">
        <v>21</v>
      </c>
      <c r="L1010">
        <v>11</v>
      </c>
      <c r="M1010" t="str">
        <f t="shared" si="15"/>
        <v>6-12 Months</v>
      </c>
      <c r="N1010" s="1">
        <v>45030</v>
      </c>
      <c r="O1010">
        <v>1</v>
      </c>
      <c r="P1010">
        <v>1009</v>
      </c>
      <c r="Q1010" s="2">
        <v>-0.23</v>
      </c>
      <c r="R1010" t="s">
        <v>27</v>
      </c>
      <c r="S1010">
        <v>2023</v>
      </c>
      <c r="T1010" t="s">
        <v>32</v>
      </c>
    </row>
    <row r="1011" spans="1:20" x14ac:dyDescent="0.3">
      <c r="A1011">
        <v>1694</v>
      </c>
      <c r="B1011">
        <v>184</v>
      </c>
      <c r="C1011" t="s">
        <v>53</v>
      </c>
      <c r="D1011" t="s">
        <v>25</v>
      </c>
      <c r="E1011" t="s">
        <v>26</v>
      </c>
      <c r="F1011" s="1">
        <v>44821</v>
      </c>
      <c r="G1011" s="1">
        <v>45323</v>
      </c>
      <c r="H1011">
        <v>4967.93</v>
      </c>
      <c r="I1011">
        <v>4580</v>
      </c>
      <c r="J1011">
        <v>-5914</v>
      </c>
      <c r="K1011" t="s">
        <v>35</v>
      </c>
      <c r="L1011">
        <v>16</v>
      </c>
      <c r="M1011" t="str">
        <f t="shared" si="15"/>
        <v>6-12 Months</v>
      </c>
      <c r="N1011" s="1">
        <v>45323</v>
      </c>
      <c r="O1011">
        <v>1</v>
      </c>
      <c r="P1011">
        <v>1010</v>
      </c>
      <c r="Q1011" s="2">
        <v>-1.19</v>
      </c>
      <c r="R1011" t="s">
        <v>22</v>
      </c>
      <c r="S1011">
        <v>2024</v>
      </c>
      <c r="T1011" t="s">
        <v>43</v>
      </c>
    </row>
    <row r="1012" spans="1:20" hidden="1" x14ac:dyDescent="0.3">
      <c r="A1012">
        <v>1696</v>
      </c>
      <c r="B1012">
        <v>160</v>
      </c>
      <c r="C1012" t="s">
        <v>45</v>
      </c>
      <c r="D1012" t="s">
        <v>29</v>
      </c>
      <c r="E1012" t="s">
        <v>37</v>
      </c>
      <c r="F1012" s="1">
        <v>44860</v>
      </c>
      <c r="G1012" s="1">
        <v>45142</v>
      </c>
      <c r="H1012">
        <v>1296</v>
      </c>
      <c r="I1012">
        <v>6568</v>
      </c>
      <c r="J1012">
        <v>577.01</v>
      </c>
      <c r="K1012" t="s">
        <v>54</v>
      </c>
      <c r="L1012">
        <v>9</v>
      </c>
      <c r="M1012" t="str">
        <f t="shared" si="15"/>
        <v>6-12 Months</v>
      </c>
      <c r="N1012" s="1">
        <v>45142</v>
      </c>
      <c r="O1012">
        <v>1</v>
      </c>
      <c r="P1012">
        <v>1011</v>
      </c>
      <c r="Q1012" s="2">
        <v>0.45</v>
      </c>
      <c r="R1012" t="s">
        <v>27</v>
      </c>
      <c r="S1012">
        <v>2023</v>
      </c>
      <c r="T1012" t="s">
        <v>36</v>
      </c>
    </row>
    <row r="1013" spans="1:20" hidden="1" x14ac:dyDescent="0.3">
      <c r="A1013">
        <v>1700</v>
      </c>
      <c r="B1013">
        <v>138</v>
      </c>
      <c r="C1013" t="s">
        <v>45</v>
      </c>
      <c r="D1013" t="s">
        <v>19</v>
      </c>
      <c r="E1013" t="s">
        <v>26</v>
      </c>
      <c r="F1013" s="1">
        <v>44910</v>
      </c>
      <c r="G1013" s="1">
        <v>45292</v>
      </c>
      <c r="H1013">
        <v>9571</v>
      </c>
      <c r="I1013">
        <v>1990</v>
      </c>
      <c r="J1013">
        <v>7581</v>
      </c>
      <c r="K1013" t="s">
        <v>21</v>
      </c>
      <c r="L1013">
        <v>12</v>
      </c>
      <c r="M1013" t="str">
        <f t="shared" si="15"/>
        <v>6-12 Months</v>
      </c>
      <c r="N1013" s="1">
        <v>45292</v>
      </c>
      <c r="O1013">
        <v>1</v>
      </c>
      <c r="P1013">
        <v>1012</v>
      </c>
      <c r="Q1013" s="2">
        <v>0.79</v>
      </c>
      <c r="R1013" t="s">
        <v>27</v>
      </c>
      <c r="S1013">
        <v>2024</v>
      </c>
      <c r="T1013" t="s">
        <v>23</v>
      </c>
    </row>
    <row r="1014" spans="1:20" hidden="1" x14ac:dyDescent="0.3">
      <c r="A1014">
        <v>1702</v>
      </c>
      <c r="B1014">
        <v>283</v>
      </c>
      <c r="C1014" t="s">
        <v>24</v>
      </c>
      <c r="D1014" t="s">
        <v>19</v>
      </c>
      <c r="E1014" t="s">
        <v>20</v>
      </c>
      <c r="F1014" s="1">
        <v>44673</v>
      </c>
      <c r="G1014" s="1">
        <v>44973</v>
      </c>
      <c r="H1014">
        <v>9660</v>
      </c>
      <c r="I1014">
        <v>6851</v>
      </c>
      <c r="J1014">
        <v>2809</v>
      </c>
      <c r="K1014" t="s">
        <v>54</v>
      </c>
      <c r="L1014">
        <v>9</v>
      </c>
      <c r="M1014" t="str">
        <f t="shared" si="15"/>
        <v>6-12 Months</v>
      </c>
      <c r="N1014" s="1">
        <v>44973</v>
      </c>
      <c r="O1014">
        <v>0</v>
      </c>
      <c r="P1014">
        <v>1013</v>
      </c>
      <c r="Q1014" s="2">
        <v>0.28999999999999998</v>
      </c>
      <c r="R1014" t="s">
        <v>27</v>
      </c>
      <c r="S1014">
        <v>2023</v>
      </c>
      <c r="T1014" t="s">
        <v>43</v>
      </c>
    </row>
    <row r="1015" spans="1:20" hidden="1" x14ac:dyDescent="0.3">
      <c r="A1015">
        <v>1704</v>
      </c>
      <c r="B1015">
        <v>487</v>
      </c>
      <c r="C1015" t="s">
        <v>39</v>
      </c>
      <c r="D1015" t="s">
        <v>19</v>
      </c>
      <c r="E1015" t="s">
        <v>20</v>
      </c>
      <c r="F1015" s="1">
        <v>44569</v>
      </c>
      <c r="G1015" s="1">
        <v>44997</v>
      </c>
      <c r="H1015">
        <v>4965</v>
      </c>
      <c r="I1015">
        <v>264</v>
      </c>
      <c r="J1015">
        <v>577.01</v>
      </c>
      <c r="K1015" t="s">
        <v>54</v>
      </c>
      <c r="L1015">
        <v>14</v>
      </c>
      <c r="M1015" t="str">
        <f t="shared" si="15"/>
        <v>6-12 Months</v>
      </c>
      <c r="N1015" s="1">
        <v>44997</v>
      </c>
      <c r="O1015">
        <v>1</v>
      </c>
      <c r="P1015">
        <v>1014</v>
      </c>
      <c r="Q1015" s="2">
        <v>0.12</v>
      </c>
      <c r="R1015" t="s">
        <v>27</v>
      </c>
      <c r="S1015">
        <v>2023</v>
      </c>
      <c r="T1015" t="s">
        <v>38</v>
      </c>
    </row>
    <row r="1016" spans="1:20" x14ac:dyDescent="0.3">
      <c r="A1016">
        <v>1705</v>
      </c>
      <c r="B1016">
        <v>212</v>
      </c>
      <c r="C1016" t="s">
        <v>45</v>
      </c>
      <c r="D1016" t="s">
        <v>34</v>
      </c>
      <c r="E1016" t="s">
        <v>37</v>
      </c>
      <c r="F1016" s="1">
        <v>44714</v>
      </c>
      <c r="G1016" s="1">
        <v>45275</v>
      </c>
      <c r="H1016">
        <v>8974</v>
      </c>
      <c r="I1016">
        <v>6288</v>
      </c>
      <c r="J1016">
        <v>2686</v>
      </c>
      <c r="K1016" t="s">
        <v>35</v>
      </c>
      <c r="L1016">
        <v>18</v>
      </c>
      <c r="M1016" t="str">
        <f t="shared" si="15"/>
        <v>6-12 Months</v>
      </c>
      <c r="N1016" s="1">
        <v>45275</v>
      </c>
      <c r="O1016">
        <v>0</v>
      </c>
      <c r="P1016">
        <v>1015</v>
      </c>
      <c r="Q1016" s="2">
        <v>0.3</v>
      </c>
      <c r="R1016" t="s">
        <v>27</v>
      </c>
      <c r="S1016">
        <v>2023</v>
      </c>
      <c r="T1016" t="s">
        <v>31</v>
      </c>
    </row>
    <row r="1017" spans="1:20" hidden="1" x14ac:dyDescent="0.3">
      <c r="A1017">
        <v>1706</v>
      </c>
      <c r="B1017">
        <v>370</v>
      </c>
      <c r="C1017" t="s">
        <v>53</v>
      </c>
      <c r="D1017" t="s">
        <v>19</v>
      </c>
      <c r="E1017" t="s">
        <v>20</v>
      </c>
      <c r="F1017" s="1">
        <v>44876</v>
      </c>
      <c r="G1017" s="1">
        <v>45122</v>
      </c>
      <c r="H1017">
        <v>4967.93</v>
      </c>
      <c r="I1017">
        <v>5970</v>
      </c>
      <c r="J1017">
        <v>-6477</v>
      </c>
      <c r="K1017" t="s">
        <v>54</v>
      </c>
      <c r="L1017">
        <v>8</v>
      </c>
      <c r="M1017" t="str">
        <f t="shared" si="15"/>
        <v>6-12 Months</v>
      </c>
      <c r="N1017" s="1">
        <v>45122</v>
      </c>
      <c r="O1017">
        <v>1</v>
      </c>
      <c r="P1017">
        <v>1016</v>
      </c>
      <c r="Q1017" s="2">
        <v>-1.3</v>
      </c>
      <c r="R1017" t="s">
        <v>22</v>
      </c>
      <c r="S1017">
        <v>2023</v>
      </c>
      <c r="T1017" t="s">
        <v>44</v>
      </c>
    </row>
    <row r="1018" spans="1:20" hidden="1" x14ac:dyDescent="0.3">
      <c r="A1018">
        <v>1707</v>
      </c>
      <c r="B1018">
        <v>111</v>
      </c>
      <c r="C1018" t="s">
        <v>53</v>
      </c>
      <c r="D1018" t="s">
        <v>25</v>
      </c>
      <c r="E1018" t="s">
        <v>20</v>
      </c>
      <c r="F1018" s="1">
        <v>44830</v>
      </c>
      <c r="G1018" s="1">
        <v>45087</v>
      </c>
      <c r="H1018">
        <v>1601</v>
      </c>
      <c r="I1018">
        <v>5241</v>
      </c>
      <c r="J1018">
        <v>577.01</v>
      </c>
      <c r="K1018" t="s">
        <v>21</v>
      </c>
      <c r="L1018">
        <v>8</v>
      </c>
      <c r="M1018" t="str">
        <f t="shared" si="15"/>
        <v>6-12 Months</v>
      </c>
      <c r="N1018" s="1">
        <v>45087</v>
      </c>
      <c r="O1018">
        <v>0</v>
      </c>
      <c r="P1018">
        <v>1017</v>
      </c>
      <c r="Q1018" s="2">
        <v>0.36</v>
      </c>
      <c r="R1018" t="s">
        <v>27</v>
      </c>
      <c r="S1018">
        <v>2023</v>
      </c>
      <c r="T1018" t="s">
        <v>41</v>
      </c>
    </row>
    <row r="1019" spans="1:20" x14ac:dyDescent="0.3">
      <c r="A1019">
        <v>1709</v>
      </c>
      <c r="B1019">
        <v>246</v>
      </c>
      <c r="C1019" t="s">
        <v>24</v>
      </c>
      <c r="D1019" t="s">
        <v>34</v>
      </c>
      <c r="E1019" t="s">
        <v>37</v>
      </c>
      <c r="F1019" s="1">
        <v>44811</v>
      </c>
      <c r="G1019" s="1">
        <v>45231</v>
      </c>
      <c r="H1019">
        <v>5446</v>
      </c>
      <c r="I1019">
        <v>6847</v>
      </c>
      <c r="J1019">
        <v>-1401</v>
      </c>
      <c r="K1019" t="s">
        <v>35</v>
      </c>
      <c r="L1019">
        <v>13</v>
      </c>
      <c r="M1019" t="str">
        <f t="shared" si="15"/>
        <v>6-12 Months</v>
      </c>
      <c r="N1019" s="1">
        <v>45231</v>
      </c>
      <c r="O1019">
        <v>1</v>
      </c>
      <c r="P1019">
        <v>1018</v>
      </c>
      <c r="Q1019" s="2">
        <v>-0.26</v>
      </c>
      <c r="R1019" t="s">
        <v>27</v>
      </c>
      <c r="S1019">
        <v>2023</v>
      </c>
      <c r="T1019" t="s">
        <v>42</v>
      </c>
    </row>
    <row r="1020" spans="1:20" x14ac:dyDescent="0.3">
      <c r="A1020">
        <v>1710</v>
      </c>
      <c r="B1020">
        <v>250</v>
      </c>
      <c r="C1020" t="s">
        <v>45</v>
      </c>
      <c r="D1020" t="s">
        <v>19</v>
      </c>
      <c r="E1020" t="s">
        <v>37</v>
      </c>
      <c r="F1020" s="1">
        <v>44916</v>
      </c>
      <c r="G1020" s="1">
        <v>45505</v>
      </c>
      <c r="H1020">
        <v>7344</v>
      </c>
      <c r="I1020">
        <v>4844</v>
      </c>
      <c r="J1020">
        <v>2500</v>
      </c>
      <c r="K1020" t="s">
        <v>35</v>
      </c>
      <c r="L1020">
        <v>19</v>
      </c>
      <c r="M1020" t="str">
        <f t="shared" si="15"/>
        <v>6-12 Months</v>
      </c>
      <c r="N1020" s="1">
        <v>45505</v>
      </c>
      <c r="O1020">
        <v>0</v>
      </c>
      <c r="P1020">
        <v>1019</v>
      </c>
      <c r="Q1020" s="2">
        <v>0.34</v>
      </c>
      <c r="R1020" t="s">
        <v>27</v>
      </c>
      <c r="S1020">
        <v>2024</v>
      </c>
      <c r="T1020" t="s">
        <v>36</v>
      </c>
    </row>
    <row r="1021" spans="1:20" hidden="1" x14ac:dyDescent="0.3">
      <c r="A1021">
        <v>1711</v>
      </c>
      <c r="B1021">
        <v>308</v>
      </c>
      <c r="C1021" t="s">
        <v>45</v>
      </c>
      <c r="D1021" t="s">
        <v>34</v>
      </c>
      <c r="E1021" t="s">
        <v>37</v>
      </c>
      <c r="F1021" s="1">
        <v>44567</v>
      </c>
      <c r="G1021" s="1">
        <v>44678</v>
      </c>
      <c r="H1021">
        <v>8428</v>
      </c>
      <c r="I1021">
        <v>6218</v>
      </c>
      <c r="J1021">
        <v>2210</v>
      </c>
      <c r="K1021" t="s">
        <v>54</v>
      </c>
      <c r="L1021">
        <v>3</v>
      </c>
      <c r="M1021" t="str">
        <f t="shared" si="15"/>
        <v>0-6 Months</v>
      </c>
      <c r="N1021" s="1">
        <v>44678</v>
      </c>
      <c r="O1021">
        <v>1</v>
      </c>
      <c r="P1021">
        <v>1020</v>
      </c>
      <c r="Q1021" s="2">
        <v>0.26</v>
      </c>
      <c r="R1021" t="s">
        <v>27</v>
      </c>
      <c r="S1021">
        <v>2022</v>
      </c>
      <c r="T1021" t="s">
        <v>32</v>
      </c>
    </row>
    <row r="1022" spans="1:20" x14ac:dyDescent="0.3">
      <c r="A1022">
        <v>1713</v>
      </c>
      <c r="B1022">
        <v>153</v>
      </c>
      <c r="C1022" t="s">
        <v>45</v>
      </c>
      <c r="D1022" t="s">
        <v>19</v>
      </c>
      <c r="E1022" t="s">
        <v>26</v>
      </c>
      <c r="F1022" s="1">
        <v>44598</v>
      </c>
      <c r="G1022" s="1">
        <v>44797</v>
      </c>
      <c r="H1022">
        <v>2521</v>
      </c>
      <c r="I1022">
        <v>1745</v>
      </c>
      <c r="J1022">
        <v>776</v>
      </c>
      <c r="K1022" t="s">
        <v>35</v>
      </c>
      <c r="L1022">
        <v>6</v>
      </c>
      <c r="M1022" t="str">
        <f t="shared" si="15"/>
        <v>12+ Months</v>
      </c>
      <c r="N1022" s="1">
        <v>44797</v>
      </c>
      <c r="O1022">
        <v>0</v>
      </c>
      <c r="P1022">
        <v>1021</v>
      </c>
      <c r="Q1022" s="2">
        <v>0.31</v>
      </c>
      <c r="R1022" t="s">
        <v>27</v>
      </c>
      <c r="S1022">
        <v>2022</v>
      </c>
      <c r="T1022" t="s">
        <v>36</v>
      </c>
    </row>
    <row r="1023" spans="1:20" hidden="1" x14ac:dyDescent="0.3">
      <c r="A1023">
        <v>1714</v>
      </c>
      <c r="B1023">
        <v>476</v>
      </c>
      <c r="C1023" t="s">
        <v>24</v>
      </c>
      <c r="D1023" t="s">
        <v>25</v>
      </c>
      <c r="E1023" t="s">
        <v>37</v>
      </c>
      <c r="F1023" s="1">
        <v>44866</v>
      </c>
      <c r="G1023" s="1">
        <v>45012</v>
      </c>
      <c r="H1023">
        <v>2720</v>
      </c>
      <c r="I1023">
        <v>3105</v>
      </c>
      <c r="J1023">
        <v>-385</v>
      </c>
      <c r="K1023" t="s">
        <v>21</v>
      </c>
      <c r="L1023">
        <v>4</v>
      </c>
      <c r="M1023" t="str">
        <f t="shared" si="15"/>
        <v>0-6 Months</v>
      </c>
      <c r="N1023" s="1">
        <v>45012</v>
      </c>
      <c r="O1023">
        <v>0</v>
      </c>
      <c r="P1023">
        <v>1022</v>
      </c>
      <c r="Q1023" s="2">
        <v>-0.14000000000000001</v>
      </c>
      <c r="R1023" t="s">
        <v>27</v>
      </c>
      <c r="S1023">
        <v>2023</v>
      </c>
      <c r="T1023" t="s">
        <v>38</v>
      </c>
    </row>
    <row r="1024" spans="1:20" hidden="1" x14ac:dyDescent="0.3">
      <c r="A1024">
        <v>1715</v>
      </c>
      <c r="B1024">
        <v>371</v>
      </c>
      <c r="C1024" t="s">
        <v>39</v>
      </c>
      <c r="D1024" t="s">
        <v>29</v>
      </c>
      <c r="E1024" t="s">
        <v>20</v>
      </c>
      <c r="F1024" s="1">
        <v>44783</v>
      </c>
      <c r="G1024" s="1">
        <v>45060</v>
      </c>
      <c r="H1024">
        <v>9727</v>
      </c>
      <c r="I1024">
        <v>1396</v>
      </c>
      <c r="J1024">
        <v>8331</v>
      </c>
      <c r="K1024" t="s">
        <v>21</v>
      </c>
      <c r="L1024">
        <v>9</v>
      </c>
      <c r="M1024" t="str">
        <f t="shared" si="15"/>
        <v>6-12 Months</v>
      </c>
      <c r="N1024" s="1">
        <v>45060</v>
      </c>
      <c r="O1024">
        <v>1</v>
      </c>
      <c r="P1024">
        <v>1023</v>
      </c>
      <c r="Q1024" s="2">
        <v>0.86</v>
      </c>
      <c r="R1024" t="s">
        <v>27</v>
      </c>
      <c r="S1024">
        <v>2023</v>
      </c>
      <c r="T1024" t="s">
        <v>28</v>
      </c>
    </row>
    <row r="1025" spans="1:20" hidden="1" x14ac:dyDescent="0.3">
      <c r="A1025">
        <v>1716</v>
      </c>
      <c r="B1025">
        <v>181</v>
      </c>
      <c r="C1025" t="s">
        <v>39</v>
      </c>
      <c r="D1025" t="s">
        <v>34</v>
      </c>
      <c r="E1025" t="s">
        <v>37</v>
      </c>
      <c r="F1025" s="1">
        <v>44834</v>
      </c>
      <c r="G1025" s="1">
        <v>45351</v>
      </c>
      <c r="H1025">
        <v>259</v>
      </c>
      <c r="I1025">
        <v>2739</v>
      </c>
      <c r="J1025">
        <v>-2480</v>
      </c>
      <c r="K1025" t="s">
        <v>54</v>
      </c>
      <c r="L1025">
        <v>16</v>
      </c>
      <c r="M1025" t="str">
        <f t="shared" si="15"/>
        <v>6-12 Months</v>
      </c>
      <c r="N1025" s="1">
        <v>45351</v>
      </c>
      <c r="O1025">
        <v>1</v>
      </c>
      <c r="P1025">
        <v>1024</v>
      </c>
      <c r="Q1025" s="2">
        <v>-9.58</v>
      </c>
      <c r="R1025" t="s">
        <v>22</v>
      </c>
      <c r="S1025">
        <v>2024</v>
      </c>
      <c r="T1025" t="s">
        <v>43</v>
      </c>
    </row>
    <row r="1026" spans="1:20" hidden="1" x14ac:dyDescent="0.3">
      <c r="A1026">
        <v>1717</v>
      </c>
      <c r="B1026">
        <v>117</v>
      </c>
      <c r="C1026" t="s">
        <v>45</v>
      </c>
      <c r="D1026" t="s">
        <v>34</v>
      </c>
      <c r="E1026" t="s">
        <v>37</v>
      </c>
      <c r="F1026" s="1">
        <v>44791</v>
      </c>
      <c r="G1026" s="1">
        <v>45015</v>
      </c>
      <c r="H1026">
        <v>4620</v>
      </c>
      <c r="I1026">
        <v>1070</v>
      </c>
      <c r="J1026">
        <v>577.01</v>
      </c>
      <c r="K1026" t="s">
        <v>54</v>
      </c>
      <c r="L1026">
        <v>7</v>
      </c>
      <c r="M1026" t="str">
        <f t="shared" ref="M1026:M1089" si="16">IF(L1026&lt;6,"0-6 Months",IF(L1026&gt;6,"6-12 Months","12+ Months"))</f>
        <v>6-12 Months</v>
      </c>
      <c r="N1026" s="1">
        <v>45015</v>
      </c>
      <c r="O1026">
        <v>1</v>
      </c>
      <c r="P1026">
        <v>1025</v>
      </c>
      <c r="Q1026" s="2">
        <v>0.12</v>
      </c>
      <c r="R1026" t="s">
        <v>27</v>
      </c>
      <c r="S1026">
        <v>2023</v>
      </c>
      <c r="T1026" t="s">
        <v>38</v>
      </c>
    </row>
    <row r="1027" spans="1:20" x14ac:dyDescent="0.3">
      <c r="A1027">
        <v>1718</v>
      </c>
      <c r="B1027">
        <v>123</v>
      </c>
      <c r="C1027" t="s">
        <v>53</v>
      </c>
      <c r="D1027" t="s">
        <v>29</v>
      </c>
      <c r="E1027" t="s">
        <v>20</v>
      </c>
      <c r="F1027" s="1">
        <v>44686</v>
      </c>
      <c r="G1027" s="1">
        <v>44896</v>
      </c>
      <c r="H1027">
        <v>7898</v>
      </c>
      <c r="I1027">
        <v>5650</v>
      </c>
      <c r="J1027">
        <v>2248</v>
      </c>
      <c r="K1027" t="s">
        <v>35</v>
      </c>
      <c r="L1027">
        <v>6</v>
      </c>
      <c r="M1027" t="str">
        <f t="shared" si="16"/>
        <v>12+ Months</v>
      </c>
      <c r="N1027" s="1">
        <v>44896</v>
      </c>
      <c r="O1027">
        <v>1</v>
      </c>
      <c r="P1027">
        <v>1026</v>
      </c>
      <c r="Q1027" s="2">
        <v>0.28000000000000003</v>
      </c>
      <c r="R1027" t="s">
        <v>27</v>
      </c>
      <c r="S1027">
        <v>2022</v>
      </c>
      <c r="T1027" t="s">
        <v>31</v>
      </c>
    </row>
    <row r="1028" spans="1:20" hidden="1" x14ac:dyDescent="0.3">
      <c r="A1028">
        <v>1721</v>
      </c>
      <c r="B1028">
        <v>157</v>
      </c>
      <c r="C1028" t="s">
        <v>24</v>
      </c>
      <c r="D1028" t="s">
        <v>29</v>
      </c>
      <c r="E1028" t="s">
        <v>20</v>
      </c>
      <c r="F1028" s="1">
        <v>44852</v>
      </c>
      <c r="G1028" s="1">
        <v>45366</v>
      </c>
      <c r="H1028">
        <v>354</v>
      </c>
      <c r="I1028">
        <v>5178</v>
      </c>
      <c r="J1028">
        <v>-4824</v>
      </c>
      <c r="K1028" t="s">
        <v>54</v>
      </c>
      <c r="L1028">
        <v>16</v>
      </c>
      <c r="M1028" t="str">
        <f t="shared" si="16"/>
        <v>6-12 Months</v>
      </c>
      <c r="N1028" s="1">
        <v>45366</v>
      </c>
      <c r="O1028">
        <v>0</v>
      </c>
      <c r="P1028">
        <v>1027</v>
      </c>
      <c r="Q1028" s="2">
        <v>-13.63</v>
      </c>
      <c r="R1028" t="s">
        <v>22</v>
      </c>
      <c r="S1028">
        <v>2024</v>
      </c>
      <c r="T1028" t="s">
        <v>38</v>
      </c>
    </row>
    <row r="1029" spans="1:20" hidden="1" x14ac:dyDescent="0.3">
      <c r="A1029">
        <v>1722</v>
      </c>
      <c r="B1029">
        <v>293</v>
      </c>
      <c r="C1029" t="s">
        <v>53</v>
      </c>
      <c r="D1029" t="s">
        <v>25</v>
      </c>
      <c r="E1029" t="s">
        <v>37</v>
      </c>
      <c r="F1029" s="1">
        <v>44688</v>
      </c>
      <c r="G1029" s="1">
        <v>44750</v>
      </c>
      <c r="H1029">
        <v>4967.93</v>
      </c>
      <c r="I1029">
        <v>4012.75</v>
      </c>
      <c r="J1029">
        <v>-45</v>
      </c>
      <c r="K1029" t="s">
        <v>54</v>
      </c>
      <c r="L1029">
        <v>2</v>
      </c>
      <c r="M1029" t="str">
        <f t="shared" si="16"/>
        <v>0-6 Months</v>
      </c>
      <c r="N1029" s="1">
        <v>44750</v>
      </c>
      <c r="O1029">
        <v>1</v>
      </c>
      <c r="P1029">
        <v>1028</v>
      </c>
      <c r="Q1029" s="2">
        <v>-0.01</v>
      </c>
      <c r="R1029" t="s">
        <v>27</v>
      </c>
      <c r="S1029">
        <v>2022</v>
      </c>
      <c r="T1029" t="s">
        <v>44</v>
      </c>
    </row>
    <row r="1030" spans="1:20" hidden="1" x14ac:dyDescent="0.3">
      <c r="A1030">
        <v>1724</v>
      </c>
      <c r="B1030">
        <v>337</v>
      </c>
      <c r="C1030" t="s">
        <v>39</v>
      </c>
      <c r="D1030" t="s">
        <v>25</v>
      </c>
      <c r="E1030" t="s">
        <v>20</v>
      </c>
      <c r="F1030" s="1">
        <v>44665</v>
      </c>
      <c r="G1030" s="1">
        <v>45114</v>
      </c>
      <c r="H1030">
        <v>2470</v>
      </c>
      <c r="I1030">
        <v>2291</v>
      </c>
      <c r="J1030">
        <v>179</v>
      </c>
      <c r="K1030" t="s">
        <v>21</v>
      </c>
      <c r="L1030">
        <v>14</v>
      </c>
      <c r="M1030" t="str">
        <f t="shared" si="16"/>
        <v>6-12 Months</v>
      </c>
      <c r="N1030" s="1">
        <v>45114</v>
      </c>
      <c r="O1030">
        <v>0</v>
      </c>
      <c r="P1030">
        <v>1029</v>
      </c>
      <c r="Q1030" s="2">
        <v>7.0000000000000007E-2</v>
      </c>
      <c r="R1030" t="s">
        <v>27</v>
      </c>
      <c r="S1030">
        <v>2023</v>
      </c>
      <c r="T1030" t="s">
        <v>44</v>
      </c>
    </row>
    <row r="1031" spans="1:20" hidden="1" x14ac:dyDescent="0.3">
      <c r="A1031">
        <v>1726</v>
      </c>
      <c r="B1031">
        <v>267</v>
      </c>
      <c r="C1031" t="s">
        <v>40</v>
      </c>
      <c r="D1031" t="s">
        <v>34</v>
      </c>
      <c r="E1031" t="s">
        <v>20</v>
      </c>
      <c r="F1031" s="1">
        <v>44768</v>
      </c>
      <c r="G1031" s="1">
        <v>44934</v>
      </c>
      <c r="H1031">
        <v>7183</v>
      </c>
      <c r="I1031">
        <v>4012.75</v>
      </c>
      <c r="J1031">
        <v>8012</v>
      </c>
      <c r="K1031" t="s">
        <v>54</v>
      </c>
      <c r="L1031">
        <v>5</v>
      </c>
      <c r="M1031" t="str">
        <f t="shared" si="16"/>
        <v>0-6 Months</v>
      </c>
      <c r="N1031" s="1">
        <v>44934</v>
      </c>
      <c r="O1031">
        <v>0</v>
      </c>
      <c r="P1031">
        <v>1030</v>
      </c>
      <c r="Q1031" s="2">
        <v>1.1200000000000001</v>
      </c>
      <c r="R1031" t="s">
        <v>22</v>
      </c>
      <c r="S1031">
        <v>2023</v>
      </c>
      <c r="T1031" t="s">
        <v>23</v>
      </c>
    </row>
    <row r="1032" spans="1:20" hidden="1" x14ac:dyDescent="0.3">
      <c r="A1032">
        <v>1729</v>
      </c>
      <c r="B1032">
        <v>485</v>
      </c>
      <c r="C1032" t="s">
        <v>39</v>
      </c>
      <c r="D1032" t="s">
        <v>25</v>
      </c>
      <c r="E1032" t="s">
        <v>20</v>
      </c>
      <c r="F1032" s="1">
        <v>44912</v>
      </c>
      <c r="G1032" s="1">
        <v>45105</v>
      </c>
      <c r="H1032">
        <v>198</v>
      </c>
      <c r="I1032">
        <v>1892</v>
      </c>
      <c r="J1032">
        <v>577.01</v>
      </c>
      <c r="K1032" t="s">
        <v>54</v>
      </c>
      <c r="L1032">
        <v>6</v>
      </c>
      <c r="M1032" t="str">
        <f t="shared" si="16"/>
        <v>12+ Months</v>
      </c>
      <c r="N1032" s="1">
        <v>45105</v>
      </c>
      <c r="O1032">
        <v>0</v>
      </c>
      <c r="P1032">
        <v>1031</v>
      </c>
      <c r="Q1032" s="2">
        <v>2.91</v>
      </c>
      <c r="R1032" t="s">
        <v>22</v>
      </c>
      <c r="S1032">
        <v>2023</v>
      </c>
      <c r="T1032" t="s">
        <v>41</v>
      </c>
    </row>
    <row r="1033" spans="1:20" hidden="1" x14ac:dyDescent="0.3">
      <c r="A1033">
        <v>1731</v>
      </c>
      <c r="B1033">
        <v>472</v>
      </c>
      <c r="C1033" t="s">
        <v>40</v>
      </c>
      <c r="D1033" t="s">
        <v>19</v>
      </c>
      <c r="E1033" t="s">
        <v>37</v>
      </c>
      <c r="F1033" s="1">
        <v>44594</v>
      </c>
      <c r="G1033" s="1">
        <v>44832</v>
      </c>
      <c r="H1033">
        <v>9802</v>
      </c>
      <c r="I1033">
        <v>4012.75</v>
      </c>
      <c r="J1033">
        <v>10305</v>
      </c>
      <c r="K1033" t="s">
        <v>21</v>
      </c>
      <c r="L1033">
        <v>7</v>
      </c>
      <c r="M1033" t="str">
        <f t="shared" si="16"/>
        <v>6-12 Months</v>
      </c>
      <c r="N1033" s="1">
        <v>44832</v>
      </c>
      <c r="O1033">
        <v>0</v>
      </c>
      <c r="P1033">
        <v>1032</v>
      </c>
      <c r="Q1033" s="2">
        <v>1.05</v>
      </c>
      <c r="R1033" t="s">
        <v>22</v>
      </c>
      <c r="S1033">
        <v>2022</v>
      </c>
      <c r="T1033" t="s">
        <v>30</v>
      </c>
    </row>
    <row r="1034" spans="1:20" hidden="1" x14ac:dyDescent="0.3">
      <c r="A1034">
        <v>1732</v>
      </c>
      <c r="B1034">
        <v>358</v>
      </c>
      <c r="C1034" t="s">
        <v>45</v>
      </c>
      <c r="D1034" t="s">
        <v>34</v>
      </c>
      <c r="E1034" t="s">
        <v>26</v>
      </c>
      <c r="F1034" s="1">
        <v>44788</v>
      </c>
      <c r="G1034" s="1">
        <v>45120</v>
      </c>
      <c r="H1034">
        <v>291</v>
      </c>
      <c r="I1034">
        <v>5351</v>
      </c>
      <c r="J1034">
        <v>-5060</v>
      </c>
      <c r="K1034" t="s">
        <v>54</v>
      </c>
      <c r="L1034">
        <v>10</v>
      </c>
      <c r="M1034" t="str">
        <f t="shared" si="16"/>
        <v>6-12 Months</v>
      </c>
      <c r="N1034" s="1">
        <v>45120</v>
      </c>
      <c r="O1034">
        <v>0</v>
      </c>
      <c r="P1034">
        <v>1033</v>
      </c>
      <c r="Q1034" s="2">
        <v>-17.39</v>
      </c>
      <c r="R1034" t="s">
        <v>22</v>
      </c>
      <c r="S1034">
        <v>2023</v>
      </c>
      <c r="T1034" t="s">
        <v>44</v>
      </c>
    </row>
    <row r="1035" spans="1:20" hidden="1" x14ac:dyDescent="0.3">
      <c r="A1035">
        <v>1733</v>
      </c>
      <c r="B1035">
        <v>220</v>
      </c>
      <c r="C1035" t="s">
        <v>24</v>
      </c>
      <c r="D1035" t="s">
        <v>19</v>
      </c>
      <c r="E1035" t="s">
        <v>37</v>
      </c>
      <c r="F1035" s="1">
        <v>44770</v>
      </c>
      <c r="G1035" s="1">
        <v>45369</v>
      </c>
      <c r="H1035">
        <v>7219</v>
      </c>
      <c r="I1035">
        <v>5048</v>
      </c>
      <c r="J1035">
        <v>2171</v>
      </c>
      <c r="K1035" t="s">
        <v>54</v>
      </c>
      <c r="L1035">
        <v>19</v>
      </c>
      <c r="M1035" t="str">
        <f t="shared" si="16"/>
        <v>6-12 Months</v>
      </c>
      <c r="N1035" s="1">
        <v>45369</v>
      </c>
      <c r="O1035">
        <v>0</v>
      </c>
      <c r="P1035">
        <v>1034</v>
      </c>
      <c r="Q1035" s="2">
        <v>0.3</v>
      </c>
      <c r="R1035" t="s">
        <v>27</v>
      </c>
      <c r="S1035">
        <v>2024</v>
      </c>
      <c r="T1035" t="s">
        <v>38</v>
      </c>
    </row>
    <row r="1036" spans="1:20" hidden="1" x14ac:dyDescent="0.3">
      <c r="A1036">
        <v>1734</v>
      </c>
      <c r="B1036">
        <v>456</v>
      </c>
      <c r="C1036" t="s">
        <v>53</v>
      </c>
      <c r="D1036" t="s">
        <v>19</v>
      </c>
      <c r="E1036" t="s">
        <v>26</v>
      </c>
      <c r="F1036" s="1">
        <v>44579</v>
      </c>
      <c r="G1036" s="1">
        <v>44806</v>
      </c>
      <c r="H1036">
        <v>2313</v>
      </c>
      <c r="I1036">
        <v>4012.75</v>
      </c>
      <c r="J1036">
        <v>3039</v>
      </c>
      <c r="K1036" t="s">
        <v>54</v>
      </c>
      <c r="L1036">
        <v>7</v>
      </c>
      <c r="M1036" t="str">
        <f t="shared" si="16"/>
        <v>6-12 Months</v>
      </c>
      <c r="N1036" s="1">
        <v>44806</v>
      </c>
      <c r="O1036">
        <v>1</v>
      </c>
      <c r="P1036">
        <v>1035</v>
      </c>
      <c r="Q1036" s="2">
        <v>1.31</v>
      </c>
      <c r="R1036" t="s">
        <v>22</v>
      </c>
      <c r="S1036">
        <v>2022</v>
      </c>
      <c r="T1036" t="s">
        <v>30</v>
      </c>
    </row>
    <row r="1037" spans="1:20" hidden="1" x14ac:dyDescent="0.3">
      <c r="A1037">
        <v>1735</v>
      </c>
      <c r="B1037">
        <v>230</v>
      </c>
      <c r="C1037" t="s">
        <v>45</v>
      </c>
      <c r="D1037" t="s">
        <v>25</v>
      </c>
      <c r="E1037" t="s">
        <v>37</v>
      </c>
      <c r="F1037" s="1">
        <v>44719</v>
      </c>
      <c r="G1037" s="1">
        <v>45051</v>
      </c>
      <c r="H1037">
        <v>3701</v>
      </c>
      <c r="I1037">
        <v>1429</v>
      </c>
      <c r="J1037">
        <v>2272</v>
      </c>
      <c r="K1037" t="s">
        <v>54</v>
      </c>
      <c r="L1037">
        <v>10</v>
      </c>
      <c r="M1037" t="str">
        <f t="shared" si="16"/>
        <v>6-12 Months</v>
      </c>
      <c r="N1037" s="1">
        <v>45051</v>
      </c>
      <c r="O1037">
        <v>1</v>
      </c>
      <c r="P1037">
        <v>1036</v>
      </c>
      <c r="Q1037" s="2">
        <v>0.61</v>
      </c>
      <c r="R1037" t="s">
        <v>27</v>
      </c>
      <c r="S1037">
        <v>2023</v>
      </c>
      <c r="T1037" t="s">
        <v>28</v>
      </c>
    </row>
    <row r="1038" spans="1:20" hidden="1" x14ac:dyDescent="0.3">
      <c r="A1038">
        <v>1736</v>
      </c>
      <c r="B1038">
        <v>128</v>
      </c>
      <c r="C1038" t="s">
        <v>53</v>
      </c>
      <c r="D1038" t="s">
        <v>19</v>
      </c>
      <c r="E1038" t="s">
        <v>26</v>
      </c>
      <c r="F1038" s="1">
        <v>44733</v>
      </c>
      <c r="G1038" s="1">
        <v>45280</v>
      </c>
      <c r="H1038">
        <v>6429</v>
      </c>
      <c r="I1038">
        <v>4611</v>
      </c>
      <c r="J1038">
        <v>1818</v>
      </c>
      <c r="K1038" t="s">
        <v>21</v>
      </c>
      <c r="L1038">
        <v>17</v>
      </c>
      <c r="M1038" t="str">
        <f t="shared" si="16"/>
        <v>6-12 Months</v>
      </c>
      <c r="N1038" s="1">
        <v>45280</v>
      </c>
      <c r="O1038">
        <v>1</v>
      </c>
      <c r="P1038">
        <v>1037</v>
      </c>
      <c r="Q1038" s="2">
        <v>0.28000000000000003</v>
      </c>
      <c r="R1038" t="s">
        <v>27</v>
      </c>
      <c r="S1038">
        <v>2023</v>
      </c>
      <c r="T1038" t="s">
        <v>31</v>
      </c>
    </row>
    <row r="1039" spans="1:20" hidden="1" x14ac:dyDescent="0.3">
      <c r="A1039">
        <v>1742</v>
      </c>
      <c r="B1039">
        <v>273</v>
      </c>
      <c r="C1039" t="s">
        <v>39</v>
      </c>
      <c r="D1039" t="s">
        <v>34</v>
      </c>
      <c r="E1039" t="s">
        <v>20</v>
      </c>
      <c r="F1039" s="1">
        <v>44626</v>
      </c>
      <c r="G1039" s="1">
        <v>45187</v>
      </c>
      <c r="H1039">
        <v>1506</v>
      </c>
      <c r="I1039">
        <v>4253</v>
      </c>
      <c r="J1039">
        <v>-2747</v>
      </c>
      <c r="K1039" t="s">
        <v>54</v>
      </c>
      <c r="L1039">
        <v>18</v>
      </c>
      <c r="M1039" t="str">
        <f t="shared" si="16"/>
        <v>6-12 Months</v>
      </c>
      <c r="N1039" s="1">
        <v>45187</v>
      </c>
      <c r="O1039">
        <v>1</v>
      </c>
      <c r="P1039">
        <v>1038</v>
      </c>
      <c r="Q1039" s="2">
        <v>-1.82</v>
      </c>
      <c r="R1039" t="s">
        <v>22</v>
      </c>
      <c r="S1039">
        <v>2023</v>
      </c>
      <c r="T1039" t="s">
        <v>30</v>
      </c>
    </row>
    <row r="1040" spans="1:20" hidden="1" x14ac:dyDescent="0.3">
      <c r="A1040">
        <v>1743</v>
      </c>
      <c r="B1040">
        <v>108</v>
      </c>
      <c r="C1040" t="s">
        <v>53</v>
      </c>
      <c r="D1040" t="s">
        <v>19</v>
      </c>
      <c r="E1040" t="s">
        <v>37</v>
      </c>
      <c r="F1040" s="1">
        <v>44613</v>
      </c>
      <c r="G1040" s="1">
        <v>45067</v>
      </c>
      <c r="H1040">
        <v>3394</v>
      </c>
      <c r="I1040">
        <v>933</v>
      </c>
      <c r="J1040">
        <v>2461</v>
      </c>
      <c r="K1040" t="s">
        <v>21</v>
      </c>
      <c r="L1040">
        <v>15</v>
      </c>
      <c r="M1040" t="str">
        <f t="shared" si="16"/>
        <v>6-12 Months</v>
      </c>
      <c r="N1040" s="1">
        <v>45067</v>
      </c>
      <c r="O1040">
        <v>1</v>
      </c>
      <c r="P1040">
        <v>1039</v>
      </c>
      <c r="Q1040" s="2">
        <v>0.73</v>
      </c>
      <c r="R1040" t="s">
        <v>27</v>
      </c>
      <c r="S1040">
        <v>2023</v>
      </c>
      <c r="T1040" t="s">
        <v>28</v>
      </c>
    </row>
    <row r="1041" spans="1:20" hidden="1" x14ac:dyDescent="0.3">
      <c r="A1041">
        <v>1746</v>
      </c>
      <c r="B1041">
        <v>148</v>
      </c>
      <c r="C1041" t="s">
        <v>53</v>
      </c>
      <c r="D1041" t="s">
        <v>25</v>
      </c>
      <c r="E1041" t="s">
        <v>26</v>
      </c>
      <c r="F1041" s="1">
        <v>44815</v>
      </c>
      <c r="G1041" s="1">
        <v>44947</v>
      </c>
      <c r="H1041">
        <v>4967.93</v>
      </c>
      <c r="I1041">
        <v>4496</v>
      </c>
      <c r="J1041">
        <v>-5935</v>
      </c>
      <c r="K1041" t="s">
        <v>21</v>
      </c>
      <c r="L1041">
        <v>4</v>
      </c>
      <c r="M1041" t="str">
        <f t="shared" si="16"/>
        <v>0-6 Months</v>
      </c>
      <c r="N1041" s="1">
        <v>44947</v>
      </c>
      <c r="O1041">
        <v>0</v>
      </c>
      <c r="P1041">
        <v>1040</v>
      </c>
      <c r="Q1041" s="2">
        <v>-1.19</v>
      </c>
      <c r="R1041" t="s">
        <v>22</v>
      </c>
      <c r="S1041">
        <v>2023</v>
      </c>
      <c r="T1041" t="s">
        <v>23</v>
      </c>
    </row>
    <row r="1042" spans="1:20" hidden="1" x14ac:dyDescent="0.3">
      <c r="A1042">
        <v>1747</v>
      </c>
      <c r="B1042">
        <v>180</v>
      </c>
      <c r="C1042" t="s">
        <v>24</v>
      </c>
      <c r="D1042" t="s">
        <v>34</v>
      </c>
      <c r="E1042" t="s">
        <v>37</v>
      </c>
      <c r="F1042" s="1">
        <v>44722</v>
      </c>
      <c r="G1042" s="1">
        <v>45184</v>
      </c>
      <c r="H1042">
        <v>3982</v>
      </c>
      <c r="I1042">
        <v>6166</v>
      </c>
      <c r="J1042">
        <v>-2184</v>
      </c>
      <c r="K1042" t="s">
        <v>54</v>
      </c>
      <c r="L1042">
        <v>15</v>
      </c>
      <c r="M1042" t="str">
        <f t="shared" si="16"/>
        <v>6-12 Months</v>
      </c>
      <c r="N1042" s="1">
        <v>45184</v>
      </c>
      <c r="O1042">
        <v>0</v>
      </c>
      <c r="P1042">
        <v>1041</v>
      </c>
      <c r="Q1042" s="2">
        <v>-0.55000000000000004</v>
      </c>
      <c r="R1042" t="s">
        <v>27</v>
      </c>
      <c r="S1042">
        <v>2023</v>
      </c>
      <c r="T1042" t="s">
        <v>30</v>
      </c>
    </row>
    <row r="1043" spans="1:20" hidden="1" x14ac:dyDescent="0.3">
      <c r="A1043">
        <v>1749</v>
      </c>
      <c r="B1043">
        <v>136</v>
      </c>
      <c r="C1043" t="s">
        <v>53</v>
      </c>
      <c r="D1043" t="s">
        <v>19</v>
      </c>
      <c r="E1043" t="s">
        <v>20</v>
      </c>
      <c r="F1043" s="1">
        <v>44899</v>
      </c>
      <c r="G1043" s="1">
        <v>45155</v>
      </c>
      <c r="H1043">
        <v>8390</v>
      </c>
      <c r="I1043">
        <v>6336</v>
      </c>
      <c r="J1043">
        <v>2054</v>
      </c>
      <c r="K1043" t="s">
        <v>54</v>
      </c>
      <c r="L1043">
        <v>8</v>
      </c>
      <c r="M1043" t="str">
        <f t="shared" si="16"/>
        <v>6-12 Months</v>
      </c>
      <c r="N1043" s="1">
        <v>45155</v>
      </c>
      <c r="O1043">
        <v>0</v>
      </c>
      <c r="P1043">
        <v>1042</v>
      </c>
      <c r="Q1043" s="2">
        <v>0.24</v>
      </c>
      <c r="R1043" t="s">
        <v>27</v>
      </c>
      <c r="S1043">
        <v>2023</v>
      </c>
      <c r="T1043" t="s">
        <v>36</v>
      </c>
    </row>
    <row r="1044" spans="1:20" x14ac:dyDescent="0.3">
      <c r="A1044">
        <v>1750</v>
      </c>
      <c r="B1044">
        <v>364</v>
      </c>
      <c r="C1044" t="s">
        <v>40</v>
      </c>
      <c r="D1044" t="s">
        <v>29</v>
      </c>
      <c r="E1044" t="s">
        <v>37</v>
      </c>
      <c r="F1044" s="1">
        <v>44716</v>
      </c>
      <c r="G1044" s="1">
        <v>45193</v>
      </c>
      <c r="H1044">
        <v>4635</v>
      </c>
      <c r="I1044">
        <v>1998</v>
      </c>
      <c r="J1044">
        <v>2637</v>
      </c>
      <c r="K1044" t="s">
        <v>35</v>
      </c>
      <c r="L1044">
        <v>15</v>
      </c>
      <c r="M1044" t="str">
        <f t="shared" si="16"/>
        <v>6-12 Months</v>
      </c>
      <c r="N1044" s="1">
        <v>45193</v>
      </c>
      <c r="O1044">
        <v>0</v>
      </c>
      <c r="P1044">
        <v>1043</v>
      </c>
      <c r="Q1044" s="2">
        <v>0.56999999999999995</v>
      </c>
      <c r="R1044" t="s">
        <v>27</v>
      </c>
      <c r="S1044">
        <v>2023</v>
      </c>
      <c r="T1044" t="s">
        <v>30</v>
      </c>
    </row>
    <row r="1045" spans="1:20" hidden="1" x14ac:dyDescent="0.3">
      <c r="A1045">
        <v>1751</v>
      </c>
      <c r="B1045">
        <v>489</v>
      </c>
      <c r="C1045" t="s">
        <v>45</v>
      </c>
      <c r="D1045" t="s">
        <v>19</v>
      </c>
      <c r="E1045" t="s">
        <v>20</v>
      </c>
      <c r="F1045" s="1">
        <v>44656</v>
      </c>
      <c r="G1045" s="1">
        <v>44915</v>
      </c>
      <c r="H1045">
        <v>2480</v>
      </c>
      <c r="I1045">
        <v>2444</v>
      </c>
      <c r="J1045">
        <v>36</v>
      </c>
      <c r="K1045" t="s">
        <v>21</v>
      </c>
      <c r="L1045">
        <v>8</v>
      </c>
      <c r="M1045" t="str">
        <f t="shared" si="16"/>
        <v>6-12 Months</v>
      </c>
      <c r="N1045" s="1">
        <v>44915</v>
      </c>
      <c r="O1045">
        <v>0</v>
      </c>
      <c r="P1045">
        <v>1044</v>
      </c>
      <c r="Q1045" s="2">
        <v>0.01</v>
      </c>
      <c r="R1045" t="s">
        <v>27</v>
      </c>
      <c r="S1045">
        <v>2022</v>
      </c>
      <c r="T1045" t="s">
        <v>31</v>
      </c>
    </row>
    <row r="1046" spans="1:20" hidden="1" x14ac:dyDescent="0.3">
      <c r="A1046">
        <v>1752</v>
      </c>
      <c r="B1046">
        <v>382</v>
      </c>
      <c r="C1046" t="s">
        <v>39</v>
      </c>
      <c r="D1046" t="s">
        <v>34</v>
      </c>
      <c r="E1046" t="s">
        <v>20</v>
      </c>
      <c r="F1046" s="1">
        <v>44842</v>
      </c>
      <c r="G1046" s="1">
        <v>44886</v>
      </c>
      <c r="H1046">
        <v>3003</v>
      </c>
      <c r="I1046">
        <v>5544</v>
      </c>
      <c r="J1046">
        <v>-2541</v>
      </c>
      <c r="K1046" t="s">
        <v>21</v>
      </c>
      <c r="L1046">
        <v>1</v>
      </c>
      <c r="M1046" t="str">
        <f t="shared" si="16"/>
        <v>0-6 Months</v>
      </c>
      <c r="N1046" s="1">
        <v>44886</v>
      </c>
      <c r="O1046">
        <v>0</v>
      </c>
      <c r="P1046">
        <v>1045</v>
      </c>
      <c r="Q1046" s="2">
        <v>-0.85</v>
      </c>
      <c r="R1046" t="s">
        <v>27</v>
      </c>
      <c r="S1046">
        <v>2022</v>
      </c>
      <c r="T1046" t="s">
        <v>42</v>
      </c>
    </row>
    <row r="1047" spans="1:20" x14ac:dyDescent="0.3">
      <c r="A1047">
        <v>1753</v>
      </c>
      <c r="B1047">
        <v>218</v>
      </c>
      <c r="C1047" t="s">
        <v>39</v>
      </c>
      <c r="D1047" t="s">
        <v>25</v>
      </c>
      <c r="E1047" t="s">
        <v>26</v>
      </c>
      <c r="F1047" s="1">
        <v>44839</v>
      </c>
      <c r="G1047" s="1">
        <v>45264</v>
      </c>
      <c r="H1047">
        <v>3293</v>
      </c>
      <c r="I1047">
        <v>2290</v>
      </c>
      <c r="J1047">
        <v>577.01</v>
      </c>
      <c r="K1047" t="s">
        <v>35</v>
      </c>
      <c r="L1047">
        <v>13</v>
      </c>
      <c r="M1047" t="str">
        <f t="shared" si="16"/>
        <v>6-12 Months</v>
      </c>
      <c r="N1047" s="1">
        <v>45264</v>
      </c>
      <c r="O1047">
        <v>1</v>
      </c>
      <c r="P1047">
        <v>1046</v>
      </c>
      <c r="Q1047" s="2">
        <v>0.18</v>
      </c>
      <c r="R1047" t="s">
        <v>27</v>
      </c>
      <c r="S1047">
        <v>2023</v>
      </c>
      <c r="T1047" t="s">
        <v>31</v>
      </c>
    </row>
    <row r="1048" spans="1:20" hidden="1" x14ac:dyDescent="0.3">
      <c r="A1048">
        <v>1754</v>
      </c>
      <c r="B1048">
        <v>498</v>
      </c>
      <c r="C1048" t="s">
        <v>39</v>
      </c>
      <c r="D1048" t="s">
        <v>25</v>
      </c>
      <c r="E1048" t="s">
        <v>26</v>
      </c>
      <c r="F1048" s="1">
        <v>44775</v>
      </c>
      <c r="G1048" s="1">
        <v>45289</v>
      </c>
      <c r="H1048">
        <v>3966</v>
      </c>
      <c r="I1048">
        <v>3497</v>
      </c>
      <c r="J1048">
        <v>469</v>
      </c>
      <c r="K1048" t="s">
        <v>21</v>
      </c>
      <c r="L1048">
        <v>16</v>
      </c>
      <c r="M1048" t="str">
        <f t="shared" si="16"/>
        <v>6-12 Months</v>
      </c>
      <c r="N1048" s="1">
        <v>45289</v>
      </c>
      <c r="O1048">
        <v>0</v>
      </c>
      <c r="P1048">
        <v>1047</v>
      </c>
      <c r="Q1048" s="2">
        <v>0.12</v>
      </c>
      <c r="R1048" t="s">
        <v>27</v>
      </c>
      <c r="S1048">
        <v>2023</v>
      </c>
      <c r="T1048" t="s">
        <v>31</v>
      </c>
    </row>
    <row r="1049" spans="1:20" hidden="1" x14ac:dyDescent="0.3">
      <c r="A1049">
        <v>1757</v>
      </c>
      <c r="B1049">
        <v>404</v>
      </c>
      <c r="C1049" t="s">
        <v>40</v>
      </c>
      <c r="D1049" t="s">
        <v>34</v>
      </c>
      <c r="E1049" t="s">
        <v>37</v>
      </c>
      <c r="F1049" s="1">
        <v>44797</v>
      </c>
      <c r="G1049" s="1">
        <v>45317</v>
      </c>
      <c r="H1049">
        <v>4330</v>
      </c>
      <c r="I1049">
        <v>2889</v>
      </c>
      <c r="J1049">
        <v>1441</v>
      </c>
      <c r="K1049" t="s">
        <v>54</v>
      </c>
      <c r="L1049">
        <v>17</v>
      </c>
      <c r="M1049" t="str">
        <f t="shared" si="16"/>
        <v>6-12 Months</v>
      </c>
      <c r="N1049" s="1">
        <v>45317</v>
      </c>
      <c r="O1049">
        <v>1</v>
      </c>
      <c r="P1049">
        <v>1048</v>
      </c>
      <c r="Q1049" s="2">
        <v>0.33</v>
      </c>
      <c r="R1049" t="s">
        <v>27</v>
      </c>
      <c r="S1049">
        <v>2024</v>
      </c>
      <c r="T1049" t="s">
        <v>23</v>
      </c>
    </row>
    <row r="1050" spans="1:20" x14ac:dyDescent="0.3">
      <c r="A1050">
        <v>1759</v>
      </c>
      <c r="B1050">
        <v>469</v>
      </c>
      <c r="C1050" t="s">
        <v>40</v>
      </c>
      <c r="D1050" t="s">
        <v>34</v>
      </c>
      <c r="E1050" t="s">
        <v>26</v>
      </c>
      <c r="F1050" s="1">
        <v>44677</v>
      </c>
      <c r="G1050" s="1">
        <v>45061</v>
      </c>
      <c r="H1050">
        <v>8221</v>
      </c>
      <c r="I1050">
        <v>4714</v>
      </c>
      <c r="J1050">
        <v>3507</v>
      </c>
      <c r="K1050" t="s">
        <v>35</v>
      </c>
      <c r="L1050">
        <v>12</v>
      </c>
      <c r="M1050" t="str">
        <f t="shared" si="16"/>
        <v>6-12 Months</v>
      </c>
      <c r="N1050" s="1">
        <v>45061</v>
      </c>
      <c r="O1050">
        <v>0</v>
      </c>
      <c r="P1050">
        <v>1049</v>
      </c>
      <c r="Q1050" s="2">
        <v>0.43</v>
      </c>
      <c r="R1050" t="s">
        <v>27</v>
      </c>
      <c r="S1050">
        <v>2023</v>
      </c>
      <c r="T1050" t="s">
        <v>28</v>
      </c>
    </row>
    <row r="1051" spans="1:20" hidden="1" x14ac:dyDescent="0.3">
      <c r="A1051">
        <v>1760</v>
      </c>
      <c r="B1051">
        <v>129</v>
      </c>
      <c r="C1051" t="s">
        <v>40</v>
      </c>
      <c r="D1051" t="s">
        <v>25</v>
      </c>
      <c r="E1051" t="s">
        <v>20</v>
      </c>
      <c r="F1051" s="1">
        <v>44592</v>
      </c>
      <c r="G1051" s="1">
        <v>44868</v>
      </c>
      <c r="H1051">
        <v>5752</v>
      </c>
      <c r="I1051">
        <v>3697</v>
      </c>
      <c r="J1051">
        <v>2055</v>
      </c>
      <c r="K1051" t="s">
        <v>54</v>
      </c>
      <c r="L1051">
        <v>9</v>
      </c>
      <c r="M1051" t="str">
        <f t="shared" si="16"/>
        <v>6-12 Months</v>
      </c>
      <c r="N1051" s="1">
        <v>44868</v>
      </c>
      <c r="O1051">
        <v>0</v>
      </c>
      <c r="P1051">
        <v>1050</v>
      </c>
      <c r="Q1051" s="2">
        <v>0.36</v>
      </c>
      <c r="R1051" t="s">
        <v>27</v>
      </c>
      <c r="S1051">
        <v>2022</v>
      </c>
      <c r="T1051" t="s">
        <v>42</v>
      </c>
    </row>
    <row r="1052" spans="1:20" hidden="1" x14ac:dyDescent="0.3">
      <c r="A1052">
        <v>1762</v>
      </c>
      <c r="B1052">
        <v>113</v>
      </c>
      <c r="C1052" t="s">
        <v>39</v>
      </c>
      <c r="D1052" t="s">
        <v>29</v>
      </c>
      <c r="E1052" t="s">
        <v>37</v>
      </c>
      <c r="F1052" s="1">
        <v>44870</v>
      </c>
      <c r="G1052" s="1">
        <v>45242</v>
      </c>
      <c r="H1052">
        <v>9870</v>
      </c>
      <c r="I1052">
        <v>4012.75</v>
      </c>
      <c r="J1052">
        <v>9880</v>
      </c>
      <c r="K1052" t="s">
        <v>54</v>
      </c>
      <c r="L1052">
        <v>12</v>
      </c>
      <c r="M1052" t="str">
        <f t="shared" si="16"/>
        <v>6-12 Months</v>
      </c>
      <c r="N1052" s="1">
        <v>45242</v>
      </c>
      <c r="O1052">
        <v>1</v>
      </c>
      <c r="P1052">
        <v>1051</v>
      </c>
      <c r="Q1052" s="2">
        <v>1</v>
      </c>
      <c r="R1052" t="s">
        <v>22</v>
      </c>
      <c r="S1052">
        <v>2023</v>
      </c>
      <c r="T1052" t="s">
        <v>42</v>
      </c>
    </row>
    <row r="1053" spans="1:20" hidden="1" x14ac:dyDescent="0.3">
      <c r="A1053">
        <v>1767</v>
      </c>
      <c r="B1053">
        <v>160</v>
      </c>
      <c r="C1053" t="s">
        <v>40</v>
      </c>
      <c r="D1053" t="s">
        <v>29</v>
      </c>
      <c r="E1053" t="s">
        <v>20</v>
      </c>
      <c r="F1053" s="1">
        <v>44737</v>
      </c>
      <c r="G1053" s="1">
        <v>44865</v>
      </c>
      <c r="H1053">
        <v>2967</v>
      </c>
      <c r="I1053">
        <v>5781</v>
      </c>
      <c r="J1053">
        <v>-2814</v>
      </c>
      <c r="K1053" t="s">
        <v>54</v>
      </c>
      <c r="L1053">
        <v>4</v>
      </c>
      <c r="M1053" t="str">
        <f t="shared" si="16"/>
        <v>0-6 Months</v>
      </c>
      <c r="N1053" s="1">
        <v>44865</v>
      </c>
      <c r="O1053">
        <v>0</v>
      </c>
      <c r="P1053">
        <v>1052</v>
      </c>
      <c r="Q1053" s="2">
        <v>-0.95</v>
      </c>
      <c r="R1053" t="s">
        <v>27</v>
      </c>
      <c r="S1053">
        <v>2022</v>
      </c>
      <c r="T1053" t="s">
        <v>33</v>
      </c>
    </row>
    <row r="1054" spans="1:20" hidden="1" x14ac:dyDescent="0.3">
      <c r="A1054">
        <v>1770</v>
      </c>
      <c r="B1054">
        <v>310</v>
      </c>
      <c r="C1054" t="s">
        <v>24</v>
      </c>
      <c r="D1054" t="s">
        <v>34</v>
      </c>
      <c r="E1054" t="s">
        <v>20</v>
      </c>
      <c r="F1054" s="1">
        <v>44742</v>
      </c>
      <c r="G1054" s="1">
        <v>45211</v>
      </c>
      <c r="H1054">
        <v>4967.93</v>
      </c>
      <c r="I1054">
        <v>2707</v>
      </c>
      <c r="J1054">
        <v>-3035</v>
      </c>
      <c r="K1054" t="s">
        <v>54</v>
      </c>
      <c r="L1054">
        <v>15</v>
      </c>
      <c r="M1054" t="str">
        <f t="shared" si="16"/>
        <v>6-12 Months</v>
      </c>
      <c r="N1054" s="1">
        <v>45211</v>
      </c>
      <c r="O1054">
        <v>0</v>
      </c>
      <c r="P1054">
        <v>1053</v>
      </c>
      <c r="Q1054" s="2">
        <v>-0.61</v>
      </c>
      <c r="R1054" t="s">
        <v>27</v>
      </c>
      <c r="S1054">
        <v>2023</v>
      </c>
      <c r="T1054" t="s">
        <v>33</v>
      </c>
    </row>
    <row r="1055" spans="1:20" hidden="1" x14ac:dyDescent="0.3">
      <c r="A1055">
        <v>1771</v>
      </c>
      <c r="B1055">
        <v>197</v>
      </c>
      <c r="C1055" t="s">
        <v>40</v>
      </c>
      <c r="D1055" t="s">
        <v>34</v>
      </c>
      <c r="E1055" t="s">
        <v>26</v>
      </c>
      <c r="F1055" s="1">
        <v>44726</v>
      </c>
      <c r="G1055" s="1">
        <v>45299</v>
      </c>
      <c r="H1055">
        <v>2513</v>
      </c>
      <c r="I1055">
        <v>1200</v>
      </c>
      <c r="J1055">
        <v>1313</v>
      </c>
      <c r="K1055" t="s">
        <v>21</v>
      </c>
      <c r="L1055">
        <v>18</v>
      </c>
      <c r="M1055" t="str">
        <f t="shared" si="16"/>
        <v>6-12 Months</v>
      </c>
      <c r="N1055" s="1">
        <v>45299</v>
      </c>
      <c r="O1055">
        <v>1</v>
      </c>
      <c r="P1055">
        <v>1054</v>
      </c>
      <c r="Q1055" s="2">
        <v>0.52</v>
      </c>
      <c r="R1055" t="s">
        <v>27</v>
      </c>
      <c r="S1055">
        <v>2024</v>
      </c>
      <c r="T1055" t="s">
        <v>23</v>
      </c>
    </row>
    <row r="1056" spans="1:20" hidden="1" x14ac:dyDescent="0.3">
      <c r="A1056">
        <v>1774</v>
      </c>
      <c r="B1056">
        <v>404</v>
      </c>
      <c r="C1056" t="s">
        <v>53</v>
      </c>
      <c r="D1056" t="s">
        <v>34</v>
      </c>
      <c r="E1056" t="s">
        <v>20</v>
      </c>
      <c r="F1056" s="1">
        <v>44741</v>
      </c>
      <c r="G1056" s="1">
        <v>45154</v>
      </c>
      <c r="H1056">
        <v>3689</v>
      </c>
      <c r="I1056">
        <v>6560</v>
      </c>
      <c r="J1056">
        <v>-2871</v>
      </c>
      <c r="K1056" t="s">
        <v>21</v>
      </c>
      <c r="L1056">
        <v>13</v>
      </c>
      <c r="M1056" t="str">
        <f t="shared" si="16"/>
        <v>6-12 Months</v>
      </c>
      <c r="N1056" s="1">
        <v>45154</v>
      </c>
      <c r="O1056">
        <v>1</v>
      </c>
      <c r="P1056">
        <v>1055</v>
      </c>
      <c r="Q1056" s="2">
        <v>-0.78</v>
      </c>
      <c r="R1056" t="s">
        <v>27</v>
      </c>
      <c r="S1056">
        <v>2023</v>
      </c>
      <c r="T1056" t="s">
        <v>36</v>
      </c>
    </row>
    <row r="1057" spans="1:20" hidden="1" x14ac:dyDescent="0.3">
      <c r="A1057">
        <v>1777</v>
      </c>
      <c r="B1057">
        <v>244</v>
      </c>
      <c r="C1057" t="s">
        <v>45</v>
      </c>
      <c r="D1057" t="s">
        <v>29</v>
      </c>
      <c r="E1057" t="s">
        <v>37</v>
      </c>
      <c r="F1057" s="1">
        <v>44786</v>
      </c>
      <c r="G1057" s="1">
        <v>44852</v>
      </c>
      <c r="H1057">
        <v>5892</v>
      </c>
      <c r="I1057">
        <v>4191</v>
      </c>
      <c r="J1057">
        <v>1701</v>
      </c>
      <c r="K1057" t="s">
        <v>54</v>
      </c>
      <c r="L1057">
        <v>2</v>
      </c>
      <c r="M1057" t="str">
        <f t="shared" si="16"/>
        <v>0-6 Months</v>
      </c>
      <c r="N1057" s="1">
        <v>44852</v>
      </c>
      <c r="O1057">
        <v>0</v>
      </c>
      <c r="P1057">
        <v>1056</v>
      </c>
      <c r="Q1057" s="2">
        <v>0.28999999999999998</v>
      </c>
      <c r="R1057" t="s">
        <v>27</v>
      </c>
      <c r="S1057">
        <v>2022</v>
      </c>
      <c r="T1057" t="s">
        <v>33</v>
      </c>
    </row>
    <row r="1058" spans="1:20" hidden="1" x14ac:dyDescent="0.3">
      <c r="A1058">
        <v>1778</v>
      </c>
      <c r="B1058">
        <v>394</v>
      </c>
      <c r="C1058" t="s">
        <v>53</v>
      </c>
      <c r="D1058" t="s">
        <v>34</v>
      </c>
      <c r="E1058" t="s">
        <v>26</v>
      </c>
      <c r="F1058" s="1">
        <v>44889</v>
      </c>
      <c r="G1058" s="1">
        <v>45393</v>
      </c>
      <c r="H1058">
        <v>3898</v>
      </c>
      <c r="I1058">
        <v>572</v>
      </c>
      <c r="J1058">
        <v>3326</v>
      </c>
      <c r="K1058" t="s">
        <v>54</v>
      </c>
      <c r="L1058">
        <v>16</v>
      </c>
      <c r="M1058" t="str">
        <f t="shared" si="16"/>
        <v>6-12 Months</v>
      </c>
      <c r="N1058" s="1">
        <v>45393</v>
      </c>
      <c r="O1058">
        <v>0</v>
      </c>
      <c r="P1058">
        <v>1057</v>
      </c>
      <c r="Q1058" s="2">
        <v>0.85</v>
      </c>
      <c r="R1058" t="s">
        <v>27</v>
      </c>
      <c r="S1058">
        <v>2024</v>
      </c>
      <c r="T1058" t="s">
        <v>32</v>
      </c>
    </row>
    <row r="1059" spans="1:20" hidden="1" x14ac:dyDescent="0.3">
      <c r="A1059">
        <v>1781</v>
      </c>
      <c r="B1059">
        <v>264</v>
      </c>
      <c r="C1059" t="s">
        <v>45</v>
      </c>
      <c r="D1059" t="s">
        <v>29</v>
      </c>
      <c r="E1059" t="s">
        <v>20</v>
      </c>
      <c r="F1059" s="1">
        <v>44888</v>
      </c>
      <c r="G1059" s="1">
        <v>45327</v>
      </c>
      <c r="H1059">
        <v>7585</v>
      </c>
      <c r="I1059">
        <v>1143</v>
      </c>
      <c r="J1059">
        <v>6442</v>
      </c>
      <c r="K1059" t="s">
        <v>54</v>
      </c>
      <c r="L1059">
        <v>14</v>
      </c>
      <c r="M1059" t="str">
        <f t="shared" si="16"/>
        <v>6-12 Months</v>
      </c>
      <c r="N1059" s="1">
        <v>45327</v>
      </c>
      <c r="O1059">
        <v>0</v>
      </c>
      <c r="P1059">
        <v>1058</v>
      </c>
      <c r="Q1059" s="2">
        <v>0.85</v>
      </c>
      <c r="R1059" t="s">
        <v>27</v>
      </c>
      <c r="S1059">
        <v>2024</v>
      </c>
      <c r="T1059" t="s">
        <v>43</v>
      </c>
    </row>
    <row r="1060" spans="1:20" hidden="1" x14ac:dyDescent="0.3">
      <c r="A1060">
        <v>1783</v>
      </c>
      <c r="B1060">
        <v>450</v>
      </c>
      <c r="C1060" t="s">
        <v>53</v>
      </c>
      <c r="D1060" t="s">
        <v>19</v>
      </c>
      <c r="E1060" t="s">
        <v>26</v>
      </c>
      <c r="F1060" s="1">
        <v>44891</v>
      </c>
      <c r="G1060" s="1">
        <v>45436</v>
      </c>
      <c r="H1060">
        <v>9464</v>
      </c>
      <c r="I1060">
        <v>4486</v>
      </c>
      <c r="J1060">
        <v>4978</v>
      </c>
      <c r="K1060" t="s">
        <v>54</v>
      </c>
      <c r="L1060">
        <v>17</v>
      </c>
      <c r="M1060" t="str">
        <f t="shared" si="16"/>
        <v>6-12 Months</v>
      </c>
      <c r="N1060" s="1">
        <v>45436</v>
      </c>
      <c r="O1060">
        <v>0</v>
      </c>
      <c r="P1060">
        <v>1059</v>
      </c>
      <c r="Q1060" s="2">
        <v>0.53</v>
      </c>
      <c r="R1060" t="s">
        <v>27</v>
      </c>
      <c r="S1060">
        <v>2024</v>
      </c>
      <c r="T1060" t="s">
        <v>28</v>
      </c>
    </row>
    <row r="1061" spans="1:20" hidden="1" x14ac:dyDescent="0.3">
      <c r="A1061">
        <v>1785</v>
      </c>
      <c r="B1061">
        <v>471</v>
      </c>
      <c r="C1061" t="s">
        <v>45</v>
      </c>
      <c r="D1061" t="s">
        <v>25</v>
      </c>
      <c r="E1061" t="s">
        <v>26</v>
      </c>
      <c r="F1061" s="1">
        <v>44887</v>
      </c>
      <c r="G1061" s="1">
        <v>45395</v>
      </c>
      <c r="H1061">
        <v>1745</v>
      </c>
      <c r="I1061">
        <v>1111</v>
      </c>
      <c r="J1061">
        <v>634</v>
      </c>
      <c r="K1061" t="s">
        <v>54</v>
      </c>
      <c r="L1061">
        <v>16</v>
      </c>
      <c r="M1061" t="str">
        <f t="shared" si="16"/>
        <v>6-12 Months</v>
      </c>
      <c r="N1061" s="1">
        <v>45395</v>
      </c>
      <c r="O1061">
        <v>0</v>
      </c>
      <c r="P1061">
        <v>1060</v>
      </c>
      <c r="Q1061" s="2">
        <v>0.36</v>
      </c>
      <c r="R1061" t="s">
        <v>27</v>
      </c>
      <c r="S1061">
        <v>2024</v>
      </c>
      <c r="T1061" t="s">
        <v>32</v>
      </c>
    </row>
    <row r="1062" spans="1:20" hidden="1" x14ac:dyDescent="0.3">
      <c r="A1062">
        <v>1789</v>
      </c>
      <c r="B1062">
        <v>168</v>
      </c>
      <c r="C1062" t="s">
        <v>53</v>
      </c>
      <c r="D1062" t="s">
        <v>19</v>
      </c>
      <c r="E1062" t="s">
        <v>26</v>
      </c>
      <c r="F1062" s="1">
        <v>44640</v>
      </c>
      <c r="G1062" s="1">
        <v>44851</v>
      </c>
      <c r="H1062">
        <v>2988</v>
      </c>
      <c r="I1062">
        <v>1262</v>
      </c>
      <c r="J1062">
        <v>1726</v>
      </c>
      <c r="K1062" t="s">
        <v>21</v>
      </c>
      <c r="L1062">
        <v>6</v>
      </c>
      <c r="M1062" t="str">
        <f t="shared" si="16"/>
        <v>12+ Months</v>
      </c>
      <c r="N1062" s="1">
        <v>44851</v>
      </c>
      <c r="O1062">
        <v>1</v>
      </c>
      <c r="P1062">
        <v>1061</v>
      </c>
      <c r="Q1062" s="2">
        <v>0.57999999999999996</v>
      </c>
      <c r="R1062" t="s">
        <v>27</v>
      </c>
      <c r="S1062">
        <v>2022</v>
      </c>
      <c r="T1062" t="s">
        <v>33</v>
      </c>
    </row>
    <row r="1063" spans="1:20" hidden="1" x14ac:dyDescent="0.3">
      <c r="A1063">
        <v>1793</v>
      </c>
      <c r="B1063">
        <v>361</v>
      </c>
      <c r="C1063" t="s">
        <v>40</v>
      </c>
      <c r="D1063" t="s">
        <v>25</v>
      </c>
      <c r="E1063" t="s">
        <v>26</v>
      </c>
      <c r="F1063" s="1">
        <v>44909</v>
      </c>
      <c r="G1063" s="1">
        <v>45108</v>
      </c>
      <c r="H1063">
        <v>7795</v>
      </c>
      <c r="I1063">
        <v>2894</v>
      </c>
      <c r="J1063">
        <v>4901</v>
      </c>
      <c r="K1063" t="s">
        <v>21</v>
      </c>
      <c r="L1063">
        <v>6</v>
      </c>
      <c r="M1063" t="str">
        <f t="shared" si="16"/>
        <v>12+ Months</v>
      </c>
      <c r="N1063" s="1">
        <v>45108</v>
      </c>
      <c r="O1063">
        <v>0</v>
      </c>
      <c r="P1063">
        <v>1062</v>
      </c>
      <c r="Q1063" s="2">
        <v>0.63</v>
      </c>
      <c r="R1063" t="s">
        <v>27</v>
      </c>
      <c r="S1063">
        <v>2023</v>
      </c>
      <c r="T1063" t="s">
        <v>44</v>
      </c>
    </row>
    <row r="1064" spans="1:20" x14ac:dyDescent="0.3">
      <c r="A1064">
        <v>1795</v>
      </c>
      <c r="B1064">
        <v>130</v>
      </c>
      <c r="C1064" t="s">
        <v>24</v>
      </c>
      <c r="D1064" t="s">
        <v>25</v>
      </c>
      <c r="E1064" t="s">
        <v>37</v>
      </c>
      <c r="F1064" s="1">
        <v>44619</v>
      </c>
      <c r="G1064" s="1">
        <v>45150</v>
      </c>
      <c r="H1064">
        <v>8615</v>
      </c>
      <c r="I1064">
        <v>3048</v>
      </c>
      <c r="J1064">
        <v>5567</v>
      </c>
      <c r="K1064" t="s">
        <v>35</v>
      </c>
      <c r="L1064">
        <v>17</v>
      </c>
      <c r="M1064" t="str">
        <f t="shared" si="16"/>
        <v>6-12 Months</v>
      </c>
      <c r="N1064" s="1">
        <v>45150</v>
      </c>
      <c r="O1064">
        <v>0</v>
      </c>
      <c r="P1064">
        <v>1063</v>
      </c>
      <c r="Q1064" s="2">
        <v>0.65</v>
      </c>
      <c r="R1064" t="s">
        <v>27</v>
      </c>
      <c r="S1064">
        <v>2023</v>
      </c>
      <c r="T1064" t="s">
        <v>36</v>
      </c>
    </row>
    <row r="1065" spans="1:20" x14ac:dyDescent="0.3">
      <c r="A1065">
        <v>1797</v>
      </c>
      <c r="B1065">
        <v>498</v>
      </c>
      <c r="C1065" t="s">
        <v>24</v>
      </c>
      <c r="D1065" t="s">
        <v>25</v>
      </c>
      <c r="E1065" t="s">
        <v>26</v>
      </c>
      <c r="F1065" s="1">
        <v>44924</v>
      </c>
      <c r="G1065" s="1">
        <v>45241</v>
      </c>
      <c r="H1065">
        <v>1388</v>
      </c>
      <c r="I1065">
        <v>4012.75</v>
      </c>
      <c r="J1065">
        <v>2335</v>
      </c>
      <c r="K1065" t="s">
        <v>35</v>
      </c>
      <c r="L1065">
        <v>10</v>
      </c>
      <c r="M1065" t="str">
        <f t="shared" si="16"/>
        <v>6-12 Months</v>
      </c>
      <c r="N1065" s="1">
        <v>45241</v>
      </c>
      <c r="O1065">
        <v>1</v>
      </c>
      <c r="P1065">
        <v>1064</v>
      </c>
      <c r="Q1065" s="2">
        <v>1.68</v>
      </c>
      <c r="R1065" t="s">
        <v>22</v>
      </c>
      <c r="S1065">
        <v>2023</v>
      </c>
      <c r="T1065" t="s">
        <v>42</v>
      </c>
    </row>
    <row r="1066" spans="1:20" x14ac:dyDescent="0.3">
      <c r="A1066">
        <v>1799</v>
      </c>
      <c r="B1066">
        <v>136</v>
      </c>
      <c r="C1066" t="s">
        <v>45</v>
      </c>
      <c r="D1066" t="s">
        <v>19</v>
      </c>
      <c r="E1066" t="s">
        <v>37</v>
      </c>
      <c r="F1066" s="1">
        <v>44819</v>
      </c>
      <c r="G1066" s="1">
        <v>44896</v>
      </c>
      <c r="H1066">
        <v>4967.93</v>
      </c>
      <c r="I1066">
        <v>4732</v>
      </c>
      <c r="J1066">
        <v>-6079</v>
      </c>
      <c r="K1066" t="s">
        <v>35</v>
      </c>
      <c r="L1066">
        <v>2</v>
      </c>
      <c r="M1066" t="str">
        <f t="shared" si="16"/>
        <v>0-6 Months</v>
      </c>
      <c r="N1066" s="1">
        <v>44896</v>
      </c>
      <c r="O1066">
        <v>0</v>
      </c>
      <c r="P1066">
        <v>1065</v>
      </c>
      <c r="Q1066" s="2">
        <v>-1.22</v>
      </c>
      <c r="R1066" t="s">
        <v>22</v>
      </c>
      <c r="S1066">
        <v>2022</v>
      </c>
      <c r="T1066" t="s">
        <v>31</v>
      </c>
    </row>
    <row r="1067" spans="1:20" x14ac:dyDescent="0.3">
      <c r="A1067">
        <v>1801</v>
      </c>
      <c r="B1067">
        <v>338</v>
      </c>
      <c r="C1067" t="s">
        <v>39</v>
      </c>
      <c r="D1067" t="s">
        <v>19</v>
      </c>
      <c r="E1067" t="s">
        <v>20</v>
      </c>
      <c r="F1067" s="1">
        <v>44598</v>
      </c>
      <c r="G1067" s="1">
        <v>44841</v>
      </c>
      <c r="H1067">
        <v>9544</v>
      </c>
      <c r="I1067">
        <v>7178</v>
      </c>
      <c r="J1067">
        <v>2366</v>
      </c>
      <c r="K1067" t="s">
        <v>35</v>
      </c>
      <c r="L1067">
        <v>8</v>
      </c>
      <c r="M1067" t="str">
        <f t="shared" si="16"/>
        <v>6-12 Months</v>
      </c>
      <c r="N1067" s="1">
        <v>44841</v>
      </c>
      <c r="O1067">
        <v>1</v>
      </c>
      <c r="P1067">
        <v>1066</v>
      </c>
      <c r="Q1067" s="2">
        <v>0.25</v>
      </c>
      <c r="R1067" t="s">
        <v>27</v>
      </c>
      <c r="S1067">
        <v>2022</v>
      </c>
      <c r="T1067" t="s">
        <v>33</v>
      </c>
    </row>
    <row r="1068" spans="1:20" x14ac:dyDescent="0.3">
      <c r="A1068">
        <v>1803</v>
      </c>
      <c r="B1068">
        <v>334</v>
      </c>
      <c r="C1068" t="s">
        <v>24</v>
      </c>
      <c r="D1068" t="s">
        <v>19</v>
      </c>
      <c r="E1068" t="s">
        <v>26</v>
      </c>
      <c r="F1068" s="1">
        <v>44768</v>
      </c>
      <c r="G1068" s="1">
        <v>44909</v>
      </c>
      <c r="H1068">
        <v>2359</v>
      </c>
      <c r="I1068">
        <v>2064</v>
      </c>
      <c r="J1068">
        <v>295</v>
      </c>
      <c r="K1068" t="s">
        <v>35</v>
      </c>
      <c r="L1068">
        <v>4</v>
      </c>
      <c r="M1068" t="str">
        <f t="shared" si="16"/>
        <v>0-6 Months</v>
      </c>
      <c r="N1068" s="1">
        <v>44909</v>
      </c>
      <c r="O1068">
        <v>1</v>
      </c>
      <c r="P1068">
        <v>1067</v>
      </c>
      <c r="Q1068" s="2">
        <v>0.13</v>
      </c>
      <c r="R1068" t="s">
        <v>27</v>
      </c>
      <c r="S1068">
        <v>2022</v>
      </c>
      <c r="T1068" t="s">
        <v>31</v>
      </c>
    </row>
    <row r="1069" spans="1:20" hidden="1" x14ac:dyDescent="0.3">
      <c r="A1069">
        <v>1804</v>
      </c>
      <c r="B1069">
        <v>200</v>
      </c>
      <c r="C1069" t="s">
        <v>39</v>
      </c>
      <c r="D1069" t="s">
        <v>25</v>
      </c>
      <c r="E1069" t="s">
        <v>20</v>
      </c>
      <c r="F1069" s="1">
        <v>44772</v>
      </c>
      <c r="G1069" s="1">
        <v>44948</v>
      </c>
      <c r="H1069">
        <v>3483</v>
      </c>
      <c r="I1069">
        <v>2872</v>
      </c>
      <c r="J1069">
        <v>577.01</v>
      </c>
      <c r="K1069" t="s">
        <v>54</v>
      </c>
      <c r="L1069">
        <v>5</v>
      </c>
      <c r="M1069" t="str">
        <f t="shared" si="16"/>
        <v>0-6 Months</v>
      </c>
      <c r="N1069" s="1">
        <v>44948</v>
      </c>
      <c r="O1069">
        <v>1</v>
      </c>
      <c r="P1069">
        <v>1068</v>
      </c>
      <c r="Q1069" s="2">
        <v>0.17</v>
      </c>
      <c r="R1069" t="s">
        <v>27</v>
      </c>
      <c r="S1069">
        <v>2023</v>
      </c>
      <c r="T1069" t="s">
        <v>23</v>
      </c>
    </row>
    <row r="1070" spans="1:20" hidden="1" x14ac:dyDescent="0.3">
      <c r="A1070">
        <v>1805</v>
      </c>
      <c r="B1070">
        <v>238</v>
      </c>
      <c r="C1070" t="s">
        <v>24</v>
      </c>
      <c r="D1070" t="s">
        <v>19</v>
      </c>
      <c r="E1070" t="s">
        <v>20</v>
      </c>
      <c r="F1070" s="1">
        <v>44842</v>
      </c>
      <c r="G1070" s="1">
        <v>45401</v>
      </c>
      <c r="H1070">
        <v>601</v>
      </c>
      <c r="I1070">
        <v>3774</v>
      </c>
      <c r="J1070">
        <v>-3173</v>
      </c>
      <c r="K1070" t="s">
        <v>21</v>
      </c>
      <c r="L1070">
        <v>18</v>
      </c>
      <c r="M1070" t="str">
        <f t="shared" si="16"/>
        <v>6-12 Months</v>
      </c>
      <c r="N1070" s="1">
        <v>45401</v>
      </c>
      <c r="O1070">
        <v>0</v>
      </c>
      <c r="P1070">
        <v>1069</v>
      </c>
      <c r="Q1070" s="2">
        <v>-5.28</v>
      </c>
      <c r="R1070" t="s">
        <v>22</v>
      </c>
      <c r="S1070">
        <v>2024</v>
      </c>
      <c r="T1070" t="s">
        <v>32</v>
      </c>
    </row>
    <row r="1071" spans="1:20" hidden="1" x14ac:dyDescent="0.3">
      <c r="A1071">
        <v>1806</v>
      </c>
      <c r="B1071">
        <v>152</v>
      </c>
      <c r="C1071" t="s">
        <v>45</v>
      </c>
      <c r="D1071" t="s">
        <v>34</v>
      </c>
      <c r="E1071" t="s">
        <v>20</v>
      </c>
      <c r="F1071" s="1">
        <v>44900</v>
      </c>
      <c r="G1071" s="1">
        <v>45266</v>
      </c>
      <c r="H1071">
        <v>9951</v>
      </c>
      <c r="I1071">
        <v>5081</v>
      </c>
      <c r="J1071">
        <v>4870</v>
      </c>
      <c r="K1071" t="s">
        <v>54</v>
      </c>
      <c r="L1071">
        <v>12</v>
      </c>
      <c r="M1071" t="str">
        <f t="shared" si="16"/>
        <v>6-12 Months</v>
      </c>
      <c r="N1071" s="1">
        <v>45266</v>
      </c>
      <c r="O1071">
        <v>1</v>
      </c>
      <c r="P1071">
        <v>1070</v>
      </c>
      <c r="Q1071" s="2">
        <v>0.49</v>
      </c>
      <c r="R1071" t="s">
        <v>27</v>
      </c>
      <c r="S1071">
        <v>2023</v>
      </c>
      <c r="T1071" t="s">
        <v>31</v>
      </c>
    </row>
    <row r="1072" spans="1:20" hidden="1" x14ac:dyDescent="0.3">
      <c r="A1072">
        <v>1807</v>
      </c>
      <c r="B1072">
        <v>414</v>
      </c>
      <c r="C1072" t="s">
        <v>40</v>
      </c>
      <c r="D1072" t="s">
        <v>19</v>
      </c>
      <c r="E1072" t="s">
        <v>20</v>
      </c>
      <c r="F1072" s="1">
        <v>44771</v>
      </c>
      <c r="G1072" s="1">
        <v>44912</v>
      </c>
      <c r="H1072">
        <v>7183</v>
      </c>
      <c r="I1072">
        <v>2171</v>
      </c>
      <c r="J1072">
        <v>5012</v>
      </c>
      <c r="K1072" t="s">
        <v>54</v>
      </c>
      <c r="L1072">
        <v>4</v>
      </c>
      <c r="M1072" t="str">
        <f t="shared" si="16"/>
        <v>0-6 Months</v>
      </c>
      <c r="N1072" s="1">
        <v>44912</v>
      </c>
      <c r="O1072">
        <v>1</v>
      </c>
      <c r="P1072">
        <v>1071</v>
      </c>
      <c r="Q1072" s="2">
        <v>0.7</v>
      </c>
      <c r="R1072" t="s">
        <v>27</v>
      </c>
      <c r="S1072">
        <v>2022</v>
      </c>
      <c r="T1072" t="s">
        <v>31</v>
      </c>
    </row>
    <row r="1073" spans="1:20" hidden="1" x14ac:dyDescent="0.3">
      <c r="A1073">
        <v>1808</v>
      </c>
      <c r="B1073">
        <v>103</v>
      </c>
      <c r="C1073" t="s">
        <v>53</v>
      </c>
      <c r="D1073" t="s">
        <v>34</v>
      </c>
      <c r="E1073" t="s">
        <v>20</v>
      </c>
      <c r="F1073" s="1">
        <v>44919</v>
      </c>
      <c r="G1073" s="1">
        <v>45045</v>
      </c>
      <c r="H1073">
        <v>4967.93</v>
      </c>
      <c r="I1073">
        <v>1989</v>
      </c>
      <c r="J1073">
        <v>-3820</v>
      </c>
      <c r="K1073" t="s">
        <v>54</v>
      </c>
      <c r="L1073">
        <v>4</v>
      </c>
      <c r="M1073" t="str">
        <f t="shared" si="16"/>
        <v>0-6 Months</v>
      </c>
      <c r="N1073" s="1">
        <v>45045</v>
      </c>
      <c r="O1073">
        <v>1</v>
      </c>
      <c r="P1073">
        <v>1072</v>
      </c>
      <c r="Q1073" s="2">
        <v>-0.77</v>
      </c>
      <c r="R1073" t="s">
        <v>27</v>
      </c>
      <c r="S1073">
        <v>2023</v>
      </c>
      <c r="T1073" t="s">
        <v>32</v>
      </c>
    </row>
    <row r="1074" spans="1:20" hidden="1" x14ac:dyDescent="0.3">
      <c r="A1074">
        <v>1809</v>
      </c>
      <c r="B1074">
        <v>360</v>
      </c>
      <c r="C1074" t="s">
        <v>40</v>
      </c>
      <c r="D1074" t="s">
        <v>29</v>
      </c>
      <c r="E1074" t="s">
        <v>20</v>
      </c>
      <c r="F1074" s="1">
        <v>44640</v>
      </c>
      <c r="G1074" s="1">
        <v>44870</v>
      </c>
      <c r="H1074">
        <v>4967.93</v>
      </c>
      <c r="I1074">
        <v>5080</v>
      </c>
      <c r="J1074">
        <v>-6599</v>
      </c>
      <c r="K1074" t="s">
        <v>21</v>
      </c>
      <c r="L1074">
        <v>7</v>
      </c>
      <c r="M1074" t="str">
        <f t="shared" si="16"/>
        <v>6-12 Months</v>
      </c>
      <c r="N1074" s="1">
        <v>44870</v>
      </c>
      <c r="O1074">
        <v>0</v>
      </c>
      <c r="P1074">
        <v>1073</v>
      </c>
      <c r="Q1074" s="2">
        <v>-1.33</v>
      </c>
      <c r="R1074" t="s">
        <v>22</v>
      </c>
      <c r="S1074">
        <v>2022</v>
      </c>
      <c r="T1074" t="s">
        <v>42</v>
      </c>
    </row>
    <row r="1075" spans="1:20" x14ac:dyDescent="0.3">
      <c r="A1075">
        <v>1811</v>
      </c>
      <c r="B1075">
        <v>290</v>
      </c>
      <c r="C1075" t="s">
        <v>53</v>
      </c>
      <c r="D1075" t="s">
        <v>19</v>
      </c>
      <c r="E1075" t="s">
        <v>20</v>
      </c>
      <c r="F1075" s="1">
        <v>44597</v>
      </c>
      <c r="G1075" s="1">
        <v>45138</v>
      </c>
      <c r="H1075">
        <v>4967.93</v>
      </c>
      <c r="I1075">
        <v>4012.75</v>
      </c>
      <c r="J1075">
        <v>-205</v>
      </c>
      <c r="K1075" t="s">
        <v>35</v>
      </c>
      <c r="L1075">
        <v>17</v>
      </c>
      <c r="M1075" t="str">
        <f t="shared" si="16"/>
        <v>6-12 Months</v>
      </c>
      <c r="N1075" s="1">
        <v>45138</v>
      </c>
      <c r="O1075">
        <v>0</v>
      </c>
      <c r="P1075">
        <v>1074</v>
      </c>
      <c r="Q1075" s="2">
        <v>-0.04</v>
      </c>
      <c r="R1075" t="s">
        <v>27</v>
      </c>
      <c r="S1075">
        <v>2023</v>
      </c>
      <c r="T1075" t="s">
        <v>44</v>
      </c>
    </row>
    <row r="1076" spans="1:20" x14ac:dyDescent="0.3">
      <c r="A1076">
        <v>1814</v>
      </c>
      <c r="B1076">
        <v>449</v>
      </c>
      <c r="C1076" t="s">
        <v>39</v>
      </c>
      <c r="D1076" t="s">
        <v>25</v>
      </c>
      <c r="E1076" t="s">
        <v>26</v>
      </c>
      <c r="F1076" s="1">
        <v>44816</v>
      </c>
      <c r="G1076" s="1">
        <v>45335</v>
      </c>
      <c r="H1076">
        <v>2325</v>
      </c>
      <c r="I1076">
        <v>2858</v>
      </c>
      <c r="J1076">
        <v>577.01</v>
      </c>
      <c r="K1076" t="s">
        <v>35</v>
      </c>
      <c r="L1076">
        <v>17</v>
      </c>
      <c r="M1076" t="str">
        <f t="shared" si="16"/>
        <v>6-12 Months</v>
      </c>
      <c r="N1076" s="1">
        <v>45335</v>
      </c>
      <c r="O1076">
        <v>0</v>
      </c>
      <c r="P1076">
        <v>1075</v>
      </c>
      <c r="Q1076" s="2">
        <v>0.25</v>
      </c>
      <c r="R1076" t="s">
        <v>27</v>
      </c>
      <c r="S1076">
        <v>2024</v>
      </c>
      <c r="T1076" t="s">
        <v>43</v>
      </c>
    </row>
    <row r="1077" spans="1:20" hidden="1" x14ac:dyDescent="0.3">
      <c r="A1077">
        <v>1815</v>
      </c>
      <c r="B1077">
        <v>312</v>
      </c>
      <c r="C1077" t="s">
        <v>39</v>
      </c>
      <c r="D1077" t="s">
        <v>34</v>
      </c>
      <c r="E1077" t="s">
        <v>26</v>
      </c>
      <c r="F1077" s="1">
        <v>44724</v>
      </c>
      <c r="G1077" s="1">
        <v>45064</v>
      </c>
      <c r="H1077">
        <v>3651</v>
      </c>
      <c r="I1077">
        <v>4012.75</v>
      </c>
      <c r="J1077">
        <v>4361</v>
      </c>
      <c r="K1077" t="s">
        <v>21</v>
      </c>
      <c r="L1077">
        <v>11</v>
      </c>
      <c r="M1077" t="str">
        <f t="shared" si="16"/>
        <v>6-12 Months</v>
      </c>
      <c r="N1077" s="1">
        <v>45064</v>
      </c>
      <c r="O1077">
        <v>1</v>
      </c>
      <c r="P1077">
        <v>1076</v>
      </c>
      <c r="Q1077" s="2">
        <v>1.19</v>
      </c>
      <c r="R1077" t="s">
        <v>22</v>
      </c>
      <c r="S1077">
        <v>2023</v>
      </c>
      <c r="T1077" t="s">
        <v>28</v>
      </c>
    </row>
    <row r="1078" spans="1:20" hidden="1" x14ac:dyDescent="0.3">
      <c r="A1078">
        <v>1817</v>
      </c>
      <c r="B1078">
        <v>163</v>
      </c>
      <c r="C1078" t="s">
        <v>24</v>
      </c>
      <c r="D1078" t="s">
        <v>34</v>
      </c>
      <c r="E1078" t="s">
        <v>37</v>
      </c>
      <c r="F1078" s="1">
        <v>44715</v>
      </c>
      <c r="G1078" s="1">
        <v>44980</v>
      </c>
      <c r="H1078">
        <v>5741</v>
      </c>
      <c r="I1078">
        <v>5850</v>
      </c>
      <c r="J1078">
        <v>-109</v>
      </c>
      <c r="K1078" t="s">
        <v>21</v>
      </c>
      <c r="L1078">
        <v>8</v>
      </c>
      <c r="M1078" t="str">
        <f t="shared" si="16"/>
        <v>6-12 Months</v>
      </c>
      <c r="N1078" s="1">
        <v>44980</v>
      </c>
      <c r="O1078">
        <v>0</v>
      </c>
      <c r="P1078">
        <v>1077</v>
      </c>
      <c r="Q1078" s="2">
        <v>-0.02</v>
      </c>
      <c r="R1078" t="s">
        <v>27</v>
      </c>
      <c r="S1078">
        <v>2023</v>
      </c>
      <c r="T1078" t="s">
        <v>43</v>
      </c>
    </row>
    <row r="1079" spans="1:20" hidden="1" x14ac:dyDescent="0.3">
      <c r="A1079">
        <v>1821</v>
      </c>
      <c r="B1079">
        <v>365</v>
      </c>
      <c r="C1079" t="s">
        <v>39</v>
      </c>
      <c r="D1079" t="s">
        <v>25</v>
      </c>
      <c r="E1079" t="s">
        <v>37</v>
      </c>
      <c r="F1079" s="1">
        <v>44907</v>
      </c>
      <c r="G1079" s="1">
        <v>45445</v>
      </c>
      <c r="H1079">
        <v>8654</v>
      </c>
      <c r="I1079">
        <v>912</v>
      </c>
      <c r="J1079">
        <v>7742</v>
      </c>
      <c r="K1079" t="s">
        <v>54</v>
      </c>
      <c r="L1079">
        <v>17</v>
      </c>
      <c r="M1079" t="str">
        <f t="shared" si="16"/>
        <v>6-12 Months</v>
      </c>
      <c r="N1079" s="1">
        <v>45445</v>
      </c>
      <c r="O1079">
        <v>0</v>
      </c>
      <c r="P1079">
        <v>1078</v>
      </c>
      <c r="Q1079" s="2">
        <v>0.89</v>
      </c>
      <c r="R1079" t="s">
        <v>27</v>
      </c>
      <c r="S1079">
        <v>2024</v>
      </c>
      <c r="T1079" t="s">
        <v>41</v>
      </c>
    </row>
    <row r="1080" spans="1:20" hidden="1" x14ac:dyDescent="0.3">
      <c r="A1080">
        <v>1822</v>
      </c>
      <c r="B1080">
        <v>136</v>
      </c>
      <c r="C1080" t="s">
        <v>39</v>
      </c>
      <c r="D1080" t="s">
        <v>19</v>
      </c>
      <c r="E1080" t="s">
        <v>37</v>
      </c>
      <c r="F1080" s="1">
        <v>44749</v>
      </c>
      <c r="G1080" s="1">
        <v>45293</v>
      </c>
      <c r="H1080">
        <v>1040</v>
      </c>
      <c r="I1080">
        <v>4012.75</v>
      </c>
      <c r="J1080">
        <v>577.01</v>
      </c>
      <c r="K1080" t="s">
        <v>21</v>
      </c>
      <c r="L1080">
        <v>17</v>
      </c>
      <c r="M1080" t="str">
        <f t="shared" si="16"/>
        <v>6-12 Months</v>
      </c>
      <c r="N1080" s="1">
        <v>45293</v>
      </c>
      <c r="O1080">
        <v>1</v>
      </c>
      <c r="P1080">
        <v>1079</v>
      </c>
      <c r="Q1080" s="2">
        <v>0.55000000000000004</v>
      </c>
      <c r="R1080" t="s">
        <v>27</v>
      </c>
      <c r="S1080">
        <v>2024</v>
      </c>
      <c r="T1080" t="s">
        <v>23</v>
      </c>
    </row>
    <row r="1081" spans="1:20" x14ac:dyDescent="0.3">
      <c r="A1081">
        <v>1825</v>
      </c>
      <c r="B1081">
        <v>163</v>
      </c>
      <c r="C1081" t="s">
        <v>40</v>
      </c>
      <c r="D1081" t="s">
        <v>34</v>
      </c>
      <c r="E1081" t="s">
        <v>37</v>
      </c>
      <c r="F1081" s="1">
        <v>44601</v>
      </c>
      <c r="G1081" s="1">
        <v>44737</v>
      </c>
      <c r="H1081">
        <v>2760</v>
      </c>
      <c r="I1081">
        <v>4012.75</v>
      </c>
      <c r="J1081">
        <v>2805</v>
      </c>
      <c r="K1081" t="s">
        <v>35</v>
      </c>
      <c r="L1081">
        <v>4</v>
      </c>
      <c r="M1081" t="str">
        <f t="shared" si="16"/>
        <v>0-6 Months</v>
      </c>
      <c r="N1081" s="1">
        <v>44737</v>
      </c>
      <c r="O1081">
        <v>1</v>
      </c>
      <c r="P1081">
        <v>1080</v>
      </c>
      <c r="Q1081" s="2">
        <v>1.02</v>
      </c>
      <c r="R1081" t="s">
        <v>22</v>
      </c>
      <c r="S1081">
        <v>2022</v>
      </c>
      <c r="T1081" t="s">
        <v>41</v>
      </c>
    </row>
    <row r="1082" spans="1:20" hidden="1" x14ac:dyDescent="0.3">
      <c r="A1082">
        <v>1826</v>
      </c>
      <c r="B1082">
        <v>169</v>
      </c>
      <c r="C1082" t="s">
        <v>24</v>
      </c>
      <c r="D1082" t="s">
        <v>29</v>
      </c>
      <c r="E1082" t="s">
        <v>20</v>
      </c>
      <c r="F1082" s="1">
        <v>44765</v>
      </c>
      <c r="G1082" s="1">
        <v>44829</v>
      </c>
      <c r="H1082">
        <v>1124</v>
      </c>
      <c r="I1082">
        <v>174</v>
      </c>
      <c r="J1082">
        <v>950</v>
      </c>
      <c r="K1082" t="s">
        <v>54</v>
      </c>
      <c r="L1082">
        <v>2</v>
      </c>
      <c r="M1082" t="str">
        <f t="shared" si="16"/>
        <v>0-6 Months</v>
      </c>
      <c r="N1082" s="1">
        <v>44829</v>
      </c>
      <c r="O1082">
        <v>0</v>
      </c>
      <c r="P1082">
        <v>1081</v>
      </c>
      <c r="Q1082" s="2">
        <v>0.85</v>
      </c>
      <c r="R1082" t="s">
        <v>27</v>
      </c>
      <c r="S1082">
        <v>2022</v>
      </c>
      <c r="T1082" t="s">
        <v>30</v>
      </c>
    </row>
    <row r="1083" spans="1:20" x14ac:dyDescent="0.3">
      <c r="A1083">
        <v>1827</v>
      </c>
      <c r="B1083">
        <v>130</v>
      </c>
      <c r="C1083" t="s">
        <v>39</v>
      </c>
      <c r="D1083" t="s">
        <v>19</v>
      </c>
      <c r="E1083" t="s">
        <v>20</v>
      </c>
      <c r="F1083" s="1">
        <v>44726</v>
      </c>
      <c r="G1083" s="1">
        <v>45221</v>
      </c>
      <c r="H1083">
        <v>8372</v>
      </c>
      <c r="I1083">
        <v>1595</v>
      </c>
      <c r="J1083">
        <v>577.01</v>
      </c>
      <c r="K1083" t="s">
        <v>35</v>
      </c>
      <c r="L1083">
        <v>16</v>
      </c>
      <c r="M1083" t="str">
        <f t="shared" si="16"/>
        <v>6-12 Months</v>
      </c>
      <c r="N1083" s="1">
        <v>45221</v>
      </c>
      <c r="O1083">
        <v>1</v>
      </c>
      <c r="P1083">
        <v>1082</v>
      </c>
      <c r="Q1083" s="2">
        <v>7.0000000000000007E-2</v>
      </c>
      <c r="R1083" t="s">
        <v>27</v>
      </c>
      <c r="S1083">
        <v>2023</v>
      </c>
      <c r="T1083" t="s">
        <v>33</v>
      </c>
    </row>
    <row r="1084" spans="1:20" hidden="1" x14ac:dyDescent="0.3">
      <c r="A1084">
        <v>1829</v>
      </c>
      <c r="B1084">
        <v>367</v>
      </c>
      <c r="C1084" t="s">
        <v>40</v>
      </c>
      <c r="D1084" t="s">
        <v>34</v>
      </c>
      <c r="E1084" t="s">
        <v>26</v>
      </c>
      <c r="F1084" s="1">
        <v>44835</v>
      </c>
      <c r="G1084" s="1">
        <v>44965</v>
      </c>
      <c r="H1084">
        <v>5110</v>
      </c>
      <c r="I1084">
        <v>2658</v>
      </c>
      <c r="J1084">
        <v>2452</v>
      </c>
      <c r="K1084" t="s">
        <v>54</v>
      </c>
      <c r="L1084">
        <v>4</v>
      </c>
      <c r="M1084" t="str">
        <f t="shared" si="16"/>
        <v>0-6 Months</v>
      </c>
      <c r="N1084" s="1">
        <v>44965</v>
      </c>
      <c r="O1084">
        <v>1</v>
      </c>
      <c r="P1084">
        <v>1083</v>
      </c>
      <c r="Q1084" s="2">
        <v>0.48</v>
      </c>
      <c r="R1084" t="s">
        <v>27</v>
      </c>
      <c r="S1084">
        <v>2023</v>
      </c>
      <c r="T1084" t="s">
        <v>43</v>
      </c>
    </row>
    <row r="1085" spans="1:20" x14ac:dyDescent="0.3">
      <c r="A1085">
        <v>1831</v>
      </c>
      <c r="B1085">
        <v>255</v>
      </c>
      <c r="C1085" t="s">
        <v>40</v>
      </c>
      <c r="D1085" t="s">
        <v>34</v>
      </c>
      <c r="E1085" t="s">
        <v>26</v>
      </c>
      <c r="F1085" s="1">
        <v>44864</v>
      </c>
      <c r="G1085" s="1">
        <v>45134</v>
      </c>
      <c r="H1085">
        <v>9964</v>
      </c>
      <c r="I1085">
        <v>5327</v>
      </c>
      <c r="J1085">
        <v>4637</v>
      </c>
      <c r="K1085" t="s">
        <v>35</v>
      </c>
      <c r="L1085">
        <v>8</v>
      </c>
      <c r="M1085" t="str">
        <f t="shared" si="16"/>
        <v>6-12 Months</v>
      </c>
      <c r="N1085" s="1">
        <v>45134</v>
      </c>
      <c r="O1085">
        <v>1</v>
      </c>
      <c r="P1085">
        <v>1084</v>
      </c>
      <c r="Q1085" s="2">
        <v>0.47</v>
      </c>
      <c r="R1085" t="s">
        <v>27</v>
      </c>
      <c r="S1085">
        <v>2023</v>
      </c>
      <c r="T1085" t="s">
        <v>44</v>
      </c>
    </row>
    <row r="1086" spans="1:20" hidden="1" x14ac:dyDescent="0.3">
      <c r="A1086">
        <v>1832</v>
      </c>
      <c r="B1086">
        <v>297</v>
      </c>
      <c r="C1086" t="s">
        <v>39</v>
      </c>
      <c r="D1086" t="s">
        <v>25</v>
      </c>
      <c r="E1086" t="s">
        <v>37</v>
      </c>
      <c r="F1086" s="1">
        <v>44694</v>
      </c>
      <c r="G1086" s="1">
        <v>45176</v>
      </c>
      <c r="H1086">
        <v>1191</v>
      </c>
      <c r="I1086">
        <v>4450</v>
      </c>
      <c r="J1086">
        <v>577.01</v>
      </c>
      <c r="K1086" t="s">
        <v>54</v>
      </c>
      <c r="L1086">
        <v>15</v>
      </c>
      <c r="M1086" t="str">
        <f t="shared" si="16"/>
        <v>6-12 Months</v>
      </c>
      <c r="N1086" s="1">
        <v>45176</v>
      </c>
      <c r="O1086">
        <v>1</v>
      </c>
      <c r="P1086">
        <v>1085</v>
      </c>
      <c r="Q1086" s="2">
        <v>0.48</v>
      </c>
      <c r="R1086" t="s">
        <v>27</v>
      </c>
      <c r="S1086">
        <v>2023</v>
      </c>
      <c r="T1086" t="s">
        <v>30</v>
      </c>
    </row>
    <row r="1087" spans="1:20" hidden="1" x14ac:dyDescent="0.3">
      <c r="A1087">
        <v>1836</v>
      </c>
      <c r="B1087">
        <v>200</v>
      </c>
      <c r="C1087" t="s">
        <v>53</v>
      </c>
      <c r="D1087" t="s">
        <v>29</v>
      </c>
      <c r="E1087" t="s">
        <v>37</v>
      </c>
      <c r="F1087" s="1">
        <v>44651</v>
      </c>
      <c r="G1087" s="1">
        <v>45229</v>
      </c>
      <c r="H1087">
        <v>589</v>
      </c>
      <c r="I1087">
        <v>7713</v>
      </c>
      <c r="J1087">
        <v>-7124</v>
      </c>
      <c r="K1087" t="s">
        <v>54</v>
      </c>
      <c r="L1087">
        <v>18</v>
      </c>
      <c r="M1087" t="str">
        <f t="shared" si="16"/>
        <v>6-12 Months</v>
      </c>
      <c r="N1087" s="1">
        <v>45229</v>
      </c>
      <c r="O1087">
        <v>0</v>
      </c>
      <c r="P1087">
        <v>1086</v>
      </c>
      <c r="Q1087" s="2">
        <v>-12.1</v>
      </c>
      <c r="R1087" t="s">
        <v>22</v>
      </c>
      <c r="S1087">
        <v>2023</v>
      </c>
      <c r="T1087" t="s">
        <v>33</v>
      </c>
    </row>
    <row r="1088" spans="1:20" x14ac:dyDescent="0.3">
      <c r="A1088">
        <v>1837</v>
      </c>
      <c r="B1088">
        <v>466</v>
      </c>
      <c r="C1088" t="s">
        <v>40</v>
      </c>
      <c r="D1088" t="s">
        <v>29</v>
      </c>
      <c r="E1088" t="s">
        <v>26</v>
      </c>
      <c r="F1088" s="1">
        <v>44639</v>
      </c>
      <c r="G1088" s="1">
        <v>44977</v>
      </c>
      <c r="H1088">
        <v>4967.93</v>
      </c>
      <c r="I1088">
        <v>4666</v>
      </c>
      <c r="J1088">
        <v>-6278</v>
      </c>
      <c r="K1088" t="s">
        <v>35</v>
      </c>
      <c r="L1088">
        <v>11</v>
      </c>
      <c r="M1088" t="str">
        <f t="shared" si="16"/>
        <v>6-12 Months</v>
      </c>
      <c r="N1088" s="1">
        <v>44977</v>
      </c>
      <c r="O1088">
        <v>1</v>
      </c>
      <c r="P1088">
        <v>1087</v>
      </c>
      <c r="Q1088" s="2">
        <v>-1.26</v>
      </c>
      <c r="R1088" t="s">
        <v>22</v>
      </c>
      <c r="S1088">
        <v>2023</v>
      </c>
      <c r="T1088" t="s">
        <v>43</v>
      </c>
    </row>
    <row r="1089" spans="1:20" hidden="1" x14ac:dyDescent="0.3">
      <c r="A1089">
        <v>1838</v>
      </c>
      <c r="B1089">
        <v>110</v>
      </c>
      <c r="C1089" t="s">
        <v>45</v>
      </c>
      <c r="D1089" t="s">
        <v>19</v>
      </c>
      <c r="E1089" t="s">
        <v>26</v>
      </c>
      <c r="F1089" s="1">
        <v>44772</v>
      </c>
      <c r="G1089" s="1">
        <v>45303</v>
      </c>
      <c r="H1089">
        <v>7364</v>
      </c>
      <c r="I1089">
        <v>807</v>
      </c>
      <c r="J1089">
        <v>577.01</v>
      </c>
      <c r="K1089" t="s">
        <v>54</v>
      </c>
      <c r="L1089">
        <v>17</v>
      </c>
      <c r="M1089" t="str">
        <f t="shared" si="16"/>
        <v>6-12 Months</v>
      </c>
      <c r="N1089" s="1">
        <v>45303</v>
      </c>
      <c r="O1089">
        <v>0</v>
      </c>
      <c r="P1089">
        <v>1088</v>
      </c>
      <c r="Q1089" s="2">
        <v>0.08</v>
      </c>
      <c r="R1089" t="s">
        <v>27</v>
      </c>
      <c r="S1089">
        <v>2024</v>
      </c>
      <c r="T1089" t="s">
        <v>23</v>
      </c>
    </row>
    <row r="1090" spans="1:20" hidden="1" x14ac:dyDescent="0.3">
      <c r="A1090">
        <v>1839</v>
      </c>
      <c r="B1090">
        <v>473</v>
      </c>
      <c r="C1090" t="s">
        <v>40</v>
      </c>
      <c r="D1090" t="s">
        <v>34</v>
      </c>
      <c r="E1090" t="s">
        <v>37</v>
      </c>
      <c r="F1090" s="1">
        <v>44624</v>
      </c>
      <c r="G1090" s="1">
        <v>45142</v>
      </c>
      <c r="H1090">
        <v>480</v>
      </c>
      <c r="I1090">
        <v>7865</v>
      </c>
      <c r="J1090">
        <v>-7385</v>
      </c>
      <c r="K1090" t="s">
        <v>21</v>
      </c>
      <c r="L1090">
        <v>17</v>
      </c>
      <c r="M1090" t="str">
        <f t="shared" ref="M1090:M1153" si="17">IF(L1090&lt;6,"0-6 Months",IF(L1090&gt;6,"6-12 Months","12+ Months"))</f>
        <v>6-12 Months</v>
      </c>
      <c r="N1090" s="1">
        <v>45142</v>
      </c>
      <c r="O1090">
        <v>0</v>
      </c>
      <c r="P1090">
        <v>1089</v>
      </c>
      <c r="Q1090" s="2">
        <v>-15.39</v>
      </c>
      <c r="R1090" t="s">
        <v>22</v>
      </c>
      <c r="S1090">
        <v>2023</v>
      </c>
      <c r="T1090" t="s">
        <v>36</v>
      </c>
    </row>
    <row r="1091" spans="1:20" hidden="1" x14ac:dyDescent="0.3">
      <c r="A1091">
        <v>1840</v>
      </c>
      <c r="B1091">
        <v>295</v>
      </c>
      <c r="C1091" t="s">
        <v>40</v>
      </c>
      <c r="D1091" t="s">
        <v>25</v>
      </c>
      <c r="E1091" t="s">
        <v>20</v>
      </c>
      <c r="F1091" s="1">
        <v>44908</v>
      </c>
      <c r="G1091" s="1">
        <v>45094</v>
      </c>
      <c r="H1091">
        <v>9009</v>
      </c>
      <c r="I1091">
        <v>6632</v>
      </c>
      <c r="J1091">
        <v>2377</v>
      </c>
      <c r="K1091" t="s">
        <v>54</v>
      </c>
      <c r="L1091">
        <v>6</v>
      </c>
      <c r="M1091" t="str">
        <f t="shared" si="17"/>
        <v>12+ Months</v>
      </c>
      <c r="N1091" s="1">
        <v>45094</v>
      </c>
      <c r="O1091">
        <v>0</v>
      </c>
      <c r="P1091">
        <v>1090</v>
      </c>
      <c r="Q1091" s="2">
        <v>0.26</v>
      </c>
      <c r="R1091" t="s">
        <v>27</v>
      </c>
      <c r="S1091">
        <v>2023</v>
      </c>
      <c r="T1091" t="s">
        <v>41</v>
      </c>
    </row>
    <row r="1092" spans="1:20" hidden="1" x14ac:dyDescent="0.3">
      <c r="A1092">
        <v>1841</v>
      </c>
      <c r="B1092">
        <v>112</v>
      </c>
      <c r="C1092" t="s">
        <v>24</v>
      </c>
      <c r="D1092" t="s">
        <v>34</v>
      </c>
      <c r="E1092" t="s">
        <v>20</v>
      </c>
      <c r="F1092" s="1">
        <v>44682</v>
      </c>
      <c r="G1092" s="1">
        <v>45186</v>
      </c>
      <c r="H1092">
        <v>660</v>
      </c>
      <c r="I1092">
        <v>6016</v>
      </c>
      <c r="J1092">
        <v>-5356</v>
      </c>
      <c r="K1092" t="s">
        <v>54</v>
      </c>
      <c r="L1092">
        <v>16</v>
      </c>
      <c r="M1092" t="str">
        <f t="shared" si="17"/>
        <v>6-12 Months</v>
      </c>
      <c r="N1092" s="1">
        <v>45186</v>
      </c>
      <c r="O1092">
        <v>1</v>
      </c>
      <c r="P1092">
        <v>1091</v>
      </c>
      <c r="Q1092" s="2">
        <v>-8.1199999999999992</v>
      </c>
      <c r="R1092" t="s">
        <v>22</v>
      </c>
      <c r="S1092">
        <v>2023</v>
      </c>
      <c r="T1092" t="s">
        <v>30</v>
      </c>
    </row>
    <row r="1093" spans="1:20" hidden="1" x14ac:dyDescent="0.3">
      <c r="A1093">
        <v>1842</v>
      </c>
      <c r="B1093">
        <v>452</v>
      </c>
      <c r="C1093" t="s">
        <v>40</v>
      </c>
      <c r="D1093" t="s">
        <v>34</v>
      </c>
      <c r="E1093" t="s">
        <v>20</v>
      </c>
      <c r="F1093" s="1">
        <v>44702</v>
      </c>
      <c r="G1093" s="1">
        <v>45125</v>
      </c>
      <c r="H1093">
        <v>1396</v>
      </c>
      <c r="I1093">
        <v>7963</v>
      </c>
      <c r="J1093">
        <v>-6567</v>
      </c>
      <c r="K1093" t="s">
        <v>54</v>
      </c>
      <c r="L1093">
        <v>13</v>
      </c>
      <c r="M1093" t="str">
        <f t="shared" si="17"/>
        <v>6-12 Months</v>
      </c>
      <c r="N1093" s="1">
        <v>45125</v>
      </c>
      <c r="O1093">
        <v>0</v>
      </c>
      <c r="P1093">
        <v>1092</v>
      </c>
      <c r="Q1093" s="2">
        <v>-4.7</v>
      </c>
      <c r="R1093" t="s">
        <v>22</v>
      </c>
      <c r="S1093">
        <v>2023</v>
      </c>
      <c r="T1093" t="s">
        <v>44</v>
      </c>
    </row>
    <row r="1094" spans="1:20" x14ac:dyDescent="0.3">
      <c r="A1094">
        <v>1846</v>
      </c>
      <c r="B1094">
        <v>171</v>
      </c>
      <c r="C1094" t="s">
        <v>24</v>
      </c>
      <c r="D1094" t="s">
        <v>34</v>
      </c>
      <c r="E1094" t="s">
        <v>20</v>
      </c>
      <c r="F1094" s="1">
        <v>44723</v>
      </c>
      <c r="G1094" s="1">
        <v>45126</v>
      </c>
      <c r="H1094">
        <v>4967.93</v>
      </c>
      <c r="I1094">
        <v>6998</v>
      </c>
      <c r="J1094">
        <v>-7921</v>
      </c>
      <c r="K1094" t="s">
        <v>35</v>
      </c>
      <c r="L1094">
        <v>13</v>
      </c>
      <c r="M1094" t="str">
        <f t="shared" si="17"/>
        <v>6-12 Months</v>
      </c>
      <c r="N1094" s="1">
        <v>45126</v>
      </c>
      <c r="O1094">
        <v>0</v>
      </c>
      <c r="P1094">
        <v>1093</v>
      </c>
      <c r="Q1094" s="2">
        <v>-1.59</v>
      </c>
      <c r="R1094" t="s">
        <v>22</v>
      </c>
      <c r="S1094">
        <v>2023</v>
      </c>
      <c r="T1094" t="s">
        <v>44</v>
      </c>
    </row>
    <row r="1095" spans="1:20" x14ac:dyDescent="0.3">
      <c r="A1095">
        <v>1847</v>
      </c>
      <c r="B1095">
        <v>264</v>
      </c>
      <c r="C1095" t="s">
        <v>40</v>
      </c>
      <c r="D1095" t="s">
        <v>19</v>
      </c>
      <c r="E1095" t="s">
        <v>26</v>
      </c>
      <c r="F1095" s="1">
        <v>44860</v>
      </c>
      <c r="G1095" s="1">
        <v>44956</v>
      </c>
      <c r="H1095">
        <v>4967.93</v>
      </c>
      <c r="I1095">
        <v>7471</v>
      </c>
      <c r="J1095">
        <v>-8285</v>
      </c>
      <c r="K1095" t="s">
        <v>35</v>
      </c>
      <c r="L1095">
        <v>3</v>
      </c>
      <c r="M1095" t="str">
        <f t="shared" si="17"/>
        <v>0-6 Months</v>
      </c>
      <c r="N1095" s="1">
        <v>44956</v>
      </c>
      <c r="O1095">
        <v>1</v>
      </c>
      <c r="P1095">
        <v>1094</v>
      </c>
      <c r="Q1095" s="2">
        <v>-1.67</v>
      </c>
      <c r="R1095" t="s">
        <v>22</v>
      </c>
      <c r="S1095">
        <v>2023</v>
      </c>
      <c r="T1095" t="s">
        <v>23</v>
      </c>
    </row>
    <row r="1096" spans="1:20" hidden="1" x14ac:dyDescent="0.3">
      <c r="A1096">
        <v>1848</v>
      </c>
      <c r="B1096">
        <v>439</v>
      </c>
      <c r="C1096" t="s">
        <v>40</v>
      </c>
      <c r="D1096" t="s">
        <v>34</v>
      </c>
      <c r="E1096" t="s">
        <v>20</v>
      </c>
      <c r="F1096" s="1">
        <v>44620</v>
      </c>
      <c r="G1096" s="1">
        <v>45119</v>
      </c>
      <c r="H1096">
        <v>8800</v>
      </c>
      <c r="I1096">
        <v>2326</v>
      </c>
      <c r="J1096">
        <v>6474</v>
      </c>
      <c r="K1096" t="s">
        <v>54</v>
      </c>
      <c r="L1096">
        <v>16</v>
      </c>
      <c r="M1096" t="str">
        <f t="shared" si="17"/>
        <v>6-12 Months</v>
      </c>
      <c r="N1096" s="1">
        <v>45119</v>
      </c>
      <c r="O1096">
        <v>1</v>
      </c>
      <c r="P1096">
        <v>1095</v>
      </c>
      <c r="Q1096" s="2">
        <v>0.74</v>
      </c>
      <c r="R1096" t="s">
        <v>27</v>
      </c>
      <c r="S1096">
        <v>2023</v>
      </c>
      <c r="T1096" t="s">
        <v>44</v>
      </c>
    </row>
    <row r="1097" spans="1:20" hidden="1" x14ac:dyDescent="0.3">
      <c r="A1097">
        <v>1849</v>
      </c>
      <c r="B1097">
        <v>440</v>
      </c>
      <c r="C1097" t="s">
        <v>39</v>
      </c>
      <c r="D1097" t="s">
        <v>19</v>
      </c>
      <c r="E1097" t="s">
        <v>26</v>
      </c>
      <c r="F1097" s="1">
        <v>44656</v>
      </c>
      <c r="G1097" s="1">
        <v>45150</v>
      </c>
      <c r="H1097">
        <v>1337</v>
      </c>
      <c r="I1097">
        <v>4639</v>
      </c>
      <c r="J1097">
        <v>-3302</v>
      </c>
      <c r="K1097" t="s">
        <v>54</v>
      </c>
      <c r="L1097">
        <v>16</v>
      </c>
      <c r="M1097" t="str">
        <f t="shared" si="17"/>
        <v>6-12 Months</v>
      </c>
      <c r="N1097" s="1">
        <v>45150</v>
      </c>
      <c r="O1097">
        <v>0</v>
      </c>
      <c r="P1097">
        <v>1096</v>
      </c>
      <c r="Q1097" s="2">
        <v>-2.4700000000000002</v>
      </c>
      <c r="R1097" t="s">
        <v>22</v>
      </c>
      <c r="S1097">
        <v>2023</v>
      </c>
      <c r="T1097" t="s">
        <v>36</v>
      </c>
    </row>
    <row r="1098" spans="1:20" hidden="1" x14ac:dyDescent="0.3">
      <c r="A1098">
        <v>1851</v>
      </c>
      <c r="B1098">
        <v>310</v>
      </c>
      <c r="C1098" t="s">
        <v>40</v>
      </c>
      <c r="D1098" t="s">
        <v>25</v>
      </c>
      <c r="E1098" t="s">
        <v>20</v>
      </c>
      <c r="F1098" s="1">
        <v>44793</v>
      </c>
      <c r="G1098" s="1">
        <v>45333</v>
      </c>
      <c r="H1098">
        <v>4967.93</v>
      </c>
      <c r="I1098">
        <v>6921</v>
      </c>
      <c r="J1098">
        <v>-8599</v>
      </c>
      <c r="K1098" t="s">
        <v>21</v>
      </c>
      <c r="L1098">
        <v>17</v>
      </c>
      <c r="M1098" t="str">
        <f t="shared" si="17"/>
        <v>6-12 Months</v>
      </c>
      <c r="N1098" s="1">
        <v>45333</v>
      </c>
      <c r="O1098">
        <v>0</v>
      </c>
      <c r="P1098">
        <v>1097</v>
      </c>
      <c r="Q1098" s="2">
        <v>-1.73</v>
      </c>
      <c r="R1098" t="s">
        <v>22</v>
      </c>
      <c r="S1098">
        <v>2024</v>
      </c>
      <c r="T1098" t="s">
        <v>43</v>
      </c>
    </row>
    <row r="1099" spans="1:20" hidden="1" x14ac:dyDescent="0.3">
      <c r="A1099">
        <v>1854</v>
      </c>
      <c r="B1099">
        <v>297</v>
      </c>
      <c r="C1099" t="s">
        <v>53</v>
      </c>
      <c r="D1099" t="s">
        <v>29</v>
      </c>
      <c r="E1099" t="s">
        <v>37</v>
      </c>
      <c r="F1099" s="1">
        <v>44825</v>
      </c>
      <c r="G1099" s="1">
        <v>45100</v>
      </c>
      <c r="H1099">
        <v>4906</v>
      </c>
      <c r="I1099">
        <v>511</v>
      </c>
      <c r="J1099">
        <v>4395</v>
      </c>
      <c r="K1099" t="s">
        <v>54</v>
      </c>
      <c r="L1099">
        <v>9</v>
      </c>
      <c r="M1099" t="str">
        <f t="shared" si="17"/>
        <v>6-12 Months</v>
      </c>
      <c r="N1099" s="1">
        <v>45100</v>
      </c>
      <c r="O1099">
        <v>1</v>
      </c>
      <c r="P1099">
        <v>1098</v>
      </c>
      <c r="Q1099" s="2">
        <v>0.9</v>
      </c>
      <c r="R1099" t="s">
        <v>27</v>
      </c>
      <c r="S1099">
        <v>2023</v>
      </c>
      <c r="T1099" t="s">
        <v>41</v>
      </c>
    </row>
    <row r="1100" spans="1:20" hidden="1" x14ac:dyDescent="0.3">
      <c r="A1100">
        <v>1857</v>
      </c>
      <c r="B1100">
        <v>404</v>
      </c>
      <c r="C1100" t="s">
        <v>24</v>
      </c>
      <c r="D1100" t="s">
        <v>29</v>
      </c>
      <c r="E1100" t="s">
        <v>37</v>
      </c>
      <c r="F1100" s="1">
        <v>44805</v>
      </c>
      <c r="G1100" s="1">
        <v>44983</v>
      </c>
      <c r="H1100">
        <v>5896</v>
      </c>
      <c r="I1100">
        <v>4012.75</v>
      </c>
      <c r="J1100">
        <v>5904</v>
      </c>
      <c r="K1100" t="s">
        <v>21</v>
      </c>
      <c r="L1100">
        <v>5</v>
      </c>
      <c r="M1100" t="str">
        <f t="shared" si="17"/>
        <v>0-6 Months</v>
      </c>
      <c r="N1100" s="1">
        <v>44983</v>
      </c>
      <c r="O1100">
        <v>0</v>
      </c>
      <c r="P1100">
        <v>1099</v>
      </c>
      <c r="Q1100" s="2">
        <v>1</v>
      </c>
      <c r="R1100" t="s">
        <v>22</v>
      </c>
      <c r="S1100">
        <v>2023</v>
      </c>
      <c r="T1100" t="s">
        <v>43</v>
      </c>
    </row>
    <row r="1101" spans="1:20" hidden="1" x14ac:dyDescent="0.3">
      <c r="A1101">
        <v>1858</v>
      </c>
      <c r="B1101">
        <v>117</v>
      </c>
      <c r="C1101" t="s">
        <v>39</v>
      </c>
      <c r="D1101" t="s">
        <v>29</v>
      </c>
      <c r="E1101" t="s">
        <v>20</v>
      </c>
      <c r="F1101" s="1">
        <v>44887</v>
      </c>
      <c r="G1101" s="1">
        <v>44924</v>
      </c>
      <c r="H1101">
        <v>4359</v>
      </c>
      <c r="I1101">
        <v>3702</v>
      </c>
      <c r="J1101">
        <v>657</v>
      </c>
      <c r="K1101" t="s">
        <v>54</v>
      </c>
      <c r="L1101">
        <v>1</v>
      </c>
      <c r="M1101" t="str">
        <f t="shared" si="17"/>
        <v>0-6 Months</v>
      </c>
      <c r="N1101" s="1">
        <v>44924</v>
      </c>
      <c r="O1101">
        <v>1</v>
      </c>
      <c r="P1101">
        <v>1100</v>
      </c>
      <c r="Q1101" s="2">
        <v>0.15</v>
      </c>
      <c r="R1101" t="s">
        <v>27</v>
      </c>
      <c r="S1101">
        <v>2022</v>
      </c>
      <c r="T1101" t="s">
        <v>31</v>
      </c>
    </row>
    <row r="1102" spans="1:20" x14ac:dyDescent="0.3">
      <c r="A1102">
        <v>1859</v>
      </c>
      <c r="B1102">
        <v>271</v>
      </c>
      <c r="C1102" t="s">
        <v>40</v>
      </c>
      <c r="D1102" t="s">
        <v>34</v>
      </c>
      <c r="E1102" t="s">
        <v>26</v>
      </c>
      <c r="F1102" s="1">
        <v>44656</v>
      </c>
      <c r="G1102" s="1">
        <v>45090</v>
      </c>
      <c r="H1102">
        <v>9312</v>
      </c>
      <c r="I1102">
        <v>6225</v>
      </c>
      <c r="J1102">
        <v>577.01</v>
      </c>
      <c r="K1102" t="s">
        <v>35</v>
      </c>
      <c r="L1102">
        <v>14</v>
      </c>
      <c r="M1102" t="str">
        <f t="shared" si="17"/>
        <v>6-12 Months</v>
      </c>
      <c r="N1102" s="1">
        <v>45090</v>
      </c>
      <c r="O1102">
        <v>0</v>
      </c>
      <c r="P1102">
        <v>1101</v>
      </c>
      <c r="Q1102" s="2">
        <v>0.06</v>
      </c>
      <c r="R1102" t="s">
        <v>27</v>
      </c>
      <c r="S1102">
        <v>2023</v>
      </c>
      <c r="T1102" t="s">
        <v>41</v>
      </c>
    </row>
    <row r="1103" spans="1:20" x14ac:dyDescent="0.3">
      <c r="A1103">
        <v>1860</v>
      </c>
      <c r="B1103">
        <v>325</v>
      </c>
      <c r="C1103" t="s">
        <v>40</v>
      </c>
      <c r="D1103" t="s">
        <v>29</v>
      </c>
      <c r="E1103" t="s">
        <v>20</v>
      </c>
      <c r="F1103" s="1">
        <v>44700</v>
      </c>
      <c r="G1103" s="1">
        <v>44733</v>
      </c>
      <c r="H1103">
        <v>4551</v>
      </c>
      <c r="I1103">
        <v>6927</v>
      </c>
      <c r="J1103">
        <v>577.01</v>
      </c>
      <c r="K1103" t="s">
        <v>35</v>
      </c>
      <c r="L1103">
        <v>1</v>
      </c>
      <c r="M1103" t="str">
        <f t="shared" si="17"/>
        <v>0-6 Months</v>
      </c>
      <c r="N1103" s="1">
        <v>44733</v>
      </c>
      <c r="O1103">
        <v>0</v>
      </c>
      <c r="P1103">
        <v>1102</v>
      </c>
      <c r="Q1103" s="2">
        <v>0.13</v>
      </c>
      <c r="R1103" t="s">
        <v>27</v>
      </c>
      <c r="S1103">
        <v>2022</v>
      </c>
      <c r="T1103" t="s">
        <v>41</v>
      </c>
    </row>
    <row r="1104" spans="1:20" hidden="1" x14ac:dyDescent="0.3">
      <c r="A1104">
        <v>1862</v>
      </c>
      <c r="B1104">
        <v>442</v>
      </c>
      <c r="C1104" t="s">
        <v>45</v>
      </c>
      <c r="D1104" t="s">
        <v>19</v>
      </c>
      <c r="E1104" t="s">
        <v>37</v>
      </c>
      <c r="F1104" s="1">
        <v>44605</v>
      </c>
      <c r="G1104" s="1">
        <v>44742</v>
      </c>
      <c r="H1104">
        <v>2944</v>
      </c>
      <c r="I1104">
        <v>4012.75</v>
      </c>
      <c r="J1104">
        <v>3131</v>
      </c>
      <c r="K1104" t="s">
        <v>54</v>
      </c>
      <c r="L1104">
        <v>4</v>
      </c>
      <c r="M1104" t="str">
        <f t="shared" si="17"/>
        <v>0-6 Months</v>
      </c>
      <c r="N1104" s="1">
        <v>44742</v>
      </c>
      <c r="O1104">
        <v>0</v>
      </c>
      <c r="P1104">
        <v>1103</v>
      </c>
      <c r="Q1104" s="2">
        <v>1.06</v>
      </c>
      <c r="R1104" t="s">
        <v>22</v>
      </c>
      <c r="S1104">
        <v>2022</v>
      </c>
      <c r="T1104" t="s">
        <v>41</v>
      </c>
    </row>
    <row r="1105" spans="1:20" x14ac:dyDescent="0.3">
      <c r="A1105">
        <v>1863</v>
      </c>
      <c r="B1105">
        <v>478</v>
      </c>
      <c r="C1105" t="s">
        <v>40</v>
      </c>
      <c r="D1105" t="s">
        <v>25</v>
      </c>
      <c r="E1105" t="s">
        <v>20</v>
      </c>
      <c r="F1105" s="1">
        <v>44884</v>
      </c>
      <c r="G1105" s="1">
        <v>45442</v>
      </c>
      <c r="H1105">
        <v>5316</v>
      </c>
      <c r="I1105">
        <v>252</v>
      </c>
      <c r="J1105">
        <v>5064</v>
      </c>
      <c r="K1105" t="s">
        <v>35</v>
      </c>
      <c r="L1105">
        <v>18</v>
      </c>
      <c r="M1105" t="str">
        <f t="shared" si="17"/>
        <v>6-12 Months</v>
      </c>
      <c r="N1105" s="1">
        <v>45442</v>
      </c>
      <c r="O1105">
        <v>1</v>
      </c>
      <c r="P1105">
        <v>1104</v>
      </c>
      <c r="Q1105" s="2">
        <v>0.95</v>
      </c>
      <c r="R1105" t="s">
        <v>27</v>
      </c>
      <c r="S1105">
        <v>2024</v>
      </c>
      <c r="T1105" t="s">
        <v>28</v>
      </c>
    </row>
    <row r="1106" spans="1:20" hidden="1" x14ac:dyDescent="0.3">
      <c r="A1106">
        <v>1865</v>
      </c>
      <c r="B1106">
        <v>147</v>
      </c>
      <c r="C1106" t="s">
        <v>39</v>
      </c>
      <c r="D1106" t="s">
        <v>29</v>
      </c>
      <c r="E1106" t="s">
        <v>20</v>
      </c>
      <c r="F1106" s="1">
        <v>44572</v>
      </c>
      <c r="G1106" s="1">
        <v>44888</v>
      </c>
      <c r="H1106">
        <v>3054</v>
      </c>
      <c r="I1106">
        <v>1443</v>
      </c>
      <c r="J1106">
        <v>1611</v>
      </c>
      <c r="K1106" t="s">
        <v>21</v>
      </c>
      <c r="L1106">
        <v>10</v>
      </c>
      <c r="M1106" t="str">
        <f t="shared" si="17"/>
        <v>6-12 Months</v>
      </c>
      <c r="N1106" s="1">
        <v>44888</v>
      </c>
      <c r="O1106">
        <v>1</v>
      </c>
      <c r="P1106">
        <v>1105</v>
      </c>
      <c r="Q1106" s="2">
        <v>0.53</v>
      </c>
      <c r="R1106" t="s">
        <v>27</v>
      </c>
      <c r="S1106">
        <v>2022</v>
      </c>
      <c r="T1106" t="s">
        <v>42</v>
      </c>
    </row>
    <row r="1107" spans="1:20" hidden="1" x14ac:dyDescent="0.3">
      <c r="A1107">
        <v>1866</v>
      </c>
      <c r="B1107">
        <v>368</v>
      </c>
      <c r="C1107" t="s">
        <v>24</v>
      </c>
      <c r="D1107" t="s">
        <v>19</v>
      </c>
      <c r="E1107" t="s">
        <v>26</v>
      </c>
      <c r="F1107" s="1">
        <v>44713</v>
      </c>
      <c r="G1107" s="1">
        <v>45279</v>
      </c>
      <c r="H1107">
        <v>8401</v>
      </c>
      <c r="I1107">
        <v>4012.75</v>
      </c>
      <c r="J1107">
        <v>8733</v>
      </c>
      <c r="K1107" t="s">
        <v>21</v>
      </c>
      <c r="L1107">
        <v>18</v>
      </c>
      <c r="M1107" t="str">
        <f t="shared" si="17"/>
        <v>6-12 Months</v>
      </c>
      <c r="N1107" s="1">
        <v>45279</v>
      </c>
      <c r="O1107">
        <v>1</v>
      </c>
      <c r="P1107">
        <v>1106</v>
      </c>
      <c r="Q1107" s="2">
        <v>1.04</v>
      </c>
      <c r="R1107" t="s">
        <v>22</v>
      </c>
      <c r="S1107">
        <v>2023</v>
      </c>
      <c r="T1107" t="s">
        <v>31</v>
      </c>
    </row>
    <row r="1108" spans="1:20" hidden="1" x14ac:dyDescent="0.3">
      <c r="A1108">
        <v>1870</v>
      </c>
      <c r="B1108">
        <v>449</v>
      </c>
      <c r="C1108" t="s">
        <v>40</v>
      </c>
      <c r="D1108" t="s">
        <v>29</v>
      </c>
      <c r="E1108" t="s">
        <v>37</v>
      </c>
      <c r="F1108" s="1">
        <v>44606</v>
      </c>
      <c r="G1108" s="1">
        <v>44753</v>
      </c>
      <c r="H1108">
        <v>9759</v>
      </c>
      <c r="I1108">
        <v>5284</v>
      </c>
      <c r="J1108">
        <v>4475</v>
      </c>
      <c r="K1108" t="s">
        <v>54</v>
      </c>
      <c r="L1108">
        <v>4</v>
      </c>
      <c r="M1108" t="str">
        <f t="shared" si="17"/>
        <v>0-6 Months</v>
      </c>
      <c r="N1108" s="1">
        <v>44753</v>
      </c>
      <c r="O1108">
        <v>1</v>
      </c>
      <c r="P1108">
        <v>1107</v>
      </c>
      <c r="Q1108" s="2">
        <v>0.46</v>
      </c>
      <c r="R1108" t="s">
        <v>27</v>
      </c>
      <c r="S1108">
        <v>2022</v>
      </c>
      <c r="T1108" t="s">
        <v>44</v>
      </c>
    </row>
    <row r="1109" spans="1:20" hidden="1" x14ac:dyDescent="0.3">
      <c r="A1109">
        <v>1871</v>
      </c>
      <c r="B1109">
        <v>228</v>
      </c>
      <c r="C1109" t="s">
        <v>24</v>
      </c>
      <c r="D1109" t="s">
        <v>34</v>
      </c>
      <c r="E1109" t="s">
        <v>26</v>
      </c>
      <c r="F1109" s="1">
        <v>44678</v>
      </c>
      <c r="G1109" s="1">
        <v>44841</v>
      </c>
      <c r="H1109">
        <v>5901</v>
      </c>
      <c r="I1109">
        <v>1634</v>
      </c>
      <c r="J1109">
        <v>4267</v>
      </c>
      <c r="K1109" t="s">
        <v>54</v>
      </c>
      <c r="L1109">
        <v>5</v>
      </c>
      <c r="M1109" t="str">
        <f t="shared" si="17"/>
        <v>0-6 Months</v>
      </c>
      <c r="N1109" s="1">
        <v>44841</v>
      </c>
      <c r="O1109">
        <v>0</v>
      </c>
      <c r="P1109">
        <v>1108</v>
      </c>
      <c r="Q1109" s="2">
        <v>0.72</v>
      </c>
      <c r="R1109" t="s">
        <v>27</v>
      </c>
      <c r="S1109">
        <v>2022</v>
      </c>
      <c r="T1109" t="s">
        <v>33</v>
      </c>
    </row>
    <row r="1110" spans="1:20" x14ac:dyDescent="0.3">
      <c r="A1110">
        <v>1872</v>
      </c>
      <c r="B1110">
        <v>245</v>
      </c>
      <c r="C1110" t="s">
        <v>45</v>
      </c>
      <c r="D1110" t="s">
        <v>34</v>
      </c>
      <c r="E1110" t="s">
        <v>37</v>
      </c>
      <c r="F1110" s="1">
        <v>44875</v>
      </c>
      <c r="G1110" s="1">
        <v>45257</v>
      </c>
      <c r="H1110">
        <v>6874</v>
      </c>
      <c r="I1110">
        <v>5291</v>
      </c>
      <c r="J1110">
        <v>1583</v>
      </c>
      <c r="K1110" t="s">
        <v>35</v>
      </c>
      <c r="L1110">
        <v>12</v>
      </c>
      <c r="M1110" t="str">
        <f t="shared" si="17"/>
        <v>6-12 Months</v>
      </c>
      <c r="N1110" s="1">
        <v>45257</v>
      </c>
      <c r="O1110">
        <v>1</v>
      </c>
      <c r="P1110">
        <v>1109</v>
      </c>
      <c r="Q1110" s="2">
        <v>0.23</v>
      </c>
      <c r="R1110" t="s">
        <v>27</v>
      </c>
      <c r="S1110">
        <v>2023</v>
      </c>
      <c r="T1110" t="s">
        <v>42</v>
      </c>
    </row>
    <row r="1111" spans="1:20" hidden="1" x14ac:dyDescent="0.3">
      <c r="A1111">
        <v>1875</v>
      </c>
      <c r="B1111">
        <v>307</v>
      </c>
      <c r="C1111" t="s">
        <v>45</v>
      </c>
      <c r="D1111" t="s">
        <v>25</v>
      </c>
      <c r="E1111" t="s">
        <v>26</v>
      </c>
      <c r="F1111" s="1">
        <v>44612</v>
      </c>
      <c r="G1111" s="1">
        <v>45037</v>
      </c>
      <c r="H1111">
        <v>4304</v>
      </c>
      <c r="I1111">
        <v>6333</v>
      </c>
      <c r="J1111">
        <v>-2029</v>
      </c>
      <c r="K1111" t="s">
        <v>54</v>
      </c>
      <c r="L1111">
        <v>14</v>
      </c>
      <c r="M1111" t="str">
        <f t="shared" si="17"/>
        <v>6-12 Months</v>
      </c>
      <c r="N1111" s="1">
        <v>45037</v>
      </c>
      <c r="O1111">
        <v>1</v>
      </c>
      <c r="P1111">
        <v>1110</v>
      </c>
      <c r="Q1111" s="2">
        <v>-0.47</v>
      </c>
      <c r="R1111" t="s">
        <v>27</v>
      </c>
      <c r="S1111">
        <v>2023</v>
      </c>
      <c r="T1111" t="s">
        <v>32</v>
      </c>
    </row>
    <row r="1112" spans="1:20" x14ac:dyDescent="0.3">
      <c r="A1112">
        <v>1876</v>
      </c>
      <c r="B1112">
        <v>324</v>
      </c>
      <c r="C1112" t="s">
        <v>24</v>
      </c>
      <c r="D1112" t="s">
        <v>34</v>
      </c>
      <c r="E1112" t="s">
        <v>20</v>
      </c>
      <c r="F1112" s="1">
        <v>44836</v>
      </c>
      <c r="G1112" s="1">
        <v>45159</v>
      </c>
      <c r="H1112">
        <v>8982</v>
      </c>
      <c r="I1112">
        <v>7931</v>
      </c>
      <c r="J1112">
        <v>1051</v>
      </c>
      <c r="K1112" t="s">
        <v>35</v>
      </c>
      <c r="L1112">
        <v>10</v>
      </c>
      <c r="M1112" t="str">
        <f t="shared" si="17"/>
        <v>6-12 Months</v>
      </c>
      <c r="N1112" s="1">
        <v>45159</v>
      </c>
      <c r="O1112">
        <v>0</v>
      </c>
      <c r="P1112">
        <v>1111</v>
      </c>
      <c r="Q1112" s="2">
        <v>0.12</v>
      </c>
      <c r="R1112" t="s">
        <v>27</v>
      </c>
      <c r="S1112">
        <v>2023</v>
      </c>
      <c r="T1112" t="s">
        <v>36</v>
      </c>
    </row>
    <row r="1113" spans="1:20" hidden="1" x14ac:dyDescent="0.3">
      <c r="A1113">
        <v>1879</v>
      </c>
      <c r="B1113">
        <v>220</v>
      </c>
      <c r="C1113" t="s">
        <v>40</v>
      </c>
      <c r="D1113" t="s">
        <v>25</v>
      </c>
      <c r="E1113" t="s">
        <v>20</v>
      </c>
      <c r="F1113" s="1">
        <v>44832</v>
      </c>
      <c r="G1113" s="1">
        <v>45424</v>
      </c>
      <c r="H1113">
        <v>1947</v>
      </c>
      <c r="I1113">
        <v>4012.75</v>
      </c>
      <c r="J1113">
        <v>1974</v>
      </c>
      <c r="K1113" t="s">
        <v>54</v>
      </c>
      <c r="L1113">
        <v>19</v>
      </c>
      <c r="M1113" t="str">
        <f t="shared" si="17"/>
        <v>6-12 Months</v>
      </c>
      <c r="N1113" s="1">
        <v>45424</v>
      </c>
      <c r="O1113">
        <v>0</v>
      </c>
      <c r="P1113">
        <v>1112</v>
      </c>
      <c r="Q1113" s="2">
        <v>1.01</v>
      </c>
      <c r="R1113" t="s">
        <v>22</v>
      </c>
      <c r="S1113">
        <v>2024</v>
      </c>
      <c r="T1113" t="s">
        <v>28</v>
      </c>
    </row>
    <row r="1114" spans="1:20" x14ac:dyDescent="0.3">
      <c r="A1114">
        <v>1881</v>
      </c>
      <c r="B1114">
        <v>162</v>
      </c>
      <c r="C1114" t="s">
        <v>39</v>
      </c>
      <c r="D1114" t="s">
        <v>19</v>
      </c>
      <c r="E1114" t="s">
        <v>20</v>
      </c>
      <c r="F1114" s="1">
        <v>44784</v>
      </c>
      <c r="G1114" s="1">
        <v>45044</v>
      </c>
      <c r="H1114">
        <v>3337</v>
      </c>
      <c r="I1114">
        <v>4114</v>
      </c>
      <c r="J1114">
        <v>-777</v>
      </c>
      <c r="K1114" t="s">
        <v>35</v>
      </c>
      <c r="L1114">
        <v>8</v>
      </c>
      <c r="M1114" t="str">
        <f t="shared" si="17"/>
        <v>6-12 Months</v>
      </c>
      <c r="N1114" s="1">
        <v>45044</v>
      </c>
      <c r="O1114">
        <v>1</v>
      </c>
      <c r="P1114">
        <v>1113</v>
      </c>
      <c r="Q1114" s="2">
        <v>-0.23</v>
      </c>
      <c r="R1114" t="s">
        <v>27</v>
      </c>
      <c r="S1114">
        <v>2023</v>
      </c>
      <c r="T1114" t="s">
        <v>32</v>
      </c>
    </row>
    <row r="1115" spans="1:20" hidden="1" x14ac:dyDescent="0.3">
      <c r="A1115">
        <v>1882</v>
      </c>
      <c r="B1115">
        <v>390</v>
      </c>
      <c r="C1115" t="s">
        <v>40</v>
      </c>
      <c r="D1115" t="s">
        <v>19</v>
      </c>
      <c r="E1115" t="s">
        <v>20</v>
      </c>
      <c r="F1115" s="1">
        <v>44853</v>
      </c>
      <c r="G1115" s="1">
        <v>45147</v>
      </c>
      <c r="H1115">
        <v>194</v>
      </c>
      <c r="I1115">
        <v>2477</v>
      </c>
      <c r="J1115">
        <v>-2283</v>
      </c>
      <c r="K1115" t="s">
        <v>21</v>
      </c>
      <c r="L1115">
        <v>9</v>
      </c>
      <c r="M1115" t="str">
        <f t="shared" si="17"/>
        <v>6-12 Months</v>
      </c>
      <c r="N1115" s="1">
        <v>45147</v>
      </c>
      <c r="O1115">
        <v>0</v>
      </c>
      <c r="P1115">
        <v>1114</v>
      </c>
      <c r="Q1115" s="2">
        <v>-11.77</v>
      </c>
      <c r="R1115" t="s">
        <v>22</v>
      </c>
      <c r="S1115">
        <v>2023</v>
      </c>
      <c r="T1115" t="s">
        <v>36</v>
      </c>
    </row>
    <row r="1116" spans="1:20" x14ac:dyDescent="0.3">
      <c r="A1116">
        <v>1884</v>
      </c>
      <c r="B1116">
        <v>418</v>
      </c>
      <c r="C1116" t="s">
        <v>53</v>
      </c>
      <c r="D1116" t="s">
        <v>19</v>
      </c>
      <c r="E1116" t="s">
        <v>20</v>
      </c>
      <c r="F1116" s="1">
        <v>44704</v>
      </c>
      <c r="G1116" s="1">
        <v>45130</v>
      </c>
      <c r="H1116">
        <v>538</v>
      </c>
      <c r="I1116">
        <v>3011</v>
      </c>
      <c r="J1116">
        <v>-2473</v>
      </c>
      <c r="K1116" t="s">
        <v>35</v>
      </c>
      <c r="L1116">
        <v>14</v>
      </c>
      <c r="M1116" t="str">
        <f t="shared" si="17"/>
        <v>6-12 Months</v>
      </c>
      <c r="N1116" s="1">
        <v>45130</v>
      </c>
      <c r="O1116">
        <v>1</v>
      </c>
      <c r="P1116">
        <v>1115</v>
      </c>
      <c r="Q1116" s="2">
        <v>-4.5999999999999996</v>
      </c>
      <c r="R1116" t="s">
        <v>22</v>
      </c>
      <c r="S1116">
        <v>2023</v>
      </c>
      <c r="T1116" t="s">
        <v>44</v>
      </c>
    </row>
    <row r="1117" spans="1:20" hidden="1" x14ac:dyDescent="0.3">
      <c r="A1117">
        <v>1888</v>
      </c>
      <c r="B1117">
        <v>434</v>
      </c>
      <c r="C1117" t="s">
        <v>39</v>
      </c>
      <c r="D1117" t="s">
        <v>29</v>
      </c>
      <c r="E1117" t="s">
        <v>20</v>
      </c>
      <c r="F1117" s="1">
        <v>44621</v>
      </c>
      <c r="G1117" s="1">
        <v>45031</v>
      </c>
      <c r="H1117">
        <v>4698</v>
      </c>
      <c r="I1117">
        <v>6753</v>
      </c>
      <c r="J1117">
        <v>-2055</v>
      </c>
      <c r="K1117" t="s">
        <v>21</v>
      </c>
      <c r="L1117">
        <v>13</v>
      </c>
      <c r="M1117" t="str">
        <f t="shared" si="17"/>
        <v>6-12 Months</v>
      </c>
      <c r="N1117" s="1">
        <v>45031</v>
      </c>
      <c r="O1117">
        <v>1</v>
      </c>
      <c r="P1117">
        <v>1116</v>
      </c>
      <c r="Q1117" s="2">
        <v>-0.44</v>
      </c>
      <c r="R1117" t="s">
        <v>27</v>
      </c>
      <c r="S1117">
        <v>2023</v>
      </c>
      <c r="T1117" t="s">
        <v>32</v>
      </c>
    </row>
    <row r="1118" spans="1:20" x14ac:dyDescent="0.3">
      <c r="A1118">
        <v>1890</v>
      </c>
      <c r="B1118">
        <v>448</v>
      </c>
      <c r="C1118" t="s">
        <v>24</v>
      </c>
      <c r="D1118" t="s">
        <v>19</v>
      </c>
      <c r="E1118" t="s">
        <v>26</v>
      </c>
      <c r="F1118" s="1">
        <v>44914</v>
      </c>
      <c r="G1118" s="1">
        <v>45079</v>
      </c>
      <c r="H1118">
        <v>4378</v>
      </c>
      <c r="I1118">
        <v>6370</v>
      </c>
      <c r="J1118">
        <v>-1992</v>
      </c>
      <c r="K1118" t="s">
        <v>35</v>
      </c>
      <c r="L1118">
        <v>5</v>
      </c>
      <c r="M1118" t="str">
        <f t="shared" si="17"/>
        <v>0-6 Months</v>
      </c>
      <c r="N1118" s="1">
        <v>45079</v>
      </c>
      <c r="O1118">
        <v>1</v>
      </c>
      <c r="P1118">
        <v>1117</v>
      </c>
      <c r="Q1118" s="2">
        <v>-0.46</v>
      </c>
      <c r="R1118" t="s">
        <v>27</v>
      </c>
      <c r="S1118">
        <v>2023</v>
      </c>
      <c r="T1118" t="s">
        <v>41</v>
      </c>
    </row>
    <row r="1119" spans="1:20" hidden="1" x14ac:dyDescent="0.3">
      <c r="A1119">
        <v>1891</v>
      </c>
      <c r="B1119">
        <v>394</v>
      </c>
      <c r="C1119" t="s">
        <v>53</v>
      </c>
      <c r="D1119" t="s">
        <v>25</v>
      </c>
      <c r="E1119" t="s">
        <v>20</v>
      </c>
      <c r="F1119" s="1">
        <v>44879</v>
      </c>
      <c r="G1119" s="1">
        <v>45380</v>
      </c>
      <c r="H1119">
        <v>9059</v>
      </c>
      <c r="I1119">
        <v>1216</v>
      </c>
      <c r="J1119">
        <v>7843</v>
      </c>
      <c r="K1119" t="s">
        <v>54</v>
      </c>
      <c r="L1119">
        <v>16</v>
      </c>
      <c r="M1119" t="str">
        <f t="shared" si="17"/>
        <v>6-12 Months</v>
      </c>
      <c r="N1119" s="1">
        <v>45380</v>
      </c>
      <c r="O1119">
        <v>1</v>
      </c>
      <c r="P1119">
        <v>1118</v>
      </c>
      <c r="Q1119" s="2">
        <v>0.87</v>
      </c>
      <c r="R1119" t="s">
        <v>27</v>
      </c>
      <c r="S1119">
        <v>2024</v>
      </c>
      <c r="T1119" t="s">
        <v>38</v>
      </c>
    </row>
    <row r="1120" spans="1:20" hidden="1" x14ac:dyDescent="0.3">
      <c r="A1120">
        <v>1893</v>
      </c>
      <c r="B1120">
        <v>201</v>
      </c>
      <c r="C1120" t="s">
        <v>39</v>
      </c>
      <c r="D1120" t="s">
        <v>19</v>
      </c>
      <c r="E1120" t="s">
        <v>26</v>
      </c>
      <c r="F1120" s="1">
        <v>44607</v>
      </c>
      <c r="G1120" s="1">
        <v>45142</v>
      </c>
      <c r="H1120">
        <v>1705</v>
      </c>
      <c r="I1120">
        <v>2626</v>
      </c>
      <c r="J1120">
        <v>-921</v>
      </c>
      <c r="K1120" t="s">
        <v>54</v>
      </c>
      <c r="L1120">
        <v>17</v>
      </c>
      <c r="M1120" t="str">
        <f t="shared" si="17"/>
        <v>6-12 Months</v>
      </c>
      <c r="N1120" s="1">
        <v>45142</v>
      </c>
      <c r="O1120">
        <v>1</v>
      </c>
      <c r="P1120">
        <v>1119</v>
      </c>
      <c r="Q1120" s="2">
        <v>-0.54</v>
      </c>
      <c r="R1120" t="s">
        <v>27</v>
      </c>
      <c r="S1120">
        <v>2023</v>
      </c>
      <c r="T1120" t="s">
        <v>36</v>
      </c>
    </row>
    <row r="1121" spans="1:20" x14ac:dyDescent="0.3">
      <c r="A1121">
        <v>1899</v>
      </c>
      <c r="B1121">
        <v>105</v>
      </c>
      <c r="C1121" t="s">
        <v>45</v>
      </c>
      <c r="D1121" t="s">
        <v>25</v>
      </c>
      <c r="E1121" t="s">
        <v>20</v>
      </c>
      <c r="F1121" s="1">
        <v>44778</v>
      </c>
      <c r="G1121" s="1">
        <v>45193</v>
      </c>
      <c r="H1121">
        <v>8274</v>
      </c>
      <c r="I1121">
        <v>542</v>
      </c>
      <c r="J1121">
        <v>7732</v>
      </c>
      <c r="K1121" t="s">
        <v>35</v>
      </c>
      <c r="L1121">
        <v>13</v>
      </c>
      <c r="M1121" t="str">
        <f t="shared" si="17"/>
        <v>6-12 Months</v>
      </c>
      <c r="N1121" s="1">
        <v>45193</v>
      </c>
      <c r="O1121">
        <v>1</v>
      </c>
      <c r="P1121">
        <v>1120</v>
      </c>
      <c r="Q1121" s="2">
        <v>0.93</v>
      </c>
      <c r="R1121" t="s">
        <v>27</v>
      </c>
      <c r="S1121">
        <v>2023</v>
      </c>
      <c r="T1121" t="s">
        <v>30</v>
      </c>
    </row>
    <row r="1122" spans="1:20" hidden="1" x14ac:dyDescent="0.3">
      <c r="A1122">
        <v>1900</v>
      </c>
      <c r="B1122">
        <v>263</v>
      </c>
      <c r="C1122" t="s">
        <v>39</v>
      </c>
      <c r="D1122" t="s">
        <v>34</v>
      </c>
      <c r="E1122" t="s">
        <v>20</v>
      </c>
      <c r="F1122" s="1">
        <v>44780</v>
      </c>
      <c r="G1122" s="1">
        <v>45301</v>
      </c>
      <c r="H1122">
        <v>7627</v>
      </c>
      <c r="I1122">
        <v>5302</v>
      </c>
      <c r="J1122">
        <v>2325</v>
      </c>
      <c r="K1122" t="s">
        <v>21</v>
      </c>
      <c r="L1122">
        <v>17</v>
      </c>
      <c r="M1122" t="str">
        <f t="shared" si="17"/>
        <v>6-12 Months</v>
      </c>
      <c r="N1122" s="1">
        <v>45301</v>
      </c>
      <c r="O1122">
        <v>1</v>
      </c>
      <c r="P1122">
        <v>1121</v>
      </c>
      <c r="Q1122" s="2">
        <v>0.3</v>
      </c>
      <c r="R1122" t="s">
        <v>27</v>
      </c>
      <c r="S1122">
        <v>2024</v>
      </c>
      <c r="T1122" t="s">
        <v>23</v>
      </c>
    </row>
    <row r="1123" spans="1:20" x14ac:dyDescent="0.3">
      <c r="A1123">
        <v>1902</v>
      </c>
      <c r="B1123">
        <v>236</v>
      </c>
      <c r="C1123" t="s">
        <v>39</v>
      </c>
      <c r="D1123" t="s">
        <v>25</v>
      </c>
      <c r="E1123" t="s">
        <v>26</v>
      </c>
      <c r="F1123" s="1">
        <v>44595</v>
      </c>
      <c r="G1123" s="1">
        <v>44973</v>
      </c>
      <c r="H1123">
        <v>2181</v>
      </c>
      <c r="I1123">
        <v>3370</v>
      </c>
      <c r="J1123">
        <v>-1189</v>
      </c>
      <c r="K1123" t="s">
        <v>35</v>
      </c>
      <c r="L1123">
        <v>12</v>
      </c>
      <c r="M1123" t="str">
        <f t="shared" si="17"/>
        <v>6-12 Months</v>
      </c>
      <c r="N1123" s="1">
        <v>44973</v>
      </c>
      <c r="O1123">
        <v>0</v>
      </c>
      <c r="P1123">
        <v>1122</v>
      </c>
      <c r="Q1123" s="2">
        <v>-0.55000000000000004</v>
      </c>
      <c r="R1123" t="s">
        <v>27</v>
      </c>
      <c r="S1123">
        <v>2023</v>
      </c>
      <c r="T1123" t="s">
        <v>43</v>
      </c>
    </row>
    <row r="1124" spans="1:20" hidden="1" x14ac:dyDescent="0.3">
      <c r="A1124">
        <v>1903</v>
      </c>
      <c r="B1124">
        <v>391</v>
      </c>
      <c r="C1124" t="s">
        <v>40</v>
      </c>
      <c r="D1124" t="s">
        <v>25</v>
      </c>
      <c r="E1124" t="s">
        <v>20</v>
      </c>
      <c r="F1124" s="1">
        <v>44684</v>
      </c>
      <c r="G1124" s="1">
        <v>45056</v>
      </c>
      <c r="H1124">
        <v>4378</v>
      </c>
      <c r="I1124">
        <v>935</v>
      </c>
      <c r="J1124">
        <v>3443</v>
      </c>
      <c r="K1124" t="s">
        <v>54</v>
      </c>
      <c r="L1124">
        <v>12</v>
      </c>
      <c r="M1124" t="str">
        <f t="shared" si="17"/>
        <v>6-12 Months</v>
      </c>
      <c r="N1124" s="1">
        <v>45056</v>
      </c>
      <c r="O1124">
        <v>0</v>
      </c>
      <c r="P1124">
        <v>1123</v>
      </c>
      <c r="Q1124" s="2">
        <v>0.79</v>
      </c>
      <c r="R1124" t="s">
        <v>27</v>
      </c>
      <c r="S1124">
        <v>2023</v>
      </c>
      <c r="T1124" t="s">
        <v>28</v>
      </c>
    </row>
    <row r="1125" spans="1:20" x14ac:dyDescent="0.3">
      <c r="A1125">
        <v>1905</v>
      </c>
      <c r="B1125">
        <v>380</v>
      </c>
      <c r="C1125" t="s">
        <v>24</v>
      </c>
      <c r="D1125" t="s">
        <v>34</v>
      </c>
      <c r="E1125" t="s">
        <v>20</v>
      </c>
      <c r="F1125" s="1">
        <v>44562</v>
      </c>
      <c r="G1125" s="1">
        <v>44646</v>
      </c>
      <c r="H1125">
        <v>3419</v>
      </c>
      <c r="I1125">
        <v>4012.75</v>
      </c>
      <c r="J1125">
        <v>4260</v>
      </c>
      <c r="K1125" t="s">
        <v>35</v>
      </c>
      <c r="L1125">
        <v>2</v>
      </c>
      <c r="M1125" t="str">
        <f t="shared" si="17"/>
        <v>0-6 Months</v>
      </c>
      <c r="N1125" s="1">
        <v>44646</v>
      </c>
      <c r="O1125">
        <v>1</v>
      </c>
      <c r="P1125">
        <v>1124</v>
      </c>
      <c r="Q1125" s="2">
        <v>1.25</v>
      </c>
      <c r="R1125" t="s">
        <v>22</v>
      </c>
      <c r="S1125">
        <v>2022</v>
      </c>
      <c r="T1125" t="s">
        <v>38</v>
      </c>
    </row>
    <row r="1126" spans="1:20" hidden="1" x14ac:dyDescent="0.3">
      <c r="A1126">
        <v>1907</v>
      </c>
      <c r="B1126">
        <v>258</v>
      </c>
      <c r="C1126" t="s">
        <v>53</v>
      </c>
      <c r="D1126" t="s">
        <v>25</v>
      </c>
      <c r="E1126" t="s">
        <v>20</v>
      </c>
      <c r="F1126" s="1">
        <v>44658</v>
      </c>
      <c r="G1126" s="1">
        <v>45165</v>
      </c>
      <c r="H1126">
        <v>3226</v>
      </c>
      <c r="I1126">
        <v>5927</v>
      </c>
      <c r="J1126">
        <v>-2701</v>
      </c>
      <c r="K1126" t="s">
        <v>54</v>
      </c>
      <c r="L1126">
        <v>16</v>
      </c>
      <c r="M1126" t="str">
        <f t="shared" si="17"/>
        <v>6-12 Months</v>
      </c>
      <c r="N1126" s="1">
        <v>45165</v>
      </c>
      <c r="O1126">
        <v>0</v>
      </c>
      <c r="P1126">
        <v>1125</v>
      </c>
      <c r="Q1126" s="2">
        <v>-0.84</v>
      </c>
      <c r="R1126" t="s">
        <v>27</v>
      </c>
      <c r="S1126">
        <v>2023</v>
      </c>
      <c r="T1126" t="s">
        <v>36</v>
      </c>
    </row>
    <row r="1127" spans="1:20" hidden="1" x14ac:dyDescent="0.3">
      <c r="A1127">
        <v>1908</v>
      </c>
      <c r="B1127">
        <v>336</v>
      </c>
      <c r="C1127" t="s">
        <v>45</v>
      </c>
      <c r="D1127" t="s">
        <v>25</v>
      </c>
      <c r="E1127" t="s">
        <v>37</v>
      </c>
      <c r="F1127" s="1">
        <v>44887</v>
      </c>
      <c r="G1127" s="1">
        <v>44985</v>
      </c>
      <c r="H1127">
        <v>8354</v>
      </c>
      <c r="I1127">
        <v>1120</v>
      </c>
      <c r="J1127">
        <v>577.01</v>
      </c>
      <c r="K1127" t="s">
        <v>54</v>
      </c>
      <c r="L1127">
        <v>3</v>
      </c>
      <c r="M1127" t="str">
        <f t="shared" si="17"/>
        <v>0-6 Months</v>
      </c>
      <c r="N1127" s="1">
        <v>44985</v>
      </c>
      <c r="O1127">
        <v>1</v>
      </c>
      <c r="P1127">
        <v>1126</v>
      </c>
      <c r="Q1127" s="2">
        <v>7.0000000000000007E-2</v>
      </c>
      <c r="R1127" t="s">
        <v>27</v>
      </c>
      <c r="S1127">
        <v>2023</v>
      </c>
      <c r="T1127" t="s">
        <v>43</v>
      </c>
    </row>
    <row r="1128" spans="1:20" hidden="1" x14ac:dyDescent="0.3">
      <c r="A1128">
        <v>1911</v>
      </c>
      <c r="B1128">
        <v>336</v>
      </c>
      <c r="C1128" t="s">
        <v>53</v>
      </c>
      <c r="D1128" t="s">
        <v>34</v>
      </c>
      <c r="E1128" t="s">
        <v>37</v>
      </c>
      <c r="F1128" s="1">
        <v>44878</v>
      </c>
      <c r="G1128" s="1">
        <v>45374</v>
      </c>
      <c r="H1128">
        <v>4967.93</v>
      </c>
      <c r="I1128">
        <v>5610</v>
      </c>
      <c r="J1128">
        <v>-6347</v>
      </c>
      <c r="K1128" t="s">
        <v>54</v>
      </c>
      <c r="L1128">
        <v>16</v>
      </c>
      <c r="M1128" t="str">
        <f t="shared" si="17"/>
        <v>6-12 Months</v>
      </c>
      <c r="N1128" s="1">
        <v>45374</v>
      </c>
      <c r="O1128">
        <v>0</v>
      </c>
      <c r="P1128">
        <v>1127</v>
      </c>
      <c r="Q1128" s="2">
        <v>-1.28</v>
      </c>
      <c r="R1128" t="s">
        <v>22</v>
      </c>
      <c r="S1128">
        <v>2024</v>
      </c>
      <c r="T1128" t="s">
        <v>38</v>
      </c>
    </row>
    <row r="1129" spans="1:20" hidden="1" x14ac:dyDescent="0.3">
      <c r="A1129">
        <v>1913</v>
      </c>
      <c r="B1129">
        <v>420</v>
      </c>
      <c r="C1129" t="s">
        <v>45</v>
      </c>
      <c r="D1129" t="s">
        <v>25</v>
      </c>
      <c r="E1129" t="s">
        <v>20</v>
      </c>
      <c r="F1129" s="1">
        <v>44808</v>
      </c>
      <c r="G1129" s="1">
        <v>45119</v>
      </c>
      <c r="H1129">
        <v>6847</v>
      </c>
      <c r="I1129">
        <v>6150</v>
      </c>
      <c r="J1129">
        <v>697</v>
      </c>
      <c r="K1129" t="s">
        <v>21</v>
      </c>
      <c r="L1129">
        <v>10</v>
      </c>
      <c r="M1129" t="str">
        <f t="shared" si="17"/>
        <v>6-12 Months</v>
      </c>
      <c r="N1129" s="1">
        <v>45119</v>
      </c>
      <c r="O1129">
        <v>1</v>
      </c>
      <c r="P1129">
        <v>1128</v>
      </c>
      <c r="Q1129" s="2">
        <v>0.1</v>
      </c>
      <c r="R1129" t="s">
        <v>27</v>
      </c>
      <c r="S1129">
        <v>2023</v>
      </c>
      <c r="T1129" t="s">
        <v>44</v>
      </c>
    </row>
    <row r="1130" spans="1:20" hidden="1" x14ac:dyDescent="0.3">
      <c r="A1130">
        <v>1914</v>
      </c>
      <c r="B1130">
        <v>205</v>
      </c>
      <c r="C1130" t="s">
        <v>53</v>
      </c>
      <c r="D1130" t="s">
        <v>29</v>
      </c>
      <c r="E1130" t="s">
        <v>20</v>
      </c>
      <c r="F1130" s="1">
        <v>44602</v>
      </c>
      <c r="G1130" s="1">
        <v>44908</v>
      </c>
      <c r="H1130">
        <v>8701</v>
      </c>
      <c r="I1130">
        <v>1998</v>
      </c>
      <c r="J1130">
        <v>6703</v>
      </c>
      <c r="K1130" t="s">
        <v>54</v>
      </c>
      <c r="L1130">
        <v>10</v>
      </c>
      <c r="M1130" t="str">
        <f t="shared" si="17"/>
        <v>6-12 Months</v>
      </c>
      <c r="N1130" s="1">
        <v>44908</v>
      </c>
      <c r="O1130">
        <v>1</v>
      </c>
      <c r="P1130">
        <v>1129</v>
      </c>
      <c r="Q1130" s="2">
        <v>0.77</v>
      </c>
      <c r="R1130" t="s">
        <v>27</v>
      </c>
      <c r="S1130">
        <v>2022</v>
      </c>
      <c r="T1130" t="s">
        <v>31</v>
      </c>
    </row>
    <row r="1131" spans="1:20" hidden="1" x14ac:dyDescent="0.3">
      <c r="A1131">
        <v>1915</v>
      </c>
      <c r="B1131">
        <v>337</v>
      </c>
      <c r="C1131" t="s">
        <v>45</v>
      </c>
      <c r="D1131" t="s">
        <v>34</v>
      </c>
      <c r="E1131" t="s">
        <v>20</v>
      </c>
      <c r="F1131" s="1">
        <v>44855</v>
      </c>
      <c r="G1131" s="1">
        <v>45323</v>
      </c>
      <c r="H1131">
        <v>6633</v>
      </c>
      <c r="I1131">
        <v>7254</v>
      </c>
      <c r="J1131">
        <v>-621</v>
      </c>
      <c r="K1131" t="s">
        <v>21</v>
      </c>
      <c r="L1131">
        <v>15</v>
      </c>
      <c r="M1131" t="str">
        <f t="shared" si="17"/>
        <v>6-12 Months</v>
      </c>
      <c r="N1131" s="1">
        <v>45323</v>
      </c>
      <c r="O1131">
        <v>1</v>
      </c>
      <c r="P1131">
        <v>1130</v>
      </c>
      <c r="Q1131" s="2">
        <v>-0.09</v>
      </c>
      <c r="R1131" t="s">
        <v>27</v>
      </c>
      <c r="S1131">
        <v>2024</v>
      </c>
      <c r="T1131" t="s">
        <v>43</v>
      </c>
    </row>
    <row r="1132" spans="1:20" hidden="1" x14ac:dyDescent="0.3">
      <c r="A1132">
        <v>1916</v>
      </c>
      <c r="B1132">
        <v>107</v>
      </c>
      <c r="C1132" t="s">
        <v>24</v>
      </c>
      <c r="D1132" t="s">
        <v>29</v>
      </c>
      <c r="E1132" t="s">
        <v>26</v>
      </c>
      <c r="F1132" s="1">
        <v>44821</v>
      </c>
      <c r="G1132" s="1">
        <v>45400</v>
      </c>
      <c r="H1132">
        <v>3170</v>
      </c>
      <c r="I1132">
        <v>7386</v>
      </c>
      <c r="J1132">
        <v>-4216</v>
      </c>
      <c r="K1132" t="s">
        <v>54</v>
      </c>
      <c r="L1132">
        <v>19</v>
      </c>
      <c r="M1132" t="str">
        <f t="shared" si="17"/>
        <v>6-12 Months</v>
      </c>
      <c r="N1132" s="1">
        <v>45400</v>
      </c>
      <c r="O1132">
        <v>0</v>
      </c>
      <c r="P1132">
        <v>1131</v>
      </c>
      <c r="Q1132" s="2">
        <v>-1.33</v>
      </c>
      <c r="R1132" t="s">
        <v>22</v>
      </c>
      <c r="S1132">
        <v>2024</v>
      </c>
      <c r="T1132" t="s">
        <v>32</v>
      </c>
    </row>
    <row r="1133" spans="1:20" hidden="1" x14ac:dyDescent="0.3">
      <c r="A1133">
        <v>1917</v>
      </c>
      <c r="B1133">
        <v>198</v>
      </c>
      <c r="C1133" t="s">
        <v>39</v>
      </c>
      <c r="D1133" t="s">
        <v>19</v>
      </c>
      <c r="E1133" t="s">
        <v>20</v>
      </c>
      <c r="F1133" s="1">
        <v>44924</v>
      </c>
      <c r="G1133" s="1">
        <v>45063</v>
      </c>
      <c r="H1133">
        <v>4967.93</v>
      </c>
      <c r="I1133">
        <v>1802</v>
      </c>
      <c r="J1133">
        <v>577.01</v>
      </c>
      <c r="K1133" t="s">
        <v>21</v>
      </c>
      <c r="L1133">
        <v>4</v>
      </c>
      <c r="M1133" t="str">
        <f t="shared" si="17"/>
        <v>0-6 Months</v>
      </c>
      <c r="N1133" s="1">
        <v>45063</v>
      </c>
      <c r="O1133">
        <v>1</v>
      </c>
      <c r="P1133">
        <v>1132</v>
      </c>
      <c r="Q1133" s="2">
        <v>0.12</v>
      </c>
      <c r="R1133" t="s">
        <v>27</v>
      </c>
      <c r="S1133">
        <v>2023</v>
      </c>
      <c r="T1133" t="s">
        <v>28</v>
      </c>
    </row>
    <row r="1134" spans="1:20" hidden="1" x14ac:dyDescent="0.3">
      <c r="A1134">
        <v>1918</v>
      </c>
      <c r="B1134">
        <v>418</v>
      </c>
      <c r="C1134" t="s">
        <v>40</v>
      </c>
      <c r="D1134" t="s">
        <v>34</v>
      </c>
      <c r="E1134" t="s">
        <v>37</v>
      </c>
      <c r="F1134" s="1">
        <v>44680</v>
      </c>
      <c r="G1134" s="1">
        <v>44839</v>
      </c>
      <c r="H1134">
        <v>7979</v>
      </c>
      <c r="I1134">
        <v>1634</v>
      </c>
      <c r="J1134">
        <v>6345</v>
      </c>
      <c r="K1134" t="s">
        <v>54</v>
      </c>
      <c r="L1134">
        <v>5</v>
      </c>
      <c r="M1134" t="str">
        <f t="shared" si="17"/>
        <v>0-6 Months</v>
      </c>
      <c r="N1134" s="1">
        <v>44839</v>
      </c>
      <c r="O1134">
        <v>1</v>
      </c>
      <c r="P1134">
        <v>1133</v>
      </c>
      <c r="Q1134" s="2">
        <v>0.8</v>
      </c>
      <c r="R1134" t="s">
        <v>27</v>
      </c>
      <c r="S1134">
        <v>2022</v>
      </c>
      <c r="T1134" t="s">
        <v>33</v>
      </c>
    </row>
    <row r="1135" spans="1:20" x14ac:dyDescent="0.3">
      <c r="A1135">
        <v>1919</v>
      </c>
      <c r="B1135">
        <v>185</v>
      </c>
      <c r="C1135" t="s">
        <v>40</v>
      </c>
      <c r="D1135" t="s">
        <v>25</v>
      </c>
      <c r="E1135" t="s">
        <v>26</v>
      </c>
      <c r="F1135" s="1">
        <v>44723</v>
      </c>
      <c r="G1135" s="1">
        <v>45245</v>
      </c>
      <c r="H1135">
        <v>2280</v>
      </c>
      <c r="I1135">
        <v>6162</v>
      </c>
      <c r="J1135">
        <v>-3882</v>
      </c>
      <c r="K1135" t="s">
        <v>35</v>
      </c>
      <c r="L1135">
        <v>17</v>
      </c>
      <c r="M1135" t="str">
        <f t="shared" si="17"/>
        <v>6-12 Months</v>
      </c>
      <c r="N1135" s="1">
        <v>45245</v>
      </c>
      <c r="O1135">
        <v>1</v>
      </c>
      <c r="P1135">
        <v>1134</v>
      </c>
      <c r="Q1135" s="2">
        <v>-1.7</v>
      </c>
      <c r="R1135" t="s">
        <v>22</v>
      </c>
      <c r="S1135">
        <v>2023</v>
      </c>
      <c r="T1135" t="s">
        <v>42</v>
      </c>
    </row>
    <row r="1136" spans="1:20" hidden="1" x14ac:dyDescent="0.3">
      <c r="A1136">
        <v>1920</v>
      </c>
      <c r="B1136">
        <v>332</v>
      </c>
      <c r="C1136" t="s">
        <v>45</v>
      </c>
      <c r="D1136" t="s">
        <v>19</v>
      </c>
      <c r="E1136" t="s">
        <v>37</v>
      </c>
      <c r="F1136" s="1">
        <v>44727</v>
      </c>
      <c r="G1136" s="1">
        <v>45227</v>
      </c>
      <c r="H1136">
        <v>9426</v>
      </c>
      <c r="I1136">
        <v>4012.75</v>
      </c>
      <c r="J1136">
        <v>9767</v>
      </c>
      <c r="K1136" t="s">
        <v>54</v>
      </c>
      <c r="L1136">
        <v>16</v>
      </c>
      <c r="M1136" t="str">
        <f t="shared" si="17"/>
        <v>6-12 Months</v>
      </c>
      <c r="N1136" s="1">
        <v>45227</v>
      </c>
      <c r="O1136">
        <v>1</v>
      </c>
      <c r="P1136">
        <v>1135</v>
      </c>
      <c r="Q1136" s="2">
        <v>1.04</v>
      </c>
      <c r="R1136" t="s">
        <v>22</v>
      </c>
      <c r="S1136">
        <v>2023</v>
      </c>
      <c r="T1136" t="s">
        <v>33</v>
      </c>
    </row>
    <row r="1137" spans="1:20" hidden="1" x14ac:dyDescent="0.3">
      <c r="A1137">
        <v>1922</v>
      </c>
      <c r="B1137">
        <v>488</v>
      </c>
      <c r="C1137" t="s">
        <v>40</v>
      </c>
      <c r="D1137" t="s">
        <v>29</v>
      </c>
      <c r="E1137" t="s">
        <v>37</v>
      </c>
      <c r="F1137" s="1">
        <v>44737</v>
      </c>
      <c r="G1137" s="1">
        <v>44828</v>
      </c>
      <c r="H1137">
        <v>7786</v>
      </c>
      <c r="I1137">
        <v>3037</v>
      </c>
      <c r="J1137">
        <v>4749</v>
      </c>
      <c r="K1137" t="s">
        <v>21</v>
      </c>
      <c r="L1137">
        <v>2</v>
      </c>
      <c r="M1137" t="str">
        <f t="shared" si="17"/>
        <v>0-6 Months</v>
      </c>
      <c r="N1137" s="1">
        <v>44828</v>
      </c>
      <c r="O1137">
        <v>1</v>
      </c>
      <c r="P1137">
        <v>1136</v>
      </c>
      <c r="Q1137" s="2">
        <v>0.61</v>
      </c>
      <c r="R1137" t="s">
        <v>27</v>
      </c>
      <c r="S1137">
        <v>2022</v>
      </c>
      <c r="T1137" t="s">
        <v>30</v>
      </c>
    </row>
    <row r="1138" spans="1:20" hidden="1" x14ac:dyDescent="0.3">
      <c r="A1138">
        <v>1924</v>
      </c>
      <c r="B1138">
        <v>483</v>
      </c>
      <c r="C1138" t="s">
        <v>40</v>
      </c>
      <c r="D1138" t="s">
        <v>25</v>
      </c>
      <c r="E1138" t="s">
        <v>26</v>
      </c>
      <c r="F1138" s="1">
        <v>44870</v>
      </c>
      <c r="G1138" s="1">
        <v>45107</v>
      </c>
      <c r="H1138">
        <v>4967.93</v>
      </c>
      <c r="I1138">
        <v>4012.75</v>
      </c>
      <c r="J1138">
        <v>56</v>
      </c>
      <c r="K1138" t="s">
        <v>54</v>
      </c>
      <c r="L1138">
        <v>7</v>
      </c>
      <c r="M1138" t="str">
        <f t="shared" si="17"/>
        <v>6-12 Months</v>
      </c>
      <c r="N1138" s="1">
        <v>45107</v>
      </c>
      <c r="O1138">
        <v>1</v>
      </c>
      <c r="P1138">
        <v>1137</v>
      </c>
      <c r="Q1138" s="2">
        <v>0.01</v>
      </c>
      <c r="R1138" t="s">
        <v>27</v>
      </c>
      <c r="S1138">
        <v>2023</v>
      </c>
      <c r="T1138" t="s">
        <v>41</v>
      </c>
    </row>
    <row r="1139" spans="1:20" x14ac:dyDescent="0.3">
      <c r="A1139">
        <v>1925</v>
      </c>
      <c r="B1139">
        <v>373</v>
      </c>
      <c r="C1139" t="s">
        <v>40</v>
      </c>
      <c r="D1139" t="s">
        <v>19</v>
      </c>
      <c r="E1139" t="s">
        <v>20</v>
      </c>
      <c r="F1139" s="1">
        <v>44788</v>
      </c>
      <c r="G1139" s="1">
        <v>44836</v>
      </c>
      <c r="H1139">
        <v>3668</v>
      </c>
      <c r="I1139">
        <v>6248</v>
      </c>
      <c r="J1139">
        <v>577.01</v>
      </c>
      <c r="K1139" t="s">
        <v>35</v>
      </c>
      <c r="L1139">
        <v>1</v>
      </c>
      <c r="M1139" t="str">
        <f t="shared" si="17"/>
        <v>0-6 Months</v>
      </c>
      <c r="N1139" s="1">
        <v>44836</v>
      </c>
      <c r="O1139">
        <v>1</v>
      </c>
      <c r="P1139">
        <v>1138</v>
      </c>
      <c r="Q1139" s="2">
        <v>0.16</v>
      </c>
      <c r="R1139" t="s">
        <v>27</v>
      </c>
      <c r="S1139">
        <v>2022</v>
      </c>
      <c r="T1139" t="s">
        <v>33</v>
      </c>
    </row>
    <row r="1140" spans="1:20" hidden="1" x14ac:dyDescent="0.3">
      <c r="A1140">
        <v>1927</v>
      </c>
      <c r="B1140">
        <v>364</v>
      </c>
      <c r="C1140" t="s">
        <v>53</v>
      </c>
      <c r="D1140" t="s">
        <v>29</v>
      </c>
      <c r="E1140" t="s">
        <v>20</v>
      </c>
      <c r="F1140" s="1">
        <v>44611</v>
      </c>
      <c r="G1140" s="1">
        <v>44790</v>
      </c>
      <c r="H1140">
        <v>2520</v>
      </c>
      <c r="I1140">
        <v>6864</v>
      </c>
      <c r="J1140">
        <v>-4344</v>
      </c>
      <c r="K1140" t="s">
        <v>54</v>
      </c>
      <c r="L1140">
        <v>5</v>
      </c>
      <c r="M1140" t="str">
        <f t="shared" si="17"/>
        <v>0-6 Months</v>
      </c>
      <c r="N1140" s="1">
        <v>44790</v>
      </c>
      <c r="O1140">
        <v>0</v>
      </c>
      <c r="P1140">
        <v>1139</v>
      </c>
      <c r="Q1140" s="2">
        <v>-1.72</v>
      </c>
      <c r="R1140" t="s">
        <v>22</v>
      </c>
      <c r="S1140">
        <v>2022</v>
      </c>
      <c r="T1140" t="s">
        <v>36</v>
      </c>
    </row>
    <row r="1141" spans="1:20" x14ac:dyDescent="0.3">
      <c r="A1141">
        <v>1931</v>
      </c>
      <c r="B1141">
        <v>171</v>
      </c>
      <c r="C1141" t="s">
        <v>39</v>
      </c>
      <c r="D1141" t="s">
        <v>29</v>
      </c>
      <c r="E1141" t="s">
        <v>20</v>
      </c>
      <c r="F1141" s="1">
        <v>44887</v>
      </c>
      <c r="G1141" s="1">
        <v>45407</v>
      </c>
      <c r="H1141">
        <v>4967.93</v>
      </c>
      <c r="I1141">
        <v>7185</v>
      </c>
      <c r="J1141">
        <v>-7621</v>
      </c>
      <c r="K1141" t="s">
        <v>35</v>
      </c>
      <c r="L1141">
        <v>17</v>
      </c>
      <c r="M1141" t="str">
        <f t="shared" si="17"/>
        <v>6-12 Months</v>
      </c>
      <c r="N1141" s="1">
        <v>45407</v>
      </c>
      <c r="O1141">
        <v>0</v>
      </c>
      <c r="P1141">
        <v>1140</v>
      </c>
      <c r="Q1141" s="2">
        <v>-1.53</v>
      </c>
      <c r="R1141" t="s">
        <v>22</v>
      </c>
      <c r="S1141">
        <v>2024</v>
      </c>
      <c r="T1141" t="s">
        <v>32</v>
      </c>
    </row>
    <row r="1142" spans="1:20" hidden="1" x14ac:dyDescent="0.3">
      <c r="A1142">
        <v>1932</v>
      </c>
      <c r="B1142">
        <v>425</v>
      </c>
      <c r="C1142" t="s">
        <v>45</v>
      </c>
      <c r="D1142" t="s">
        <v>29</v>
      </c>
      <c r="E1142" t="s">
        <v>37</v>
      </c>
      <c r="F1142" s="1">
        <v>44904</v>
      </c>
      <c r="G1142" s="1">
        <v>45171</v>
      </c>
      <c r="H1142">
        <v>1081</v>
      </c>
      <c r="I1142">
        <v>5199</v>
      </c>
      <c r="J1142">
        <v>-4118</v>
      </c>
      <c r="K1142" t="s">
        <v>54</v>
      </c>
      <c r="L1142">
        <v>8</v>
      </c>
      <c r="M1142" t="str">
        <f t="shared" si="17"/>
        <v>6-12 Months</v>
      </c>
      <c r="N1142" s="1">
        <v>45171</v>
      </c>
      <c r="O1142">
        <v>1</v>
      </c>
      <c r="P1142">
        <v>1141</v>
      </c>
      <c r="Q1142" s="2">
        <v>-3.81</v>
      </c>
      <c r="R1142" t="s">
        <v>22</v>
      </c>
      <c r="S1142">
        <v>2023</v>
      </c>
      <c r="T1142" t="s">
        <v>30</v>
      </c>
    </row>
    <row r="1143" spans="1:20" hidden="1" x14ac:dyDescent="0.3">
      <c r="A1143">
        <v>1933</v>
      </c>
      <c r="B1143">
        <v>410</v>
      </c>
      <c r="C1143" t="s">
        <v>39</v>
      </c>
      <c r="D1143" t="s">
        <v>25</v>
      </c>
      <c r="E1143" t="s">
        <v>26</v>
      </c>
      <c r="F1143" s="1">
        <v>44641</v>
      </c>
      <c r="G1143" s="1">
        <v>44946</v>
      </c>
      <c r="H1143">
        <v>4967.93</v>
      </c>
      <c r="I1143">
        <v>4012.75</v>
      </c>
      <c r="J1143">
        <v>25</v>
      </c>
      <c r="K1143" t="s">
        <v>21</v>
      </c>
      <c r="L1143">
        <v>9</v>
      </c>
      <c r="M1143" t="str">
        <f t="shared" si="17"/>
        <v>6-12 Months</v>
      </c>
      <c r="N1143" s="1">
        <v>44946</v>
      </c>
      <c r="O1143">
        <v>1</v>
      </c>
      <c r="P1143">
        <v>1142</v>
      </c>
      <c r="Q1143" s="2">
        <v>0.01</v>
      </c>
      <c r="R1143" t="s">
        <v>27</v>
      </c>
      <c r="S1143">
        <v>2023</v>
      </c>
      <c r="T1143" t="s">
        <v>23</v>
      </c>
    </row>
    <row r="1144" spans="1:20" hidden="1" x14ac:dyDescent="0.3">
      <c r="A1144">
        <v>1934</v>
      </c>
      <c r="B1144">
        <v>357</v>
      </c>
      <c r="C1144" t="s">
        <v>53</v>
      </c>
      <c r="D1144" t="s">
        <v>29</v>
      </c>
      <c r="E1144" t="s">
        <v>37</v>
      </c>
      <c r="F1144" s="1">
        <v>44696</v>
      </c>
      <c r="G1144" s="1">
        <v>44839</v>
      </c>
      <c r="H1144">
        <v>3353</v>
      </c>
      <c r="I1144">
        <v>2917</v>
      </c>
      <c r="J1144">
        <v>436</v>
      </c>
      <c r="K1144" t="s">
        <v>54</v>
      </c>
      <c r="L1144">
        <v>4</v>
      </c>
      <c r="M1144" t="str">
        <f t="shared" si="17"/>
        <v>0-6 Months</v>
      </c>
      <c r="N1144" s="1">
        <v>44839</v>
      </c>
      <c r="O1144">
        <v>1</v>
      </c>
      <c r="P1144">
        <v>1143</v>
      </c>
      <c r="Q1144" s="2">
        <v>0.13</v>
      </c>
      <c r="R1144" t="s">
        <v>27</v>
      </c>
      <c r="S1144">
        <v>2022</v>
      </c>
      <c r="T1144" t="s">
        <v>33</v>
      </c>
    </row>
    <row r="1145" spans="1:20" hidden="1" x14ac:dyDescent="0.3">
      <c r="A1145">
        <v>1938</v>
      </c>
      <c r="B1145">
        <v>477</v>
      </c>
      <c r="C1145" t="s">
        <v>53</v>
      </c>
      <c r="D1145" t="s">
        <v>19</v>
      </c>
      <c r="E1145" t="s">
        <v>26</v>
      </c>
      <c r="F1145" s="1">
        <v>44727</v>
      </c>
      <c r="G1145" s="1">
        <v>44767</v>
      </c>
      <c r="H1145">
        <v>7235</v>
      </c>
      <c r="I1145">
        <v>7526</v>
      </c>
      <c r="J1145">
        <v>-291</v>
      </c>
      <c r="K1145" t="s">
        <v>21</v>
      </c>
      <c r="L1145">
        <v>1</v>
      </c>
      <c r="M1145" t="str">
        <f t="shared" si="17"/>
        <v>0-6 Months</v>
      </c>
      <c r="N1145" s="1">
        <v>44767</v>
      </c>
      <c r="O1145">
        <v>0</v>
      </c>
      <c r="P1145">
        <v>1144</v>
      </c>
      <c r="Q1145" s="2">
        <v>-0.04</v>
      </c>
      <c r="R1145" t="s">
        <v>27</v>
      </c>
      <c r="S1145">
        <v>2022</v>
      </c>
      <c r="T1145" t="s">
        <v>44</v>
      </c>
    </row>
    <row r="1146" spans="1:20" hidden="1" x14ac:dyDescent="0.3">
      <c r="A1146">
        <v>1940</v>
      </c>
      <c r="B1146">
        <v>235</v>
      </c>
      <c r="C1146" t="s">
        <v>39</v>
      </c>
      <c r="D1146" t="s">
        <v>34</v>
      </c>
      <c r="E1146" t="s">
        <v>37</v>
      </c>
      <c r="F1146" s="1">
        <v>44581</v>
      </c>
      <c r="G1146" s="1">
        <v>44619</v>
      </c>
      <c r="H1146">
        <v>7777</v>
      </c>
      <c r="I1146">
        <v>5928</v>
      </c>
      <c r="J1146">
        <v>1849</v>
      </c>
      <c r="K1146" t="s">
        <v>54</v>
      </c>
      <c r="L1146">
        <v>1</v>
      </c>
      <c r="M1146" t="str">
        <f t="shared" si="17"/>
        <v>0-6 Months</v>
      </c>
      <c r="N1146" s="1">
        <v>44619</v>
      </c>
      <c r="O1146">
        <v>1</v>
      </c>
      <c r="P1146">
        <v>1145</v>
      </c>
      <c r="Q1146" s="2">
        <v>0.24</v>
      </c>
      <c r="R1146" t="s">
        <v>27</v>
      </c>
      <c r="S1146">
        <v>2022</v>
      </c>
      <c r="T1146" t="s">
        <v>43</v>
      </c>
    </row>
    <row r="1147" spans="1:20" hidden="1" x14ac:dyDescent="0.3">
      <c r="A1147">
        <v>1941</v>
      </c>
      <c r="B1147">
        <v>429</v>
      </c>
      <c r="C1147" t="s">
        <v>24</v>
      </c>
      <c r="D1147" t="s">
        <v>34</v>
      </c>
      <c r="E1147" t="s">
        <v>26</v>
      </c>
      <c r="F1147" s="1">
        <v>44808</v>
      </c>
      <c r="G1147" s="1">
        <v>44928</v>
      </c>
      <c r="H1147">
        <v>3655</v>
      </c>
      <c r="I1147">
        <v>1524</v>
      </c>
      <c r="J1147">
        <v>2131</v>
      </c>
      <c r="K1147" t="s">
        <v>54</v>
      </c>
      <c r="L1147">
        <v>3</v>
      </c>
      <c r="M1147" t="str">
        <f t="shared" si="17"/>
        <v>0-6 Months</v>
      </c>
      <c r="N1147" s="1">
        <v>44928</v>
      </c>
      <c r="O1147">
        <v>0</v>
      </c>
      <c r="P1147">
        <v>1146</v>
      </c>
      <c r="Q1147" s="2">
        <v>0.57999999999999996</v>
      </c>
      <c r="R1147" t="s">
        <v>27</v>
      </c>
      <c r="S1147">
        <v>2023</v>
      </c>
      <c r="T1147" t="s">
        <v>23</v>
      </c>
    </row>
    <row r="1148" spans="1:20" x14ac:dyDescent="0.3">
      <c r="A1148">
        <v>1943</v>
      </c>
      <c r="B1148">
        <v>457</v>
      </c>
      <c r="C1148" t="s">
        <v>40</v>
      </c>
      <c r="D1148" t="s">
        <v>25</v>
      </c>
      <c r="E1148" t="s">
        <v>26</v>
      </c>
      <c r="F1148" s="1">
        <v>44862</v>
      </c>
      <c r="G1148" s="1">
        <v>45291</v>
      </c>
      <c r="H1148">
        <v>9888</v>
      </c>
      <c r="I1148">
        <v>6039</v>
      </c>
      <c r="J1148">
        <v>3849</v>
      </c>
      <c r="K1148" t="s">
        <v>35</v>
      </c>
      <c r="L1148">
        <v>14</v>
      </c>
      <c r="M1148" t="str">
        <f t="shared" si="17"/>
        <v>6-12 Months</v>
      </c>
      <c r="N1148" s="1">
        <v>45291</v>
      </c>
      <c r="O1148">
        <v>1</v>
      </c>
      <c r="P1148">
        <v>1147</v>
      </c>
      <c r="Q1148" s="2">
        <v>0.39</v>
      </c>
      <c r="R1148" t="s">
        <v>27</v>
      </c>
      <c r="S1148">
        <v>2023</v>
      </c>
      <c r="T1148" t="s">
        <v>31</v>
      </c>
    </row>
    <row r="1149" spans="1:20" x14ac:dyDescent="0.3">
      <c r="A1149">
        <v>1945</v>
      </c>
      <c r="B1149">
        <v>133</v>
      </c>
      <c r="C1149" t="s">
        <v>39</v>
      </c>
      <c r="D1149" t="s">
        <v>19</v>
      </c>
      <c r="E1149" t="s">
        <v>26</v>
      </c>
      <c r="F1149" s="1">
        <v>44680</v>
      </c>
      <c r="G1149" s="1">
        <v>44843</v>
      </c>
      <c r="H1149">
        <v>8061</v>
      </c>
      <c r="I1149">
        <v>2121</v>
      </c>
      <c r="J1149">
        <v>5940</v>
      </c>
      <c r="K1149" t="s">
        <v>35</v>
      </c>
      <c r="L1149">
        <v>5</v>
      </c>
      <c r="M1149" t="str">
        <f t="shared" si="17"/>
        <v>0-6 Months</v>
      </c>
      <c r="N1149" s="1">
        <v>44843</v>
      </c>
      <c r="O1149">
        <v>1</v>
      </c>
      <c r="P1149">
        <v>1148</v>
      </c>
      <c r="Q1149" s="2">
        <v>0.74</v>
      </c>
      <c r="R1149" t="s">
        <v>27</v>
      </c>
      <c r="S1149">
        <v>2022</v>
      </c>
      <c r="T1149" t="s">
        <v>33</v>
      </c>
    </row>
    <row r="1150" spans="1:20" hidden="1" x14ac:dyDescent="0.3">
      <c r="A1150">
        <v>1946</v>
      </c>
      <c r="B1150">
        <v>392</v>
      </c>
      <c r="C1150" t="s">
        <v>39</v>
      </c>
      <c r="D1150" t="s">
        <v>19</v>
      </c>
      <c r="E1150" t="s">
        <v>20</v>
      </c>
      <c r="F1150" s="1">
        <v>44809</v>
      </c>
      <c r="G1150" s="1">
        <v>45201</v>
      </c>
      <c r="H1150">
        <v>4967.93</v>
      </c>
      <c r="I1150">
        <v>161</v>
      </c>
      <c r="J1150">
        <v>-1683</v>
      </c>
      <c r="K1150" t="s">
        <v>21</v>
      </c>
      <c r="L1150">
        <v>12</v>
      </c>
      <c r="M1150" t="str">
        <f t="shared" si="17"/>
        <v>6-12 Months</v>
      </c>
      <c r="N1150" s="1">
        <v>45201</v>
      </c>
      <c r="O1150">
        <v>0</v>
      </c>
      <c r="P1150">
        <v>1149</v>
      </c>
      <c r="Q1150" s="2">
        <v>-0.34</v>
      </c>
      <c r="R1150" t="s">
        <v>27</v>
      </c>
      <c r="S1150">
        <v>2023</v>
      </c>
      <c r="T1150" t="s">
        <v>33</v>
      </c>
    </row>
    <row r="1151" spans="1:20" x14ac:dyDescent="0.3">
      <c r="A1151">
        <v>1948</v>
      </c>
      <c r="B1151">
        <v>191</v>
      </c>
      <c r="C1151" t="s">
        <v>40</v>
      </c>
      <c r="D1151" t="s">
        <v>25</v>
      </c>
      <c r="E1151" t="s">
        <v>20</v>
      </c>
      <c r="F1151" s="1">
        <v>44812</v>
      </c>
      <c r="G1151" s="1">
        <v>45374</v>
      </c>
      <c r="H1151">
        <v>3308</v>
      </c>
      <c r="I1151">
        <v>485</v>
      </c>
      <c r="J1151">
        <v>2823</v>
      </c>
      <c r="K1151" t="s">
        <v>35</v>
      </c>
      <c r="L1151">
        <v>18</v>
      </c>
      <c r="M1151" t="str">
        <f t="shared" si="17"/>
        <v>6-12 Months</v>
      </c>
      <c r="N1151" s="1">
        <v>45374</v>
      </c>
      <c r="O1151">
        <v>0</v>
      </c>
      <c r="P1151">
        <v>1150</v>
      </c>
      <c r="Q1151" s="2">
        <v>0.85</v>
      </c>
      <c r="R1151" t="s">
        <v>27</v>
      </c>
      <c r="S1151">
        <v>2024</v>
      </c>
      <c r="T1151" t="s">
        <v>38</v>
      </c>
    </row>
    <row r="1152" spans="1:20" hidden="1" x14ac:dyDescent="0.3">
      <c r="A1152">
        <v>1950</v>
      </c>
      <c r="B1152">
        <v>274</v>
      </c>
      <c r="C1152" t="s">
        <v>39</v>
      </c>
      <c r="D1152" t="s">
        <v>25</v>
      </c>
      <c r="E1152" t="s">
        <v>37</v>
      </c>
      <c r="F1152" s="1">
        <v>44811</v>
      </c>
      <c r="G1152" s="1">
        <v>45080</v>
      </c>
      <c r="H1152">
        <v>1030</v>
      </c>
      <c r="I1152">
        <v>6555</v>
      </c>
      <c r="J1152">
        <v>-5525</v>
      </c>
      <c r="K1152" t="s">
        <v>54</v>
      </c>
      <c r="L1152">
        <v>8</v>
      </c>
      <c r="M1152" t="str">
        <f t="shared" si="17"/>
        <v>6-12 Months</v>
      </c>
      <c r="N1152" s="1">
        <v>45080</v>
      </c>
      <c r="O1152">
        <v>0</v>
      </c>
      <c r="P1152">
        <v>1151</v>
      </c>
      <c r="Q1152" s="2">
        <v>-5.36</v>
      </c>
      <c r="R1152" t="s">
        <v>22</v>
      </c>
      <c r="S1152">
        <v>2023</v>
      </c>
      <c r="T1152" t="s">
        <v>41</v>
      </c>
    </row>
    <row r="1153" spans="1:20" hidden="1" x14ac:dyDescent="0.3">
      <c r="A1153">
        <v>1955</v>
      </c>
      <c r="B1153">
        <v>102</v>
      </c>
      <c r="C1153" t="s">
        <v>40</v>
      </c>
      <c r="D1153" t="s">
        <v>25</v>
      </c>
      <c r="E1153" t="s">
        <v>26</v>
      </c>
      <c r="F1153" s="1">
        <v>44908</v>
      </c>
      <c r="G1153" s="1">
        <v>45424</v>
      </c>
      <c r="H1153">
        <v>2853</v>
      </c>
      <c r="I1153">
        <v>3352</v>
      </c>
      <c r="J1153">
        <v>577.01</v>
      </c>
      <c r="K1153" t="s">
        <v>54</v>
      </c>
      <c r="L1153">
        <v>16</v>
      </c>
      <c r="M1153" t="str">
        <f t="shared" si="17"/>
        <v>6-12 Months</v>
      </c>
      <c r="N1153" s="1">
        <v>45424</v>
      </c>
      <c r="O1153">
        <v>1</v>
      </c>
      <c r="P1153">
        <v>1152</v>
      </c>
      <c r="Q1153" s="2">
        <v>0.2</v>
      </c>
      <c r="R1153" t="s">
        <v>27</v>
      </c>
      <c r="S1153">
        <v>2024</v>
      </c>
      <c r="T1153" t="s">
        <v>28</v>
      </c>
    </row>
    <row r="1154" spans="1:20" hidden="1" x14ac:dyDescent="0.3">
      <c r="A1154">
        <v>1957</v>
      </c>
      <c r="B1154">
        <v>405</v>
      </c>
      <c r="C1154" t="s">
        <v>39</v>
      </c>
      <c r="D1154" t="s">
        <v>25</v>
      </c>
      <c r="E1154" t="s">
        <v>26</v>
      </c>
      <c r="F1154" s="1">
        <v>44838</v>
      </c>
      <c r="G1154" s="1">
        <v>45394</v>
      </c>
      <c r="H1154">
        <v>4967.93</v>
      </c>
      <c r="I1154">
        <v>4304</v>
      </c>
      <c r="J1154">
        <v>-6101</v>
      </c>
      <c r="K1154" t="s">
        <v>21</v>
      </c>
      <c r="L1154">
        <v>18</v>
      </c>
      <c r="M1154" t="str">
        <f t="shared" ref="M1154:M1217" si="18">IF(L1154&lt;6,"0-6 Months",IF(L1154&gt;6,"6-12 Months","12+ Months"))</f>
        <v>6-12 Months</v>
      </c>
      <c r="N1154" s="1">
        <v>45394</v>
      </c>
      <c r="O1154">
        <v>0</v>
      </c>
      <c r="P1154">
        <v>1153</v>
      </c>
      <c r="Q1154" s="2">
        <v>-1.23</v>
      </c>
      <c r="R1154" t="s">
        <v>22</v>
      </c>
      <c r="S1154">
        <v>2024</v>
      </c>
      <c r="T1154" t="s">
        <v>32</v>
      </c>
    </row>
    <row r="1155" spans="1:20" x14ac:dyDescent="0.3">
      <c r="A1155">
        <v>1958</v>
      </c>
      <c r="B1155">
        <v>164</v>
      </c>
      <c r="C1155" t="s">
        <v>24</v>
      </c>
      <c r="D1155" t="s">
        <v>34</v>
      </c>
      <c r="E1155" t="s">
        <v>26</v>
      </c>
      <c r="F1155" s="1">
        <v>44660</v>
      </c>
      <c r="G1155" s="1">
        <v>45185</v>
      </c>
      <c r="H1155">
        <v>4967.93</v>
      </c>
      <c r="I1155">
        <v>6707</v>
      </c>
      <c r="J1155">
        <v>-8074</v>
      </c>
      <c r="K1155" t="s">
        <v>35</v>
      </c>
      <c r="L1155">
        <v>17</v>
      </c>
      <c r="M1155" t="str">
        <f t="shared" si="18"/>
        <v>6-12 Months</v>
      </c>
      <c r="N1155" s="1">
        <v>45185</v>
      </c>
      <c r="O1155">
        <v>0</v>
      </c>
      <c r="P1155">
        <v>1154</v>
      </c>
      <c r="Q1155" s="2">
        <v>-1.63</v>
      </c>
      <c r="R1155" t="s">
        <v>22</v>
      </c>
      <c r="S1155">
        <v>2023</v>
      </c>
      <c r="T1155" t="s">
        <v>30</v>
      </c>
    </row>
    <row r="1156" spans="1:20" hidden="1" x14ac:dyDescent="0.3">
      <c r="A1156">
        <v>1961</v>
      </c>
      <c r="B1156">
        <v>262</v>
      </c>
      <c r="C1156" t="s">
        <v>40</v>
      </c>
      <c r="D1156" t="s">
        <v>25</v>
      </c>
      <c r="E1156" t="s">
        <v>26</v>
      </c>
      <c r="F1156" s="1">
        <v>44642</v>
      </c>
      <c r="G1156" s="1">
        <v>45232</v>
      </c>
      <c r="H1156">
        <v>4967.93</v>
      </c>
      <c r="I1156">
        <v>1899</v>
      </c>
      <c r="J1156">
        <v>-3617</v>
      </c>
      <c r="K1156" t="s">
        <v>21</v>
      </c>
      <c r="L1156">
        <v>19</v>
      </c>
      <c r="M1156" t="str">
        <f t="shared" si="18"/>
        <v>6-12 Months</v>
      </c>
      <c r="N1156" s="1">
        <v>45232</v>
      </c>
      <c r="O1156">
        <v>0</v>
      </c>
      <c r="P1156">
        <v>1155</v>
      </c>
      <c r="Q1156" s="2">
        <v>-0.73</v>
      </c>
      <c r="R1156" t="s">
        <v>27</v>
      </c>
      <c r="S1156">
        <v>2023</v>
      </c>
      <c r="T1156" t="s">
        <v>42</v>
      </c>
    </row>
    <row r="1157" spans="1:20" hidden="1" x14ac:dyDescent="0.3">
      <c r="A1157">
        <v>1964</v>
      </c>
      <c r="B1157">
        <v>144</v>
      </c>
      <c r="C1157" t="s">
        <v>53</v>
      </c>
      <c r="D1157" t="s">
        <v>25</v>
      </c>
      <c r="E1157" t="s">
        <v>37</v>
      </c>
      <c r="F1157" s="1">
        <v>44886</v>
      </c>
      <c r="G1157" s="1">
        <v>44975</v>
      </c>
      <c r="H1157">
        <v>5668</v>
      </c>
      <c r="I1157">
        <v>1420</v>
      </c>
      <c r="J1157">
        <v>4248</v>
      </c>
      <c r="K1157" t="s">
        <v>21</v>
      </c>
      <c r="L1157">
        <v>2</v>
      </c>
      <c r="M1157" t="str">
        <f t="shared" si="18"/>
        <v>0-6 Months</v>
      </c>
      <c r="N1157" s="1">
        <v>44975</v>
      </c>
      <c r="O1157">
        <v>1</v>
      </c>
      <c r="P1157">
        <v>1156</v>
      </c>
      <c r="Q1157" s="2">
        <v>0.75</v>
      </c>
      <c r="R1157" t="s">
        <v>27</v>
      </c>
      <c r="S1157">
        <v>2023</v>
      </c>
      <c r="T1157" t="s">
        <v>43</v>
      </c>
    </row>
    <row r="1158" spans="1:20" x14ac:dyDescent="0.3">
      <c r="A1158">
        <v>1965</v>
      </c>
      <c r="B1158">
        <v>335</v>
      </c>
      <c r="C1158" t="s">
        <v>39</v>
      </c>
      <c r="D1158" t="s">
        <v>34</v>
      </c>
      <c r="E1158" t="s">
        <v>37</v>
      </c>
      <c r="F1158" s="1">
        <v>44784</v>
      </c>
      <c r="G1158" s="1">
        <v>45136</v>
      </c>
      <c r="H1158">
        <v>3755</v>
      </c>
      <c r="I1158">
        <v>1373</v>
      </c>
      <c r="J1158">
        <v>2382</v>
      </c>
      <c r="K1158" t="s">
        <v>35</v>
      </c>
      <c r="L1158">
        <v>11</v>
      </c>
      <c r="M1158" t="str">
        <f t="shared" si="18"/>
        <v>6-12 Months</v>
      </c>
      <c r="N1158" s="1">
        <v>45136</v>
      </c>
      <c r="O1158">
        <v>0</v>
      </c>
      <c r="P1158">
        <v>1157</v>
      </c>
      <c r="Q1158" s="2">
        <v>0.63</v>
      </c>
      <c r="R1158" t="s">
        <v>27</v>
      </c>
      <c r="S1158">
        <v>2023</v>
      </c>
      <c r="T1158" t="s">
        <v>44</v>
      </c>
    </row>
    <row r="1159" spans="1:20" hidden="1" x14ac:dyDescent="0.3">
      <c r="A1159">
        <v>1969</v>
      </c>
      <c r="B1159">
        <v>445</v>
      </c>
      <c r="C1159" t="s">
        <v>40</v>
      </c>
      <c r="D1159" t="s">
        <v>19</v>
      </c>
      <c r="E1159" t="s">
        <v>20</v>
      </c>
      <c r="F1159" s="1">
        <v>44677</v>
      </c>
      <c r="G1159" s="1">
        <v>44999</v>
      </c>
      <c r="H1159">
        <v>8787</v>
      </c>
      <c r="I1159">
        <v>6404</v>
      </c>
      <c r="J1159">
        <v>2383</v>
      </c>
      <c r="K1159" t="s">
        <v>54</v>
      </c>
      <c r="L1159">
        <v>10</v>
      </c>
      <c r="M1159" t="str">
        <f t="shared" si="18"/>
        <v>6-12 Months</v>
      </c>
      <c r="N1159" s="1">
        <v>44999</v>
      </c>
      <c r="O1159">
        <v>0</v>
      </c>
      <c r="P1159">
        <v>1158</v>
      </c>
      <c r="Q1159" s="2">
        <v>0.27</v>
      </c>
      <c r="R1159" t="s">
        <v>27</v>
      </c>
      <c r="S1159">
        <v>2023</v>
      </c>
      <c r="T1159" t="s">
        <v>38</v>
      </c>
    </row>
    <row r="1160" spans="1:20" x14ac:dyDescent="0.3">
      <c r="A1160">
        <v>1974</v>
      </c>
      <c r="B1160">
        <v>288</v>
      </c>
      <c r="C1160" t="s">
        <v>24</v>
      </c>
      <c r="D1160" t="s">
        <v>34</v>
      </c>
      <c r="E1160" t="s">
        <v>20</v>
      </c>
      <c r="F1160" s="1">
        <v>44700</v>
      </c>
      <c r="G1160" s="1">
        <v>45260</v>
      </c>
      <c r="H1160">
        <v>8610</v>
      </c>
      <c r="I1160">
        <v>4739</v>
      </c>
      <c r="J1160">
        <v>3871</v>
      </c>
      <c r="K1160" t="s">
        <v>35</v>
      </c>
      <c r="L1160">
        <v>18</v>
      </c>
      <c r="M1160" t="str">
        <f t="shared" si="18"/>
        <v>6-12 Months</v>
      </c>
      <c r="N1160" s="1">
        <v>45260</v>
      </c>
      <c r="O1160">
        <v>1</v>
      </c>
      <c r="P1160">
        <v>1159</v>
      </c>
      <c r="Q1160" s="2">
        <v>0.45</v>
      </c>
      <c r="R1160" t="s">
        <v>27</v>
      </c>
      <c r="S1160">
        <v>2023</v>
      </c>
      <c r="T1160" t="s">
        <v>42</v>
      </c>
    </row>
    <row r="1161" spans="1:20" hidden="1" x14ac:dyDescent="0.3">
      <c r="A1161">
        <v>1975</v>
      </c>
      <c r="B1161">
        <v>480</v>
      </c>
      <c r="C1161" t="s">
        <v>45</v>
      </c>
      <c r="D1161" t="s">
        <v>29</v>
      </c>
      <c r="E1161" t="s">
        <v>26</v>
      </c>
      <c r="F1161" s="1">
        <v>44896</v>
      </c>
      <c r="G1161" s="1">
        <v>45128</v>
      </c>
      <c r="H1161">
        <v>460</v>
      </c>
      <c r="I1161">
        <v>6591</v>
      </c>
      <c r="J1161">
        <v>-6131</v>
      </c>
      <c r="K1161" t="s">
        <v>21</v>
      </c>
      <c r="L1161">
        <v>7</v>
      </c>
      <c r="M1161" t="str">
        <f t="shared" si="18"/>
        <v>6-12 Months</v>
      </c>
      <c r="N1161" s="1">
        <v>45128</v>
      </c>
      <c r="O1161">
        <v>1</v>
      </c>
      <c r="P1161">
        <v>1160</v>
      </c>
      <c r="Q1161" s="2">
        <v>-13.33</v>
      </c>
      <c r="R1161" t="s">
        <v>22</v>
      </c>
      <c r="S1161">
        <v>2023</v>
      </c>
      <c r="T1161" t="s">
        <v>44</v>
      </c>
    </row>
    <row r="1162" spans="1:20" hidden="1" x14ac:dyDescent="0.3">
      <c r="A1162">
        <v>1976</v>
      </c>
      <c r="B1162">
        <v>131</v>
      </c>
      <c r="C1162" t="s">
        <v>24</v>
      </c>
      <c r="D1162" t="s">
        <v>25</v>
      </c>
      <c r="E1162" t="s">
        <v>20</v>
      </c>
      <c r="F1162" s="1">
        <v>44893</v>
      </c>
      <c r="G1162" s="1">
        <v>45421</v>
      </c>
      <c r="H1162">
        <v>4967.93</v>
      </c>
      <c r="I1162">
        <v>6885</v>
      </c>
      <c r="J1162">
        <v>-8054</v>
      </c>
      <c r="K1162" t="s">
        <v>54</v>
      </c>
      <c r="L1162">
        <v>17</v>
      </c>
      <c r="M1162" t="str">
        <f t="shared" si="18"/>
        <v>6-12 Months</v>
      </c>
      <c r="N1162" s="1">
        <v>45421</v>
      </c>
      <c r="O1162">
        <v>0</v>
      </c>
      <c r="P1162">
        <v>1161</v>
      </c>
      <c r="Q1162" s="2">
        <v>-1.62</v>
      </c>
      <c r="R1162" t="s">
        <v>22</v>
      </c>
      <c r="S1162">
        <v>2024</v>
      </c>
      <c r="T1162" t="s">
        <v>28</v>
      </c>
    </row>
    <row r="1163" spans="1:20" hidden="1" x14ac:dyDescent="0.3">
      <c r="A1163">
        <v>1977</v>
      </c>
      <c r="B1163">
        <v>203</v>
      </c>
      <c r="C1163" t="s">
        <v>39</v>
      </c>
      <c r="D1163" t="s">
        <v>19</v>
      </c>
      <c r="E1163" t="s">
        <v>26</v>
      </c>
      <c r="F1163" s="1">
        <v>44754</v>
      </c>
      <c r="G1163" s="1">
        <v>45023</v>
      </c>
      <c r="H1163">
        <v>497</v>
      </c>
      <c r="I1163">
        <v>4139</v>
      </c>
      <c r="J1163">
        <v>-3642</v>
      </c>
      <c r="K1163" t="s">
        <v>54</v>
      </c>
      <c r="L1163">
        <v>8</v>
      </c>
      <c r="M1163" t="str">
        <f t="shared" si="18"/>
        <v>6-12 Months</v>
      </c>
      <c r="N1163" s="1">
        <v>45023</v>
      </c>
      <c r="O1163">
        <v>1</v>
      </c>
      <c r="P1163">
        <v>1162</v>
      </c>
      <c r="Q1163" s="2">
        <v>-7.33</v>
      </c>
      <c r="R1163" t="s">
        <v>22</v>
      </c>
      <c r="S1163">
        <v>2023</v>
      </c>
      <c r="T1163" t="s">
        <v>32</v>
      </c>
    </row>
    <row r="1164" spans="1:20" hidden="1" x14ac:dyDescent="0.3">
      <c r="A1164">
        <v>1978</v>
      </c>
      <c r="B1164">
        <v>451</v>
      </c>
      <c r="C1164" t="s">
        <v>39</v>
      </c>
      <c r="D1164" t="s">
        <v>29</v>
      </c>
      <c r="E1164" t="s">
        <v>20</v>
      </c>
      <c r="F1164" s="1">
        <v>44592</v>
      </c>
      <c r="G1164" s="1">
        <v>44935</v>
      </c>
      <c r="H1164">
        <v>3591</v>
      </c>
      <c r="I1164">
        <v>7209</v>
      </c>
      <c r="J1164">
        <v>-3618</v>
      </c>
      <c r="K1164" t="s">
        <v>54</v>
      </c>
      <c r="L1164">
        <v>11</v>
      </c>
      <c r="M1164" t="str">
        <f t="shared" si="18"/>
        <v>6-12 Months</v>
      </c>
      <c r="N1164" s="1">
        <v>44935</v>
      </c>
      <c r="O1164">
        <v>0</v>
      </c>
      <c r="P1164">
        <v>1163</v>
      </c>
      <c r="Q1164" s="2">
        <v>-1.01</v>
      </c>
      <c r="R1164" t="s">
        <v>22</v>
      </c>
      <c r="S1164">
        <v>2023</v>
      </c>
      <c r="T1164" t="s">
        <v>23</v>
      </c>
    </row>
    <row r="1165" spans="1:20" hidden="1" x14ac:dyDescent="0.3">
      <c r="A1165">
        <v>1979</v>
      </c>
      <c r="B1165">
        <v>100</v>
      </c>
      <c r="C1165" t="s">
        <v>40</v>
      </c>
      <c r="D1165" t="s">
        <v>19</v>
      </c>
      <c r="E1165" t="s">
        <v>26</v>
      </c>
      <c r="F1165" s="1">
        <v>44690</v>
      </c>
      <c r="G1165" s="1">
        <v>44861</v>
      </c>
      <c r="H1165">
        <v>4616</v>
      </c>
      <c r="I1165">
        <v>4950</v>
      </c>
      <c r="J1165">
        <v>-334</v>
      </c>
      <c r="K1165" t="s">
        <v>54</v>
      </c>
      <c r="L1165">
        <v>5</v>
      </c>
      <c r="M1165" t="str">
        <f t="shared" si="18"/>
        <v>0-6 Months</v>
      </c>
      <c r="N1165" s="1">
        <v>44861</v>
      </c>
      <c r="O1165">
        <v>1</v>
      </c>
      <c r="P1165">
        <v>1164</v>
      </c>
      <c r="Q1165" s="2">
        <v>-7.0000000000000007E-2</v>
      </c>
      <c r="R1165" t="s">
        <v>27</v>
      </c>
      <c r="S1165">
        <v>2022</v>
      </c>
      <c r="T1165" t="s">
        <v>33</v>
      </c>
    </row>
    <row r="1166" spans="1:20" hidden="1" x14ac:dyDescent="0.3">
      <c r="A1166">
        <v>1980</v>
      </c>
      <c r="B1166">
        <v>315</v>
      </c>
      <c r="C1166" t="s">
        <v>53</v>
      </c>
      <c r="D1166" t="s">
        <v>29</v>
      </c>
      <c r="E1166" t="s">
        <v>26</v>
      </c>
      <c r="F1166" s="1">
        <v>44867</v>
      </c>
      <c r="G1166" s="1">
        <v>44993</v>
      </c>
      <c r="H1166">
        <v>7106</v>
      </c>
      <c r="I1166">
        <v>24</v>
      </c>
      <c r="J1166">
        <v>7082</v>
      </c>
      <c r="K1166" t="s">
        <v>54</v>
      </c>
      <c r="L1166">
        <v>4</v>
      </c>
      <c r="M1166" t="str">
        <f t="shared" si="18"/>
        <v>0-6 Months</v>
      </c>
      <c r="N1166" s="1">
        <v>44993</v>
      </c>
      <c r="O1166">
        <v>1</v>
      </c>
      <c r="P1166">
        <v>1165</v>
      </c>
      <c r="Q1166" s="2">
        <v>1</v>
      </c>
      <c r="R1166" t="s">
        <v>27</v>
      </c>
      <c r="S1166">
        <v>2023</v>
      </c>
      <c r="T1166" t="s">
        <v>38</v>
      </c>
    </row>
    <row r="1167" spans="1:20" hidden="1" x14ac:dyDescent="0.3">
      <c r="A1167">
        <v>1981</v>
      </c>
      <c r="B1167">
        <v>393</v>
      </c>
      <c r="C1167" t="s">
        <v>24</v>
      </c>
      <c r="D1167" t="s">
        <v>29</v>
      </c>
      <c r="E1167" t="s">
        <v>26</v>
      </c>
      <c r="F1167" s="1">
        <v>44913</v>
      </c>
      <c r="G1167" s="1">
        <v>45160</v>
      </c>
      <c r="H1167">
        <v>5753</v>
      </c>
      <c r="I1167">
        <v>3547</v>
      </c>
      <c r="J1167">
        <v>2206</v>
      </c>
      <c r="K1167" t="s">
        <v>21</v>
      </c>
      <c r="L1167">
        <v>8</v>
      </c>
      <c r="M1167" t="str">
        <f t="shared" si="18"/>
        <v>6-12 Months</v>
      </c>
      <c r="N1167" s="1">
        <v>45160</v>
      </c>
      <c r="O1167">
        <v>0</v>
      </c>
      <c r="P1167">
        <v>1166</v>
      </c>
      <c r="Q1167" s="2">
        <v>0.38</v>
      </c>
      <c r="R1167" t="s">
        <v>27</v>
      </c>
      <c r="S1167">
        <v>2023</v>
      </c>
      <c r="T1167" t="s">
        <v>36</v>
      </c>
    </row>
    <row r="1168" spans="1:20" x14ac:dyDescent="0.3">
      <c r="A1168">
        <v>1982</v>
      </c>
      <c r="B1168">
        <v>494</v>
      </c>
      <c r="C1168" t="s">
        <v>53</v>
      </c>
      <c r="D1168" t="s">
        <v>34</v>
      </c>
      <c r="E1168" t="s">
        <v>20</v>
      </c>
      <c r="F1168" s="1">
        <v>44809</v>
      </c>
      <c r="G1168" s="1">
        <v>45119</v>
      </c>
      <c r="H1168">
        <v>3346</v>
      </c>
      <c r="I1168">
        <v>4012.75</v>
      </c>
      <c r="J1168">
        <v>3925</v>
      </c>
      <c r="K1168" t="s">
        <v>35</v>
      </c>
      <c r="L1168">
        <v>10</v>
      </c>
      <c r="M1168" t="str">
        <f t="shared" si="18"/>
        <v>6-12 Months</v>
      </c>
      <c r="N1168" s="1">
        <v>45119</v>
      </c>
      <c r="O1168">
        <v>1</v>
      </c>
      <c r="P1168">
        <v>1167</v>
      </c>
      <c r="Q1168" s="2">
        <v>1.17</v>
      </c>
      <c r="R1168" t="s">
        <v>22</v>
      </c>
      <c r="S1168">
        <v>2023</v>
      </c>
      <c r="T1168" t="s">
        <v>44</v>
      </c>
    </row>
    <row r="1169" spans="1:20" hidden="1" x14ac:dyDescent="0.3">
      <c r="A1169">
        <v>1983</v>
      </c>
      <c r="B1169">
        <v>130</v>
      </c>
      <c r="C1169" t="s">
        <v>45</v>
      </c>
      <c r="D1169" t="s">
        <v>25</v>
      </c>
      <c r="E1169" t="s">
        <v>20</v>
      </c>
      <c r="F1169" s="1">
        <v>44880</v>
      </c>
      <c r="G1169" s="1">
        <v>45379</v>
      </c>
      <c r="H1169">
        <v>6284</v>
      </c>
      <c r="I1169">
        <v>6588</v>
      </c>
      <c r="J1169">
        <v>-304</v>
      </c>
      <c r="K1169" t="s">
        <v>54</v>
      </c>
      <c r="L1169">
        <v>16</v>
      </c>
      <c r="M1169" t="str">
        <f t="shared" si="18"/>
        <v>6-12 Months</v>
      </c>
      <c r="N1169" s="1">
        <v>45379</v>
      </c>
      <c r="O1169">
        <v>0</v>
      </c>
      <c r="P1169">
        <v>1168</v>
      </c>
      <c r="Q1169" s="2">
        <v>-0.05</v>
      </c>
      <c r="R1169" t="s">
        <v>27</v>
      </c>
      <c r="S1169">
        <v>2024</v>
      </c>
      <c r="T1169" t="s">
        <v>38</v>
      </c>
    </row>
    <row r="1170" spans="1:20" x14ac:dyDescent="0.3">
      <c r="A1170">
        <v>1989</v>
      </c>
      <c r="B1170">
        <v>361</v>
      </c>
      <c r="C1170" t="s">
        <v>39</v>
      </c>
      <c r="D1170" t="s">
        <v>29</v>
      </c>
      <c r="E1170" t="s">
        <v>26</v>
      </c>
      <c r="F1170" s="1">
        <v>44764</v>
      </c>
      <c r="G1170" s="1">
        <v>45086</v>
      </c>
      <c r="H1170">
        <v>8634</v>
      </c>
      <c r="I1170">
        <v>4012.75</v>
      </c>
      <c r="J1170">
        <v>9528</v>
      </c>
      <c r="K1170" t="s">
        <v>35</v>
      </c>
      <c r="L1170">
        <v>10</v>
      </c>
      <c r="M1170" t="str">
        <f t="shared" si="18"/>
        <v>6-12 Months</v>
      </c>
      <c r="N1170" s="1">
        <v>45086</v>
      </c>
      <c r="O1170">
        <v>0</v>
      </c>
      <c r="P1170">
        <v>1169</v>
      </c>
      <c r="Q1170" s="2">
        <v>1.1000000000000001</v>
      </c>
      <c r="R1170" t="s">
        <v>22</v>
      </c>
      <c r="S1170">
        <v>2023</v>
      </c>
      <c r="T1170" t="s">
        <v>41</v>
      </c>
    </row>
    <row r="1171" spans="1:20" hidden="1" x14ac:dyDescent="0.3">
      <c r="A1171">
        <v>1990</v>
      </c>
      <c r="B1171">
        <v>283</v>
      </c>
      <c r="C1171" t="s">
        <v>53</v>
      </c>
      <c r="D1171" t="s">
        <v>34</v>
      </c>
      <c r="E1171" t="s">
        <v>20</v>
      </c>
      <c r="F1171" s="1">
        <v>44798</v>
      </c>
      <c r="G1171" s="1">
        <v>45381</v>
      </c>
      <c r="H1171">
        <v>5941</v>
      </c>
      <c r="I1171">
        <v>4012.75</v>
      </c>
      <c r="J1171">
        <v>6291</v>
      </c>
      <c r="K1171" t="s">
        <v>21</v>
      </c>
      <c r="L1171">
        <v>19</v>
      </c>
      <c r="M1171" t="str">
        <f t="shared" si="18"/>
        <v>6-12 Months</v>
      </c>
      <c r="N1171" s="1">
        <v>45381</v>
      </c>
      <c r="O1171">
        <v>1</v>
      </c>
      <c r="P1171">
        <v>1170</v>
      </c>
      <c r="Q1171" s="2">
        <v>1.06</v>
      </c>
      <c r="R1171" t="s">
        <v>22</v>
      </c>
      <c r="S1171">
        <v>2024</v>
      </c>
      <c r="T1171" t="s">
        <v>38</v>
      </c>
    </row>
    <row r="1172" spans="1:20" hidden="1" x14ac:dyDescent="0.3">
      <c r="A1172">
        <v>1992</v>
      </c>
      <c r="B1172">
        <v>147</v>
      </c>
      <c r="C1172" t="s">
        <v>24</v>
      </c>
      <c r="D1172" t="s">
        <v>29</v>
      </c>
      <c r="E1172" t="s">
        <v>26</v>
      </c>
      <c r="F1172" s="1">
        <v>44739</v>
      </c>
      <c r="G1172" s="1">
        <v>45135</v>
      </c>
      <c r="H1172">
        <v>246</v>
      </c>
      <c r="I1172">
        <v>4276</v>
      </c>
      <c r="J1172">
        <v>-4030</v>
      </c>
      <c r="K1172" t="s">
        <v>21</v>
      </c>
      <c r="L1172">
        <v>13</v>
      </c>
      <c r="M1172" t="str">
        <f t="shared" si="18"/>
        <v>6-12 Months</v>
      </c>
      <c r="N1172" s="1">
        <v>45135</v>
      </c>
      <c r="O1172">
        <v>1</v>
      </c>
      <c r="P1172">
        <v>1171</v>
      </c>
      <c r="Q1172" s="2">
        <v>-16.38</v>
      </c>
      <c r="R1172" t="s">
        <v>22</v>
      </c>
      <c r="S1172">
        <v>2023</v>
      </c>
      <c r="T1172" t="s">
        <v>44</v>
      </c>
    </row>
    <row r="1173" spans="1:20" hidden="1" x14ac:dyDescent="0.3">
      <c r="A1173">
        <v>1994</v>
      </c>
      <c r="B1173">
        <v>383</v>
      </c>
      <c r="C1173" t="s">
        <v>40</v>
      </c>
      <c r="D1173" t="s">
        <v>29</v>
      </c>
      <c r="E1173" t="s">
        <v>26</v>
      </c>
      <c r="F1173" s="1">
        <v>44757</v>
      </c>
      <c r="G1173" s="1">
        <v>44857</v>
      </c>
      <c r="H1173">
        <v>4967.93</v>
      </c>
      <c r="I1173">
        <v>1587</v>
      </c>
      <c r="J1173">
        <v>-1762</v>
      </c>
      <c r="K1173" t="s">
        <v>54</v>
      </c>
      <c r="L1173">
        <v>3</v>
      </c>
      <c r="M1173" t="str">
        <f t="shared" si="18"/>
        <v>0-6 Months</v>
      </c>
      <c r="N1173" s="1">
        <v>44857</v>
      </c>
      <c r="O1173">
        <v>0</v>
      </c>
      <c r="P1173">
        <v>1172</v>
      </c>
      <c r="Q1173" s="2">
        <v>-0.35</v>
      </c>
      <c r="R1173" t="s">
        <v>27</v>
      </c>
      <c r="S1173">
        <v>2022</v>
      </c>
      <c r="T1173" t="s">
        <v>33</v>
      </c>
    </row>
    <row r="1174" spans="1:20" hidden="1" x14ac:dyDescent="0.3">
      <c r="A1174">
        <v>1996</v>
      </c>
      <c r="B1174">
        <v>306</v>
      </c>
      <c r="C1174" t="s">
        <v>24</v>
      </c>
      <c r="D1174" t="s">
        <v>29</v>
      </c>
      <c r="E1174" t="s">
        <v>26</v>
      </c>
      <c r="F1174" s="1">
        <v>44831</v>
      </c>
      <c r="G1174" s="1">
        <v>45285</v>
      </c>
      <c r="H1174">
        <v>9414</v>
      </c>
      <c r="I1174">
        <v>6091</v>
      </c>
      <c r="J1174">
        <v>3323</v>
      </c>
      <c r="K1174" t="s">
        <v>21</v>
      </c>
      <c r="L1174">
        <v>14</v>
      </c>
      <c r="M1174" t="str">
        <f t="shared" si="18"/>
        <v>6-12 Months</v>
      </c>
      <c r="N1174" s="1">
        <v>45285</v>
      </c>
      <c r="O1174">
        <v>1</v>
      </c>
      <c r="P1174">
        <v>1173</v>
      </c>
      <c r="Q1174" s="2">
        <v>0.35</v>
      </c>
      <c r="R1174" t="s">
        <v>27</v>
      </c>
      <c r="S1174">
        <v>2023</v>
      </c>
      <c r="T1174" t="s">
        <v>31</v>
      </c>
    </row>
    <row r="1175" spans="1:20" hidden="1" x14ac:dyDescent="0.3">
      <c r="A1175">
        <v>1997</v>
      </c>
      <c r="B1175">
        <v>210</v>
      </c>
      <c r="C1175" t="s">
        <v>53</v>
      </c>
      <c r="D1175" t="s">
        <v>34</v>
      </c>
      <c r="E1175" t="s">
        <v>20</v>
      </c>
      <c r="F1175" s="1">
        <v>44903</v>
      </c>
      <c r="G1175" s="1">
        <v>45188</v>
      </c>
      <c r="H1175">
        <v>4890</v>
      </c>
      <c r="I1175">
        <v>6851</v>
      </c>
      <c r="J1175">
        <v>-1961</v>
      </c>
      <c r="K1175" t="s">
        <v>54</v>
      </c>
      <c r="L1175">
        <v>9</v>
      </c>
      <c r="M1175" t="str">
        <f t="shared" si="18"/>
        <v>6-12 Months</v>
      </c>
      <c r="N1175" s="1">
        <v>45188</v>
      </c>
      <c r="O1175">
        <v>0</v>
      </c>
      <c r="P1175">
        <v>1174</v>
      </c>
      <c r="Q1175" s="2">
        <v>-0.4</v>
      </c>
      <c r="R1175" t="s">
        <v>27</v>
      </c>
      <c r="S1175">
        <v>2023</v>
      </c>
      <c r="T1175" t="s">
        <v>30</v>
      </c>
    </row>
    <row r="1176" spans="1:20" hidden="1" x14ac:dyDescent="0.3">
      <c r="A1176">
        <v>1998</v>
      </c>
      <c r="B1176">
        <v>205</v>
      </c>
      <c r="C1176" t="s">
        <v>39</v>
      </c>
      <c r="D1176" t="s">
        <v>29</v>
      </c>
      <c r="E1176" t="s">
        <v>37</v>
      </c>
      <c r="F1176" s="1">
        <v>44799</v>
      </c>
      <c r="G1176" s="1">
        <v>44918</v>
      </c>
      <c r="H1176">
        <v>4532</v>
      </c>
      <c r="I1176">
        <v>1279</v>
      </c>
      <c r="J1176">
        <v>3253</v>
      </c>
      <c r="K1176" t="s">
        <v>54</v>
      </c>
      <c r="L1176">
        <v>3</v>
      </c>
      <c r="M1176" t="str">
        <f t="shared" si="18"/>
        <v>0-6 Months</v>
      </c>
      <c r="N1176" s="1">
        <v>44918</v>
      </c>
      <c r="O1176">
        <v>0</v>
      </c>
      <c r="P1176">
        <v>1175</v>
      </c>
      <c r="Q1176" s="2">
        <v>0.72</v>
      </c>
      <c r="R1176" t="s">
        <v>27</v>
      </c>
      <c r="S1176">
        <v>2022</v>
      </c>
      <c r="T1176" t="s">
        <v>31</v>
      </c>
    </row>
    <row r="1177" spans="1:20" hidden="1" x14ac:dyDescent="0.3">
      <c r="A1177">
        <v>2001</v>
      </c>
      <c r="B1177">
        <v>332</v>
      </c>
      <c r="C1177" t="s">
        <v>24</v>
      </c>
      <c r="D1177" t="s">
        <v>19</v>
      </c>
      <c r="E1177" t="s">
        <v>37</v>
      </c>
      <c r="F1177" s="1">
        <v>44760</v>
      </c>
      <c r="G1177" s="1">
        <v>44816</v>
      </c>
      <c r="H1177">
        <v>1284</v>
      </c>
      <c r="I1177">
        <v>1314</v>
      </c>
      <c r="J1177">
        <v>-30</v>
      </c>
      <c r="K1177" t="s">
        <v>54</v>
      </c>
      <c r="L1177">
        <v>1</v>
      </c>
      <c r="M1177" t="str">
        <f t="shared" si="18"/>
        <v>0-6 Months</v>
      </c>
      <c r="N1177" s="1">
        <v>44816</v>
      </c>
      <c r="O1177">
        <v>0</v>
      </c>
      <c r="P1177">
        <v>1176</v>
      </c>
      <c r="Q1177" s="2">
        <v>-0.02</v>
      </c>
      <c r="R1177" t="s">
        <v>27</v>
      </c>
      <c r="S1177">
        <v>2022</v>
      </c>
      <c r="T1177" t="s">
        <v>30</v>
      </c>
    </row>
    <row r="1178" spans="1:20" x14ac:dyDescent="0.3">
      <c r="A1178">
        <v>2003</v>
      </c>
      <c r="B1178">
        <v>207</v>
      </c>
      <c r="C1178" t="s">
        <v>53</v>
      </c>
      <c r="D1178" t="s">
        <v>19</v>
      </c>
      <c r="E1178" t="s">
        <v>37</v>
      </c>
      <c r="F1178" s="1">
        <v>44694</v>
      </c>
      <c r="G1178" s="1">
        <v>44749</v>
      </c>
      <c r="H1178">
        <v>4967.93</v>
      </c>
      <c r="I1178">
        <v>2920</v>
      </c>
      <c r="J1178">
        <v>-4509</v>
      </c>
      <c r="K1178" t="s">
        <v>35</v>
      </c>
      <c r="L1178">
        <v>1</v>
      </c>
      <c r="M1178" t="str">
        <f t="shared" si="18"/>
        <v>0-6 Months</v>
      </c>
      <c r="N1178" s="1">
        <v>44749</v>
      </c>
      <c r="O1178">
        <v>0</v>
      </c>
      <c r="P1178">
        <v>1177</v>
      </c>
      <c r="Q1178" s="2">
        <v>-0.91</v>
      </c>
      <c r="R1178" t="s">
        <v>27</v>
      </c>
      <c r="S1178">
        <v>2022</v>
      </c>
      <c r="T1178" t="s">
        <v>44</v>
      </c>
    </row>
    <row r="1179" spans="1:20" x14ac:dyDescent="0.3">
      <c r="A1179">
        <v>2004</v>
      </c>
      <c r="B1179">
        <v>313</v>
      </c>
      <c r="C1179" t="s">
        <v>45</v>
      </c>
      <c r="D1179" t="s">
        <v>29</v>
      </c>
      <c r="E1179" t="s">
        <v>26</v>
      </c>
      <c r="F1179" s="1">
        <v>44626</v>
      </c>
      <c r="G1179" s="1">
        <v>45167</v>
      </c>
      <c r="H1179">
        <v>3987</v>
      </c>
      <c r="I1179">
        <v>3154</v>
      </c>
      <c r="J1179">
        <v>833</v>
      </c>
      <c r="K1179" t="s">
        <v>35</v>
      </c>
      <c r="L1179">
        <v>17</v>
      </c>
      <c r="M1179" t="str">
        <f t="shared" si="18"/>
        <v>6-12 Months</v>
      </c>
      <c r="N1179" s="1">
        <v>45167</v>
      </c>
      <c r="O1179">
        <v>1</v>
      </c>
      <c r="P1179">
        <v>1178</v>
      </c>
      <c r="Q1179" s="2">
        <v>0.21</v>
      </c>
      <c r="R1179" t="s">
        <v>27</v>
      </c>
      <c r="S1179">
        <v>2023</v>
      </c>
      <c r="T1179" t="s">
        <v>36</v>
      </c>
    </row>
    <row r="1180" spans="1:20" hidden="1" x14ac:dyDescent="0.3">
      <c r="A1180">
        <v>2007</v>
      </c>
      <c r="B1180">
        <v>152</v>
      </c>
      <c r="C1180" t="s">
        <v>45</v>
      </c>
      <c r="D1180" t="s">
        <v>34</v>
      </c>
      <c r="E1180" t="s">
        <v>20</v>
      </c>
      <c r="F1180" s="1">
        <v>44814</v>
      </c>
      <c r="G1180" s="1">
        <v>45307</v>
      </c>
      <c r="H1180">
        <v>2433</v>
      </c>
      <c r="I1180">
        <v>104</v>
      </c>
      <c r="J1180">
        <v>2329</v>
      </c>
      <c r="K1180" t="s">
        <v>54</v>
      </c>
      <c r="L1180">
        <v>16</v>
      </c>
      <c r="M1180" t="str">
        <f t="shared" si="18"/>
        <v>6-12 Months</v>
      </c>
      <c r="N1180" s="1">
        <v>45307</v>
      </c>
      <c r="O1180">
        <v>1</v>
      </c>
      <c r="P1180">
        <v>1179</v>
      </c>
      <c r="Q1180" s="2">
        <v>0.96</v>
      </c>
      <c r="R1180" t="s">
        <v>27</v>
      </c>
      <c r="S1180">
        <v>2024</v>
      </c>
      <c r="T1180" t="s">
        <v>23</v>
      </c>
    </row>
    <row r="1181" spans="1:20" hidden="1" x14ac:dyDescent="0.3">
      <c r="A1181">
        <v>2008</v>
      </c>
      <c r="B1181">
        <v>122</v>
      </c>
      <c r="C1181" t="s">
        <v>24</v>
      </c>
      <c r="D1181" t="s">
        <v>25</v>
      </c>
      <c r="E1181" t="s">
        <v>37</v>
      </c>
      <c r="F1181" s="1">
        <v>44665</v>
      </c>
      <c r="G1181" s="1">
        <v>45237</v>
      </c>
      <c r="H1181">
        <v>7908</v>
      </c>
      <c r="I1181">
        <v>3452</v>
      </c>
      <c r="J1181">
        <v>4456</v>
      </c>
      <c r="K1181" t="s">
        <v>21</v>
      </c>
      <c r="L1181">
        <v>18</v>
      </c>
      <c r="M1181" t="str">
        <f t="shared" si="18"/>
        <v>6-12 Months</v>
      </c>
      <c r="N1181" s="1">
        <v>45237</v>
      </c>
      <c r="O1181">
        <v>1</v>
      </c>
      <c r="P1181">
        <v>1180</v>
      </c>
      <c r="Q1181" s="2">
        <v>0.56000000000000005</v>
      </c>
      <c r="R1181" t="s">
        <v>27</v>
      </c>
      <c r="S1181">
        <v>2023</v>
      </c>
      <c r="T1181" t="s">
        <v>42</v>
      </c>
    </row>
    <row r="1182" spans="1:20" x14ac:dyDescent="0.3">
      <c r="A1182">
        <v>2010</v>
      </c>
      <c r="B1182">
        <v>305</v>
      </c>
      <c r="C1182" t="s">
        <v>53</v>
      </c>
      <c r="D1182" t="s">
        <v>19</v>
      </c>
      <c r="E1182" t="s">
        <v>37</v>
      </c>
      <c r="F1182" s="1">
        <v>44908</v>
      </c>
      <c r="G1182" s="1">
        <v>45244</v>
      </c>
      <c r="H1182">
        <v>3033</v>
      </c>
      <c r="I1182">
        <v>4012.75</v>
      </c>
      <c r="J1182">
        <v>3154</v>
      </c>
      <c r="K1182" t="s">
        <v>35</v>
      </c>
      <c r="L1182">
        <v>11</v>
      </c>
      <c r="M1182" t="str">
        <f t="shared" si="18"/>
        <v>6-12 Months</v>
      </c>
      <c r="N1182" s="1">
        <v>45244</v>
      </c>
      <c r="O1182">
        <v>1</v>
      </c>
      <c r="P1182">
        <v>1181</v>
      </c>
      <c r="Q1182" s="2">
        <v>1.04</v>
      </c>
      <c r="R1182" t="s">
        <v>22</v>
      </c>
      <c r="S1182">
        <v>2023</v>
      </c>
      <c r="T1182" t="s">
        <v>42</v>
      </c>
    </row>
    <row r="1183" spans="1:20" x14ac:dyDescent="0.3">
      <c r="A1183">
        <v>2011</v>
      </c>
      <c r="B1183">
        <v>462</v>
      </c>
      <c r="C1183" t="s">
        <v>45</v>
      </c>
      <c r="D1183" t="s">
        <v>25</v>
      </c>
      <c r="E1183" t="s">
        <v>37</v>
      </c>
      <c r="F1183" s="1">
        <v>44768</v>
      </c>
      <c r="G1183" s="1">
        <v>45241</v>
      </c>
      <c r="H1183">
        <v>4967.93</v>
      </c>
      <c r="I1183">
        <v>4636</v>
      </c>
      <c r="J1183">
        <v>-5826</v>
      </c>
      <c r="K1183" t="s">
        <v>35</v>
      </c>
      <c r="L1183">
        <v>15</v>
      </c>
      <c r="M1183" t="str">
        <f t="shared" si="18"/>
        <v>6-12 Months</v>
      </c>
      <c r="N1183" s="1">
        <v>45241</v>
      </c>
      <c r="O1183">
        <v>0</v>
      </c>
      <c r="P1183">
        <v>1182</v>
      </c>
      <c r="Q1183" s="2">
        <v>-1.17</v>
      </c>
      <c r="R1183" t="s">
        <v>22</v>
      </c>
      <c r="S1183">
        <v>2023</v>
      </c>
      <c r="T1183" t="s">
        <v>42</v>
      </c>
    </row>
    <row r="1184" spans="1:20" x14ac:dyDescent="0.3">
      <c r="A1184">
        <v>2013</v>
      </c>
      <c r="B1184">
        <v>206</v>
      </c>
      <c r="C1184" t="s">
        <v>45</v>
      </c>
      <c r="D1184" t="s">
        <v>25</v>
      </c>
      <c r="E1184" t="s">
        <v>26</v>
      </c>
      <c r="F1184" s="1">
        <v>44799</v>
      </c>
      <c r="G1184" s="1">
        <v>45098</v>
      </c>
      <c r="H1184">
        <v>9917</v>
      </c>
      <c r="I1184">
        <v>4888</v>
      </c>
      <c r="J1184">
        <v>5029</v>
      </c>
      <c r="K1184" t="s">
        <v>35</v>
      </c>
      <c r="L1184">
        <v>9</v>
      </c>
      <c r="M1184" t="str">
        <f t="shared" si="18"/>
        <v>6-12 Months</v>
      </c>
      <c r="N1184" s="1">
        <v>45098</v>
      </c>
      <c r="O1184">
        <v>1</v>
      </c>
      <c r="P1184">
        <v>1183</v>
      </c>
      <c r="Q1184" s="2">
        <v>0.51</v>
      </c>
      <c r="R1184" t="s">
        <v>27</v>
      </c>
      <c r="S1184">
        <v>2023</v>
      </c>
      <c r="T1184" t="s">
        <v>41</v>
      </c>
    </row>
    <row r="1185" spans="1:20" x14ac:dyDescent="0.3">
      <c r="A1185">
        <v>2014</v>
      </c>
      <c r="B1185">
        <v>239</v>
      </c>
      <c r="C1185" t="s">
        <v>45</v>
      </c>
      <c r="D1185" t="s">
        <v>34</v>
      </c>
      <c r="E1185" t="s">
        <v>20</v>
      </c>
      <c r="F1185" s="1">
        <v>44845</v>
      </c>
      <c r="G1185" s="1">
        <v>45149</v>
      </c>
      <c r="H1185">
        <v>4953</v>
      </c>
      <c r="I1185">
        <v>6622</v>
      </c>
      <c r="J1185">
        <v>-1669</v>
      </c>
      <c r="K1185" t="s">
        <v>35</v>
      </c>
      <c r="L1185">
        <v>10</v>
      </c>
      <c r="M1185" t="str">
        <f t="shared" si="18"/>
        <v>6-12 Months</v>
      </c>
      <c r="N1185" s="1">
        <v>45149</v>
      </c>
      <c r="O1185">
        <v>1</v>
      </c>
      <c r="P1185">
        <v>1184</v>
      </c>
      <c r="Q1185" s="2">
        <v>-0.34</v>
      </c>
      <c r="R1185" t="s">
        <v>27</v>
      </c>
      <c r="S1185">
        <v>2023</v>
      </c>
      <c r="T1185" t="s">
        <v>36</v>
      </c>
    </row>
    <row r="1186" spans="1:20" hidden="1" x14ac:dyDescent="0.3">
      <c r="A1186">
        <v>2015</v>
      </c>
      <c r="B1186">
        <v>266</v>
      </c>
      <c r="C1186" t="s">
        <v>24</v>
      </c>
      <c r="D1186" t="s">
        <v>29</v>
      </c>
      <c r="E1186" t="s">
        <v>20</v>
      </c>
      <c r="F1186" s="1">
        <v>44783</v>
      </c>
      <c r="G1186" s="1">
        <v>44946</v>
      </c>
      <c r="H1186">
        <v>779</v>
      </c>
      <c r="I1186">
        <v>6063</v>
      </c>
      <c r="J1186">
        <v>577.01</v>
      </c>
      <c r="K1186" t="s">
        <v>54</v>
      </c>
      <c r="L1186">
        <v>5</v>
      </c>
      <c r="M1186" t="str">
        <f t="shared" si="18"/>
        <v>0-6 Months</v>
      </c>
      <c r="N1186" s="1">
        <v>44946</v>
      </c>
      <c r="O1186">
        <v>1</v>
      </c>
      <c r="P1186">
        <v>1185</v>
      </c>
      <c r="Q1186" s="2">
        <v>0.74</v>
      </c>
      <c r="R1186" t="s">
        <v>27</v>
      </c>
      <c r="S1186">
        <v>2023</v>
      </c>
      <c r="T1186" t="s">
        <v>23</v>
      </c>
    </row>
    <row r="1187" spans="1:20" hidden="1" x14ac:dyDescent="0.3">
      <c r="A1187">
        <v>2016</v>
      </c>
      <c r="B1187">
        <v>212</v>
      </c>
      <c r="C1187" t="s">
        <v>40</v>
      </c>
      <c r="D1187" t="s">
        <v>25</v>
      </c>
      <c r="E1187" t="s">
        <v>20</v>
      </c>
      <c r="F1187" s="1">
        <v>44601</v>
      </c>
      <c r="G1187" s="1">
        <v>45119</v>
      </c>
      <c r="H1187">
        <v>3871</v>
      </c>
      <c r="I1187">
        <v>1644</v>
      </c>
      <c r="J1187">
        <v>2227</v>
      </c>
      <c r="K1187" t="s">
        <v>54</v>
      </c>
      <c r="L1187">
        <v>17</v>
      </c>
      <c r="M1187" t="str">
        <f t="shared" si="18"/>
        <v>6-12 Months</v>
      </c>
      <c r="N1187" s="1">
        <v>45119</v>
      </c>
      <c r="O1187">
        <v>0</v>
      </c>
      <c r="P1187">
        <v>1186</v>
      </c>
      <c r="Q1187" s="2">
        <v>0.57999999999999996</v>
      </c>
      <c r="R1187" t="s">
        <v>27</v>
      </c>
      <c r="S1187">
        <v>2023</v>
      </c>
      <c r="T1187" t="s">
        <v>44</v>
      </c>
    </row>
    <row r="1188" spans="1:20" hidden="1" x14ac:dyDescent="0.3">
      <c r="A1188">
        <v>2017</v>
      </c>
      <c r="B1188">
        <v>178</v>
      </c>
      <c r="C1188" t="s">
        <v>53</v>
      </c>
      <c r="D1188" t="s">
        <v>25</v>
      </c>
      <c r="E1188" t="s">
        <v>37</v>
      </c>
      <c r="F1188" s="1">
        <v>44717</v>
      </c>
      <c r="G1188" s="1">
        <v>44816</v>
      </c>
      <c r="H1188">
        <v>6949</v>
      </c>
      <c r="I1188">
        <v>2698</v>
      </c>
      <c r="J1188">
        <v>4251</v>
      </c>
      <c r="K1188" t="s">
        <v>21</v>
      </c>
      <c r="L1188">
        <v>3</v>
      </c>
      <c r="M1188" t="str">
        <f t="shared" si="18"/>
        <v>0-6 Months</v>
      </c>
      <c r="N1188" s="1">
        <v>44816</v>
      </c>
      <c r="O1188">
        <v>1</v>
      </c>
      <c r="P1188">
        <v>1187</v>
      </c>
      <c r="Q1188" s="2">
        <v>0.61</v>
      </c>
      <c r="R1188" t="s">
        <v>27</v>
      </c>
      <c r="S1188">
        <v>2022</v>
      </c>
      <c r="T1188" t="s">
        <v>30</v>
      </c>
    </row>
    <row r="1189" spans="1:20" hidden="1" x14ac:dyDescent="0.3">
      <c r="A1189">
        <v>2020</v>
      </c>
      <c r="B1189">
        <v>244</v>
      </c>
      <c r="C1189" t="s">
        <v>53</v>
      </c>
      <c r="D1189" t="s">
        <v>25</v>
      </c>
      <c r="E1189" t="s">
        <v>20</v>
      </c>
      <c r="F1189" s="1">
        <v>44688</v>
      </c>
      <c r="G1189" s="1">
        <v>44937</v>
      </c>
      <c r="H1189">
        <v>6789</v>
      </c>
      <c r="I1189">
        <v>6563</v>
      </c>
      <c r="J1189">
        <v>226</v>
      </c>
      <c r="K1189" t="s">
        <v>21</v>
      </c>
      <c r="L1189">
        <v>8</v>
      </c>
      <c r="M1189" t="str">
        <f t="shared" si="18"/>
        <v>6-12 Months</v>
      </c>
      <c r="N1189" s="1">
        <v>44937</v>
      </c>
      <c r="O1189">
        <v>1</v>
      </c>
      <c r="P1189">
        <v>1188</v>
      </c>
      <c r="Q1189" s="2">
        <v>0.03</v>
      </c>
      <c r="R1189" t="s">
        <v>27</v>
      </c>
      <c r="S1189">
        <v>2023</v>
      </c>
      <c r="T1189" t="s">
        <v>23</v>
      </c>
    </row>
    <row r="1190" spans="1:20" hidden="1" x14ac:dyDescent="0.3">
      <c r="A1190">
        <v>2021</v>
      </c>
      <c r="B1190">
        <v>371</v>
      </c>
      <c r="C1190" t="s">
        <v>53</v>
      </c>
      <c r="D1190" t="s">
        <v>19</v>
      </c>
      <c r="E1190" t="s">
        <v>20</v>
      </c>
      <c r="F1190" s="1">
        <v>44618</v>
      </c>
      <c r="G1190" s="1">
        <v>45052</v>
      </c>
      <c r="H1190">
        <v>4280</v>
      </c>
      <c r="I1190">
        <v>1274</v>
      </c>
      <c r="J1190">
        <v>3006</v>
      </c>
      <c r="K1190" t="s">
        <v>21</v>
      </c>
      <c r="L1190">
        <v>14</v>
      </c>
      <c r="M1190" t="str">
        <f t="shared" si="18"/>
        <v>6-12 Months</v>
      </c>
      <c r="N1190" s="1">
        <v>45052</v>
      </c>
      <c r="O1190">
        <v>1</v>
      </c>
      <c r="P1190">
        <v>1189</v>
      </c>
      <c r="Q1190" s="2">
        <v>0.7</v>
      </c>
      <c r="R1190" t="s">
        <v>27</v>
      </c>
      <c r="S1190">
        <v>2023</v>
      </c>
      <c r="T1190" t="s">
        <v>28</v>
      </c>
    </row>
    <row r="1191" spans="1:20" hidden="1" x14ac:dyDescent="0.3">
      <c r="A1191">
        <v>2024</v>
      </c>
      <c r="B1191">
        <v>474</v>
      </c>
      <c r="C1191" t="s">
        <v>53</v>
      </c>
      <c r="D1191" t="s">
        <v>29</v>
      </c>
      <c r="E1191" t="s">
        <v>37</v>
      </c>
      <c r="F1191" s="1">
        <v>44630</v>
      </c>
      <c r="G1191" s="1">
        <v>45100</v>
      </c>
      <c r="H1191">
        <v>4967.93</v>
      </c>
      <c r="I1191">
        <v>2089</v>
      </c>
      <c r="J1191">
        <v>-3017</v>
      </c>
      <c r="K1191" t="s">
        <v>54</v>
      </c>
      <c r="L1191">
        <v>15</v>
      </c>
      <c r="M1191" t="str">
        <f t="shared" si="18"/>
        <v>6-12 Months</v>
      </c>
      <c r="N1191" s="1">
        <v>45100</v>
      </c>
      <c r="O1191">
        <v>1</v>
      </c>
      <c r="P1191">
        <v>1190</v>
      </c>
      <c r="Q1191" s="2">
        <v>-0.61</v>
      </c>
      <c r="R1191" t="s">
        <v>27</v>
      </c>
      <c r="S1191">
        <v>2023</v>
      </c>
      <c r="T1191" t="s">
        <v>41</v>
      </c>
    </row>
    <row r="1192" spans="1:20" hidden="1" x14ac:dyDescent="0.3">
      <c r="A1192">
        <v>2025</v>
      </c>
      <c r="B1192">
        <v>368</v>
      </c>
      <c r="C1192" t="s">
        <v>24</v>
      </c>
      <c r="D1192" t="s">
        <v>19</v>
      </c>
      <c r="E1192" t="s">
        <v>26</v>
      </c>
      <c r="F1192" s="1">
        <v>44659</v>
      </c>
      <c r="G1192" s="1">
        <v>44713</v>
      </c>
      <c r="H1192">
        <v>4967.93</v>
      </c>
      <c r="I1192">
        <v>3310</v>
      </c>
      <c r="J1192">
        <v>-5203</v>
      </c>
      <c r="K1192" t="s">
        <v>54</v>
      </c>
      <c r="L1192">
        <v>1</v>
      </c>
      <c r="M1192" t="str">
        <f t="shared" si="18"/>
        <v>0-6 Months</v>
      </c>
      <c r="N1192" s="1">
        <v>44713</v>
      </c>
      <c r="O1192">
        <v>0</v>
      </c>
      <c r="P1192">
        <v>1191</v>
      </c>
      <c r="Q1192" s="2">
        <v>-1.05</v>
      </c>
      <c r="R1192" t="s">
        <v>22</v>
      </c>
      <c r="S1192">
        <v>2022</v>
      </c>
      <c r="T1192" t="s">
        <v>41</v>
      </c>
    </row>
    <row r="1193" spans="1:20" hidden="1" x14ac:dyDescent="0.3">
      <c r="A1193">
        <v>2028</v>
      </c>
      <c r="B1193">
        <v>439</v>
      </c>
      <c r="C1193" t="s">
        <v>45</v>
      </c>
      <c r="D1193" t="s">
        <v>19</v>
      </c>
      <c r="E1193" t="s">
        <v>20</v>
      </c>
      <c r="F1193" s="1">
        <v>44843</v>
      </c>
      <c r="G1193" s="1">
        <v>45169</v>
      </c>
      <c r="H1193">
        <v>6879</v>
      </c>
      <c r="I1193">
        <v>4012.75</v>
      </c>
      <c r="J1193">
        <v>7014</v>
      </c>
      <c r="K1193" t="s">
        <v>54</v>
      </c>
      <c r="L1193">
        <v>10</v>
      </c>
      <c r="M1193" t="str">
        <f t="shared" si="18"/>
        <v>6-12 Months</v>
      </c>
      <c r="N1193" s="1">
        <v>45169</v>
      </c>
      <c r="O1193">
        <v>1</v>
      </c>
      <c r="P1193">
        <v>1192</v>
      </c>
      <c r="Q1193" s="2">
        <v>1.02</v>
      </c>
      <c r="R1193" t="s">
        <v>22</v>
      </c>
      <c r="S1193">
        <v>2023</v>
      </c>
      <c r="T1193" t="s">
        <v>36</v>
      </c>
    </row>
    <row r="1194" spans="1:20" hidden="1" x14ac:dyDescent="0.3">
      <c r="A1194">
        <v>2029</v>
      </c>
      <c r="B1194">
        <v>117</v>
      </c>
      <c r="C1194" t="s">
        <v>45</v>
      </c>
      <c r="D1194" t="s">
        <v>29</v>
      </c>
      <c r="E1194" t="s">
        <v>37</v>
      </c>
      <c r="F1194" s="1">
        <v>44852</v>
      </c>
      <c r="G1194" s="1">
        <v>45130</v>
      </c>
      <c r="H1194">
        <v>3836</v>
      </c>
      <c r="I1194">
        <v>2433</v>
      </c>
      <c r="J1194">
        <v>1403</v>
      </c>
      <c r="K1194" t="s">
        <v>54</v>
      </c>
      <c r="L1194">
        <v>9</v>
      </c>
      <c r="M1194" t="str">
        <f t="shared" si="18"/>
        <v>6-12 Months</v>
      </c>
      <c r="N1194" s="1">
        <v>45130</v>
      </c>
      <c r="O1194">
        <v>0</v>
      </c>
      <c r="P1194">
        <v>1193</v>
      </c>
      <c r="Q1194" s="2">
        <v>0.37</v>
      </c>
      <c r="R1194" t="s">
        <v>27</v>
      </c>
      <c r="S1194">
        <v>2023</v>
      </c>
      <c r="T1194" t="s">
        <v>44</v>
      </c>
    </row>
    <row r="1195" spans="1:20" hidden="1" x14ac:dyDescent="0.3">
      <c r="A1195">
        <v>2031</v>
      </c>
      <c r="B1195">
        <v>235</v>
      </c>
      <c r="C1195" t="s">
        <v>53</v>
      </c>
      <c r="D1195" t="s">
        <v>34</v>
      </c>
      <c r="E1195" t="s">
        <v>26</v>
      </c>
      <c r="F1195" s="1">
        <v>44761</v>
      </c>
      <c r="G1195" s="1">
        <v>45311</v>
      </c>
      <c r="H1195">
        <v>7362</v>
      </c>
      <c r="I1195">
        <v>5928</v>
      </c>
      <c r="J1195">
        <v>1434</v>
      </c>
      <c r="K1195" t="s">
        <v>54</v>
      </c>
      <c r="L1195">
        <v>18</v>
      </c>
      <c r="M1195" t="str">
        <f t="shared" si="18"/>
        <v>6-12 Months</v>
      </c>
      <c r="N1195" s="1">
        <v>45311</v>
      </c>
      <c r="O1195">
        <v>1</v>
      </c>
      <c r="P1195">
        <v>1194</v>
      </c>
      <c r="Q1195" s="2">
        <v>0.19</v>
      </c>
      <c r="R1195" t="s">
        <v>27</v>
      </c>
      <c r="S1195">
        <v>2024</v>
      </c>
      <c r="T1195" t="s">
        <v>23</v>
      </c>
    </row>
    <row r="1196" spans="1:20" x14ac:dyDescent="0.3">
      <c r="A1196">
        <v>2032</v>
      </c>
      <c r="B1196">
        <v>181</v>
      </c>
      <c r="C1196" t="s">
        <v>40</v>
      </c>
      <c r="D1196" t="s">
        <v>34</v>
      </c>
      <c r="E1196" t="s">
        <v>37</v>
      </c>
      <c r="F1196" s="1">
        <v>44845</v>
      </c>
      <c r="G1196" s="1">
        <v>45099</v>
      </c>
      <c r="H1196">
        <v>4967.93</v>
      </c>
      <c r="I1196">
        <v>6000</v>
      </c>
      <c r="J1196">
        <v>-7664</v>
      </c>
      <c r="K1196" t="s">
        <v>35</v>
      </c>
      <c r="L1196">
        <v>8</v>
      </c>
      <c r="M1196" t="str">
        <f t="shared" si="18"/>
        <v>6-12 Months</v>
      </c>
      <c r="N1196" s="1">
        <v>45099</v>
      </c>
      <c r="O1196">
        <v>0</v>
      </c>
      <c r="P1196">
        <v>1195</v>
      </c>
      <c r="Q1196" s="2">
        <v>-1.54</v>
      </c>
      <c r="R1196" t="s">
        <v>22</v>
      </c>
      <c r="S1196">
        <v>2023</v>
      </c>
      <c r="T1196" t="s">
        <v>41</v>
      </c>
    </row>
    <row r="1197" spans="1:20" hidden="1" x14ac:dyDescent="0.3">
      <c r="A1197">
        <v>2033</v>
      </c>
      <c r="B1197">
        <v>192</v>
      </c>
      <c r="C1197" t="s">
        <v>39</v>
      </c>
      <c r="D1197" t="s">
        <v>29</v>
      </c>
      <c r="E1197" t="s">
        <v>26</v>
      </c>
      <c r="F1197" s="1">
        <v>44666</v>
      </c>
      <c r="G1197" s="1">
        <v>45034</v>
      </c>
      <c r="H1197">
        <v>155</v>
      </c>
      <c r="I1197">
        <v>7179</v>
      </c>
      <c r="J1197">
        <v>-7024</v>
      </c>
      <c r="K1197" t="s">
        <v>21</v>
      </c>
      <c r="L1197">
        <v>12</v>
      </c>
      <c r="M1197" t="str">
        <f t="shared" si="18"/>
        <v>6-12 Months</v>
      </c>
      <c r="N1197" s="1">
        <v>45034</v>
      </c>
      <c r="O1197">
        <v>0</v>
      </c>
      <c r="P1197">
        <v>1196</v>
      </c>
      <c r="Q1197" s="2">
        <v>-45.32</v>
      </c>
      <c r="R1197" t="s">
        <v>22</v>
      </c>
      <c r="S1197">
        <v>2023</v>
      </c>
      <c r="T1197" t="s">
        <v>32</v>
      </c>
    </row>
    <row r="1198" spans="1:20" x14ac:dyDescent="0.3">
      <c r="A1198">
        <v>2037</v>
      </c>
      <c r="B1198">
        <v>286</v>
      </c>
      <c r="C1198" t="s">
        <v>53</v>
      </c>
      <c r="D1198" t="s">
        <v>25</v>
      </c>
      <c r="E1198" t="s">
        <v>20</v>
      </c>
      <c r="F1198" s="1">
        <v>44790</v>
      </c>
      <c r="G1198" s="1">
        <v>44953</v>
      </c>
      <c r="H1198">
        <v>184</v>
      </c>
      <c r="I1198">
        <v>6464</v>
      </c>
      <c r="J1198">
        <v>-6280</v>
      </c>
      <c r="K1198" t="s">
        <v>35</v>
      </c>
      <c r="L1198">
        <v>5</v>
      </c>
      <c r="M1198" t="str">
        <f t="shared" si="18"/>
        <v>0-6 Months</v>
      </c>
      <c r="N1198" s="1">
        <v>44953</v>
      </c>
      <c r="O1198">
        <v>0</v>
      </c>
      <c r="P1198">
        <v>1197</v>
      </c>
      <c r="Q1198" s="2">
        <v>-34.130000000000003</v>
      </c>
      <c r="R1198" t="s">
        <v>22</v>
      </c>
      <c r="S1198">
        <v>2023</v>
      </c>
      <c r="T1198" t="s">
        <v>23</v>
      </c>
    </row>
    <row r="1199" spans="1:20" hidden="1" x14ac:dyDescent="0.3">
      <c r="A1199">
        <v>2038</v>
      </c>
      <c r="B1199">
        <v>203</v>
      </c>
      <c r="C1199" t="s">
        <v>39</v>
      </c>
      <c r="D1199" t="s">
        <v>19</v>
      </c>
      <c r="E1199" t="s">
        <v>20</v>
      </c>
      <c r="F1199" s="1">
        <v>44736</v>
      </c>
      <c r="G1199" s="1">
        <v>45168</v>
      </c>
      <c r="H1199">
        <v>4967.93</v>
      </c>
      <c r="I1199">
        <v>2483</v>
      </c>
      <c r="J1199">
        <v>-2704</v>
      </c>
      <c r="K1199" t="s">
        <v>21</v>
      </c>
      <c r="L1199">
        <v>14</v>
      </c>
      <c r="M1199" t="str">
        <f t="shared" si="18"/>
        <v>6-12 Months</v>
      </c>
      <c r="N1199" s="1">
        <v>45168</v>
      </c>
      <c r="O1199">
        <v>1</v>
      </c>
      <c r="P1199">
        <v>1198</v>
      </c>
      <c r="Q1199" s="2">
        <v>-0.54</v>
      </c>
      <c r="R1199" t="s">
        <v>27</v>
      </c>
      <c r="S1199">
        <v>2023</v>
      </c>
      <c r="T1199" t="s">
        <v>36</v>
      </c>
    </row>
    <row r="1200" spans="1:20" x14ac:dyDescent="0.3">
      <c r="A1200">
        <v>2043</v>
      </c>
      <c r="B1200">
        <v>183</v>
      </c>
      <c r="C1200" t="s">
        <v>40</v>
      </c>
      <c r="D1200" t="s">
        <v>29</v>
      </c>
      <c r="E1200" t="s">
        <v>37</v>
      </c>
      <c r="F1200" s="1">
        <v>44697</v>
      </c>
      <c r="G1200" s="1">
        <v>44769</v>
      </c>
      <c r="H1200">
        <v>3251</v>
      </c>
      <c r="I1200">
        <v>1376</v>
      </c>
      <c r="J1200">
        <v>1875</v>
      </c>
      <c r="K1200" t="s">
        <v>35</v>
      </c>
      <c r="L1200">
        <v>2</v>
      </c>
      <c r="M1200" t="str">
        <f t="shared" si="18"/>
        <v>0-6 Months</v>
      </c>
      <c r="N1200" s="1">
        <v>44769</v>
      </c>
      <c r="O1200">
        <v>1</v>
      </c>
      <c r="P1200">
        <v>1199</v>
      </c>
      <c r="Q1200" s="2">
        <v>0.57999999999999996</v>
      </c>
      <c r="R1200" t="s">
        <v>27</v>
      </c>
      <c r="S1200">
        <v>2022</v>
      </c>
      <c r="T1200" t="s">
        <v>44</v>
      </c>
    </row>
    <row r="1201" spans="1:20" x14ac:dyDescent="0.3">
      <c r="A1201">
        <v>2044</v>
      </c>
      <c r="B1201">
        <v>500</v>
      </c>
      <c r="C1201" t="s">
        <v>24</v>
      </c>
      <c r="D1201" t="s">
        <v>25</v>
      </c>
      <c r="E1201" t="s">
        <v>20</v>
      </c>
      <c r="F1201" s="1">
        <v>44743</v>
      </c>
      <c r="G1201" s="1">
        <v>45171</v>
      </c>
      <c r="H1201">
        <v>5474</v>
      </c>
      <c r="I1201">
        <v>3901</v>
      </c>
      <c r="J1201">
        <v>1573</v>
      </c>
      <c r="K1201" t="s">
        <v>35</v>
      </c>
      <c r="L1201">
        <v>14</v>
      </c>
      <c r="M1201" t="str">
        <f t="shared" si="18"/>
        <v>6-12 Months</v>
      </c>
      <c r="N1201" s="1">
        <v>45171</v>
      </c>
      <c r="O1201">
        <v>1</v>
      </c>
      <c r="P1201">
        <v>1200</v>
      </c>
      <c r="Q1201" s="2">
        <v>0.28999999999999998</v>
      </c>
      <c r="R1201" t="s">
        <v>27</v>
      </c>
      <c r="S1201">
        <v>2023</v>
      </c>
      <c r="T1201" t="s">
        <v>30</v>
      </c>
    </row>
    <row r="1202" spans="1:20" hidden="1" x14ac:dyDescent="0.3">
      <c r="A1202">
        <v>2046</v>
      </c>
      <c r="B1202">
        <v>417</v>
      </c>
      <c r="C1202" t="s">
        <v>24</v>
      </c>
      <c r="D1202" t="s">
        <v>29</v>
      </c>
      <c r="E1202" t="s">
        <v>37</v>
      </c>
      <c r="F1202" s="1">
        <v>44681</v>
      </c>
      <c r="G1202" s="1">
        <v>45163</v>
      </c>
      <c r="H1202">
        <v>5744</v>
      </c>
      <c r="I1202">
        <v>5236</v>
      </c>
      <c r="J1202">
        <v>508</v>
      </c>
      <c r="K1202" t="s">
        <v>21</v>
      </c>
      <c r="L1202">
        <v>15</v>
      </c>
      <c r="M1202" t="str">
        <f t="shared" si="18"/>
        <v>6-12 Months</v>
      </c>
      <c r="N1202" s="1">
        <v>45163</v>
      </c>
      <c r="O1202">
        <v>0</v>
      </c>
      <c r="P1202">
        <v>1201</v>
      </c>
      <c r="Q1202" s="2">
        <v>0.09</v>
      </c>
      <c r="R1202" t="s">
        <v>27</v>
      </c>
      <c r="S1202">
        <v>2023</v>
      </c>
      <c r="T1202" t="s">
        <v>36</v>
      </c>
    </row>
    <row r="1203" spans="1:20" hidden="1" x14ac:dyDescent="0.3">
      <c r="A1203">
        <v>2047</v>
      </c>
      <c r="B1203">
        <v>142</v>
      </c>
      <c r="C1203" t="s">
        <v>39</v>
      </c>
      <c r="D1203" t="s">
        <v>29</v>
      </c>
      <c r="E1203" t="s">
        <v>26</v>
      </c>
      <c r="F1203" s="1">
        <v>44724</v>
      </c>
      <c r="G1203" s="1">
        <v>45226</v>
      </c>
      <c r="H1203">
        <v>3958</v>
      </c>
      <c r="I1203">
        <v>6705</v>
      </c>
      <c r="J1203">
        <v>-2747</v>
      </c>
      <c r="K1203" t="s">
        <v>54</v>
      </c>
      <c r="L1203">
        <v>16</v>
      </c>
      <c r="M1203" t="str">
        <f t="shared" si="18"/>
        <v>6-12 Months</v>
      </c>
      <c r="N1203" s="1">
        <v>45226</v>
      </c>
      <c r="O1203">
        <v>1</v>
      </c>
      <c r="P1203">
        <v>1202</v>
      </c>
      <c r="Q1203" s="2">
        <v>-0.69</v>
      </c>
      <c r="R1203" t="s">
        <v>27</v>
      </c>
      <c r="S1203">
        <v>2023</v>
      </c>
      <c r="T1203" t="s">
        <v>33</v>
      </c>
    </row>
    <row r="1204" spans="1:20" hidden="1" x14ac:dyDescent="0.3">
      <c r="A1204">
        <v>2048</v>
      </c>
      <c r="B1204">
        <v>415</v>
      </c>
      <c r="C1204" t="s">
        <v>53</v>
      </c>
      <c r="D1204" t="s">
        <v>19</v>
      </c>
      <c r="E1204" t="s">
        <v>37</v>
      </c>
      <c r="F1204" s="1">
        <v>44572</v>
      </c>
      <c r="G1204" s="1">
        <v>44648</v>
      </c>
      <c r="H1204">
        <v>9381</v>
      </c>
      <c r="I1204">
        <v>756</v>
      </c>
      <c r="J1204">
        <v>8625</v>
      </c>
      <c r="K1204" t="s">
        <v>54</v>
      </c>
      <c r="L1204">
        <v>2</v>
      </c>
      <c r="M1204" t="str">
        <f t="shared" si="18"/>
        <v>0-6 Months</v>
      </c>
      <c r="N1204" s="1">
        <v>44648</v>
      </c>
      <c r="O1204">
        <v>0</v>
      </c>
      <c r="P1204">
        <v>1203</v>
      </c>
      <c r="Q1204" s="2">
        <v>0.92</v>
      </c>
      <c r="R1204" t="s">
        <v>27</v>
      </c>
      <c r="S1204">
        <v>2022</v>
      </c>
      <c r="T1204" t="s">
        <v>38</v>
      </c>
    </row>
    <row r="1205" spans="1:20" x14ac:dyDescent="0.3">
      <c r="A1205">
        <v>2049</v>
      </c>
      <c r="B1205">
        <v>219</v>
      </c>
      <c r="C1205" t="s">
        <v>53</v>
      </c>
      <c r="D1205" t="s">
        <v>34</v>
      </c>
      <c r="E1205" t="s">
        <v>20</v>
      </c>
      <c r="F1205" s="1">
        <v>44764</v>
      </c>
      <c r="G1205" s="1">
        <v>44807</v>
      </c>
      <c r="H1205">
        <v>4967.93</v>
      </c>
      <c r="I1205">
        <v>4012.75</v>
      </c>
      <c r="J1205">
        <v>-423</v>
      </c>
      <c r="K1205" t="s">
        <v>35</v>
      </c>
      <c r="L1205">
        <v>1</v>
      </c>
      <c r="M1205" t="str">
        <f t="shared" si="18"/>
        <v>0-6 Months</v>
      </c>
      <c r="N1205" s="1">
        <v>44807</v>
      </c>
      <c r="O1205">
        <v>1</v>
      </c>
      <c r="P1205">
        <v>1204</v>
      </c>
      <c r="Q1205" s="2">
        <v>-0.09</v>
      </c>
      <c r="R1205" t="s">
        <v>27</v>
      </c>
      <c r="S1205">
        <v>2022</v>
      </c>
      <c r="T1205" t="s">
        <v>30</v>
      </c>
    </row>
    <row r="1206" spans="1:20" x14ac:dyDescent="0.3">
      <c r="A1206">
        <v>2053</v>
      </c>
      <c r="B1206">
        <v>361</v>
      </c>
      <c r="C1206" t="s">
        <v>53</v>
      </c>
      <c r="D1206" t="s">
        <v>34</v>
      </c>
      <c r="E1206" t="s">
        <v>37</v>
      </c>
      <c r="F1206" s="1">
        <v>44771</v>
      </c>
      <c r="G1206" s="1">
        <v>45109</v>
      </c>
      <c r="H1206">
        <v>4967.93</v>
      </c>
      <c r="I1206">
        <v>4680</v>
      </c>
      <c r="J1206">
        <v>-5537</v>
      </c>
      <c r="K1206" t="s">
        <v>35</v>
      </c>
      <c r="L1206">
        <v>11</v>
      </c>
      <c r="M1206" t="str">
        <f t="shared" si="18"/>
        <v>6-12 Months</v>
      </c>
      <c r="N1206" s="1">
        <v>45109</v>
      </c>
      <c r="O1206">
        <v>0</v>
      </c>
      <c r="P1206">
        <v>1205</v>
      </c>
      <c r="Q1206" s="2">
        <v>-1.1100000000000001</v>
      </c>
      <c r="R1206" t="s">
        <v>22</v>
      </c>
      <c r="S1206">
        <v>2023</v>
      </c>
      <c r="T1206" t="s">
        <v>44</v>
      </c>
    </row>
    <row r="1207" spans="1:20" hidden="1" x14ac:dyDescent="0.3">
      <c r="A1207">
        <v>2054</v>
      </c>
      <c r="B1207">
        <v>447</v>
      </c>
      <c r="C1207" t="s">
        <v>53</v>
      </c>
      <c r="D1207" t="s">
        <v>19</v>
      </c>
      <c r="E1207" t="s">
        <v>20</v>
      </c>
      <c r="F1207" s="1">
        <v>44908</v>
      </c>
      <c r="G1207" s="1">
        <v>45246</v>
      </c>
      <c r="H1207">
        <v>6155</v>
      </c>
      <c r="I1207">
        <v>3048</v>
      </c>
      <c r="J1207">
        <v>3107</v>
      </c>
      <c r="K1207" t="s">
        <v>54</v>
      </c>
      <c r="L1207">
        <v>11</v>
      </c>
      <c r="M1207" t="str">
        <f t="shared" si="18"/>
        <v>6-12 Months</v>
      </c>
      <c r="N1207" s="1">
        <v>45246</v>
      </c>
      <c r="O1207">
        <v>0</v>
      </c>
      <c r="P1207">
        <v>1206</v>
      </c>
      <c r="Q1207" s="2">
        <v>0.5</v>
      </c>
      <c r="R1207" t="s">
        <v>27</v>
      </c>
      <c r="S1207">
        <v>2023</v>
      </c>
      <c r="T1207" t="s">
        <v>42</v>
      </c>
    </row>
    <row r="1208" spans="1:20" x14ac:dyDescent="0.3">
      <c r="A1208">
        <v>2055</v>
      </c>
      <c r="B1208">
        <v>489</v>
      </c>
      <c r="C1208" t="s">
        <v>24</v>
      </c>
      <c r="D1208" t="s">
        <v>19</v>
      </c>
      <c r="E1208" t="s">
        <v>26</v>
      </c>
      <c r="F1208" s="1">
        <v>44705</v>
      </c>
      <c r="G1208" s="1">
        <v>45214</v>
      </c>
      <c r="H1208">
        <v>4967.93</v>
      </c>
      <c r="I1208">
        <v>4246</v>
      </c>
      <c r="J1208">
        <v>-6020</v>
      </c>
      <c r="K1208" t="s">
        <v>35</v>
      </c>
      <c r="L1208">
        <v>16</v>
      </c>
      <c r="M1208" t="str">
        <f t="shared" si="18"/>
        <v>6-12 Months</v>
      </c>
      <c r="N1208" s="1">
        <v>45214</v>
      </c>
      <c r="O1208">
        <v>1</v>
      </c>
      <c r="P1208">
        <v>1207</v>
      </c>
      <c r="Q1208" s="2">
        <v>-1.21</v>
      </c>
      <c r="R1208" t="s">
        <v>22</v>
      </c>
      <c r="S1208">
        <v>2023</v>
      </c>
      <c r="T1208" t="s">
        <v>33</v>
      </c>
    </row>
    <row r="1209" spans="1:20" hidden="1" x14ac:dyDescent="0.3">
      <c r="A1209">
        <v>2056</v>
      </c>
      <c r="B1209">
        <v>362</v>
      </c>
      <c r="C1209" t="s">
        <v>24</v>
      </c>
      <c r="D1209" t="s">
        <v>29</v>
      </c>
      <c r="E1209" t="s">
        <v>20</v>
      </c>
      <c r="F1209" s="1">
        <v>44621</v>
      </c>
      <c r="G1209" s="1">
        <v>44861</v>
      </c>
      <c r="H1209">
        <v>3543</v>
      </c>
      <c r="I1209">
        <v>48</v>
      </c>
      <c r="J1209">
        <v>3495</v>
      </c>
      <c r="K1209" t="s">
        <v>54</v>
      </c>
      <c r="L1209">
        <v>7</v>
      </c>
      <c r="M1209" t="str">
        <f t="shared" si="18"/>
        <v>6-12 Months</v>
      </c>
      <c r="N1209" s="1">
        <v>44861</v>
      </c>
      <c r="O1209">
        <v>1</v>
      </c>
      <c r="P1209">
        <v>1208</v>
      </c>
      <c r="Q1209" s="2">
        <v>0.99</v>
      </c>
      <c r="R1209" t="s">
        <v>27</v>
      </c>
      <c r="S1209">
        <v>2022</v>
      </c>
      <c r="T1209" t="s">
        <v>33</v>
      </c>
    </row>
    <row r="1210" spans="1:20" x14ac:dyDescent="0.3">
      <c r="A1210">
        <v>2058</v>
      </c>
      <c r="B1210">
        <v>193</v>
      </c>
      <c r="C1210" t="s">
        <v>45</v>
      </c>
      <c r="D1210" t="s">
        <v>19</v>
      </c>
      <c r="E1210" t="s">
        <v>26</v>
      </c>
      <c r="F1210" s="1">
        <v>44688</v>
      </c>
      <c r="G1210" s="1">
        <v>45047</v>
      </c>
      <c r="H1210">
        <v>6965</v>
      </c>
      <c r="I1210">
        <v>6834</v>
      </c>
      <c r="J1210">
        <v>131</v>
      </c>
      <c r="K1210" t="s">
        <v>35</v>
      </c>
      <c r="L1210">
        <v>11</v>
      </c>
      <c r="M1210" t="str">
        <f t="shared" si="18"/>
        <v>6-12 Months</v>
      </c>
      <c r="N1210" s="1">
        <v>45047</v>
      </c>
      <c r="O1210">
        <v>1</v>
      </c>
      <c r="P1210">
        <v>1209</v>
      </c>
      <c r="Q1210" s="2">
        <v>0.02</v>
      </c>
      <c r="R1210" t="s">
        <v>27</v>
      </c>
      <c r="S1210">
        <v>2023</v>
      </c>
      <c r="T1210" t="s">
        <v>28</v>
      </c>
    </row>
    <row r="1211" spans="1:20" hidden="1" x14ac:dyDescent="0.3">
      <c r="A1211">
        <v>2059</v>
      </c>
      <c r="B1211">
        <v>121</v>
      </c>
      <c r="C1211" t="s">
        <v>24</v>
      </c>
      <c r="D1211" t="s">
        <v>34</v>
      </c>
      <c r="E1211" t="s">
        <v>20</v>
      </c>
      <c r="F1211" s="1">
        <v>44675</v>
      </c>
      <c r="G1211" s="1">
        <v>45244</v>
      </c>
      <c r="H1211">
        <v>3562</v>
      </c>
      <c r="I1211">
        <v>4012.75</v>
      </c>
      <c r="J1211">
        <v>3632</v>
      </c>
      <c r="K1211" t="s">
        <v>21</v>
      </c>
      <c r="L1211">
        <v>18</v>
      </c>
      <c r="M1211" t="str">
        <f t="shared" si="18"/>
        <v>6-12 Months</v>
      </c>
      <c r="N1211" s="1">
        <v>45244</v>
      </c>
      <c r="O1211">
        <v>0</v>
      </c>
      <c r="P1211">
        <v>1210</v>
      </c>
      <c r="Q1211" s="2">
        <v>1.02</v>
      </c>
      <c r="R1211" t="s">
        <v>22</v>
      </c>
      <c r="S1211">
        <v>2023</v>
      </c>
      <c r="T1211" t="s">
        <v>42</v>
      </c>
    </row>
    <row r="1212" spans="1:20" hidden="1" x14ac:dyDescent="0.3">
      <c r="A1212">
        <v>2060</v>
      </c>
      <c r="B1212">
        <v>120</v>
      </c>
      <c r="C1212" t="s">
        <v>45</v>
      </c>
      <c r="D1212" t="s">
        <v>25</v>
      </c>
      <c r="E1212" t="s">
        <v>20</v>
      </c>
      <c r="F1212" s="1">
        <v>44875</v>
      </c>
      <c r="G1212" s="1">
        <v>45113</v>
      </c>
      <c r="H1212">
        <v>165</v>
      </c>
      <c r="I1212">
        <v>6102</v>
      </c>
      <c r="J1212">
        <v>-5937</v>
      </c>
      <c r="K1212" t="s">
        <v>21</v>
      </c>
      <c r="L1212">
        <v>7</v>
      </c>
      <c r="M1212" t="str">
        <f t="shared" si="18"/>
        <v>6-12 Months</v>
      </c>
      <c r="N1212" s="1">
        <v>45113</v>
      </c>
      <c r="O1212">
        <v>0</v>
      </c>
      <c r="P1212">
        <v>1211</v>
      </c>
      <c r="Q1212" s="2">
        <v>-35.979999999999997</v>
      </c>
      <c r="R1212" t="s">
        <v>22</v>
      </c>
      <c r="S1212">
        <v>2023</v>
      </c>
      <c r="T1212" t="s">
        <v>44</v>
      </c>
    </row>
    <row r="1213" spans="1:20" hidden="1" x14ac:dyDescent="0.3">
      <c r="A1213">
        <v>2061</v>
      </c>
      <c r="B1213">
        <v>463</v>
      </c>
      <c r="C1213" t="s">
        <v>53</v>
      </c>
      <c r="D1213" t="s">
        <v>25</v>
      </c>
      <c r="E1213" t="s">
        <v>26</v>
      </c>
      <c r="F1213" s="1">
        <v>44842</v>
      </c>
      <c r="G1213" s="1">
        <v>45228</v>
      </c>
      <c r="H1213">
        <v>4967.93</v>
      </c>
      <c r="I1213">
        <v>6580</v>
      </c>
      <c r="J1213">
        <v>-6865</v>
      </c>
      <c r="K1213" t="s">
        <v>21</v>
      </c>
      <c r="L1213">
        <v>12</v>
      </c>
      <c r="M1213" t="str">
        <f t="shared" si="18"/>
        <v>6-12 Months</v>
      </c>
      <c r="N1213" s="1">
        <v>45228</v>
      </c>
      <c r="O1213">
        <v>1</v>
      </c>
      <c r="P1213">
        <v>1212</v>
      </c>
      <c r="Q1213" s="2">
        <v>-1.38</v>
      </c>
      <c r="R1213" t="s">
        <v>22</v>
      </c>
      <c r="S1213">
        <v>2023</v>
      </c>
      <c r="T1213" t="s">
        <v>33</v>
      </c>
    </row>
    <row r="1214" spans="1:20" x14ac:dyDescent="0.3">
      <c r="A1214">
        <v>2063</v>
      </c>
      <c r="B1214">
        <v>485</v>
      </c>
      <c r="C1214" t="s">
        <v>24</v>
      </c>
      <c r="D1214" t="s">
        <v>29</v>
      </c>
      <c r="E1214" t="s">
        <v>20</v>
      </c>
      <c r="F1214" s="1">
        <v>44922</v>
      </c>
      <c r="G1214" s="1">
        <v>45394</v>
      </c>
      <c r="H1214">
        <v>4967.93</v>
      </c>
      <c r="I1214">
        <v>5696</v>
      </c>
      <c r="J1214">
        <v>-6414</v>
      </c>
      <c r="K1214" t="s">
        <v>35</v>
      </c>
      <c r="L1214">
        <v>15</v>
      </c>
      <c r="M1214" t="str">
        <f t="shared" si="18"/>
        <v>6-12 Months</v>
      </c>
      <c r="N1214" s="1">
        <v>45394</v>
      </c>
      <c r="O1214">
        <v>1</v>
      </c>
      <c r="P1214">
        <v>1213</v>
      </c>
      <c r="Q1214" s="2">
        <v>-1.29</v>
      </c>
      <c r="R1214" t="s">
        <v>22</v>
      </c>
      <c r="S1214">
        <v>2024</v>
      </c>
      <c r="T1214" t="s">
        <v>32</v>
      </c>
    </row>
    <row r="1215" spans="1:20" hidden="1" x14ac:dyDescent="0.3">
      <c r="A1215">
        <v>2064</v>
      </c>
      <c r="B1215">
        <v>439</v>
      </c>
      <c r="C1215" t="s">
        <v>45</v>
      </c>
      <c r="D1215" t="s">
        <v>29</v>
      </c>
      <c r="E1215" t="s">
        <v>26</v>
      </c>
      <c r="F1215" s="1">
        <v>44683</v>
      </c>
      <c r="G1215" s="1">
        <v>45261</v>
      </c>
      <c r="H1215">
        <v>3555</v>
      </c>
      <c r="I1215">
        <v>468</v>
      </c>
      <c r="J1215">
        <v>3087</v>
      </c>
      <c r="K1215" t="s">
        <v>54</v>
      </c>
      <c r="L1215">
        <v>18</v>
      </c>
      <c r="M1215" t="str">
        <f t="shared" si="18"/>
        <v>6-12 Months</v>
      </c>
      <c r="N1215" s="1">
        <v>45261</v>
      </c>
      <c r="O1215">
        <v>0</v>
      </c>
      <c r="P1215">
        <v>1214</v>
      </c>
      <c r="Q1215" s="2">
        <v>0.87</v>
      </c>
      <c r="R1215" t="s">
        <v>27</v>
      </c>
      <c r="S1215">
        <v>2023</v>
      </c>
      <c r="T1215" t="s">
        <v>31</v>
      </c>
    </row>
    <row r="1216" spans="1:20" x14ac:dyDescent="0.3">
      <c r="A1216">
        <v>2066</v>
      </c>
      <c r="B1216">
        <v>258</v>
      </c>
      <c r="C1216" t="s">
        <v>39</v>
      </c>
      <c r="D1216" t="s">
        <v>19</v>
      </c>
      <c r="E1216" t="s">
        <v>37</v>
      </c>
      <c r="F1216" s="1">
        <v>44603</v>
      </c>
      <c r="G1216" s="1">
        <v>45152</v>
      </c>
      <c r="H1216">
        <v>2368</v>
      </c>
      <c r="I1216">
        <v>7802</v>
      </c>
      <c r="J1216">
        <v>-5434</v>
      </c>
      <c r="K1216" t="s">
        <v>35</v>
      </c>
      <c r="L1216">
        <v>18</v>
      </c>
      <c r="M1216" t="str">
        <f t="shared" si="18"/>
        <v>6-12 Months</v>
      </c>
      <c r="N1216" s="1">
        <v>45152</v>
      </c>
      <c r="O1216">
        <v>0</v>
      </c>
      <c r="P1216">
        <v>1215</v>
      </c>
      <c r="Q1216" s="2">
        <v>-2.29</v>
      </c>
      <c r="R1216" t="s">
        <v>22</v>
      </c>
      <c r="S1216">
        <v>2023</v>
      </c>
      <c r="T1216" t="s">
        <v>36</v>
      </c>
    </row>
    <row r="1217" spans="1:20" hidden="1" x14ac:dyDescent="0.3">
      <c r="A1217">
        <v>2067</v>
      </c>
      <c r="B1217">
        <v>117</v>
      </c>
      <c r="C1217" t="s">
        <v>24</v>
      </c>
      <c r="D1217" t="s">
        <v>34</v>
      </c>
      <c r="E1217" t="s">
        <v>26</v>
      </c>
      <c r="F1217" s="1">
        <v>44696</v>
      </c>
      <c r="G1217" s="1">
        <v>45120</v>
      </c>
      <c r="H1217">
        <v>5581</v>
      </c>
      <c r="I1217">
        <v>2452</v>
      </c>
      <c r="J1217">
        <v>3129</v>
      </c>
      <c r="K1217" t="s">
        <v>21</v>
      </c>
      <c r="L1217">
        <v>13</v>
      </c>
      <c r="M1217" t="str">
        <f t="shared" si="18"/>
        <v>6-12 Months</v>
      </c>
      <c r="N1217" s="1">
        <v>45120</v>
      </c>
      <c r="O1217">
        <v>1</v>
      </c>
      <c r="P1217">
        <v>1216</v>
      </c>
      <c r="Q1217" s="2">
        <v>0.56000000000000005</v>
      </c>
      <c r="R1217" t="s">
        <v>27</v>
      </c>
      <c r="S1217">
        <v>2023</v>
      </c>
      <c r="T1217" t="s">
        <v>44</v>
      </c>
    </row>
    <row r="1218" spans="1:20" hidden="1" x14ac:dyDescent="0.3">
      <c r="A1218">
        <v>2068</v>
      </c>
      <c r="B1218">
        <v>121</v>
      </c>
      <c r="C1218" t="s">
        <v>39</v>
      </c>
      <c r="D1218" t="s">
        <v>34</v>
      </c>
      <c r="E1218" t="s">
        <v>37</v>
      </c>
      <c r="F1218" s="1">
        <v>44621</v>
      </c>
      <c r="G1218" s="1">
        <v>45064</v>
      </c>
      <c r="H1218">
        <v>9009</v>
      </c>
      <c r="I1218">
        <v>4725</v>
      </c>
      <c r="J1218">
        <v>4284</v>
      </c>
      <c r="K1218" t="s">
        <v>54</v>
      </c>
      <c r="L1218">
        <v>14</v>
      </c>
      <c r="M1218" t="str">
        <f t="shared" ref="M1218:M1281" si="19">IF(L1218&lt;6,"0-6 Months",IF(L1218&gt;6,"6-12 Months","12+ Months"))</f>
        <v>6-12 Months</v>
      </c>
      <c r="N1218" s="1">
        <v>45064</v>
      </c>
      <c r="O1218">
        <v>0</v>
      </c>
      <c r="P1218">
        <v>1217</v>
      </c>
      <c r="Q1218" s="2">
        <v>0.48</v>
      </c>
      <c r="R1218" t="s">
        <v>27</v>
      </c>
      <c r="S1218">
        <v>2023</v>
      </c>
      <c r="T1218" t="s">
        <v>28</v>
      </c>
    </row>
    <row r="1219" spans="1:20" hidden="1" x14ac:dyDescent="0.3">
      <c r="A1219">
        <v>2069</v>
      </c>
      <c r="B1219">
        <v>157</v>
      </c>
      <c r="C1219" t="s">
        <v>39</v>
      </c>
      <c r="D1219" t="s">
        <v>29</v>
      </c>
      <c r="E1219" t="s">
        <v>20</v>
      </c>
      <c r="F1219" s="1">
        <v>44691</v>
      </c>
      <c r="G1219" s="1">
        <v>44739</v>
      </c>
      <c r="H1219">
        <v>8416</v>
      </c>
      <c r="I1219">
        <v>606</v>
      </c>
      <c r="J1219">
        <v>577.01</v>
      </c>
      <c r="K1219" t="s">
        <v>54</v>
      </c>
      <c r="L1219">
        <v>1</v>
      </c>
      <c r="M1219" t="str">
        <f t="shared" si="19"/>
        <v>0-6 Months</v>
      </c>
      <c r="N1219" s="1">
        <v>44739</v>
      </c>
      <c r="O1219">
        <v>1</v>
      </c>
      <c r="P1219">
        <v>1218</v>
      </c>
      <c r="Q1219" s="2">
        <v>7.0000000000000007E-2</v>
      </c>
      <c r="R1219" t="s">
        <v>27</v>
      </c>
      <c r="S1219">
        <v>2022</v>
      </c>
      <c r="T1219" t="s">
        <v>41</v>
      </c>
    </row>
    <row r="1220" spans="1:20" x14ac:dyDescent="0.3">
      <c r="A1220">
        <v>2070</v>
      </c>
      <c r="B1220">
        <v>382</v>
      </c>
      <c r="C1220" t="s">
        <v>24</v>
      </c>
      <c r="D1220" t="s">
        <v>25</v>
      </c>
      <c r="E1220" t="s">
        <v>26</v>
      </c>
      <c r="F1220" s="1">
        <v>44912</v>
      </c>
      <c r="G1220" s="1">
        <v>45462</v>
      </c>
      <c r="H1220">
        <v>9939</v>
      </c>
      <c r="I1220">
        <v>7878</v>
      </c>
      <c r="J1220">
        <v>2061</v>
      </c>
      <c r="K1220" t="s">
        <v>35</v>
      </c>
      <c r="L1220">
        <v>18</v>
      </c>
      <c r="M1220" t="str">
        <f t="shared" si="19"/>
        <v>6-12 Months</v>
      </c>
      <c r="N1220" s="1">
        <v>45462</v>
      </c>
      <c r="O1220">
        <v>0</v>
      </c>
      <c r="P1220">
        <v>1219</v>
      </c>
      <c r="Q1220" s="2">
        <v>0.21</v>
      </c>
      <c r="R1220" t="s">
        <v>27</v>
      </c>
      <c r="S1220">
        <v>2024</v>
      </c>
      <c r="T1220" t="s">
        <v>41</v>
      </c>
    </row>
    <row r="1221" spans="1:20" x14ac:dyDescent="0.3">
      <c r="A1221">
        <v>2071</v>
      </c>
      <c r="B1221">
        <v>289</v>
      </c>
      <c r="C1221" t="s">
        <v>40</v>
      </c>
      <c r="D1221" t="s">
        <v>25</v>
      </c>
      <c r="E1221" t="s">
        <v>37</v>
      </c>
      <c r="F1221" s="1">
        <v>44854</v>
      </c>
      <c r="G1221" s="1">
        <v>45013</v>
      </c>
      <c r="H1221">
        <v>4967.93</v>
      </c>
      <c r="I1221">
        <v>1682</v>
      </c>
      <c r="J1221">
        <v>-2004</v>
      </c>
      <c r="K1221" t="s">
        <v>35</v>
      </c>
      <c r="L1221">
        <v>5</v>
      </c>
      <c r="M1221" t="str">
        <f t="shared" si="19"/>
        <v>0-6 Months</v>
      </c>
      <c r="N1221" s="1">
        <v>45013</v>
      </c>
      <c r="O1221">
        <v>0</v>
      </c>
      <c r="P1221">
        <v>1220</v>
      </c>
      <c r="Q1221" s="2">
        <v>-0.4</v>
      </c>
      <c r="R1221" t="s">
        <v>27</v>
      </c>
      <c r="S1221">
        <v>2023</v>
      </c>
      <c r="T1221" t="s">
        <v>38</v>
      </c>
    </row>
    <row r="1222" spans="1:20" hidden="1" x14ac:dyDescent="0.3">
      <c r="A1222">
        <v>2072</v>
      </c>
      <c r="B1222">
        <v>482</v>
      </c>
      <c r="C1222" t="s">
        <v>53</v>
      </c>
      <c r="D1222" t="s">
        <v>29</v>
      </c>
      <c r="E1222" t="s">
        <v>20</v>
      </c>
      <c r="F1222" s="1">
        <v>44894</v>
      </c>
      <c r="G1222" s="1">
        <v>45022</v>
      </c>
      <c r="H1222">
        <v>5930</v>
      </c>
      <c r="I1222">
        <v>1843</v>
      </c>
      <c r="J1222">
        <v>4087</v>
      </c>
      <c r="K1222" t="s">
        <v>21</v>
      </c>
      <c r="L1222">
        <v>4</v>
      </c>
      <c r="M1222" t="str">
        <f t="shared" si="19"/>
        <v>0-6 Months</v>
      </c>
      <c r="N1222" s="1">
        <v>45022</v>
      </c>
      <c r="O1222">
        <v>1</v>
      </c>
      <c r="P1222">
        <v>1221</v>
      </c>
      <c r="Q1222" s="2">
        <v>0.69</v>
      </c>
      <c r="R1222" t="s">
        <v>27</v>
      </c>
      <c r="S1222">
        <v>2023</v>
      </c>
      <c r="T1222" t="s">
        <v>32</v>
      </c>
    </row>
    <row r="1223" spans="1:20" hidden="1" x14ac:dyDescent="0.3">
      <c r="A1223">
        <v>2073</v>
      </c>
      <c r="B1223">
        <v>411</v>
      </c>
      <c r="C1223" t="s">
        <v>53</v>
      </c>
      <c r="D1223" t="s">
        <v>34</v>
      </c>
      <c r="E1223" t="s">
        <v>26</v>
      </c>
      <c r="F1223" s="1">
        <v>44764</v>
      </c>
      <c r="G1223" s="1">
        <v>44982</v>
      </c>
      <c r="H1223">
        <v>4478</v>
      </c>
      <c r="I1223">
        <v>3286</v>
      </c>
      <c r="J1223">
        <v>1192</v>
      </c>
      <c r="K1223" t="s">
        <v>54</v>
      </c>
      <c r="L1223">
        <v>7</v>
      </c>
      <c r="M1223" t="str">
        <f t="shared" si="19"/>
        <v>6-12 Months</v>
      </c>
      <c r="N1223" s="1">
        <v>44982</v>
      </c>
      <c r="O1223">
        <v>1</v>
      </c>
      <c r="P1223">
        <v>1222</v>
      </c>
      <c r="Q1223" s="2">
        <v>0.27</v>
      </c>
      <c r="R1223" t="s">
        <v>27</v>
      </c>
      <c r="S1223">
        <v>2023</v>
      </c>
      <c r="T1223" t="s">
        <v>43</v>
      </c>
    </row>
    <row r="1224" spans="1:20" hidden="1" x14ac:dyDescent="0.3">
      <c r="A1224">
        <v>2074</v>
      </c>
      <c r="B1224">
        <v>136</v>
      </c>
      <c r="C1224" t="s">
        <v>39</v>
      </c>
      <c r="D1224" t="s">
        <v>34</v>
      </c>
      <c r="E1224" t="s">
        <v>26</v>
      </c>
      <c r="F1224" s="1">
        <v>44908</v>
      </c>
      <c r="G1224" s="1">
        <v>45194</v>
      </c>
      <c r="H1224">
        <v>4967.93</v>
      </c>
      <c r="I1224">
        <v>4709</v>
      </c>
      <c r="J1224">
        <v>-5773</v>
      </c>
      <c r="K1224" t="s">
        <v>21</v>
      </c>
      <c r="L1224">
        <v>9</v>
      </c>
      <c r="M1224" t="str">
        <f t="shared" si="19"/>
        <v>6-12 Months</v>
      </c>
      <c r="N1224" s="1">
        <v>45194</v>
      </c>
      <c r="O1224">
        <v>1</v>
      </c>
      <c r="P1224">
        <v>1223</v>
      </c>
      <c r="Q1224" s="2">
        <v>-1.1599999999999999</v>
      </c>
      <c r="R1224" t="s">
        <v>22</v>
      </c>
      <c r="S1224">
        <v>2023</v>
      </c>
      <c r="T1224" t="s">
        <v>30</v>
      </c>
    </row>
    <row r="1225" spans="1:20" x14ac:dyDescent="0.3">
      <c r="A1225">
        <v>2075</v>
      </c>
      <c r="B1225">
        <v>134</v>
      </c>
      <c r="C1225" t="s">
        <v>45</v>
      </c>
      <c r="D1225" t="s">
        <v>29</v>
      </c>
      <c r="E1225" t="s">
        <v>20</v>
      </c>
      <c r="F1225" s="1">
        <v>44827</v>
      </c>
      <c r="G1225" s="1">
        <v>44979</v>
      </c>
      <c r="H1225">
        <v>4967.93</v>
      </c>
      <c r="I1225">
        <v>3889</v>
      </c>
      <c r="J1225">
        <v>-4170</v>
      </c>
      <c r="K1225" t="s">
        <v>35</v>
      </c>
      <c r="L1225">
        <v>4</v>
      </c>
      <c r="M1225" t="str">
        <f t="shared" si="19"/>
        <v>0-6 Months</v>
      </c>
      <c r="N1225" s="1">
        <v>44979</v>
      </c>
      <c r="O1225">
        <v>1</v>
      </c>
      <c r="P1225">
        <v>1224</v>
      </c>
      <c r="Q1225" s="2">
        <v>-0.84</v>
      </c>
      <c r="R1225" t="s">
        <v>27</v>
      </c>
      <c r="S1225">
        <v>2023</v>
      </c>
      <c r="T1225" t="s">
        <v>43</v>
      </c>
    </row>
    <row r="1226" spans="1:20" hidden="1" x14ac:dyDescent="0.3">
      <c r="A1226">
        <v>2077</v>
      </c>
      <c r="B1226">
        <v>487</v>
      </c>
      <c r="C1226" t="s">
        <v>40</v>
      </c>
      <c r="D1226" t="s">
        <v>25</v>
      </c>
      <c r="E1226" t="s">
        <v>37</v>
      </c>
      <c r="F1226" s="1">
        <v>44806</v>
      </c>
      <c r="G1226" s="1">
        <v>45390</v>
      </c>
      <c r="H1226">
        <v>1457</v>
      </c>
      <c r="I1226">
        <v>241</v>
      </c>
      <c r="J1226">
        <v>1216</v>
      </c>
      <c r="K1226" t="s">
        <v>54</v>
      </c>
      <c r="L1226">
        <v>19</v>
      </c>
      <c r="M1226" t="str">
        <f t="shared" si="19"/>
        <v>6-12 Months</v>
      </c>
      <c r="N1226" s="1">
        <v>45390</v>
      </c>
      <c r="O1226">
        <v>1</v>
      </c>
      <c r="P1226">
        <v>1225</v>
      </c>
      <c r="Q1226" s="2">
        <v>0.83</v>
      </c>
      <c r="R1226" t="s">
        <v>27</v>
      </c>
      <c r="S1226">
        <v>2024</v>
      </c>
      <c r="T1226" t="s">
        <v>32</v>
      </c>
    </row>
    <row r="1227" spans="1:20" hidden="1" x14ac:dyDescent="0.3">
      <c r="A1227">
        <v>2078</v>
      </c>
      <c r="B1227">
        <v>133</v>
      </c>
      <c r="C1227" t="s">
        <v>53</v>
      </c>
      <c r="D1227" t="s">
        <v>29</v>
      </c>
      <c r="E1227" t="s">
        <v>26</v>
      </c>
      <c r="F1227" s="1">
        <v>44789</v>
      </c>
      <c r="G1227" s="1">
        <v>45100</v>
      </c>
      <c r="H1227">
        <v>2537</v>
      </c>
      <c r="I1227">
        <v>5249</v>
      </c>
      <c r="J1227">
        <v>577.01</v>
      </c>
      <c r="K1227" t="s">
        <v>54</v>
      </c>
      <c r="L1227">
        <v>10</v>
      </c>
      <c r="M1227" t="str">
        <f t="shared" si="19"/>
        <v>6-12 Months</v>
      </c>
      <c r="N1227" s="1">
        <v>45100</v>
      </c>
      <c r="O1227">
        <v>0</v>
      </c>
      <c r="P1227">
        <v>1226</v>
      </c>
      <c r="Q1227" s="2">
        <v>0.23</v>
      </c>
      <c r="R1227" t="s">
        <v>27</v>
      </c>
      <c r="S1227">
        <v>2023</v>
      </c>
      <c r="T1227" t="s">
        <v>41</v>
      </c>
    </row>
    <row r="1228" spans="1:20" hidden="1" x14ac:dyDescent="0.3">
      <c r="A1228">
        <v>2079</v>
      </c>
      <c r="B1228">
        <v>226</v>
      </c>
      <c r="C1228" t="s">
        <v>39</v>
      </c>
      <c r="D1228" t="s">
        <v>34</v>
      </c>
      <c r="E1228" t="s">
        <v>20</v>
      </c>
      <c r="F1228" s="1">
        <v>44802</v>
      </c>
      <c r="G1228" s="1">
        <v>45396</v>
      </c>
      <c r="H1228">
        <v>3290</v>
      </c>
      <c r="I1228">
        <v>2931</v>
      </c>
      <c r="J1228">
        <v>359</v>
      </c>
      <c r="K1228" t="s">
        <v>54</v>
      </c>
      <c r="L1228">
        <v>19</v>
      </c>
      <c r="M1228" t="str">
        <f t="shared" si="19"/>
        <v>6-12 Months</v>
      </c>
      <c r="N1228" s="1">
        <v>45396</v>
      </c>
      <c r="O1228">
        <v>1</v>
      </c>
      <c r="P1228">
        <v>1227</v>
      </c>
      <c r="Q1228" s="2">
        <v>0.11</v>
      </c>
      <c r="R1228" t="s">
        <v>27</v>
      </c>
      <c r="S1228">
        <v>2024</v>
      </c>
      <c r="T1228" t="s">
        <v>32</v>
      </c>
    </row>
    <row r="1229" spans="1:20" hidden="1" x14ac:dyDescent="0.3">
      <c r="A1229">
        <v>2080</v>
      </c>
      <c r="B1229">
        <v>286</v>
      </c>
      <c r="C1229" t="s">
        <v>53</v>
      </c>
      <c r="D1229" t="s">
        <v>25</v>
      </c>
      <c r="E1229" t="s">
        <v>26</v>
      </c>
      <c r="F1229" s="1">
        <v>44649</v>
      </c>
      <c r="G1229" s="1">
        <v>45072</v>
      </c>
      <c r="H1229">
        <v>6857</v>
      </c>
      <c r="I1229">
        <v>3414</v>
      </c>
      <c r="J1229">
        <v>3443</v>
      </c>
      <c r="K1229" t="s">
        <v>54</v>
      </c>
      <c r="L1229">
        <v>13</v>
      </c>
      <c r="M1229" t="str">
        <f t="shared" si="19"/>
        <v>6-12 Months</v>
      </c>
      <c r="N1229" s="1">
        <v>45072</v>
      </c>
      <c r="O1229">
        <v>0</v>
      </c>
      <c r="P1229">
        <v>1228</v>
      </c>
      <c r="Q1229" s="2">
        <v>0.5</v>
      </c>
      <c r="R1229" t="s">
        <v>27</v>
      </c>
      <c r="S1229">
        <v>2023</v>
      </c>
      <c r="T1229" t="s">
        <v>28</v>
      </c>
    </row>
    <row r="1230" spans="1:20" x14ac:dyDescent="0.3">
      <c r="A1230">
        <v>2081</v>
      </c>
      <c r="B1230">
        <v>385</v>
      </c>
      <c r="C1230" t="s">
        <v>24</v>
      </c>
      <c r="D1230" t="s">
        <v>19</v>
      </c>
      <c r="E1230" t="s">
        <v>20</v>
      </c>
      <c r="F1230" s="1">
        <v>44568</v>
      </c>
      <c r="G1230" s="1">
        <v>44857</v>
      </c>
      <c r="H1230">
        <v>1649</v>
      </c>
      <c r="I1230">
        <v>4107</v>
      </c>
      <c r="J1230">
        <v>-2458</v>
      </c>
      <c r="K1230" t="s">
        <v>35</v>
      </c>
      <c r="L1230">
        <v>9</v>
      </c>
      <c r="M1230" t="str">
        <f t="shared" si="19"/>
        <v>6-12 Months</v>
      </c>
      <c r="N1230" s="1">
        <v>44857</v>
      </c>
      <c r="O1230">
        <v>1</v>
      </c>
      <c r="P1230">
        <v>1229</v>
      </c>
      <c r="Q1230" s="2">
        <v>-1.49</v>
      </c>
      <c r="R1230" t="s">
        <v>22</v>
      </c>
      <c r="S1230">
        <v>2022</v>
      </c>
      <c r="T1230" t="s">
        <v>33</v>
      </c>
    </row>
    <row r="1231" spans="1:20" hidden="1" x14ac:dyDescent="0.3">
      <c r="A1231">
        <v>2083</v>
      </c>
      <c r="B1231">
        <v>167</v>
      </c>
      <c r="C1231" t="s">
        <v>39</v>
      </c>
      <c r="D1231" t="s">
        <v>19</v>
      </c>
      <c r="E1231" t="s">
        <v>26</v>
      </c>
      <c r="F1231" s="1">
        <v>44641</v>
      </c>
      <c r="G1231" s="1">
        <v>44681</v>
      </c>
      <c r="H1231">
        <v>573</v>
      </c>
      <c r="I1231">
        <v>4012.75</v>
      </c>
      <c r="J1231">
        <v>818</v>
      </c>
      <c r="K1231" t="s">
        <v>21</v>
      </c>
      <c r="L1231">
        <v>1</v>
      </c>
      <c r="M1231" t="str">
        <f t="shared" si="19"/>
        <v>0-6 Months</v>
      </c>
      <c r="N1231" s="1">
        <v>44681</v>
      </c>
      <c r="O1231">
        <v>0</v>
      </c>
      <c r="P1231">
        <v>1230</v>
      </c>
      <c r="Q1231" s="2">
        <v>1.43</v>
      </c>
      <c r="R1231" t="s">
        <v>22</v>
      </c>
      <c r="S1231">
        <v>2022</v>
      </c>
      <c r="T1231" t="s">
        <v>32</v>
      </c>
    </row>
    <row r="1232" spans="1:20" hidden="1" x14ac:dyDescent="0.3">
      <c r="A1232">
        <v>2085</v>
      </c>
      <c r="B1232">
        <v>451</v>
      </c>
      <c r="C1232" t="s">
        <v>45</v>
      </c>
      <c r="D1232" t="s">
        <v>25</v>
      </c>
      <c r="E1232" t="s">
        <v>26</v>
      </c>
      <c r="F1232" s="1">
        <v>44645</v>
      </c>
      <c r="G1232" s="1">
        <v>44906</v>
      </c>
      <c r="H1232">
        <v>7064</v>
      </c>
      <c r="I1232">
        <v>5832</v>
      </c>
      <c r="J1232">
        <v>1232</v>
      </c>
      <c r="K1232" t="s">
        <v>54</v>
      </c>
      <c r="L1232">
        <v>8</v>
      </c>
      <c r="M1232" t="str">
        <f t="shared" si="19"/>
        <v>6-12 Months</v>
      </c>
      <c r="N1232" s="1">
        <v>44906</v>
      </c>
      <c r="O1232">
        <v>1</v>
      </c>
      <c r="P1232">
        <v>1231</v>
      </c>
      <c r="Q1232" s="2">
        <v>0.17</v>
      </c>
      <c r="R1232" t="s">
        <v>27</v>
      </c>
      <c r="S1232">
        <v>2022</v>
      </c>
      <c r="T1232" t="s">
        <v>31</v>
      </c>
    </row>
    <row r="1233" spans="1:20" x14ac:dyDescent="0.3">
      <c r="A1233">
        <v>2087</v>
      </c>
      <c r="B1233">
        <v>230</v>
      </c>
      <c r="C1233" t="s">
        <v>24</v>
      </c>
      <c r="D1233" t="s">
        <v>25</v>
      </c>
      <c r="E1233" t="s">
        <v>26</v>
      </c>
      <c r="F1233" s="1">
        <v>44713</v>
      </c>
      <c r="G1233" s="1">
        <v>45285</v>
      </c>
      <c r="H1233">
        <v>3201</v>
      </c>
      <c r="I1233">
        <v>5350</v>
      </c>
      <c r="J1233">
        <v>577.01</v>
      </c>
      <c r="K1233" t="s">
        <v>35</v>
      </c>
      <c r="L1233">
        <v>18</v>
      </c>
      <c r="M1233" t="str">
        <f t="shared" si="19"/>
        <v>6-12 Months</v>
      </c>
      <c r="N1233" s="1">
        <v>45285</v>
      </c>
      <c r="O1233">
        <v>0</v>
      </c>
      <c r="P1233">
        <v>1232</v>
      </c>
      <c r="Q1233" s="2">
        <v>0.18</v>
      </c>
      <c r="R1233" t="s">
        <v>27</v>
      </c>
      <c r="S1233">
        <v>2023</v>
      </c>
      <c r="T1233" t="s">
        <v>31</v>
      </c>
    </row>
    <row r="1234" spans="1:20" hidden="1" x14ac:dyDescent="0.3">
      <c r="A1234">
        <v>2088</v>
      </c>
      <c r="B1234">
        <v>169</v>
      </c>
      <c r="C1234" t="s">
        <v>53</v>
      </c>
      <c r="D1234" t="s">
        <v>19</v>
      </c>
      <c r="E1234" t="s">
        <v>37</v>
      </c>
      <c r="F1234" s="1">
        <v>44808</v>
      </c>
      <c r="G1234" s="1">
        <v>45205</v>
      </c>
      <c r="H1234">
        <v>5028</v>
      </c>
      <c r="I1234">
        <v>7959</v>
      </c>
      <c r="J1234">
        <v>577.01</v>
      </c>
      <c r="K1234" t="s">
        <v>21</v>
      </c>
      <c r="L1234">
        <v>13</v>
      </c>
      <c r="M1234" t="str">
        <f t="shared" si="19"/>
        <v>6-12 Months</v>
      </c>
      <c r="N1234" s="1">
        <v>45205</v>
      </c>
      <c r="O1234">
        <v>1</v>
      </c>
      <c r="P1234">
        <v>1233</v>
      </c>
      <c r="Q1234" s="2">
        <v>0.11</v>
      </c>
      <c r="R1234" t="s">
        <v>27</v>
      </c>
      <c r="S1234">
        <v>2023</v>
      </c>
      <c r="T1234" t="s">
        <v>33</v>
      </c>
    </row>
    <row r="1235" spans="1:20" x14ac:dyDescent="0.3">
      <c r="A1235">
        <v>2089</v>
      </c>
      <c r="B1235">
        <v>296</v>
      </c>
      <c r="C1235" t="s">
        <v>40</v>
      </c>
      <c r="D1235" t="s">
        <v>34</v>
      </c>
      <c r="E1235" t="s">
        <v>37</v>
      </c>
      <c r="F1235" s="1">
        <v>44692</v>
      </c>
      <c r="G1235" s="1">
        <v>45033</v>
      </c>
      <c r="H1235">
        <v>4967.93</v>
      </c>
      <c r="I1235">
        <v>5963</v>
      </c>
      <c r="J1235">
        <v>577.01</v>
      </c>
      <c r="K1235" t="s">
        <v>35</v>
      </c>
      <c r="L1235">
        <v>11</v>
      </c>
      <c r="M1235" t="str">
        <f t="shared" si="19"/>
        <v>6-12 Months</v>
      </c>
      <c r="N1235" s="1">
        <v>45033</v>
      </c>
      <c r="O1235">
        <v>0</v>
      </c>
      <c r="P1235">
        <v>1234</v>
      </c>
      <c r="Q1235" s="2">
        <v>0.12</v>
      </c>
      <c r="R1235" t="s">
        <v>27</v>
      </c>
      <c r="S1235">
        <v>2023</v>
      </c>
      <c r="T1235" t="s">
        <v>32</v>
      </c>
    </row>
    <row r="1236" spans="1:20" x14ac:dyDescent="0.3">
      <c r="A1236">
        <v>2090</v>
      </c>
      <c r="B1236">
        <v>404</v>
      </c>
      <c r="C1236" t="s">
        <v>39</v>
      </c>
      <c r="D1236" t="s">
        <v>19</v>
      </c>
      <c r="E1236" t="s">
        <v>37</v>
      </c>
      <c r="F1236" s="1">
        <v>44864</v>
      </c>
      <c r="G1236" s="1">
        <v>45087</v>
      </c>
      <c r="H1236">
        <v>3804</v>
      </c>
      <c r="I1236">
        <v>7339</v>
      </c>
      <c r="J1236">
        <v>577.01</v>
      </c>
      <c r="K1236" t="s">
        <v>35</v>
      </c>
      <c r="L1236">
        <v>7</v>
      </c>
      <c r="M1236" t="str">
        <f t="shared" si="19"/>
        <v>6-12 Months</v>
      </c>
      <c r="N1236" s="1">
        <v>45087</v>
      </c>
      <c r="O1236">
        <v>0</v>
      </c>
      <c r="P1236">
        <v>1235</v>
      </c>
      <c r="Q1236" s="2">
        <v>0.15</v>
      </c>
      <c r="R1236" t="s">
        <v>27</v>
      </c>
      <c r="S1236">
        <v>2023</v>
      </c>
      <c r="T1236" t="s">
        <v>41</v>
      </c>
    </row>
    <row r="1237" spans="1:20" hidden="1" x14ac:dyDescent="0.3">
      <c r="A1237">
        <v>2091</v>
      </c>
      <c r="B1237">
        <v>286</v>
      </c>
      <c r="C1237" t="s">
        <v>24</v>
      </c>
      <c r="D1237" t="s">
        <v>34</v>
      </c>
      <c r="E1237" t="s">
        <v>37</v>
      </c>
      <c r="F1237" s="1">
        <v>44812</v>
      </c>
      <c r="G1237" s="1">
        <v>45037</v>
      </c>
      <c r="H1237">
        <v>9316</v>
      </c>
      <c r="I1237">
        <v>2314</v>
      </c>
      <c r="J1237">
        <v>7002</v>
      </c>
      <c r="K1237" t="s">
        <v>54</v>
      </c>
      <c r="L1237">
        <v>7</v>
      </c>
      <c r="M1237" t="str">
        <f t="shared" si="19"/>
        <v>6-12 Months</v>
      </c>
      <c r="N1237" s="1">
        <v>45037</v>
      </c>
      <c r="O1237">
        <v>1</v>
      </c>
      <c r="P1237">
        <v>1236</v>
      </c>
      <c r="Q1237" s="2">
        <v>0.75</v>
      </c>
      <c r="R1237" t="s">
        <v>27</v>
      </c>
      <c r="S1237">
        <v>2023</v>
      </c>
      <c r="T1237" t="s">
        <v>32</v>
      </c>
    </row>
    <row r="1238" spans="1:20" hidden="1" x14ac:dyDescent="0.3">
      <c r="A1238">
        <v>2092</v>
      </c>
      <c r="B1238">
        <v>152</v>
      </c>
      <c r="C1238" t="s">
        <v>39</v>
      </c>
      <c r="D1238" t="s">
        <v>34</v>
      </c>
      <c r="E1238" t="s">
        <v>20</v>
      </c>
      <c r="F1238" s="1">
        <v>44767</v>
      </c>
      <c r="G1238" s="1">
        <v>45283</v>
      </c>
      <c r="H1238">
        <v>2194</v>
      </c>
      <c r="I1238">
        <v>6836</v>
      </c>
      <c r="J1238">
        <v>577.01</v>
      </c>
      <c r="K1238" t="s">
        <v>54</v>
      </c>
      <c r="L1238">
        <v>16</v>
      </c>
      <c r="M1238" t="str">
        <f t="shared" si="19"/>
        <v>6-12 Months</v>
      </c>
      <c r="N1238" s="1">
        <v>45283</v>
      </c>
      <c r="O1238">
        <v>0</v>
      </c>
      <c r="P1238">
        <v>1237</v>
      </c>
      <c r="Q1238" s="2">
        <v>0.26</v>
      </c>
      <c r="R1238" t="s">
        <v>27</v>
      </c>
      <c r="S1238">
        <v>2023</v>
      </c>
      <c r="T1238" t="s">
        <v>31</v>
      </c>
    </row>
    <row r="1239" spans="1:20" hidden="1" x14ac:dyDescent="0.3">
      <c r="A1239">
        <v>2095</v>
      </c>
      <c r="B1239">
        <v>149</v>
      </c>
      <c r="C1239" t="s">
        <v>39</v>
      </c>
      <c r="D1239" t="s">
        <v>25</v>
      </c>
      <c r="E1239" t="s">
        <v>26</v>
      </c>
      <c r="F1239" s="1">
        <v>44753</v>
      </c>
      <c r="G1239" s="1">
        <v>44968</v>
      </c>
      <c r="H1239">
        <v>4967.93</v>
      </c>
      <c r="I1239">
        <v>1937</v>
      </c>
      <c r="J1239">
        <v>-2231</v>
      </c>
      <c r="K1239" t="s">
        <v>21</v>
      </c>
      <c r="L1239">
        <v>7</v>
      </c>
      <c r="M1239" t="str">
        <f t="shared" si="19"/>
        <v>6-12 Months</v>
      </c>
      <c r="N1239" s="1">
        <v>44968</v>
      </c>
      <c r="O1239">
        <v>0</v>
      </c>
      <c r="P1239">
        <v>1238</v>
      </c>
      <c r="Q1239" s="2">
        <v>-0.45</v>
      </c>
      <c r="R1239" t="s">
        <v>27</v>
      </c>
      <c r="S1239">
        <v>2023</v>
      </c>
      <c r="T1239" t="s">
        <v>43</v>
      </c>
    </row>
    <row r="1240" spans="1:20" hidden="1" x14ac:dyDescent="0.3">
      <c r="A1240">
        <v>2098</v>
      </c>
      <c r="B1240">
        <v>359</v>
      </c>
      <c r="C1240" t="s">
        <v>53</v>
      </c>
      <c r="D1240" t="s">
        <v>34</v>
      </c>
      <c r="E1240" t="s">
        <v>37</v>
      </c>
      <c r="F1240" s="1">
        <v>44615</v>
      </c>
      <c r="G1240" s="1">
        <v>45207</v>
      </c>
      <c r="H1240">
        <v>4967.93</v>
      </c>
      <c r="I1240">
        <v>1105</v>
      </c>
      <c r="J1240">
        <v>-2434</v>
      </c>
      <c r="K1240" t="s">
        <v>54</v>
      </c>
      <c r="L1240">
        <v>19</v>
      </c>
      <c r="M1240" t="str">
        <f t="shared" si="19"/>
        <v>6-12 Months</v>
      </c>
      <c r="N1240" s="1">
        <v>45207</v>
      </c>
      <c r="O1240">
        <v>1</v>
      </c>
      <c r="P1240">
        <v>1239</v>
      </c>
      <c r="Q1240" s="2">
        <v>-0.49</v>
      </c>
      <c r="R1240" t="s">
        <v>27</v>
      </c>
      <c r="S1240">
        <v>2023</v>
      </c>
      <c r="T1240" t="s">
        <v>33</v>
      </c>
    </row>
    <row r="1241" spans="1:20" hidden="1" x14ac:dyDescent="0.3">
      <c r="A1241">
        <v>2100</v>
      </c>
      <c r="B1241">
        <v>344</v>
      </c>
      <c r="C1241" t="s">
        <v>45</v>
      </c>
      <c r="D1241" t="s">
        <v>34</v>
      </c>
      <c r="E1241" t="s">
        <v>37</v>
      </c>
      <c r="F1241" s="1">
        <v>44699</v>
      </c>
      <c r="G1241" s="1">
        <v>44848</v>
      </c>
      <c r="H1241">
        <v>8646</v>
      </c>
      <c r="I1241">
        <v>614</v>
      </c>
      <c r="J1241">
        <v>8032</v>
      </c>
      <c r="K1241" t="s">
        <v>54</v>
      </c>
      <c r="L1241">
        <v>4</v>
      </c>
      <c r="M1241" t="str">
        <f t="shared" si="19"/>
        <v>0-6 Months</v>
      </c>
      <c r="N1241" s="1">
        <v>44848</v>
      </c>
      <c r="O1241">
        <v>1</v>
      </c>
      <c r="P1241">
        <v>1240</v>
      </c>
      <c r="Q1241" s="2">
        <v>0.93</v>
      </c>
      <c r="R1241" t="s">
        <v>27</v>
      </c>
      <c r="S1241">
        <v>2022</v>
      </c>
      <c r="T1241" t="s">
        <v>33</v>
      </c>
    </row>
    <row r="1242" spans="1:20" x14ac:dyDescent="0.3">
      <c r="A1242">
        <v>2101</v>
      </c>
      <c r="B1242">
        <v>450</v>
      </c>
      <c r="C1242" t="s">
        <v>39</v>
      </c>
      <c r="D1242" t="s">
        <v>34</v>
      </c>
      <c r="E1242" t="s">
        <v>20</v>
      </c>
      <c r="F1242" s="1">
        <v>44566</v>
      </c>
      <c r="G1242" s="1">
        <v>45016</v>
      </c>
      <c r="H1242">
        <v>5220</v>
      </c>
      <c r="I1242">
        <v>4508</v>
      </c>
      <c r="J1242">
        <v>712</v>
      </c>
      <c r="K1242" t="s">
        <v>35</v>
      </c>
      <c r="L1242">
        <v>14</v>
      </c>
      <c r="M1242" t="str">
        <f t="shared" si="19"/>
        <v>6-12 Months</v>
      </c>
      <c r="N1242" s="1">
        <v>45016</v>
      </c>
      <c r="O1242">
        <v>1</v>
      </c>
      <c r="P1242">
        <v>1241</v>
      </c>
      <c r="Q1242" s="2">
        <v>0.14000000000000001</v>
      </c>
      <c r="R1242" t="s">
        <v>27</v>
      </c>
      <c r="S1242">
        <v>2023</v>
      </c>
      <c r="T1242" t="s">
        <v>38</v>
      </c>
    </row>
    <row r="1243" spans="1:20" x14ac:dyDescent="0.3">
      <c r="A1243">
        <v>2102</v>
      </c>
      <c r="B1243">
        <v>238</v>
      </c>
      <c r="C1243" t="s">
        <v>53</v>
      </c>
      <c r="D1243" t="s">
        <v>25</v>
      </c>
      <c r="E1243" t="s">
        <v>37</v>
      </c>
      <c r="F1243" s="1">
        <v>44757</v>
      </c>
      <c r="G1243" s="1">
        <v>45022</v>
      </c>
      <c r="H1243">
        <v>3295</v>
      </c>
      <c r="I1243">
        <v>4012.75</v>
      </c>
      <c r="J1243">
        <v>3456</v>
      </c>
      <c r="K1243" t="s">
        <v>35</v>
      </c>
      <c r="L1243">
        <v>8</v>
      </c>
      <c r="M1243" t="str">
        <f t="shared" si="19"/>
        <v>6-12 Months</v>
      </c>
      <c r="N1243" s="1">
        <v>45022</v>
      </c>
      <c r="O1243">
        <v>1</v>
      </c>
      <c r="P1243">
        <v>1242</v>
      </c>
      <c r="Q1243" s="2">
        <v>1.05</v>
      </c>
      <c r="R1243" t="s">
        <v>22</v>
      </c>
      <c r="S1243">
        <v>2023</v>
      </c>
      <c r="T1243" t="s">
        <v>32</v>
      </c>
    </row>
    <row r="1244" spans="1:20" x14ac:dyDescent="0.3">
      <c r="A1244">
        <v>2105</v>
      </c>
      <c r="B1244">
        <v>204</v>
      </c>
      <c r="C1244" t="s">
        <v>39</v>
      </c>
      <c r="D1244" t="s">
        <v>34</v>
      </c>
      <c r="E1244" t="s">
        <v>37</v>
      </c>
      <c r="F1244" s="1">
        <v>44752</v>
      </c>
      <c r="G1244" s="1">
        <v>45021</v>
      </c>
      <c r="H1244">
        <v>8842</v>
      </c>
      <c r="I1244">
        <v>5339</v>
      </c>
      <c r="J1244">
        <v>3503</v>
      </c>
      <c r="K1244" t="s">
        <v>35</v>
      </c>
      <c r="L1244">
        <v>8</v>
      </c>
      <c r="M1244" t="str">
        <f t="shared" si="19"/>
        <v>6-12 Months</v>
      </c>
      <c r="N1244" s="1">
        <v>45021</v>
      </c>
      <c r="O1244">
        <v>1</v>
      </c>
      <c r="P1244">
        <v>1243</v>
      </c>
      <c r="Q1244" s="2">
        <v>0.4</v>
      </c>
      <c r="R1244" t="s">
        <v>27</v>
      </c>
      <c r="S1244">
        <v>2023</v>
      </c>
      <c r="T1244" t="s">
        <v>32</v>
      </c>
    </row>
    <row r="1245" spans="1:20" x14ac:dyDescent="0.3">
      <c r="A1245">
        <v>2108</v>
      </c>
      <c r="B1245">
        <v>466</v>
      </c>
      <c r="C1245" t="s">
        <v>24</v>
      </c>
      <c r="D1245" t="s">
        <v>29</v>
      </c>
      <c r="E1245" t="s">
        <v>26</v>
      </c>
      <c r="F1245" s="1">
        <v>44876</v>
      </c>
      <c r="G1245" s="1">
        <v>45179</v>
      </c>
      <c r="H1245">
        <v>4967.93</v>
      </c>
      <c r="I1245">
        <v>2086</v>
      </c>
      <c r="J1245">
        <v>577.01</v>
      </c>
      <c r="K1245" t="s">
        <v>35</v>
      </c>
      <c r="L1245">
        <v>9</v>
      </c>
      <c r="M1245" t="str">
        <f t="shared" si="19"/>
        <v>6-12 Months</v>
      </c>
      <c r="N1245" s="1">
        <v>45179</v>
      </c>
      <c r="O1245">
        <v>0</v>
      </c>
      <c r="P1245">
        <v>1244</v>
      </c>
      <c r="Q1245" s="2">
        <v>0.12</v>
      </c>
      <c r="R1245" t="s">
        <v>27</v>
      </c>
      <c r="S1245">
        <v>2023</v>
      </c>
      <c r="T1245" t="s">
        <v>30</v>
      </c>
    </row>
    <row r="1246" spans="1:20" hidden="1" x14ac:dyDescent="0.3">
      <c r="A1246">
        <v>2109</v>
      </c>
      <c r="B1246">
        <v>426</v>
      </c>
      <c r="C1246" t="s">
        <v>40</v>
      </c>
      <c r="D1246" t="s">
        <v>34</v>
      </c>
      <c r="E1246" t="s">
        <v>20</v>
      </c>
      <c r="F1246" s="1">
        <v>44762</v>
      </c>
      <c r="G1246" s="1">
        <v>44883</v>
      </c>
      <c r="H1246">
        <v>7556</v>
      </c>
      <c r="I1246">
        <v>5534</v>
      </c>
      <c r="J1246">
        <v>2022</v>
      </c>
      <c r="K1246" t="s">
        <v>54</v>
      </c>
      <c r="L1246">
        <v>3</v>
      </c>
      <c r="M1246" t="str">
        <f t="shared" si="19"/>
        <v>0-6 Months</v>
      </c>
      <c r="N1246" s="1">
        <v>44883</v>
      </c>
      <c r="O1246">
        <v>0</v>
      </c>
      <c r="P1246">
        <v>1245</v>
      </c>
      <c r="Q1246" s="2">
        <v>0.27</v>
      </c>
      <c r="R1246" t="s">
        <v>27</v>
      </c>
      <c r="S1246">
        <v>2022</v>
      </c>
      <c r="T1246" t="s">
        <v>42</v>
      </c>
    </row>
    <row r="1247" spans="1:20" x14ac:dyDescent="0.3">
      <c r="A1247">
        <v>2110</v>
      </c>
      <c r="B1247">
        <v>359</v>
      </c>
      <c r="C1247" t="s">
        <v>53</v>
      </c>
      <c r="D1247" t="s">
        <v>29</v>
      </c>
      <c r="E1247" t="s">
        <v>37</v>
      </c>
      <c r="F1247" s="1">
        <v>44782</v>
      </c>
      <c r="G1247" s="1">
        <v>44819</v>
      </c>
      <c r="H1247">
        <v>5168</v>
      </c>
      <c r="I1247">
        <v>3886</v>
      </c>
      <c r="J1247">
        <v>1282</v>
      </c>
      <c r="K1247" t="s">
        <v>35</v>
      </c>
      <c r="L1247">
        <v>1</v>
      </c>
      <c r="M1247" t="str">
        <f t="shared" si="19"/>
        <v>0-6 Months</v>
      </c>
      <c r="N1247" s="1">
        <v>44819</v>
      </c>
      <c r="O1247">
        <v>0</v>
      </c>
      <c r="P1247">
        <v>1246</v>
      </c>
      <c r="Q1247" s="2">
        <v>0.25</v>
      </c>
      <c r="R1247" t="s">
        <v>27</v>
      </c>
      <c r="S1247">
        <v>2022</v>
      </c>
      <c r="T1247" t="s">
        <v>30</v>
      </c>
    </row>
    <row r="1248" spans="1:20" hidden="1" x14ac:dyDescent="0.3">
      <c r="A1248">
        <v>2112</v>
      </c>
      <c r="B1248">
        <v>283</v>
      </c>
      <c r="C1248" t="s">
        <v>39</v>
      </c>
      <c r="D1248" t="s">
        <v>19</v>
      </c>
      <c r="E1248" t="s">
        <v>37</v>
      </c>
      <c r="F1248" s="1">
        <v>44728</v>
      </c>
      <c r="G1248" s="1">
        <v>45196</v>
      </c>
      <c r="H1248">
        <v>1985</v>
      </c>
      <c r="I1248">
        <v>1359</v>
      </c>
      <c r="J1248">
        <v>626</v>
      </c>
      <c r="K1248" t="s">
        <v>54</v>
      </c>
      <c r="L1248">
        <v>15</v>
      </c>
      <c r="M1248" t="str">
        <f t="shared" si="19"/>
        <v>6-12 Months</v>
      </c>
      <c r="N1248" s="1">
        <v>45196</v>
      </c>
      <c r="O1248">
        <v>1</v>
      </c>
      <c r="P1248">
        <v>1247</v>
      </c>
      <c r="Q1248" s="2">
        <v>0.32</v>
      </c>
      <c r="R1248" t="s">
        <v>27</v>
      </c>
      <c r="S1248">
        <v>2023</v>
      </c>
      <c r="T1248" t="s">
        <v>30</v>
      </c>
    </row>
    <row r="1249" spans="1:20" hidden="1" x14ac:dyDescent="0.3">
      <c r="A1249">
        <v>2113</v>
      </c>
      <c r="B1249">
        <v>380</v>
      </c>
      <c r="C1249" t="s">
        <v>45</v>
      </c>
      <c r="D1249" t="s">
        <v>34</v>
      </c>
      <c r="E1249" t="s">
        <v>20</v>
      </c>
      <c r="F1249" s="1">
        <v>44909</v>
      </c>
      <c r="G1249" s="1">
        <v>45425</v>
      </c>
      <c r="H1249">
        <v>4967.93</v>
      </c>
      <c r="I1249">
        <v>5704</v>
      </c>
      <c r="J1249">
        <v>-7278</v>
      </c>
      <c r="K1249" t="s">
        <v>54</v>
      </c>
      <c r="L1249">
        <v>16</v>
      </c>
      <c r="M1249" t="str">
        <f t="shared" si="19"/>
        <v>6-12 Months</v>
      </c>
      <c r="N1249" s="1">
        <v>45425</v>
      </c>
      <c r="O1249">
        <v>0</v>
      </c>
      <c r="P1249">
        <v>1248</v>
      </c>
      <c r="Q1249" s="2">
        <v>-1.46</v>
      </c>
      <c r="R1249" t="s">
        <v>22</v>
      </c>
      <c r="S1249">
        <v>2024</v>
      </c>
      <c r="T1249" t="s">
        <v>28</v>
      </c>
    </row>
    <row r="1250" spans="1:20" hidden="1" x14ac:dyDescent="0.3">
      <c r="A1250">
        <v>2116</v>
      </c>
      <c r="B1250">
        <v>246</v>
      </c>
      <c r="C1250" t="s">
        <v>24</v>
      </c>
      <c r="D1250" t="s">
        <v>29</v>
      </c>
      <c r="E1250" t="s">
        <v>20</v>
      </c>
      <c r="F1250" s="1">
        <v>44832</v>
      </c>
      <c r="G1250" s="1">
        <v>45275</v>
      </c>
      <c r="H1250">
        <v>6587</v>
      </c>
      <c r="I1250">
        <v>1789</v>
      </c>
      <c r="J1250">
        <v>577.01</v>
      </c>
      <c r="K1250" t="s">
        <v>54</v>
      </c>
      <c r="L1250">
        <v>14</v>
      </c>
      <c r="M1250" t="str">
        <f t="shared" si="19"/>
        <v>6-12 Months</v>
      </c>
      <c r="N1250" s="1">
        <v>45275</v>
      </c>
      <c r="O1250">
        <v>1</v>
      </c>
      <c r="P1250">
        <v>1249</v>
      </c>
      <c r="Q1250" s="2">
        <v>0.09</v>
      </c>
      <c r="R1250" t="s">
        <v>27</v>
      </c>
      <c r="S1250">
        <v>2023</v>
      </c>
      <c r="T1250" t="s">
        <v>31</v>
      </c>
    </row>
    <row r="1251" spans="1:20" hidden="1" x14ac:dyDescent="0.3">
      <c r="A1251">
        <v>2118</v>
      </c>
      <c r="B1251">
        <v>207</v>
      </c>
      <c r="C1251" t="s">
        <v>40</v>
      </c>
      <c r="D1251" t="s">
        <v>19</v>
      </c>
      <c r="E1251" t="s">
        <v>26</v>
      </c>
      <c r="F1251" s="1">
        <v>44689</v>
      </c>
      <c r="G1251" s="1">
        <v>45255</v>
      </c>
      <c r="H1251">
        <v>4967.93</v>
      </c>
      <c r="I1251">
        <v>5761</v>
      </c>
      <c r="J1251">
        <v>-7069</v>
      </c>
      <c r="K1251" t="s">
        <v>21</v>
      </c>
      <c r="L1251">
        <v>18</v>
      </c>
      <c r="M1251" t="str">
        <f t="shared" si="19"/>
        <v>6-12 Months</v>
      </c>
      <c r="N1251" s="1">
        <v>45255</v>
      </c>
      <c r="O1251">
        <v>1</v>
      </c>
      <c r="P1251">
        <v>1250</v>
      </c>
      <c r="Q1251" s="2">
        <v>-1.42</v>
      </c>
      <c r="R1251" t="s">
        <v>22</v>
      </c>
      <c r="S1251">
        <v>2023</v>
      </c>
      <c r="T1251" t="s">
        <v>42</v>
      </c>
    </row>
    <row r="1252" spans="1:20" hidden="1" x14ac:dyDescent="0.3">
      <c r="A1252">
        <v>2119</v>
      </c>
      <c r="B1252">
        <v>122</v>
      </c>
      <c r="C1252" t="s">
        <v>24</v>
      </c>
      <c r="D1252" t="s">
        <v>34</v>
      </c>
      <c r="E1252" t="s">
        <v>26</v>
      </c>
      <c r="F1252" s="1">
        <v>44726</v>
      </c>
      <c r="G1252" s="1">
        <v>45123</v>
      </c>
      <c r="H1252">
        <v>4060</v>
      </c>
      <c r="I1252">
        <v>3434</v>
      </c>
      <c r="J1252">
        <v>626</v>
      </c>
      <c r="K1252" t="s">
        <v>54</v>
      </c>
      <c r="L1252">
        <v>13</v>
      </c>
      <c r="M1252" t="str">
        <f t="shared" si="19"/>
        <v>6-12 Months</v>
      </c>
      <c r="N1252" s="1">
        <v>45123</v>
      </c>
      <c r="O1252">
        <v>0</v>
      </c>
      <c r="P1252">
        <v>1251</v>
      </c>
      <c r="Q1252" s="2">
        <v>0.15</v>
      </c>
      <c r="R1252" t="s">
        <v>27</v>
      </c>
      <c r="S1252">
        <v>2023</v>
      </c>
      <c r="T1252" t="s">
        <v>44</v>
      </c>
    </row>
    <row r="1253" spans="1:20" hidden="1" x14ac:dyDescent="0.3">
      <c r="A1253">
        <v>2124</v>
      </c>
      <c r="B1253">
        <v>269</v>
      </c>
      <c r="C1253" t="s">
        <v>45</v>
      </c>
      <c r="D1253" t="s">
        <v>25</v>
      </c>
      <c r="E1253" t="s">
        <v>26</v>
      </c>
      <c r="F1253" s="1">
        <v>44613</v>
      </c>
      <c r="G1253" s="1">
        <v>45045</v>
      </c>
      <c r="H1253">
        <v>5470</v>
      </c>
      <c r="I1253">
        <v>5132</v>
      </c>
      <c r="J1253">
        <v>338</v>
      </c>
      <c r="K1253" t="s">
        <v>54</v>
      </c>
      <c r="L1253">
        <v>14</v>
      </c>
      <c r="M1253" t="str">
        <f t="shared" si="19"/>
        <v>6-12 Months</v>
      </c>
      <c r="N1253" s="1">
        <v>45045</v>
      </c>
      <c r="O1253">
        <v>0</v>
      </c>
      <c r="P1253">
        <v>1252</v>
      </c>
      <c r="Q1253" s="2">
        <v>0.06</v>
      </c>
      <c r="R1253" t="s">
        <v>27</v>
      </c>
      <c r="S1253">
        <v>2023</v>
      </c>
      <c r="T1253" t="s">
        <v>32</v>
      </c>
    </row>
    <row r="1254" spans="1:20" hidden="1" x14ac:dyDescent="0.3">
      <c r="A1254">
        <v>2125</v>
      </c>
      <c r="B1254">
        <v>373</v>
      </c>
      <c r="C1254" t="s">
        <v>45</v>
      </c>
      <c r="D1254" t="s">
        <v>29</v>
      </c>
      <c r="E1254" t="s">
        <v>20</v>
      </c>
      <c r="F1254" s="1">
        <v>44778</v>
      </c>
      <c r="G1254" s="1">
        <v>45264</v>
      </c>
      <c r="H1254">
        <v>6128</v>
      </c>
      <c r="I1254">
        <v>117</v>
      </c>
      <c r="J1254">
        <v>6011</v>
      </c>
      <c r="K1254" t="s">
        <v>54</v>
      </c>
      <c r="L1254">
        <v>15</v>
      </c>
      <c r="M1254" t="str">
        <f t="shared" si="19"/>
        <v>6-12 Months</v>
      </c>
      <c r="N1254" s="1">
        <v>45264</v>
      </c>
      <c r="O1254">
        <v>1</v>
      </c>
      <c r="P1254">
        <v>1253</v>
      </c>
      <c r="Q1254" s="2">
        <v>0.98</v>
      </c>
      <c r="R1254" t="s">
        <v>27</v>
      </c>
      <c r="S1254">
        <v>2023</v>
      </c>
      <c r="T1254" t="s">
        <v>31</v>
      </c>
    </row>
    <row r="1255" spans="1:20" hidden="1" x14ac:dyDescent="0.3">
      <c r="A1255">
        <v>2128</v>
      </c>
      <c r="B1255">
        <v>426</v>
      </c>
      <c r="C1255" t="s">
        <v>53</v>
      </c>
      <c r="D1255" t="s">
        <v>29</v>
      </c>
      <c r="E1255" t="s">
        <v>20</v>
      </c>
      <c r="F1255" s="1">
        <v>44731</v>
      </c>
      <c r="G1255" s="1">
        <v>44982</v>
      </c>
      <c r="H1255">
        <v>5057</v>
      </c>
      <c r="I1255">
        <v>989</v>
      </c>
      <c r="J1255">
        <v>577.01</v>
      </c>
      <c r="K1255" t="s">
        <v>54</v>
      </c>
      <c r="L1255">
        <v>8</v>
      </c>
      <c r="M1255" t="str">
        <f t="shared" si="19"/>
        <v>6-12 Months</v>
      </c>
      <c r="N1255" s="1">
        <v>44982</v>
      </c>
      <c r="O1255">
        <v>1</v>
      </c>
      <c r="P1255">
        <v>1254</v>
      </c>
      <c r="Q1255" s="2">
        <v>0.11</v>
      </c>
      <c r="R1255" t="s">
        <v>27</v>
      </c>
      <c r="S1255">
        <v>2023</v>
      </c>
      <c r="T1255" t="s">
        <v>43</v>
      </c>
    </row>
    <row r="1256" spans="1:20" hidden="1" x14ac:dyDescent="0.3">
      <c r="A1256">
        <v>2130</v>
      </c>
      <c r="B1256">
        <v>330</v>
      </c>
      <c r="C1256" t="s">
        <v>40</v>
      </c>
      <c r="D1256" t="s">
        <v>29</v>
      </c>
      <c r="E1256" t="s">
        <v>37</v>
      </c>
      <c r="F1256" s="1">
        <v>44594</v>
      </c>
      <c r="G1256" s="1">
        <v>44811</v>
      </c>
      <c r="H1256">
        <v>846</v>
      </c>
      <c r="I1256">
        <v>4269</v>
      </c>
      <c r="J1256">
        <v>-3423</v>
      </c>
      <c r="K1256" t="s">
        <v>21</v>
      </c>
      <c r="L1256">
        <v>7</v>
      </c>
      <c r="M1256" t="str">
        <f t="shared" si="19"/>
        <v>6-12 Months</v>
      </c>
      <c r="N1256" s="1">
        <v>44811</v>
      </c>
      <c r="O1256">
        <v>0</v>
      </c>
      <c r="P1256">
        <v>1255</v>
      </c>
      <c r="Q1256" s="2">
        <v>-4.05</v>
      </c>
      <c r="R1256" t="s">
        <v>22</v>
      </c>
      <c r="S1256">
        <v>2022</v>
      </c>
      <c r="T1256" t="s">
        <v>30</v>
      </c>
    </row>
    <row r="1257" spans="1:20" hidden="1" x14ac:dyDescent="0.3">
      <c r="A1257">
        <v>2131</v>
      </c>
      <c r="B1257">
        <v>197</v>
      </c>
      <c r="C1257" t="s">
        <v>45</v>
      </c>
      <c r="D1257" t="s">
        <v>29</v>
      </c>
      <c r="E1257" t="s">
        <v>26</v>
      </c>
      <c r="F1257" s="1">
        <v>44594</v>
      </c>
      <c r="G1257" s="1">
        <v>44996</v>
      </c>
      <c r="H1257">
        <v>7486</v>
      </c>
      <c r="I1257">
        <v>3137</v>
      </c>
      <c r="J1257">
        <v>4349</v>
      </c>
      <c r="K1257" t="s">
        <v>54</v>
      </c>
      <c r="L1257">
        <v>13</v>
      </c>
      <c r="M1257" t="str">
        <f t="shared" si="19"/>
        <v>6-12 Months</v>
      </c>
      <c r="N1257" s="1">
        <v>44996</v>
      </c>
      <c r="O1257">
        <v>1</v>
      </c>
      <c r="P1257">
        <v>1256</v>
      </c>
      <c r="Q1257" s="2">
        <v>0.57999999999999996</v>
      </c>
      <c r="R1257" t="s">
        <v>27</v>
      </c>
      <c r="S1257">
        <v>2023</v>
      </c>
      <c r="T1257" t="s">
        <v>38</v>
      </c>
    </row>
    <row r="1258" spans="1:20" x14ac:dyDescent="0.3">
      <c r="A1258">
        <v>2132</v>
      </c>
      <c r="B1258">
        <v>444</v>
      </c>
      <c r="C1258" t="s">
        <v>53</v>
      </c>
      <c r="D1258" t="s">
        <v>34</v>
      </c>
      <c r="E1258" t="s">
        <v>26</v>
      </c>
      <c r="F1258" s="1">
        <v>44640</v>
      </c>
      <c r="G1258" s="1">
        <v>44902</v>
      </c>
      <c r="H1258">
        <v>9691</v>
      </c>
      <c r="I1258">
        <v>7220</v>
      </c>
      <c r="J1258">
        <v>2471</v>
      </c>
      <c r="K1258" t="s">
        <v>35</v>
      </c>
      <c r="L1258">
        <v>8</v>
      </c>
      <c r="M1258" t="str">
        <f t="shared" si="19"/>
        <v>6-12 Months</v>
      </c>
      <c r="N1258" s="1">
        <v>44902</v>
      </c>
      <c r="O1258">
        <v>1</v>
      </c>
      <c r="P1258">
        <v>1257</v>
      </c>
      <c r="Q1258" s="2">
        <v>0.25</v>
      </c>
      <c r="R1258" t="s">
        <v>27</v>
      </c>
      <c r="S1258">
        <v>2022</v>
      </c>
      <c r="T1258" t="s">
        <v>31</v>
      </c>
    </row>
    <row r="1259" spans="1:20" hidden="1" x14ac:dyDescent="0.3">
      <c r="A1259">
        <v>2133</v>
      </c>
      <c r="B1259">
        <v>492</v>
      </c>
      <c r="C1259" t="s">
        <v>40</v>
      </c>
      <c r="D1259" t="s">
        <v>29</v>
      </c>
      <c r="E1259" t="s">
        <v>20</v>
      </c>
      <c r="F1259" s="1">
        <v>44680</v>
      </c>
      <c r="G1259" s="1">
        <v>44893</v>
      </c>
      <c r="H1259">
        <v>8446</v>
      </c>
      <c r="I1259">
        <v>1671</v>
      </c>
      <c r="J1259">
        <v>6775</v>
      </c>
      <c r="K1259" t="s">
        <v>54</v>
      </c>
      <c r="L1259">
        <v>6</v>
      </c>
      <c r="M1259" t="str">
        <f t="shared" si="19"/>
        <v>12+ Months</v>
      </c>
      <c r="N1259" s="1">
        <v>44893</v>
      </c>
      <c r="O1259">
        <v>0</v>
      </c>
      <c r="P1259">
        <v>1258</v>
      </c>
      <c r="Q1259" s="2">
        <v>0.8</v>
      </c>
      <c r="R1259" t="s">
        <v>27</v>
      </c>
      <c r="S1259">
        <v>2022</v>
      </c>
      <c r="T1259" t="s">
        <v>42</v>
      </c>
    </row>
    <row r="1260" spans="1:20" x14ac:dyDescent="0.3">
      <c r="A1260">
        <v>2135</v>
      </c>
      <c r="B1260">
        <v>280</v>
      </c>
      <c r="C1260" t="s">
        <v>39</v>
      </c>
      <c r="D1260" t="s">
        <v>25</v>
      </c>
      <c r="E1260" t="s">
        <v>37</v>
      </c>
      <c r="F1260" s="1">
        <v>44706</v>
      </c>
      <c r="G1260" s="1">
        <v>44871</v>
      </c>
      <c r="H1260">
        <v>4759</v>
      </c>
      <c r="I1260">
        <v>7435</v>
      </c>
      <c r="J1260">
        <v>-2676</v>
      </c>
      <c r="K1260" t="s">
        <v>35</v>
      </c>
      <c r="L1260">
        <v>5</v>
      </c>
      <c r="M1260" t="str">
        <f t="shared" si="19"/>
        <v>0-6 Months</v>
      </c>
      <c r="N1260" s="1">
        <v>44871</v>
      </c>
      <c r="O1260">
        <v>0</v>
      </c>
      <c r="P1260">
        <v>1259</v>
      </c>
      <c r="Q1260" s="2">
        <v>-0.56000000000000005</v>
      </c>
      <c r="R1260" t="s">
        <v>27</v>
      </c>
      <c r="S1260">
        <v>2022</v>
      </c>
      <c r="T1260" t="s">
        <v>42</v>
      </c>
    </row>
    <row r="1261" spans="1:20" hidden="1" x14ac:dyDescent="0.3">
      <c r="A1261">
        <v>2138</v>
      </c>
      <c r="B1261">
        <v>402</v>
      </c>
      <c r="C1261" t="s">
        <v>40</v>
      </c>
      <c r="D1261" t="s">
        <v>19</v>
      </c>
      <c r="E1261" t="s">
        <v>37</v>
      </c>
      <c r="F1261" s="1">
        <v>44906</v>
      </c>
      <c r="G1261" s="1">
        <v>45270</v>
      </c>
      <c r="H1261">
        <v>6561</v>
      </c>
      <c r="I1261">
        <v>1082</v>
      </c>
      <c r="J1261">
        <v>5479</v>
      </c>
      <c r="K1261" t="s">
        <v>21</v>
      </c>
      <c r="L1261">
        <v>11</v>
      </c>
      <c r="M1261" t="str">
        <f t="shared" si="19"/>
        <v>6-12 Months</v>
      </c>
      <c r="N1261" s="1">
        <v>45270</v>
      </c>
      <c r="O1261">
        <v>1</v>
      </c>
      <c r="P1261">
        <v>1260</v>
      </c>
      <c r="Q1261" s="2">
        <v>0.84</v>
      </c>
      <c r="R1261" t="s">
        <v>27</v>
      </c>
      <c r="S1261">
        <v>2023</v>
      </c>
      <c r="T1261" t="s">
        <v>31</v>
      </c>
    </row>
    <row r="1262" spans="1:20" hidden="1" x14ac:dyDescent="0.3">
      <c r="A1262">
        <v>2141</v>
      </c>
      <c r="B1262">
        <v>212</v>
      </c>
      <c r="C1262" t="s">
        <v>45</v>
      </c>
      <c r="D1262" t="s">
        <v>25</v>
      </c>
      <c r="E1262" t="s">
        <v>26</v>
      </c>
      <c r="F1262" s="1">
        <v>44797</v>
      </c>
      <c r="G1262" s="1">
        <v>45342</v>
      </c>
      <c r="H1262">
        <v>3953</v>
      </c>
      <c r="I1262">
        <v>5818</v>
      </c>
      <c r="J1262">
        <v>-1865</v>
      </c>
      <c r="K1262" t="s">
        <v>54</v>
      </c>
      <c r="L1262">
        <v>17</v>
      </c>
      <c r="M1262" t="str">
        <f t="shared" si="19"/>
        <v>6-12 Months</v>
      </c>
      <c r="N1262" s="1">
        <v>45342</v>
      </c>
      <c r="O1262">
        <v>1</v>
      </c>
      <c r="P1262">
        <v>1261</v>
      </c>
      <c r="Q1262" s="2">
        <v>-0.47</v>
      </c>
      <c r="R1262" t="s">
        <v>27</v>
      </c>
      <c r="S1262">
        <v>2024</v>
      </c>
      <c r="T1262" t="s">
        <v>43</v>
      </c>
    </row>
    <row r="1263" spans="1:20" hidden="1" x14ac:dyDescent="0.3">
      <c r="A1263">
        <v>2143</v>
      </c>
      <c r="B1263">
        <v>415</v>
      </c>
      <c r="C1263" t="s">
        <v>53</v>
      </c>
      <c r="D1263" t="s">
        <v>25</v>
      </c>
      <c r="E1263" t="s">
        <v>26</v>
      </c>
      <c r="F1263" s="1">
        <v>44826</v>
      </c>
      <c r="G1263" s="1">
        <v>45061</v>
      </c>
      <c r="H1263">
        <v>985</v>
      </c>
      <c r="I1263">
        <v>4012.75</v>
      </c>
      <c r="J1263">
        <v>1484</v>
      </c>
      <c r="K1263" t="s">
        <v>21</v>
      </c>
      <c r="L1263">
        <v>7</v>
      </c>
      <c r="M1263" t="str">
        <f t="shared" si="19"/>
        <v>6-12 Months</v>
      </c>
      <c r="N1263" s="1">
        <v>45061</v>
      </c>
      <c r="O1263">
        <v>0</v>
      </c>
      <c r="P1263">
        <v>1262</v>
      </c>
      <c r="Q1263" s="2">
        <v>1.51</v>
      </c>
      <c r="R1263" t="s">
        <v>22</v>
      </c>
      <c r="S1263">
        <v>2023</v>
      </c>
      <c r="T1263" t="s">
        <v>28</v>
      </c>
    </row>
    <row r="1264" spans="1:20" x14ac:dyDescent="0.3">
      <c r="A1264">
        <v>2146</v>
      </c>
      <c r="B1264">
        <v>449</v>
      </c>
      <c r="C1264" t="s">
        <v>45</v>
      </c>
      <c r="D1264" t="s">
        <v>34</v>
      </c>
      <c r="E1264" t="s">
        <v>26</v>
      </c>
      <c r="F1264" s="1">
        <v>44589</v>
      </c>
      <c r="G1264" s="1">
        <v>45053</v>
      </c>
      <c r="H1264">
        <v>4967.93</v>
      </c>
      <c r="I1264">
        <v>816</v>
      </c>
      <c r="J1264">
        <v>-887</v>
      </c>
      <c r="K1264" t="s">
        <v>35</v>
      </c>
      <c r="L1264">
        <v>15</v>
      </c>
      <c r="M1264" t="str">
        <f t="shared" si="19"/>
        <v>6-12 Months</v>
      </c>
      <c r="N1264" s="1">
        <v>45053</v>
      </c>
      <c r="O1264">
        <v>0</v>
      </c>
      <c r="P1264">
        <v>1263</v>
      </c>
      <c r="Q1264" s="2">
        <v>-0.18</v>
      </c>
      <c r="R1264" t="s">
        <v>27</v>
      </c>
      <c r="S1264">
        <v>2023</v>
      </c>
      <c r="T1264" t="s">
        <v>28</v>
      </c>
    </row>
    <row r="1265" spans="1:20" hidden="1" x14ac:dyDescent="0.3">
      <c r="A1265">
        <v>2147</v>
      </c>
      <c r="B1265">
        <v>261</v>
      </c>
      <c r="C1265" t="s">
        <v>24</v>
      </c>
      <c r="D1265" t="s">
        <v>34</v>
      </c>
      <c r="E1265" t="s">
        <v>37</v>
      </c>
      <c r="F1265" s="1">
        <v>44921</v>
      </c>
      <c r="G1265" s="1">
        <v>45237</v>
      </c>
      <c r="H1265">
        <v>8388</v>
      </c>
      <c r="I1265">
        <v>4481</v>
      </c>
      <c r="J1265">
        <v>3907</v>
      </c>
      <c r="K1265" t="s">
        <v>54</v>
      </c>
      <c r="L1265">
        <v>10</v>
      </c>
      <c r="M1265" t="str">
        <f t="shared" si="19"/>
        <v>6-12 Months</v>
      </c>
      <c r="N1265" s="1">
        <v>45237</v>
      </c>
      <c r="O1265">
        <v>1</v>
      </c>
      <c r="P1265">
        <v>1264</v>
      </c>
      <c r="Q1265" s="2">
        <v>0.47</v>
      </c>
      <c r="R1265" t="s">
        <v>27</v>
      </c>
      <c r="S1265">
        <v>2023</v>
      </c>
      <c r="T1265" t="s">
        <v>42</v>
      </c>
    </row>
    <row r="1266" spans="1:20" hidden="1" x14ac:dyDescent="0.3">
      <c r="A1266">
        <v>2149</v>
      </c>
      <c r="B1266">
        <v>210</v>
      </c>
      <c r="C1266" t="s">
        <v>45</v>
      </c>
      <c r="D1266" t="s">
        <v>34</v>
      </c>
      <c r="E1266" t="s">
        <v>26</v>
      </c>
      <c r="F1266" s="1">
        <v>44896</v>
      </c>
      <c r="G1266" s="1">
        <v>45104</v>
      </c>
      <c r="H1266">
        <v>1078</v>
      </c>
      <c r="I1266">
        <v>6597</v>
      </c>
      <c r="J1266">
        <v>-5519</v>
      </c>
      <c r="K1266" t="s">
        <v>21</v>
      </c>
      <c r="L1266">
        <v>6</v>
      </c>
      <c r="M1266" t="str">
        <f t="shared" si="19"/>
        <v>12+ Months</v>
      </c>
      <c r="N1266" s="1">
        <v>45104</v>
      </c>
      <c r="O1266">
        <v>1</v>
      </c>
      <c r="P1266">
        <v>1265</v>
      </c>
      <c r="Q1266" s="2">
        <v>-5.12</v>
      </c>
      <c r="R1266" t="s">
        <v>22</v>
      </c>
      <c r="S1266">
        <v>2023</v>
      </c>
      <c r="T1266" t="s">
        <v>41</v>
      </c>
    </row>
    <row r="1267" spans="1:20" x14ac:dyDescent="0.3">
      <c r="A1267">
        <v>2150</v>
      </c>
      <c r="B1267">
        <v>411</v>
      </c>
      <c r="C1267" t="s">
        <v>24</v>
      </c>
      <c r="D1267" t="s">
        <v>34</v>
      </c>
      <c r="E1267" t="s">
        <v>20</v>
      </c>
      <c r="F1267" s="1">
        <v>44812</v>
      </c>
      <c r="G1267" s="1">
        <v>45270</v>
      </c>
      <c r="H1267">
        <v>6358</v>
      </c>
      <c r="I1267">
        <v>2991</v>
      </c>
      <c r="J1267">
        <v>3367</v>
      </c>
      <c r="K1267" t="s">
        <v>35</v>
      </c>
      <c r="L1267">
        <v>15</v>
      </c>
      <c r="M1267" t="str">
        <f t="shared" si="19"/>
        <v>6-12 Months</v>
      </c>
      <c r="N1267" s="1">
        <v>45270</v>
      </c>
      <c r="O1267">
        <v>0</v>
      </c>
      <c r="P1267">
        <v>1266</v>
      </c>
      <c r="Q1267" s="2">
        <v>0.53</v>
      </c>
      <c r="R1267" t="s">
        <v>27</v>
      </c>
      <c r="S1267">
        <v>2023</v>
      </c>
      <c r="T1267" t="s">
        <v>31</v>
      </c>
    </row>
    <row r="1268" spans="1:20" x14ac:dyDescent="0.3">
      <c r="A1268">
        <v>2152</v>
      </c>
      <c r="B1268">
        <v>330</v>
      </c>
      <c r="C1268" t="s">
        <v>40</v>
      </c>
      <c r="D1268" t="s">
        <v>29</v>
      </c>
      <c r="E1268" t="s">
        <v>20</v>
      </c>
      <c r="F1268" s="1">
        <v>44908</v>
      </c>
      <c r="G1268" s="1">
        <v>45299</v>
      </c>
      <c r="H1268">
        <v>4967.93</v>
      </c>
      <c r="I1268">
        <v>4309</v>
      </c>
      <c r="J1268">
        <v>-6075</v>
      </c>
      <c r="K1268" t="s">
        <v>35</v>
      </c>
      <c r="L1268">
        <v>12</v>
      </c>
      <c r="M1268" t="str">
        <f t="shared" si="19"/>
        <v>6-12 Months</v>
      </c>
      <c r="N1268" s="1">
        <v>45299</v>
      </c>
      <c r="O1268">
        <v>0</v>
      </c>
      <c r="P1268">
        <v>1267</v>
      </c>
      <c r="Q1268" s="2">
        <v>-1.22</v>
      </c>
      <c r="R1268" t="s">
        <v>22</v>
      </c>
      <c r="S1268">
        <v>2024</v>
      </c>
      <c r="T1268" t="s">
        <v>23</v>
      </c>
    </row>
    <row r="1269" spans="1:20" hidden="1" x14ac:dyDescent="0.3">
      <c r="A1269">
        <v>2153</v>
      </c>
      <c r="B1269">
        <v>315</v>
      </c>
      <c r="C1269" t="s">
        <v>45</v>
      </c>
      <c r="D1269" t="s">
        <v>19</v>
      </c>
      <c r="E1269" t="s">
        <v>26</v>
      </c>
      <c r="F1269" s="1">
        <v>44866</v>
      </c>
      <c r="G1269" s="1">
        <v>45245</v>
      </c>
      <c r="H1269">
        <v>5384</v>
      </c>
      <c r="I1269">
        <v>3016</v>
      </c>
      <c r="J1269">
        <v>2368</v>
      </c>
      <c r="K1269" t="s">
        <v>21</v>
      </c>
      <c r="L1269">
        <v>12</v>
      </c>
      <c r="M1269" t="str">
        <f t="shared" si="19"/>
        <v>6-12 Months</v>
      </c>
      <c r="N1269" s="1">
        <v>45245</v>
      </c>
      <c r="O1269">
        <v>0</v>
      </c>
      <c r="P1269">
        <v>1268</v>
      </c>
      <c r="Q1269" s="2">
        <v>0.44</v>
      </c>
      <c r="R1269" t="s">
        <v>27</v>
      </c>
      <c r="S1269">
        <v>2023</v>
      </c>
      <c r="T1269" t="s">
        <v>42</v>
      </c>
    </row>
    <row r="1270" spans="1:20" hidden="1" x14ac:dyDescent="0.3">
      <c r="A1270">
        <v>2154</v>
      </c>
      <c r="B1270">
        <v>483</v>
      </c>
      <c r="C1270" t="s">
        <v>40</v>
      </c>
      <c r="D1270" t="s">
        <v>19</v>
      </c>
      <c r="E1270" t="s">
        <v>37</v>
      </c>
      <c r="F1270" s="1">
        <v>44744</v>
      </c>
      <c r="G1270" s="1">
        <v>45165</v>
      </c>
      <c r="H1270">
        <v>6732</v>
      </c>
      <c r="I1270">
        <v>6334</v>
      </c>
      <c r="J1270">
        <v>398</v>
      </c>
      <c r="K1270" t="s">
        <v>21</v>
      </c>
      <c r="L1270">
        <v>13</v>
      </c>
      <c r="M1270" t="str">
        <f t="shared" si="19"/>
        <v>6-12 Months</v>
      </c>
      <c r="N1270" s="1">
        <v>45165</v>
      </c>
      <c r="O1270">
        <v>1</v>
      </c>
      <c r="P1270">
        <v>1269</v>
      </c>
      <c r="Q1270" s="2">
        <v>0.06</v>
      </c>
      <c r="R1270" t="s">
        <v>27</v>
      </c>
      <c r="S1270">
        <v>2023</v>
      </c>
      <c r="T1270" t="s">
        <v>36</v>
      </c>
    </row>
    <row r="1271" spans="1:20" hidden="1" x14ac:dyDescent="0.3">
      <c r="A1271">
        <v>2155</v>
      </c>
      <c r="B1271">
        <v>122</v>
      </c>
      <c r="C1271" t="s">
        <v>39</v>
      </c>
      <c r="D1271" t="s">
        <v>34</v>
      </c>
      <c r="E1271" t="s">
        <v>37</v>
      </c>
      <c r="F1271" s="1">
        <v>44667</v>
      </c>
      <c r="G1271" s="1">
        <v>44842</v>
      </c>
      <c r="H1271">
        <v>276</v>
      </c>
      <c r="I1271">
        <v>5813</v>
      </c>
      <c r="J1271">
        <v>-5537</v>
      </c>
      <c r="K1271" t="s">
        <v>54</v>
      </c>
      <c r="L1271">
        <v>5</v>
      </c>
      <c r="M1271" t="str">
        <f t="shared" si="19"/>
        <v>0-6 Months</v>
      </c>
      <c r="N1271" s="1">
        <v>44842</v>
      </c>
      <c r="O1271">
        <v>1</v>
      </c>
      <c r="P1271">
        <v>1270</v>
      </c>
      <c r="Q1271" s="2">
        <v>-20.059999999999999</v>
      </c>
      <c r="R1271" t="s">
        <v>22</v>
      </c>
      <c r="S1271">
        <v>2022</v>
      </c>
      <c r="T1271" t="s">
        <v>33</v>
      </c>
    </row>
    <row r="1272" spans="1:20" hidden="1" x14ac:dyDescent="0.3">
      <c r="A1272">
        <v>2156</v>
      </c>
      <c r="B1272">
        <v>173</v>
      </c>
      <c r="C1272" t="s">
        <v>45</v>
      </c>
      <c r="D1272" t="s">
        <v>25</v>
      </c>
      <c r="E1272" t="s">
        <v>26</v>
      </c>
      <c r="F1272" s="1">
        <v>44832</v>
      </c>
      <c r="G1272" s="1">
        <v>45180</v>
      </c>
      <c r="H1272">
        <v>4967.93</v>
      </c>
      <c r="I1272">
        <v>4012.75</v>
      </c>
      <c r="J1272">
        <v>577.01</v>
      </c>
      <c r="K1272" t="s">
        <v>54</v>
      </c>
      <c r="L1272">
        <v>11</v>
      </c>
      <c r="M1272" t="str">
        <f t="shared" si="19"/>
        <v>6-12 Months</v>
      </c>
      <c r="N1272" s="1">
        <v>45180</v>
      </c>
      <c r="O1272">
        <v>0</v>
      </c>
      <c r="P1272">
        <v>1271</v>
      </c>
      <c r="Q1272" s="2">
        <v>0.12</v>
      </c>
      <c r="R1272" t="s">
        <v>27</v>
      </c>
      <c r="S1272">
        <v>2023</v>
      </c>
      <c r="T1272" t="s">
        <v>30</v>
      </c>
    </row>
    <row r="1273" spans="1:20" x14ac:dyDescent="0.3">
      <c r="A1273">
        <v>2157</v>
      </c>
      <c r="B1273">
        <v>204</v>
      </c>
      <c r="C1273" t="s">
        <v>45</v>
      </c>
      <c r="D1273" t="s">
        <v>34</v>
      </c>
      <c r="E1273" t="s">
        <v>20</v>
      </c>
      <c r="F1273" s="1">
        <v>44922</v>
      </c>
      <c r="G1273" s="1">
        <v>45192</v>
      </c>
      <c r="H1273">
        <v>4967.93</v>
      </c>
      <c r="I1273">
        <v>3027</v>
      </c>
      <c r="J1273">
        <v>-4014</v>
      </c>
      <c r="K1273" t="s">
        <v>35</v>
      </c>
      <c r="L1273">
        <v>8</v>
      </c>
      <c r="M1273" t="str">
        <f t="shared" si="19"/>
        <v>6-12 Months</v>
      </c>
      <c r="N1273" s="1">
        <v>45192</v>
      </c>
      <c r="O1273">
        <v>0</v>
      </c>
      <c r="P1273">
        <v>1272</v>
      </c>
      <c r="Q1273" s="2">
        <v>-0.81</v>
      </c>
      <c r="R1273" t="s">
        <v>27</v>
      </c>
      <c r="S1273">
        <v>2023</v>
      </c>
      <c r="T1273" t="s">
        <v>30</v>
      </c>
    </row>
    <row r="1274" spans="1:20" x14ac:dyDescent="0.3">
      <c r="A1274">
        <v>2159</v>
      </c>
      <c r="B1274">
        <v>403</v>
      </c>
      <c r="C1274" t="s">
        <v>45</v>
      </c>
      <c r="D1274" t="s">
        <v>25</v>
      </c>
      <c r="E1274" t="s">
        <v>26</v>
      </c>
      <c r="F1274" s="1">
        <v>44673</v>
      </c>
      <c r="G1274" s="1">
        <v>45075</v>
      </c>
      <c r="H1274">
        <v>4013</v>
      </c>
      <c r="I1274">
        <v>3307</v>
      </c>
      <c r="J1274">
        <v>706</v>
      </c>
      <c r="K1274" t="s">
        <v>35</v>
      </c>
      <c r="L1274">
        <v>13</v>
      </c>
      <c r="M1274" t="str">
        <f t="shared" si="19"/>
        <v>6-12 Months</v>
      </c>
      <c r="N1274" s="1">
        <v>45075</v>
      </c>
      <c r="O1274">
        <v>0</v>
      </c>
      <c r="P1274">
        <v>1273</v>
      </c>
      <c r="Q1274" s="2">
        <v>0.18</v>
      </c>
      <c r="R1274" t="s">
        <v>27</v>
      </c>
      <c r="S1274">
        <v>2023</v>
      </c>
      <c r="T1274" t="s">
        <v>28</v>
      </c>
    </row>
    <row r="1275" spans="1:20" hidden="1" x14ac:dyDescent="0.3">
      <c r="A1275">
        <v>2160</v>
      </c>
      <c r="B1275">
        <v>449</v>
      </c>
      <c r="C1275" t="s">
        <v>40</v>
      </c>
      <c r="D1275" t="s">
        <v>29</v>
      </c>
      <c r="E1275" t="s">
        <v>20</v>
      </c>
      <c r="F1275" s="1">
        <v>44861</v>
      </c>
      <c r="G1275" s="1">
        <v>45269</v>
      </c>
      <c r="H1275">
        <v>7657</v>
      </c>
      <c r="I1275">
        <v>1510</v>
      </c>
      <c r="J1275">
        <v>6147</v>
      </c>
      <c r="K1275" t="s">
        <v>21</v>
      </c>
      <c r="L1275">
        <v>13</v>
      </c>
      <c r="M1275" t="str">
        <f t="shared" si="19"/>
        <v>6-12 Months</v>
      </c>
      <c r="N1275" s="1">
        <v>45269</v>
      </c>
      <c r="O1275">
        <v>1</v>
      </c>
      <c r="P1275">
        <v>1274</v>
      </c>
      <c r="Q1275" s="2">
        <v>0.8</v>
      </c>
      <c r="R1275" t="s">
        <v>27</v>
      </c>
      <c r="S1275">
        <v>2023</v>
      </c>
      <c r="T1275" t="s">
        <v>31</v>
      </c>
    </row>
    <row r="1276" spans="1:20" hidden="1" x14ac:dyDescent="0.3">
      <c r="A1276">
        <v>2161</v>
      </c>
      <c r="B1276">
        <v>132</v>
      </c>
      <c r="C1276" t="s">
        <v>53</v>
      </c>
      <c r="D1276" t="s">
        <v>29</v>
      </c>
      <c r="E1276" t="s">
        <v>20</v>
      </c>
      <c r="F1276" s="1">
        <v>44678</v>
      </c>
      <c r="G1276" s="1">
        <v>44835</v>
      </c>
      <c r="H1276">
        <v>428</v>
      </c>
      <c r="I1276">
        <v>1305</v>
      </c>
      <c r="J1276">
        <v>577.01</v>
      </c>
      <c r="K1276" t="s">
        <v>54</v>
      </c>
      <c r="L1276">
        <v>5</v>
      </c>
      <c r="M1276" t="str">
        <f t="shared" si="19"/>
        <v>0-6 Months</v>
      </c>
      <c r="N1276" s="1">
        <v>44835</v>
      </c>
      <c r="O1276">
        <v>0</v>
      </c>
      <c r="P1276">
        <v>1275</v>
      </c>
      <c r="Q1276" s="2">
        <v>1.35</v>
      </c>
      <c r="R1276" t="s">
        <v>22</v>
      </c>
      <c r="S1276">
        <v>2022</v>
      </c>
      <c r="T1276" t="s">
        <v>33</v>
      </c>
    </row>
    <row r="1277" spans="1:20" hidden="1" x14ac:dyDescent="0.3">
      <c r="A1277">
        <v>2162</v>
      </c>
      <c r="B1277">
        <v>144</v>
      </c>
      <c r="C1277" t="s">
        <v>53</v>
      </c>
      <c r="D1277" t="s">
        <v>29</v>
      </c>
      <c r="E1277" t="s">
        <v>26</v>
      </c>
      <c r="F1277" s="1">
        <v>44636</v>
      </c>
      <c r="G1277" s="1">
        <v>44807</v>
      </c>
      <c r="H1277">
        <v>4967.93</v>
      </c>
      <c r="I1277">
        <v>6219</v>
      </c>
      <c r="J1277">
        <v>577.01</v>
      </c>
      <c r="K1277" t="s">
        <v>54</v>
      </c>
      <c r="L1277">
        <v>5</v>
      </c>
      <c r="M1277" t="str">
        <f t="shared" si="19"/>
        <v>0-6 Months</v>
      </c>
      <c r="N1277" s="1">
        <v>44807</v>
      </c>
      <c r="O1277">
        <v>0</v>
      </c>
      <c r="P1277">
        <v>1276</v>
      </c>
      <c r="Q1277" s="2">
        <v>0.12</v>
      </c>
      <c r="R1277" t="s">
        <v>27</v>
      </c>
      <c r="S1277">
        <v>2022</v>
      </c>
      <c r="T1277" t="s">
        <v>30</v>
      </c>
    </row>
    <row r="1278" spans="1:20" hidden="1" x14ac:dyDescent="0.3">
      <c r="A1278">
        <v>2163</v>
      </c>
      <c r="B1278">
        <v>493</v>
      </c>
      <c r="C1278" t="s">
        <v>40</v>
      </c>
      <c r="D1278" t="s">
        <v>25</v>
      </c>
      <c r="E1278" t="s">
        <v>20</v>
      </c>
      <c r="F1278" s="1">
        <v>44703</v>
      </c>
      <c r="G1278" s="1">
        <v>44751</v>
      </c>
      <c r="H1278">
        <v>7111</v>
      </c>
      <c r="I1278">
        <v>1743</v>
      </c>
      <c r="J1278">
        <v>577.01</v>
      </c>
      <c r="K1278" t="s">
        <v>54</v>
      </c>
      <c r="L1278">
        <v>1</v>
      </c>
      <c r="M1278" t="str">
        <f t="shared" si="19"/>
        <v>0-6 Months</v>
      </c>
      <c r="N1278" s="1">
        <v>44751</v>
      </c>
      <c r="O1278">
        <v>0</v>
      </c>
      <c r="P1278">
        <v>1277</v>
      </c>
      <c r="Q1278" s="2">
        <v>0.08</v>
      </c>
      <c r="R1278" t="s">
        <v>27</v>
      </c>
      <c r="S1278">
        <v>2022</v>
      </c>
      <c r="T1278" t="s">
        <v>44</v>
      </c>
    </row>
    <row r="1279" spans="1:20" hidden="1" x14ac:dyDescent="0.3">
      <c r="A1279">
        <v>2166</v>
      </c>
      <c r="B1279">
        <v>167</v>
      </c>
      <c r="C1279" t="s">
        <v>40</v>
      </c>
      <c r="D1279" t="s">
        <v>19</v>
      </c>
      <c r="E1279" t="s">
        <v>37</v>
      </c>
      <c r="F1279" s="1">
        <v>44920</v>
      </c>
      <c r="G1279" s="1">
        <v>45304</v>
      </c>
      <c r="H1279">
        <v>746</v>
      </c>
      <c r="I1279">
        <v>4012.75</v>
      </c>
      <c r="J1279">
        <v>1426</v>
      </c>
      <c r="K1279" t="s">
        <v>21</v>
      </c>
      <c r="L1279">
        <v>12</v>
      </c>
      <c r="M1279" t="str">
        <f t="shared" si="19"/>
        <v>6-12 Months</v>
      </c>
      <c r="N1279" s="1">
        <v>45304</v>
      </c>
      <c r="O1279">
        <v>0</v>
      </c>
      <c r="P1279">
        <v>1278</v>
      </c>
      <c r="Q1279" s="2">
        <v>1.91</v>
      </c>
      <c r="R1279" t="s">
        <v>22</v>
      </c>
      <c r="S1279">
        <v>2024</v>
      </c>
      <c r="T1279" t="s">
        <v>23</v>
      </c>
    </row>
    <row r="1280" spans="1:20" x14ac:dyDescent="0.3">
      <c r="A1280">
        <v>2169</v>
      </c>
      <c r="B1280">
        <v>247</v>
      </c>
      <c r="C1280" t="s">
        <v>39</v>
      </c>
      <c r="D1280" t="s">
        <v>29</v>
      </c>
      <c r="E1280" t="s">
        <v>26</v>
      </c>
      <c r="F1280" s="1">
        <v>44569</v>
      </c>
      <c r="G1280" s="1">
        <v>45118</v>
      </c>
      <c r="H1280">
        <v>3941</v>
      </c>
      <c r="I1280">
        <v>1455</v>
      </c>
      <c r="J1280">
        <v>2486</v>
      </c>
      <c r="K1280" t="s">
        <v>35</v>
      </c>
      <c r="L1280">
        <v>18</v>
      </c>
      <c r="M1280" t="str">
        <f t="shared" si="19"/>
        <v>6-12 Months</v>
      </c>
      <c r="N1280" s="1">
        <v>45118</v>
      </c>
      <c r="O1280">
        <v>0</v>
      </c>
      <c r="P1280">
        <v>1279</v>
      </c>
      <c r="Q1280" s="2">
        <v>0.63</v>
      </c>
      <c r="R1280" t="s">
        <v>27</v>
      </c>
      <c r="S1280">
        <v>2023</v>
      </c>
      <c r="T1280" t="s">
        <v>44</v>
      </c>
    </row>
    <row r="1281" spans="1:20" x14ac:dyDescent="0.3">
      <c r="A1281">
        <v>2170</v>
      </c>
      <c r="B1281">
        <v>276</v>
      </c>
      <c r="C1281" t="s">
        <v>45</v>
      </c>
      <c r="D1281" t="s">
        <v>19</v>
      </c>
      <c r="E1281" t="s">
        <v>20</v>
      </c>
      <c r="F1281" s="1">
        <v>44918</v>
      </c>
      <c r="G1281" s="1">
        <v>45387</v>
      </c>
      <c r="H1281">
        <v>7642</v>
      </c>
      <c r="I1281">
        <v>4012.75</v>
      </c>
      <c r="J1281">
        <v>7986</v>
      </c>
      <c r="K1281" t="s">
        <v>35</v>
      </c>
      <c r="L1281">
        <v>15</v>
      </c>
      <c r="M1281" t="str">
        <f t="shared" si="19"/>
        <v>6-12 Months</v>
      </c>
      <c r="N1281" s="1">
        <v>45387</v>
      </c>
      <c r="O1281">
        <v>0</v>
      </c>
      <c r="P1281">
        <v>1280</v>
      </c>
      <c r="Q1281" s="2">
        <v>1.05</v>
      </c>
      <c r="R1281" t="s">
        <v>22</v>
      </c>
      <c r="S1281">
        <v>2024</v>
      </c>
      <c r="T1281" t="s">
        <v>32</v>
      </c>
    </row>
    <row r="1282" spans="1:20" x14ac:dyDescent="0.3">
      <c r="A1282">
        <v>2172</v>
      </c>
      <c r="B1282">
        <v>171</v>
      </c>
      <c r="C1282" t="s">
        <v>39</v>
      </c>
      <c r="D1282" t="s">
        <v>29</v>
      </c>
      <c r="E1282" t="s">
        <v>20</v>
      </c>
      <c r="F1282" s="1">
        <v>44876</v>
      </c>
      <c r="G1282" s="1">
        <v>45237</v>
      </c>
      <c r="H1282">
        <v>4967.93</v>
      </c>
      <c r="I1282">
        <v>1212</v>
      </c>
      <c r="J1282">
        <v>-2213</v>
      </c>
      <c r="K1282" t="s">
        <v>35</v>
      </c>
      <c r="L1282">
        <v>11</v>
      </c>
      <c r="M1282" t="str">
        <f t="shared" ref="M1282:M1345" si="20">IF(L1282&lt;6,"0-6 Months",IF(L1282&gt;6,"6-12 Months","12+ Months"))</f>
        <v>6-12 Months</v>
      </c>
      <c r="N1282" s="1">
        <v>45237</v>
      </c>
      <c r="O1282">
        <v>1</v>
      </c>
      <c r="P1282">
        <v>1281</v>
      </c>
      <c r="Q1282" s="2">
        <v>-0.45</v>
      </c>
      <c r="R1282" t="s">
        <v>27</v>
      </c>
      <c r="S1282">
        <v>2023</v>
      </c>
      <c r="T1282" t="s">
        <v>42</v>
      </c>
    </row>
    <row r="1283" spans="1:20" hidden="1" x14ac:dyDescent="0.3">
      <c r="A1283">
        <v>2173</v>
      </c>
      <c r="B1283">
        <v>292</v>
      </c>
      <c r="C1283" t="s">
        <v>24</v>
      </c>
      <c r="D1283" t="s">
        <v>34</v>
      </c>
      <c r="E1283" t="s">
        <v>26</v>
      </c>
      <c r="F1283" s="1">
        <v>44893</v>
      </c>
      <c r="G1283" s="1">
        <v>45237</v>
      </c>
      <c r="H1283">
        <v>7041</v>
      </c>
      <c r="I1283">
        <v>6376</v>
      </c>
      <c r="J1283">
        <v>665</v>
      </c>
      <c r="K1283" t="s">
        <v>54</v>
      </c>
      <c r="L1283">
        <v>11</v>
      </c>
      <c r="M1283" t="str">
        <f t="shared" si="20"/>
        <v>6-12 Months</v>
      </c>
      <c r="N1283" s="1">
        <v>45237</v>
      </c>
      <c r="O1283">
        <v>1</v>
      </c>
      <c r="P1283">
        <v>1282</v>
      </c>
      <c r="Q1283" s="2">
        <v>0.09</v>
      </c>
      <c r="R1283" t="s">
        <v>27</v>
      </c>
      <c r="S1283">
        <v>2023</v>
      </c>
      <c r="T1283" t="s">
        <v>42</v>
      </c>
    </row>
    <row r="1284" spans="1:20" x14ac:dyDescent="0.3">
      <c r="A1284">
        <v>2175</v>
      </c>
      <c r="B1284">
        <v>257</v>
      </c>
      <c r="C1284" t="s">
        <v>24</v>
      </c>
      <c r="D1284" t="s">
        <v>34</v>
      </c>
      <c r="E1284" t="s">
        <v>20</v>
      </c>
      <c r="F1284" s="1">
        <v>44725</v>
      </c>
      <c r="G1284" s="1">
        <v>44950</v>
      </c>
      <c r="H1284">
        <v>7524</v>
      </c>
      <c r="I1284">
        <v>4012.75</v>
      </c>
      <c r="J1284">
        <v>8403</v>
      </c>
      <c r="K1284" t="s">
        <v>35</v>
      </c>
      <c r="L1284">
        <v>7</v>
      </c>
      <c r="M1284" t="str">
        <f t="shared" si="20"/>
        <v>6-12 Months</v>
      </c>
      <c r="N1284" s="1">
        <v>44950</v>
      </c>
      <c r="O1284">
        <v>1</v>
      </c>
      <c r="P1284">
        <v>1283</v>
      </c>
      <c r="Q1284" s="2">
        <v>1.1200000000000001</v>
      </c>
      <c r="R1284" t="s">
        <v>22</v>
      </c>
      <c r="S1284">
        <v>2023</v>
      </c>
      <c r="T1284" t="s">
        <v>23</v>
      </c>
    </row>
    <row r="1285" spans="1:20" hidden="1" x14ac:dyDescent="0.3">
      <c r="A1285">
        <v>2176</v>
      </c>
      <c r="B1285">
        <v>442</v>
      </c>
      <c r="C1285" t="s">
        <v>45</v>
      </c>
      <c r="D1285" t="s">
        <v>34</v>
      </c>
      <c r="E1285" t="s">
        <v>20</v>
      </c>
      <c r="F1285" s="1">
        <v>44591</v>
      </c>
      <c r="G1285" s="1">
        <v>44877</v>
      </c>
      <c r="H1285">
        <v>2048</v>
      </c>
      <c r="I1285">
        <v>7445</v>
      </c>
      <c r="J1285">
        <v>-5397</v>
      </c>
      <c r="K1285" t="s">
        <v>54</v>
      </c>
      <c r="L1285">
        <v>9</v>
      </c>
      <c r="M1285" t="str">
        <f t="shared" si="20"/>
        <v>6-12 Months</v>
      </c>
      <c r="N1285" s="1">
        <v>44877</v>
      </c>
      <c r="O1285">
        <v>0</v>
      </c>
      <c r="P1285">
        <v>1284</v>
      </c>
      <c r="Q1285" s="2">
        <v>-2.64</v>
      </c>
      <c r="R1285" t="s">
        <v>22</v>
      </c>
      <c r="S1285">
        <v>2022</v>
      </c>
      <c r="T1285" t="s">
        <v>42</v>
      </c>
    </row>
    <row r="1286" spans="1:20" hidden="1" x14ac:dyDescent="0.3">
      <c r="A1286">
        <v>2177</v>
      </c>
      <c r="B1286">
        <v>396</v>
      </c>
      <c r="C1286" t="s">
        <v>53</v>
      </c>
      <c r="D1286" t="s">
        <v>34</v>
      </c>
      <c r="E1286" t="s">
        <v>37</v>
      </c>
      <c r="F1286" s="1">
        <v>44867</v>
      </c>
      <c r="G1286" s="1">
        <v>45109</v>
      </c>
      <c r="H1286">
        <v>4359</v>
      </c>
      <c r="I1286">
        <v>512</v>
      </c>
      <c r="J1286">
        <v>3847</v>
      </c>
      <c r="K1286" t="s">
        <v>21</v>
      </c>
      <c r="L1286">
        <v>8</v>
      </c>
      <c r="M1286" t="str">
        <f t="shared" si="20"/>
        <v>6-12 Months</v>
      </c>
      <c r="N1286" s="1">
        <v>45109</v>
      </c>
      <c r="O1286">
        <v>1</v>
      </c>
      <c r="P1286">
        <v>1285</v>
      </c>
      <c r="Q1286" s="2">
        <v>0.88</v>
      </c>
      <c r="R1286" t="s">
        <v>27</v>
      </c>
      <c r="S1286">
        <v>2023</v>
      </c>
      <c r="T1286" t="s">
        <v>44</v>
      </c>
    </row>
    <row r="1287" spans="1:20" hidden="1" x14ac:dyDescent="0.3">
      <c r="A1287">
        <v>2180</v>
      </c>
      <c r="B1287">
        <v>106</v>
      </c>
      <c r="C1287" t="s">
        <v>39</v>
      </c>
      <c r="D1287" t="s">
        <v>25</v>
      </c>
      <c r="E1287" t="s">
        <v>26</v>
      </c>
      <c r="F1287" s="1">
        <v>44871</v>
      </c>
      <c r="G1287" s="1">
        <v>45228</v>
      </c>
      <c r="H1287">
        <v>6361</v>
      </c>
      <c r="I1287">
        <v>2351</v>
      </c>
      <c r="J1287">
        <v>4010</v>
      </c>
      <c r="K1287" t="s">
        <v>54</v>
      </c>
      <c r="L1287">
        <v>11</v>
      </c>
      <c r="M1287" t="str">
        <f t="shared" si="20"/>
        <v>6-12 Months</v>
      </c>
      <c r="N1287" s="1">
        <v>45228</v>
      </c>
      <c r="O1287">
        <v>1</v>
      </c>
      <c r="P1287">
        <v>1286</v>
      </c>
      <c r="Q1287" s="2">
        <v>0.63</v>
      </c>
      <c r="R1287" t="s">
        <v>27</v>
      </c>
      <c r="S1287">
        <v>2023</v>
      </c>
      <c r="T1287" t="s">
        <v>33</v>
      </c>
    </row>
    <row r="1288" spans="1:20" hidden="1" x14ac:dyDescent="0.3">
      <c r="A1288">
        <v>2184</v>
      </c>
      <c r="B1288">
        <v>353</v>
      </c>
      <c r="C1288" t="s">
        <v>40</v>
      </c>
      <c r="D1288" t="s">
        <v>25</v>
      </c>
      <c r="E1288" t="s">
        <v>37</v>
      </c>
      <c r="F1288" s="1">
        <v>44747</v>
      </c>
      <c r="G1288" s="1">
        <v>45150</v>
      </c>
      <c r="H1288">
        <v>5364</v>
      </c>
      <c r="I1288">
        <v>4648</v>
      </c>
      <c r="J1288">
        <v>716</v>
      </c>
      <c r="K1288" t="s">
        <v>54</v>
      </c>
      <c r="L1288">
        <v>13</v>
      </c>
      <c r="M1288" t="str">
        <f t="shared" si="20"/>
        <v>6-12 Months</v>
      </c>
      <c r="N1288" s="1">
        <v>45150</v>
      </c>
      <c r="O1288">
        <v>0</v>
      </c>
      <c r="P1288">
        <v>1287</v>
      </c>
      <c r="Q1288" s="2">
        <v>0.13</v>
      </c>
      <c r="R1288" t="s">
        <v>27</v>
      </c>
      <c r="S1288">
        <v>2023</v>
      </c>
      <c r="T1288" t="s">
        <v>36</v>
      </c>
    </row>
    <row r="1289" spans="1:20" hidden="1" x14ac:dyDescent="0.3">
      <c r="A1289">
        <v>2185</v>
      </c>
      <c r="B1289">
        <v>291</v>
      </c>
      <c r="C1289" t="s">
        <v>45</v>
      </c>
      <c r="D1289" t="s">
        <v>34</v>
      </c>
      <c r="E1289" t="s">
        <v>26</v>
      </c>
      <c r="F1289" s="1">
        <v>44673</v>
      </c>
      <c r="G1289" s="1">
        <v>45082</v>
      </c>
      <c r="H1289">
        <v>2721</v>
      </c>
      <c r="I1289">
        <v>7411</v>
      </c>
      <c r="J1289">
        <v>-4690</v>
      </c>
      <c r="K1289" t="s">
        <v>54</v>
      </c>
      <c r="L1289">
        <v>13</v>
      </c>
      <c r="M1289" t="str">
        <f t="shared" si="20"/>
        <v>6-12 Months</v>
      </c>
      <c r="N1289" s="1">
        <v>45082</v>
      </c>
      <c r="O1289">
        <v>1</v>
      </c>
      <c r="P1289">
        <v>1288</v>
      </c>
      <c r="Q1289" s="2">
        <v>-1.72</v>
      </c>
      <c r="R1289" t="s">
        <v>22</v>
      </c>
      <c r="S1289">
        <v>2023</v>
      </c>
      <c r="T1289" t="s">
        <v>41</v>
      </c>
    </row>
    <row r="1290" spans="1:20" x14ac:dyDescent="0.3">
      <c r="A1290">
        <v>2188</v>
      </c>
      <c r="B1290">
        <v>103</v>
      </c>
      <c r="C1290" t="s">
        <v>53</v>
      </c>
      <c r="D1290" t="s">
        <v>34</v>
      </c>
      <c r="E1290" t="s">
        <v>37</v>
      </c>
      <c r="F1290" s="1">
        <v>44858</v>
      </c>
      <c r="G1290" s="1">
        <v>44938</v>
      </c>
      <c r="H1290">
        <v>9881</v>
      </c>
      <c r="I1290">
        <v>6648</v>
      </c>
      <c r="J1290">
        <v>3233</v>
      </c>
      <c r="K1290" t="s">
        <v>35</v>
      </c>
      <c r="L1290">
        <v>2</v>
      </c>
      <c r="M1290" t="str">
        <f t="shared" si="20"/>
        <v>0-6 Months</v>
      </c>
      <c r="N1290" s="1">
        <v>44938</v>
      </c>
      <c r="O1290">
        <v>0</v>
      </c>
      <c r="P1290">
        <v>1289</v>
      </c>
      <c r="Q1290" s="2">
        <v>0.33</v>
      </c>
      <c r="R1290" t="s">
        <v>27</v>
      </c>
      <c r="S1290">
        <v>2023</v>
      </c>
      <c r="T1290" t="s">
        <v>23</v>
      </c>
    </row>
    <row r="1291" spans="1:20" x14ac:dyDescent="0.3">
      <c r="A1291">
        <v>2189</v>
      </c>
      <c r="B1291">
        <v>319</v>
      </c>
      <c r="C1291" t="s">
        <v>40</v>
      </c>
      <c r="D1291" t="s">
        <v>29</v>
      </c>
      <c r="E1291" t="s">
        <v>20</v>
      </c>
      <c r="F1291" s="1">
        <v>44729</v>
      </c>
      <c r="G1291" s="1">
        <v>44810</v>
      </c>
      <c r="H1291">
        <v>7156</v>
      </c>
      <c r="I1291">
        <v>4012.75</v>
      </c>
      <c r="J1291">
        <v>7326</v>
      </c>
      <c r="K1291" t="s">
        <v>35</v>
      </c>
      <c r="L1291">
        <v>2</v>
      </c>
      <c r="M1291" t="str">
        <f t="shared" si="20"/>
        <v>0-6 Months</v>
      </c>
      <c r="N1291" s="1">
        <v>44810</v>
      </c>
      <c r="O1291">
        <v>1</v>
      </c>
      <c r="P1291">
        <v>1290</v>
      </c>
      <c r="Q1291" s="2">
        <v>1.02</v>
      </c>
      <c r="R1291" t="s">
        <v>22</v>
      </c>
      <c r="S1291">
        <v>2022</v>
      </c>
      <c r="T1291" t="s">
        <v>30</v>
      </c>
    </row>
    <row r="1292" spans="1:20" x14ac:dyDescent="0.3">
      <c r="A1292">
        <v>2191</v>
      </c>
      <c r="B1292">
        <v>220</v>
      </c>
      <c r="C1292" t="s">
        <v>39</v>
      </c>
      <c r="D1292" t="s">
        <v>34</v>
      </c>
      <c r="E1292" t="s">
        <v>26</v>
      </c>
      <c r="F1292" s="1">
        <v>44702</v>
      </c>
      <c r="G1292" s="1">
        <v>44884</v>
      </c>
      <c r="H1292">
        <v>670</v>
      </c>
      <c r="I1292">
        <v>757</v>
      </c>
      <c r="J1292">
        <v>-87</v>
      </c>
      <c r="K1292" t="s">
        <v>35</v>
      </c>
      <c r="L1292">
        <v>5</v>
      </c>
      <c r="M1292" t="str">
        <f t="shared" si="20"/>
        <v>0-6 Months</v>
      </c>
      <c r="N1292" s="1">
        <v>44884</v>
      </c>
      <c r="O1292">
        <v>1</v>
      </c>
      <c r="P1292">
        <v>1291</v>
      </c>
      <c r="Q1292" s="2">
        <v>-0.13</v>
      </c>
      <c r="R1292" t="s">
        <v>27</v>
      </c>
      <c r="S1292">
        <v>2022</v>
      </c>
      <c r="T1292" t="s">
        <v>42</v>
      </c>
    </row>
    <row r="1293" spans="1:20" hidden="1" x14ac:dyDescent="0.3">
      <c r="A1293">
        <v>2192</v>
      </c>
      <c r="B1293">
        <v>396</v>
      </c>
      <c r="C1293" t="s">
        <v>39</v>
      </c>
      <c r="D1293" t="s">
        <v>34</v>
      </c>
      <c r="E1293" t="s">
        <v>37</v>
      </c>
      <c r="F1293" s="1">
        <v>44816</v>
      </c>
      <c r="G1293" s="1">
        <v>44975</v>
      </c>
      <c r="H1293">
        <v>4967.93</v>
      </c>
      <c r="I1293">
        <v>7056</v>
      </c>
      <c r="J1293">
        <v>-8599</v>
      </c>
      <c r="K1293" t="s">
        <v>21</v>
      </c>
      <c r="L1293">
        <v>5</v>
      </c>
      <c r="M1293" t="str">
        <f t="shared" si="20"/>
        <v>0-6 Months</v>
      </c>
      <c r="N1293" s="1">
        <v>44975</v>
      </c>
      <c r="O1293">
        <v>0</v>
      </c>
      <c r="P1293">
        <v>1292</v>
      </c>
      <c r="Q1293" s="2">
        <v>-1.73</v>
      </c>
      <c r="R1293" t="s">
        <v>22</v>
      </c>
      <c r="S1293">
        <v>2023</v>
      </c>
      <c r="T1293" t="s">
        <v>43</v>
      </c>
    </row>
    <row r="1294" spans="1:20" hidden="1" x14ac:dyDescent="0.3">
      <c r="A1294">
        <v>2194</v>
      </c>
      <c r="B1294">
        <v>101</v>
      </c>
      <c r="C1294" t="s">
        <v>53</v>
      </c>
      <c r="D1294" t="s">
        <v>29</v>
      </c>
      <c r="E1294" t="s">
        <v>37</v>
      </c>
      <c r="F1294" s="1">
        <v>44735</v>
      </c>
      <c r="G1294" s="1">
        <v>44787</v>
      </c>
      <c r="H1294">
        <v>9724</v>
      </c>
      <c r="I1294">
        <v>1520</v>
      </c>
      <c r="J1294">
        <v>8204</v>
      </c>
      <c r="K1294" t="s">
        <v>54</v>
      </c>
      <c r="L1294">
        <v>1</v>
      </c>
      <c r="M1294" t="str">
        <f t="shared" si="20"/>
        <v>0-6 Months</v>
      </c>
      <c r="N1294" s="1">
        <v>44787</v>
      </c>
      <c r="O1294">
        <v>1</v>
      </c>
      <c r="P1294">
        <v>1293</v>
      </c>
      <c r="Q1294" s="2">
        <v>0.84</v>
      </c>
      <c r="R1294" t="s">
        <v>27</v>
      </c>
      <c r="S1294">
        <v>2022</v>
      </c>
      <c r="T1294" t="s">
        <v>36</v>
      </c>
    </row>
    <row r="1295" spans="1:20" hidden="1" x14ac:dyDescent="0.3">
      <c r="A1295">
        <v>2195</v>
      </c>
      <c r="B1295">
        <v>420</v>
      </c>
      <c r="C1295" t="s">
        <v>39</v>
      </c>
      <c r="D1295" t="s">
        <v>25</v>
      </c>
      <c r="E1295" t="s">
        <v>20</v>
      </c>
      <c r="F1295" s="1">
        <v>44644</v>
      </c>
      <c r="G1295" s="1">
        <v>44806</v>
      </c>
      <c r="H1295">
        <v>4967.93</v>
      </c>
      <c r="I1295">
        <v>1016</v>
      </c>
      <c r="J1295">
        <v>-2419</v>
      </c>
      <c r="K1295" t="s">
        <v>21</v>
      </c>
      <c r="L1295">
        <v>5</v>
      </c>
      <c r="M1295" t="str">
        <f t="shared" si="20"/>
        <v>0-6 Months</v>
      </c>
      <c r="N1295" s="1">
        <v>44806</v>
      </c>
      <c r="O1295">
        <v>0</v>
      </c>
      <c r="P1295">
        <v>1294</v>
      </c>
      <c r="Q1295" s="2">
        <v>-0.49</v>
      </c>
      <c r="R1295" t="s">
        <v>27</v>
      </c>
      <c r="S1295">
        <v>2022</v>
      </c>
      <c r="T1295" t="s">
        <v>30</v>
      </c>
    </row>
    <row r="1296" spans="1:20" hidden="1" x14ac:dyDescent="0.3">
      <c r="A1296">
        <v>2196</v>
      </c>
      <c r="B1296">
        <v>313</v>
      </c>
      <c r="C1296" t="s">
        <v>53</v>
      </c>
      <c r="D1296" t="s">
        <v>19</v>
      </c>
      <c r="E1296" t="s">
        <v>26</v>
      </c>
      <c r="F1296" s="1">
        <v>44798</v>
      </c>
      <c r="G1296" s="1">
        <v>45177</v>
      </c>
      <c r="H1296">
        <v>4967.93</v>
      </c>
      <c r="I1296">
        <v>6088</v>
      </c>
      <c r="J1296">
        <v>-7012</v>
      </c>
      <c r="K1296" t="s">
        <v>21</v>
      </c>
      <c r="L1296">
        <v>12</v>
      </c>
      <c r="M1296" t="str">
        <f t="shared" si="20"/>
        <v>6-12 Months</v>
      </c>
      <c r="N1296" s="1">
        <v>45177</v>
      </c>
      <c r="O1296">
        <v>0</v>
      </c>
      <c r="P1296">
        <v>1295</v>
      </c>
      <c r="Q1296" s="2">
        <v>-1.41</v>
      </c>
      <c r="R1296" t="s">
        <v>22</v>
      </c>
      <c r="S1296">
        <v>2023</v>
      </c>
      <c r="T1296" t="s">
        <v>30</v>
      </c>
    </row>
    <row r="1297" spans="1:20" x14ac:dyDescent="0.3">
      <c r="A1297">
        <v>2198</v>
      </c>
      <c r="B1297">
        <v>327</v>
      </c>
      <c r="C1297" t="s">
        <v>53</v>
      </c>
      <c r="D1297" t="s">
        <v>19</v>
      </c>
      <c r="E1297" t="s">
        <v>37</v>
      </c>
      <c r="F1297" s="1">
        <v>44707</v>
      </c>
      <c r="G1297" s="1">
        <v>45078</v>
      </c>
      <c r="H1297">
        <v>2390</v>
      </c>
      <c r="I1297">
        <v>1892</v>
      </c>
      <c r="J1297">
        <v>498</v>
      </c>
      <c r="K1297" t="s">
        <v>35</v>
      </c>
      <c r="L1297">
        <v>12</v>
      </c>
      <c r="M1297" t="str">
        <f t="shared" si="20"/>
        <v>6-12 Months</v>
      </c>
      <c r="N1297" s="1">
        <v>45078</v>
      </c>
      <c r="O1297">
        <v>0</v>
      </c>
      <c r="P1297">
        <v>1296</v>
      </c>
      <c r="Q1297" s="2">
        <v>0.21</v>
      </c>
      <c r="R1297" t="s">
        <v>27</v>
      </c>
      <c r="S1297">
        <v>2023</v>
      </c>
      <c r="T1297" t="s">
        <v>41</v>
      </c>
    </row>
    <row r="1298" spans="1:20" hidden="1" x14ac:dyDescent="0.3">
      <c r="A1298">
        <v>2199</v>
      </c>
      <c r="B1298">
        <v>412</v>
      </c>
      <c r="C1298" t="s">
        <v>45</v>
      </c>
      <c r="D1298" t="s">
        <v>29</v>
      </c>
      <c r="E1298" t="s">
        <v>20</v>
      </c>
      <c r="F1298" s="1">
        <v>44891</v>
      </c>
      <c r="G1298" s="1">
        <v>45402</v>
      </c>
      <c r="H1298">
        <v>7931</v>
      </c>
      <c r="I1298">
        <v>3498</v>
      </c>
      <c r="J1298">
        <v>4433</v>
      </c>
      <c r="K1298" t="s">
        <v>54</v>
      </c>
      <c r="L1298">
        <v>16</v>
      </c>
      <c r="M1298" t="str">
        <f t="shared" si="20"/>
        <v>6-12 Months</v>
      </c>
      <c r="N1298" s="1">
        <v>45402</v>
      </c>
      <c r="O1298">
        <v>0</v>
      </c>
      <c r="P1298">
        <v>1297</v>
      </c>
      <c r="Q1298" s="2">
        <v>0.56000000000000005</v>
      </c>
      <c r="R1298" t="s">
        <v>27</v>
      </c>
      <c r="S1298">
        <v>2024</v>
      </c>
      <c r="T1298" t="s">
        <v>32</v>
      </c>
    </row>
    <row r="1299" spans="1:20" hidden="1" x14ac:dyDescent="0.3">
      <c r="A1299">
        <v>2202</v>
      </c>
      <c r="B1299">
        <v>113</v>
      </c>
      <c r="C1299" t="s">
        <v>53</v>
      </c>
      <c r="D1299" t="s">
        <v>19</v>
      </c>
      <c r="E1299" t="s">
        <v>26</v>
      </c>
      <c r="F1299" s="1">
        <v>44807</v>
      </c>
      <c r="G1299" s="1">
        <v>45338</v>
      </c>
      <c r="H1299">
        <v>5830</v>
      </c>
      <c r="I1299">
        <v>4647</v>
      </c>
      <c r="J1299">
        <v>1183</v>
      </c>
      <c r="K1299" t="s">
        <v>54</v>
      </c>
      <c r="L1299">
        <v>17</v>
      </c>
      <c r="M1299" t="str">
        <f t="shared" si="20"/>
        <v>6-12 Months</v>
      </c>
      <c r="N1299" s="1">
        <v>45338</v>
      </c>
      <c r="O1299">
        <v>1</v>
      </c>
      <c r="P1299">
        <v>1298</v>
      </c>
      <c r="Q1299" s="2">
        <v>0.2</v>
      </c>
      <c r="R1299" t="s">
        <v>27</v>
      </c>
      <c r="S1299">
        <v>2024</v>
      </c>
      <c r="T1299" t="s">
        <v>43</v>
      </c>
    </row>
    <row r="1300" spans="1:20" x14ac:dyDescent="0.3">
      <c r="A1300">
        <v>2204</v>
      </c>
      <c r="B1300">
        <v>267</v>
      </c>
      <c r="C1300" t="s">
        <v>40</v>
      </c>
      <c r="D1300" t="s">
        <v>19</v>
      </c>
      <c r="E1300" t="s">
        <v>26</v>
      </c>
      <c r="F1300" s="1">
        <v>44781</v>
      </c>
      <c r="G1300" s="1">
        <v>44887</v>
      </c>
      <c r="H1300">
        <v>5050</v>
      </c>
      <c r="I1300">
        <v>6365</v>
      </c>
      <c r="J1300">
        <v>-1315</v>
      </c>
      <c r="K1300" t="s">
        <v>35</v>
      </c>
      <c r="L1300">
        <v>3</v>
      </c>
      <c r="M1300" t="str">
        <f t="shared" si="20"/>
        <v>0-6 Months</v>
      </c>
      <c r="N1300" s="1">
        <v>44887</v>
      </c>
      <c r="O1300">
        <v>1</v>
      </c>
      <c r="P1300">
        <v>1299</v>
      </c>
      <c r="Q1300" s="2">
        <v>-0.26</v>
      </c>
      <c r="R1300" t="s">
        <v>27</v>
      </c>
      <c r="S1300">
        <v>2022</v>
      </c>
      <c r="T1300" t="s">
        <v>42</v>
      </c>
    </row>
    <row r="1301" spans="1:20" hidden="1" x14ac:dyDescent="0.3">
      <c r="A1301">
        <v>2205</v>
      </c>
      <c r="B1301">
        <v>459</v>
      </c>
      <c r="C1301" t="s">
        <v>45</v>
      </c>
      <c r="D1301" t="s">
        <v>34</v>
      </c>
      <c r="E1301" t="s">
        <v>26</v>
      </c>
      <c r="F1301" s="1">
        <v>44813</v>
      </c>
      <c r="G1301" s="1">
        <v>45330</v>
      </c>
      <c r="H1301">
        <v>4915</v>
      </c>
      <c r="I1301">
        <v>1203</v>
      </c>
      <c r="J1301">
        <v>577.01</v>
      </c>
      <c r="K1301" t="s">
        <v>54</v>
      </c>
      <c r="L1301">
        <v>16</v>
      </c>
      <c r="M1301" t="str">
        <f t="shared" si="20"/>
        <v>6-12 Months</v>
      </c>
      <c r="N1301" s="1">
        <v>45330</v>
      </c>
      <c r="O1301">
        <v>1</v>
      </c>
      <c r="P1301">
        <v>1300</v>
      </c>
      <c r="Q1301" s="2">
        <v>0.12</v>
      </c>
      <c r="R1301" t="s">
        <v>27</v>
      </c>
      <c r="S1301">
        <v>2024</v>
      </c>
      <c r="T1301" t="s">
        <v>43</v>
      </c>
    </row>
    <row r="1302" spans="1:20" x14ac:dyDescent="0.3">
      <c r="A1302">
        <v>2206</v>
      </c>
      <c r="B1302">
        <v>245</v>
      </c>
      <c r="C1302" t="s">
        <v>45</v>
      </c>
      <c r="D1302" t="s">
        <v>34</v>
      </c>
      <c r="E1302" t="s">
        <v>26</v>
      </c>
      <c r="F1302" s="1">
        <v>44631</v>
      </c>
      <c r="G1302" s="1">
        <v>44690</v>
      </c>
      <c r="H1302">
        <v>7045</v>
      </c>
      <c r="I1302">
        <v>4012.75</v>
      </c>
      <c r="J1302">
        <v>7200</v>
      </c>
      <c r="K1302" t="s">
        <v>35</v>
      </c>
      <c r="L1302">
        <v>1</v>
      </c>
      <c r="M1302" t="str">
        <f t="shared" si="20"/>
        <v>0-6 Months</v>
      </c>
      <c r="N1302" s="1">
        <v>44690</v>
      </c>
      <c r="O1302">
        <v>1</v>
      </c>
      <c r="P1302">
        <v>1301</v>
      </c>
      <c r="Q1302" s="2">
        <v>1.02</v>
      </c>
      <c r="R1302" t="s">
        <v>22</v>
      </c>
      <c r="S1302">
        <v>2022</v>
      </c>
      <c r="T1302" t="s">
        <v>28</v>
      </c>
    </row>
    <row r="1303" spans="1:20" x14ac:dyDescent="0.3">
      <c r="A1303">
        <v>2208</v>
      </c>
      <c r="B1303">
        <v>409</v>
      </c>
      <c r="C1303" t="s">
        <v>39</v>
      </c>
      <c r="D1303" t="s">
        <v>25</v>
      </c>
      <c r="E1303" t="s">
        <v>26</v>
      </c>
      <c r="F1303" s="1">
        <v>44878</v>
      </c>
      <c r="G1303" s="1">
        <v>44918</v>
      </c>
      <c r="H1303">
        <v>6929</v>
      </c>
      <c r="I1303">
        <v>7951</v>
      </c>
      <c r="J1303">
        <v>-1022</v>
      </c>
      <c r="K1303" t="s">
        <v>35</v>
      </c>
      <c r="L1303">
        <v>1</v>
      </c>
      <c r="M1303" t="str">
        <f t="shared" si="20"/>
        <v>0-6 Months</v>
      </c>
      <c r="N1303" s="1">
        <v>44918</v>
      </c>
      <c r="O1303">
        <v>1</v>
      </c>
      <c r="P1303">
        <v>1302</v>
      </c>
      <c r="Q1303" s="2">
        <v>-0.15</v>
      </c>
      <c r="R1303" t="s">
        <v>27</v>
      </c>
      <c r="S1303">
        <v>2022</v>
      </c>
      <c r="T1303" t="s">
        <v>31</v>
      </c>
    </row>
    <row r="1304" spans="1:20" hidden="1" x14ac:dyDescent="0.3">
      <c r="A1304">
        <v>2209</v>
      </c>
      <c r="B1304">
        <v>301</v>
      </c>
      <c r="C1304" t="s">
        <v>24</v>
      </c>
      <c r="D1304" t="s">
        <v>34</v>
      </c>
      <c r="E1304" t="s">
        <v>37</v>
      </c>
      <c r="F1304" s="1">
        <v>44766</v>
      </c>
      <c r="G1304" s="1">
        <v>44848</v>
      </c>
      <c r="H1304">
        <v>1175</v>
      </c>
      <c r="I1304">
        <v>2533</v>
      </c>
      <c r="J1304">
        <v>577.01</v>
      </c>
      <c r="K1304" t="s">
        <v>21</v>
      </c>
      <c r="L1304">
        <v>2</v>
      </c>
      <c r="M1304" t="str">
        <f t="shared" si="20"/>
        <v>0-6 Months</v>
      </c>
      <c r="N1304" s="1">
        <v>44848</v>
      </c>
      <c r="O1304">
        <v>0</v>
      </c>
      <c r="P1304">
        <v>1303</v>
      </c>
      <c r="Q1304" s="2">
        <v>0.49</v>
      </c>
      <c r="R1304" t="s">
        <v>27</v>
      </c>
      <c r="S1304">
        <v>2022</v>
      </c>
      <c r="T1304" t="s">
        <v>33</v>
      </c>
    </row>
    <row r="1305" spans="1:20" hidden="1" x14ac:dyDescent="0.3">
      <c r="A1305">
        <v>2210</v>
      </c>
      <c r="B1305">
        <v>435</v>
      </c>
      <c r="C1305" t="s">
        <v>53</v>
      </c>
      <c r="D1305" t="s">
        <v>29</v>
      </c>
      <c r="E1305" t="s">
        <v>26</v>
      </c>
      <c r="F1305" s="1">
        <v>44921</v>
      </c>
      <c r="G1305" s="1">
        <v>45227</v>
      </c>
      <c r="H1305">
        <v>5661</v>
      </c>
      <c r="I1305">
        <v>6574</v>
      </c>
      <c r="J1305">
        <v>-913</v>
      </c>
      <c r="K1305" t="s">
        <v>54</v>
      </c>
      <c r="L1305">
        <v>10</v>
      </c>
      <c r="M1305" t="str">
        <f t="shared" si="20"/>
        <v>6-12 Months</v>
      </c>
      <c r="N1305" s="1">
        <v>45227</v>
      </c>
      <c r="O1305">
        <v>1</v>
      </c>
      <c r="P1305">
        <v>1304</v>
      </c>
      <c r="Q1305" s="2">
        <v>-0.16</v>
      </c>
      <c r="R1305" t="s">
        <v>27</v>
      </c>
      <c r="S1305">
        <v>2023</v>
      </c>
      <c r="T1305" t="s">
        <v>33</v>
      </c>
    </row>
    <row r="1306" spans="1:20" hidden="1" x14ac:dyDescent="0.3">
      <c r="A1306">
        <v>2211</v>
      </c>
      <c r="B1306">
        <v>313</v>
      </c>
      <c r="C1306" t="s">
        <v>39</v>
      </c>
      <c r="D1306" t="s">
        <v>29</v>
      </c>
      <c r="E1306" t="s">
        <v>20</v>
      </c>
      <c r="F1306" s="1">
        <v>44715</v>
      </c>
      <c r="G1306" s="1">
        <v>45306</v>
      </c>
      <c r="H1306">
        <v>2847</v>
      </c>
      <c r="I1306">
        <v>3051</v>
      </c>
      <c r="J1306">
        <v>577.01</v>
      </c>
      <c r="K1306" t="s">
        <v>54</v>
      </c>
      <c r="L1306">
        <v>19</v>
      </c>
      <c r="M1306" t="str">
        <f t="shared" si="20"/>
        <v>6-12 Months</v>
      </c>
      <c r="N1306" s="1">
        <v>45306</v>
      </c>
      <c r="O1306">
        <v>0</v>
      </c>
      <c r="P1306">
        <v>1305</v>
      </c>
      <c r="Q1306" s="2">
        <v>0.2</v>
      </c>
      <c r="R1306" t="s">
        <v>27</v>
      </c>
      <c r="S1306">
        <v>2024</v>
      </c>
      <c r="T1306" t="s">
        <v>23</v>
      </c>
    </row>
    <row r="1307" spans="1:20" hidden="1" x14ac:dyDescent="0.3">
      <c r="A1307">
        <v>2214</v>
      </c>
      <c r="B1307">
        <v>395</v>
      </c>
      <c r="C1307" t="s">
        <v>24</v>
      </c>
      <c r="D1307" t="s">
        <v>19</v>
      </c>
      <c r="E1307" t="s">
        <v>37</v>
      </c>
      <c r="F1307" s="1">
        <v>44680</v>
      </c>
      <c r="G1307" s="1">
        <v>45139</v>
      </c>
      <c r="H1307">
        <v>5895</v>
      </c>
      <c r="I1307">
        <v>4012.75</v>
      </c>
      <c r="J1307">
        <v>577.01</v>
      </c>
      <c r="K1307" t="s">
        <v>54</v>
      </c>
      <c r="L1307">
        <v>15</v>
      </c>
      <c r="M1307" t="str">
        <f t="shared" si="20"/>
        <v>6-12 Months</v>
      </c>
      <c r="N1307" s="1">
        <v>45139</v>
      </c>
      <c r="O1307">
        <v>0</v>
      </c>
      <c r="P1307">
        <v>1306</v>
      </c>
      <c r="Q1307" s="2">
        <v>0.1</v>
      </c>
      <c r="R1307" t="s">
        <v>27</v>
      </c>
      <c r="S1307">
        <v>2023</v>
      </c>
      <c r="T1307" t="s">
        <v>36</v>
      </c>
    </row>
    <row r="1308" spans="1:20" hidden="1" x14ac:dyDescent="0.3">
      <c r="A1308">
        <v>2215</v>
      </c>
      <c r="B1308">
        <v>412</v>
      </c>
      <c r="C1308" t="s">
        <v>40</v>
      </c>
      <c r="D1308" t="s">
        <v>29</v>
      </c>
      <c r="E1308" t="s">
        <v>26</v>
      </c>
      <c r="F1308" s="1">
        <v>44911</v>
      </c>
      <c r="G1308" s="1">
        <v>45248</v>
      </c>
      <c r="H1308">
        <v>771</v>
      </c>
      <c r="I1308">
        <v>2394</v>
      </c>
      <c r="J1308">
        <v>-1623</v>
      </c>
      <c r="K1308" t="s">
        <v>21</v>
      </c>
      <c r="L1308">
        <v>11</v>
      </c>
      <c r="M1308" t="str">
        <f t="shared" si="20"/>
        <v>6-12 Months</v>
      </c>
      <c r="N1308" s="1">
        <v>45248</v>
      </c>
      <c r="O1308">
        <v>1</v>
      </c>
      <c r="P1308">
        <v>1307</v>
      </c>
      <c r="Q1308" s="2">
        <v>-2.11</v>
      </c>
      <c r="R1308" t="s">
        <v>22</v>
      </c>
      <c r="S1308">
        <v>2023</v>
      </c>
      <c r="T1308" t="s">
        <v>42</v>
      </c>
    </row>
    <row r="1309" spans="1:20" hidden="1" x14ac:dyDescent="0.3">
      <c r="A1309">
        <v>2216</v>
      </c>
      <c r="B1309">
        <v>162</v>
      </c>
      <c r="C1309" t="s">
        <v>45</v>
      </c>
      <c r="D1309" t="s">
        <v>34</v>
      </c>
      <c r="E1309" t="s">
        <v>26</v>
      </c>
      <c r="F1309" s="1">
        <v>44866</v>
      </c>
      <c r="G1309" s="1">
        <v>45354</v>
      </c>
      <c r="H1309">
        <v>7763</v>
      </c>
      <c r="I1309">
        <v>1138</v>
      </c>
      <c r="J1309">
        <v>6625</v>
      </c>
      <c r="K1309" t="s">
        <v>54</v>
      </c>
      <c r="L1309">
        <v>16</v>
      </c>
      <c r="M1309" t="str">
        <f t="shared" si="20"/>
        <v>6-12 Months</v>
      </c>
      <c r="N1309" s="1">
        <v>45354</v>
      </c>
      <c r="O1309">
        <v>1</v>
      </c>
      <c r="P1309">
        <v>1308</v>
      </c>
      <c r="Q1309" s="2">
        <v>0.85</v>
      </c>
      <c r="R1309" t="s">
        <v>27</v>
      </c>
      <c r="S1309">
        <v>2024</v>
      </c>
      <c r="T1309" t="s">
        <v>38</v>
      </c>
    </row>
    <row r="1310" spans="1:20" hidden="1" x14ac:dyDescent="0.3">
      <c r="A1310">
        <v>2217</v>
      </c>
      <c r="B1310">
        <v>162</v>
      </c>
      <c r="C1310" t="s">
        <v>39</v>
      </c>
      <c r="D1310" t="s">
        <v>19</v>
      </c>
      <c r="E1310" t="s">
        <v>20</v>
      </c>
      <c r="F1310" s="1">
        <v>44775</v>
      </c>
      <c r="G1310" s="1">
        <v>45318</v>
      </c>
      <c r="H1310">
        <v>9544</v>
      </c>
      <c r="I1310">
        <v>4285</v>
      </c>
      <c r="J1310">
        <v>5259</v>
      </c>
      <c r="K1310" t="s">
        <v>54</v>
      </c>
      <c r="L1310">
        <v>17</v>
      </c>
      <c r="M1310" t="str">
        <f t="shared" si="20"/>
        <v>6-12 Months</v>
      </c>
      <c r="N1310" s="1">
        <v>45318</v>
      </c>
      <c r="O1310">
        <v>1</v>
      </c>
      <c r="P1310">
        <v>1309</v>
      </c>
      <c r="Q1310" s="2">
        <v>0.55000000000000004</v>
      </c>
      <c r="R1310" t="s">
        <v>27</v>
      </c>
      <c r="S1310">
        <v>2024</v>
      </c>
      <c r="T1310" t="s">
        <v>23</v>
      </c>
    </row>
    <row r="1311" spans="1:20" hidden="1" x14ac:dyDescent="0.3">
      <c r="A1311">
        <v>2218</v>
      </c>
      <c r="B1311">
        <v>212</v>
      </c>
      <c r="C1311" t="s">
        <v>39</v>
      </c>
      <c r="D1311" t="s">
        <v>34</v>
      </c>
      <c r="E1311" t="s">
        <v>26</v>
      </c>
      <c r="F1311" s="1">
        <v>44580</v>
      </c>
      <c r="G1311" s="1">
        <v>44616</v>
      </c>
      <c r="H1311">
        <v>4228</v>
      </c>
      <c r="I1311">
        <v>6358</v>
      </c>
      <c r="J1311">
        <v>-2130</v>
      </c>
      <c r="K1311" t="s">
        <v>54</v>
      </c>
      <c r="L1311">
        <v>1</v>
      </c>
      <c r="M1311" t="str">
        <f t="shared" si="20"/>
        <v>0-6 Months</v>
      </c>
      <c r="N1311" s="1">
        <v>44616</v>
      </c>
      <c r="O1311">
        <v>1</v>
      </c>
      <c r="P1311">
        <v>1310</v>
      </c>
      <c r="Q1311" s="2">
        <v>-0.5</v>
      </c>
      <c r="R1311" t="s">
        <v>27</v>
      </c>
      <c r="S1311">
        <v>2022</v>
      </c>
      <c r="T1311" t="s">
        <v>43</v>
      </c>
    </row>
    <row r="1312" spans="1:20" x14ac:dyDescent="0.3">
      <c r="A1312">
        <v>2219</v>
      </c>
      <c r="B1312">
        <v>362</v>
      </c>
      <c r="C1312" t="s">
        <v>40</v>
      </c>
      <c r="D1312" t="s">
        <v>25</v>
      </c>
      <c r="E1312" t="s">
        <v>26</v>
      </c>
      <c r="F1312" s="1">
        <v>44750</v>
      </c>
      <c r="G1312" s="1">
        <v>45211</v>
      </c>
      <c r="H1312">
        <v>6656</v>
      </c>
      <c r="I1312">
        <v>7677</v>
      </c>
      <c r="J1312">
        <v>-1021</v>
      </c>
      <c r="K1312" t="s">
        <v>35</v>
      </c>
      <c r="L1312">
        <v>15</v>
      </c>
      <c r="M1312" t="str">
        <f t="shared" si="20"/>
        <v>6-12 Months</v>
      </c>
      <c r="N1312" s="1">
        <v>45211</v>
      </c>
      <c r="O1312">
        <v>1</v>
      </c>
      <c r="P1312">
        <v>1311</v>
      </c>
      <c r="Q1312" s="2">
        <v>-0.15</v>
      </c>
      <c r="R1312" t="s">
        <v>27</v>
      </c>
      <c r="S1312">
        <v>2023</v>
      </c>
      <c r="T1312" t="s">
        <v>33</v>
      </c>
    </row>
    <row r="1313" spans="1:20" hidden="1" x14ac:dyDescent="0.3">
      <c r="A1313">
        <v>2220</v>
      </c>
      <c r="B1313">
        <v>496</v>
      </c>
      <c r="C1313" t="s">
        <v>53</v>
      </c>
      <c r="D1313" t="s">
        <v>19</v>
      </c>
      <c r="E1313" t="s">
        <v>37</v>
      </c>
      <c r="F1313" s="1">
        <v>44600</v>
      </c>
      <c r="G1313" s="1">
        <v>44871</v>
      </c>
      <c r="H1313">
        <v>146</v>
      </c>
      <c r="I1313">
        <v>4012.75</v>
      </c>
      <c r="J1313">
        <v>960</v>
      </c>
      <c r="K1313" t="s">
        <v>54</v>
      </c>
      <c r="L1313">
        <v>8</v>
      </c>
      <c r="M1313" t="str">
        <f t="shared" si="20"/>
        <v>6-12 Months</v>
      </c>
      <c r="N1313" s="1">
        <v>44871</v>
      </c>
      <c r="O1313">
        <v>0</v>
      </c>
      <c r="P1313">
        <v>1312</v>
      </c>
      <c r="Q1313" s="2">
        <v>6.58</v>
      </c>
      <c r="R1313" t="s">
        <v>22</v>
      </c>
      <c r="S1313">
        <v>2022</v>
      </c>
      <c r="T1313" t="s">
        <v>42</v>
      </c>
    </row>
    <row r="1314" spans="1:20" hidden="1" x14ac:dyDescent="0.3">
      <c r="A1314">
        <v>2222</v>
      </c>
      <c r="B1314">
        <v>420</v>
      </c>
      <c r="C1314" t="s">
        <v>40</v>
      </c>
      <c r="D1314" t="s">
        <v>19</v>
      </c>
      <c r="E1314" t="s">
        <v>26</v>
      </c>
      <c r="F1314" s="1">
        <v>44676</v>
      </c>
      <c r="G1314" s="1">
        <v>45111</v>
      </c>
      <c r="H1314">
        <v>4967.93</v>
      </c>
      <c r="I1314">
        <v>7603</v>
      </c>
      <c r="J1314">
        <v>-8184</v>
      </c>
      <c r="K1314" t="s">
        <v>54</v>
      </c>
      <c r="L1314">
        <v>14</v>
      </c>
      <c r="M1314" t="str">
        <f t="shared" si="20"/>
        <v>6-12 Months</v>
      </c>
      <c r="N1314" s="1">
        <v>45111</v>
      </c>
      <c r="O1314">
        <v>0</v>
      </c>
      <c r="P1314">
        <v>1313</v>
      </c>
      <c r="Q1314" s="2">
        <v>-1.65</v>
      </c>
      <c r="R1314" t="s">
        <v>22</v>
      </c>
      <c r="S1314">
        <v>2023</v>
      </c>
      <c r="T1314" t="s">
        <v>44</v>
      </c>
    </row>
    <row r="1315" spans="1:20" hidden="1" x14ac:dyDescent="0.3">
      <c r="A1315">
        <v>2223</v>
      </c>
      <c r="B1315">
        <v>327</v>
      </c>
      <c r="C1315" t="s">
        <v>39</v>
      </c>
      <c r="D1315" t="s">
        <v>29</v>
      </c>
      <c r="E1315" t="s">
        <v>37</v>
      </c>
      <c r="F1315" s="1">
        <v>44910</v>
      </c>
      <c r="G1315" s="1">
        <v>45248</v>
      </c>
      <c r="H1315">
        <v>1237</v>
      </c>
      <c r="I1315">
        <v>3342</v>
      </c>
      <c r="J1315">
        <v>577.01</v>
      </c>
      <c r="K1315" t="s">
        <v>54</v>
      </c>
      <c r="L1315">
        <v>11</v>
      </c>
      <c r="M1315" t="str">
        <f t="shared" si="20"/>
        <v>6-12 Months</v>
      </c>
      <c r="N1315" s="1">
        <v>45248</v>
      </c>
      <c r="O1315">
        <v>1</v>
      </c>
      <c r="P1315">
        <v>1314</v>
      </c>
      <c r="Q1315" s="2">
        <v>0.47</v>
      </c>
      <c r="R1315" t="s">
        <v>27</v>
      </c>
      <c r="S1315">
        <v>2023</v>
      </c>
      <c r="T1315" t="s">
        <v>42</v>
      </c>
    </row>
    <row r="1316" spans="1:20" hidden="1" x14ac:dyDescent="0.3">
      <c r="A1316">
        <v>2224</v>
      </c>
      <c r="B1316">
        <v>252</v>
      </c>
      <c r="C1316" t="s">
        <v>53</v>
      </c>
      <c r="D1316" t="s">
        <v>29</v>
      </c>
      <c r="E1316" t="s">
        <v>20</v>
      </c>
      <c r="F1316" s="1">
        <v>44859</v>
      </c>
      <c r="G1316" s="1">
        <v>45002</v>
      </c>
      <c r="H1316">
        <v>9770</v>
      </c>
      <c r="I1316">
        <v>4012.75</v>
      </c>
      <c r="J1316">
        <v>10658</v>
      </c>
      <c r="K1316" t="s">
        <v>21</v>
      </c>
      <c r="L1316">
        <v>4</v>
      </c>
      <c r="M1316" t="str">
        <f t="shared" si="20"/>
        <v>0-6 Months</v>
      </c>
      <c r="N1316" s="1">
        <v>45002</v>
      </c>
      <c r="O1316">
        <v>0</v>
      </c>
      <c r="P1316">
        <v>1315</v>
      </c>
      <c r="Q1316" s="2">
        <v>1.0900000000000001</v>
      </c>
      <c r="R1316" t="s">
        <v>22</v>
      </c>
      <c r="S1316">
        <v>2023</v>
      </c>
      <c r="T1316" t="s">
        <v>38</v>
      </c>
    </row>
    <row r="1317" spans="1:20" hidden="1" x14ac:dyDescent="0.3">
      <c r="A1317">
        <v>2228</v>
      </c>
      <c r="B1317">
        <v>108</v>
      </c>
      <c r="C1317" t="s">
        <v>45</v>
      </c>
      <c r="D1317" t="s">
        <v>25</v>
      </c>
      <c r="E1317" t="s">
        <v>37</v>
      </c>
      <c r="F1317" s="1">
        <v>44592</v>
      </c>
      <c r="G1317" s="1">
        <v>44879</v>
      </c>
      <c r="H1317">
        <v>1226</v>
      </c>
      <c r="I1317">
        <v>5720</v>
      </c>
      <c r="J1317">
        <v>-4494</v>
      </c>
      <c r="K1317" t="s">
        <v>21</v>
      </c>
      <c r="L1317">
        <v>9</v>
      </c>
      <c r="M1317" t="str">
        <f t="shared" si="20"/>
        <v>6-12 Months</v>
      </c>
      <c r="N1317" s="1">
        <v>44879</v>
      </c>
      <c r="O1317">
        <v>0</v>
      </c>
      <c r="P1317">
        <v>1316</v>
      </c>
      <c r="Q1317" s="2">
        <v>-3.67</v>
      </c>
      <c r="R1317" t="s">
        <v>22</v>
      </c>
      <c r="S1317">
        <v>2022</v>
      </c>
      <c r="T1317" t="s">
        <v>42</v>
      </c>
    </row>
    <row r="1318" spans="1:20" x14ac:dyDescent="0.3">
      <c r="A1318">
        <v>2232</v>
      </c>
      <c r="B1318">
        <v>107</v>
      </c>
      <c r="C1318" t="s">
        <v>40</v>
      </c>
      <c r="D1318" t="s">
        <v>19</v>
      </c>
      <c r="E1318" t="s">
        <v>26</v>
      </c>
      <c r="F1318" s="1">
        <v>44913</v>
      </c>
      <c r="G1318" s="1">
        <v>45460</v>
      </c>
      <c r="H1318">
        <v>2810</v>
      </c>
      <c r="I1318">
        <v>6948</v>
      </c>
      <c r="J1318">
        <v>-4138</v>
      </c>
      <c r="K1318" t="s">
        <v>35</v>
      </c>
      <c r="L1318">
        <v>17</v>
      </c>
      <c r="M1318" t="str">
        <f t="shared" si="20"/>
        <v>6-12 Months</v>
      </c>
      <c r="N1318" s="1">
        <v>45460</v>
      </c>
      <c r="O1318">
        <v>1</v>
      </c>
      <c r="P1318">
        <v>1317</v>
      </c>
      <c r="Q1318" s="2">
        <v>-1.47</v>
      </c>
      <c r="R1318" t="s">
        <v>22</v>
      </c>
      <c r="S1318">
        <v>2024</v>
      </c>
      <c r="T1318" t="s">
        <v>41</v>
      </c>
    </row>
    <row r="1319" spans="1:20" x14ac:dyDescent="0.3">
      <c r="A1319">
        <v>2233</v>
      </c>
      <c r="B1319">
        <v>310</v>
      </c>
      <c r="C1319" t="s">
        <v>24</v>
      </c>
      <c r="D1319" t="s">
        <v>25</v>
      </c>
      <c r="E1319" t="s">
        <v>20</v>
      </c>
      <c r="F1319" s="1">
        <v>44842</v>
      </c>
      <c r="G1319" s="1">
        <v>45348</v>
      </c>
      <c r="H1319">
        <v>9006</v>
      </c>
      <c r="I1319">
        <v>1527</v>
      </c>
      <c r="J1319">
        <v>7479</v>
      </c>
      <c r="K1319" t="s">
        <v>35</v>
      </c>
      <c r="L1319">
        <v>16</v>
      </c>
      <c r="M1319" t="str">
        <f t="shared" si="20"/>
        <v>6-12 Months</v>
      </c>
      <c r="N1319" s="1">
        <v>45348</v>
      </c>
      <c r="O1319">
        <v>0</v>
      </c>
      <c r="P1319">
        <v>1318</v>
      </c>
      <c r="Q1319" s="2">
        <v>0.83</v>
      </c>
      <c r="R1319" t="s">
        <v>27</v>
      </c>
      <c r="S1319">
        <v>2024</v>
      </c>
      <c r="T1319" t="s">
        <v>43</v>
      </c>
    </row>
    <row r="1320" spans="1:20" x14ac:dyDescent="0.3">
      <c r="A1320">
        <v>2234</v>
      </c>
      <c r="B1320">
        <v>203</v>
      </c>
      <c r="C1320" t="s">
        <v>40</v>
      </c>
      <c r="D1320" t="s">
        <v>25</v>
      </c>
      <c r="E1320" t="s">
        <v>37</v>
      </c>
      <c r="F1320" s="1">
        <v>44714</v>
      </c>
      <c r="G1320" s="1">
        <v>44993</v>
      </c>
      <c r="H1320">
        <v>7169</v>
      </c>
      <c r="I1320">
        <v>105</v>
      </c>
      <c r="J1320">
        <v>7064</v>
      </c>
      <c r="K1320" t="s">
        <v>35</v>
      </c>
      <c r="L1320">
        <v>9</v>
      </c>
      <c r="M1320" t="str">
        <f t="shared" si="20"/>
        <v>6-12 Months</v>
      </c>
      <c r="N1320" s="1">
        <v>44993</v>
      </c>
      <c r="O1320">
        <v>1</v>
      </c>
      <c r="P1320">
        <v>1319</v>
      </c>
      <c r="Q1320" s="2">
        <v>0.99</v>
      </c>
      <c r="R1320" t="s">
        <v>27</v>
      </c>
      <c r="S1320">
        <v>2023</v>
      </c>
      <c r="T1320" t="s">
        <v>38</v>
      </c>
    </row>
    <row r="1321" spans="1:20" hidden="1" x14ac:dyDescent="0.3">
      <c r="A1321">
        <v>2235</v>
      </c>
      <c r="B1321">
        <v>258</v>
      </c>
      <c r="C1321" t="s">
        <v>53</v>
      </c>
      <c r="D1321" t="s">
        <v>29</v>
      </c>
      <c r="E1321" t="s">
        <v>20</v>
      </c>
      <c r="F1321" s="1">
        <v>44736</v>
      </c>
      <c r="G1321" s="1">
        <v>45157</v>
      </c>
      <c r="H1321">
        <v>4967.93</v>
      </c>
      <c r="I1321">
        <v>4012.75</v>
      </c>
      <c r="J1321">
        <v>577.01</v>
      </c>
      <c r="K1321" t="s">
        <v>21</v>
      </c>
      <c r="L1321">
        <v>13</v>
      </c>
      <c r="M1321" t="str">
        <f t="shared" si="20"/>
        <v>6-12 Months</v>
      </c>
      <c r="N1321" s="1">
        <v>45157</v>
      </c>
      <c r="O1321">
        <v>1</v>
      </c>
      <c r="P1321">
        <v>1320</v>
      </c>
      <c r="Q1321" s="2">
        <v>0.12</v>
      </c>
      <c r="R1321" t="s">
        <v>27</v>
      </c>
      <c r="S1321">
        <v>2023</v>
      </c>
      <c r="T1321" t="s">
        <v>36</v>
      </c>
    </row>
    <row r="1322" spans="1:20" hidden="1" x14ac:dyDescent="0.3">
      <c r="A1322">
        <v>2239</v>
      </c>
      <c r="B1322">
        <v>401</v>
      </c>
      <c r="C1322" t="s">
        <v>53</v>
      </c>
      <c r="D1322" t="s">
        <v>25</v>
      </c>
      <c r="E1322" t="s">
        <v>20</v>
      </c>
      <c r="F1322" s="1">
        <v>44717</v>
      </c>
      <c r="G1322" s="1">
        <v>45231</v>
      </c>
      <c r="H1322">
        <v>3778</v>
      </c>
      <c r="I1322">
        <v>4012.75</v>
      </c>
      <c r="J1322">
        <v>4305</v>
      </c>
      <c r="K1322" t="s">
        <v>54</v>
      </c>
      <c r="L1322">
        <v>16</v>
      </c>
      <c r="M1322" t="str">
        <f t="shared" si="20"/>
        <v>6-12 Months</v>
      </c>
      <c r="N1322" s="1">
        <v>45231</v>
      </c>
      <c r="O1322">
        <v>0</v>
      </c>
      <c r="P1322">
        <v>1321</v>
      </c>
      <c r="Q1322" s="2">
        <v>1.1399999999999999</v>
      </c>
      <c r="R1322" t="s">
        <v>22</v>
      </c>
      <c r="S1322">
        <v>2023</v>
      </c>
      <c r="T1322" t="s">
        <v>42</v>
      </c>
    </row>
    <row r="1323" spans="1:20" hidden="1" x14ac:dyDescent="0.3">
      <c r="A1323">
        <v>2240</v>
      </c>
      <c r="B1323">
        <v>382</v>
      </c>
      <c r="C1323" t="s">
        <v>39</v>
      </c>
      <c r="D1323" t="s">
        <v>19</v>
      </c>
      <c r="E1323" t="s">
        <v>26</v>
      </c>
      <c r="F1323" s="1">
        <v>44601</v>
      </c>
      <c r="G1323" s="1">
        <v>44754</v>
      </c>
      <c r="H1323">
        <v>2711</v>
      </c>
      <c r="I1323">
        <v>2275</v>
      </c>
      <c r="J1323">
        <v>436</v>
      </c>
      <c r="K1323" t="s">
        <v>54</v>
      </c>
      <c r="L1323">
        <v>5</v>
      </c>
      <c r="M1323" t="str">
        <f t="shared" si="20"/>
        <v>0-6 Months</v>
      </c>
      <c r="N1323" s="1">
        <v>44754</v>
      </c>
      <c r="O1323">
        <v>1</v>
      </c>
      <c r="P1323">
        <v>1322</v>
      </c>
      <c r="Q1323" s="2">
        <v>0.16</v>
      </c>
      <c r="R1323" t="s">
        <v>27</v>
      </c>
      <c r="S1323">
        <v>2022</v>
      </c>
      <c r="T1323" t="s">
        <v>44</v>
      </c>
    </row>
    <row r="1324" spans="1:20" hidden="1" x14ac:dyDescent="0.3">
      <c r="A1324">
        <v>2241</v>
      </c>
      <c r="B1324">
        <v>125</v>
      </c>
      <c r="C1324" t="s">
        <v>24</v>
      </c>
      <c r="D1324" t="s">
        <v>34</v>
      </c>
      <c r="E1324" t="s">
        <v>37</v>
      </c>
      <c r="F1324" s="1">
        <v>44902</v>
      </c>
      <c r="G1324" s="1">
        <v>44971</v>
      </c>
      <c r="H1324">
        <v>4967.93</v>
      </c>
      <c r="I1324">
        <v>4012.75</v>
      </c>
      <c r="J1324">
        <v>-1075</v>
      </c>
      <c r="K1324" t="s">
        <v>21</v>
      </c>
      <c r="L1324">
        <v>2</v>
      </c>
      <c r="M1324" t="str">
        <f t="shared" si="20"/>
        <v>0-6 Months</v>
      </c>
      <c r="N1324" s="1">
        <v>44971</v>
      </c>
      <c r="O1324">
        <v>0</v>
      </c>
      <c r="P1324">
        <v>1323</v>
      </c>
      <c r="Q1324" s="2">
        <v>-0.22</v>
      </c>
      <c r="R1324" t="s">
        <v>27</v>
      </c>
      <c r="S1324">
        <v>2023</v>
      </c>
      <c r="T1324" t="s">
        <v>43</v>
      </c>
    </row>
    <row r="1325" spans="1:20" hidden="1" x14ac:dyDescent="0.3">
      <c r="A1325">
        <v>2243</v>
      </c>
      <c r="B1325">
        <v>468</v>
      </c>
      <c r="C1325" t="s">
        <v>40</v>
      </c>
      <c r="D1325" t="s">
        <v>19</v>
      </c>
      <c r="E1325" t="s">
        <v>20</v>
      </c>
      <c r="F1325" s="1">
        <v>44863</v>
      </c>
      <c r="G1325" s="1">
        <v>45103</v>
      </c>
      <c r="H1325">
        <v>5097</v>
      </c>
      <c r="I1325">
        <v>4333</v>
      </c>
      <c r="J1325">
        <v>764</v>
      </c>
      <c r="K1325" t="s">
        <v>54</v>
      </c>
      <c r="L1325">
        <v>7</v>
      </c>
      <c r="M1325" t="str">
        <f t="shared" si="20"/>
        <v>6-12 Months</v>
      </c>
      <c r="N1325" s="1">
        <v>45103</v>
      </c>
      <c r="O1325">
        <v>0</v>
      </c>
      <c r="P1325">
        <v>1324</v>
      </c>
      <c r="Q1325" s="2">
        <v>0.15</v>
      </c>
      <c r="R1325" t="s">
        <v>27</v>
      </c>
      <c r="S1325">
        <v>2023</v>
      </c>
      <c r="T1325" t="s">
        <v>41</v>
      </c>
    </row>
    <row r="1326" spans="1:20" x14ac:dyDescent="0.3">
      <c r="A1326">
        <v>2244</v>
      </c>
      <c r="B1326">
        <v>294</v>
      </c>
      <c r="C1326" t="s">
        <v>45</v>
      </c>
      <c r="D1326" t="s">
        <v>25</v>
      </c>
      <c r="E1326" t="s">
        <v>20</v>
      </c>
      <c r="F1326" s="1">
        <v>44740</v>
      </c>
      <c r="G1326" s="1">
        <v>45232</v>
      </c>
      <c r="H1326">
        <v>5726</v>
      </c>
      <c r="I1326">
        <v>3335</v>
      </c>
      <c r="J1326">
        <v>2391</v>
      </c>
      <c r="K1326" t="s">
        <v>35</v>
      </c>
      <c r="L1326">
        <v>16</v>
      </c>
      <c r="M1326" t="str">
        <f t="shared" si="20"/>
        <v>6-12 Months</v>
      </c>
      <c r="N1326" s="1">
        <v>45232</v>
      </c>
      <c r="O1326">
        <v>0</v>
      </c>
      <c r="P1326">
        <v>1325</v>
      </c>
      <c r="Q1326" s="2">
        <v>0.42</v>
      </c>
      <c r="R1326" t="s">
        <v>27</v>
      </c>
      <c r="S1326">
        <v>2023</v>
      </c>
      <c r="T1326" t="s">
        <v>42</v>
      </c>
    </row>
    <row r="1327" spans="1:20" hidden="1" x14ac:dyDescent="0.3">
      <c r="A1327">
        <v>2246</v>
      </c>
      <c r="B1327">
        <v>203</v>
      </c>
      <c r="C1327" t="s">
        <v>45</v>
      </c>
      <c r="D1327" t="s">
        <v>29</v>
      </c>
      <c r="E1327" t="s">
        <v>37</v>
      </c>
      <c r="F1327" s="1">
        <v>44811</v>
      </c>
      <c r="G1327" s="1">
        <v>45041</v>
      </c>
      <c r="H1327">
        <v>6800</v>
      </c>
      <c r="I1327">
        <v>7588</v>
      </c>
      <c r="J1327">
        <v>-788</v>
      </c>
      <c r="K1327" t="s">
        <v>54</v>
      </c>
      <c r="L1327">
        <v>7</v>
      </c>
      <c r="M1327" t="str">
        <f t="shared" si="20"/>
        <v>6-12 Months</v>
      </c>
      <c r="N1327" s="1">
        <v>45041</v>
      </c>
      <c r="O1327">
        <v>1</v>
      </c>
      <c r="P1327">
        <v>1326</v>
      </c>
      <c r="Q1327" s="2">
        <v>-0.12</v>
      </c>
      <c r="R1327" t="s">
        <v>27</v>
      </c>
      <c r="S1327">
        <v>2023</v>
      </c>
      <c r="T1327" t="s">
        <v>32</v>
      </c>
    </row>
    <row r="1328" spans="1:20" hidden="1" x14ac:dyDescent="0.3">
      <c r="A1328">
        <v>2247</v>
      </c>
      <c r="B1328">
        <v>457</v>
      </c>
      <c r="C1328" t="s">
        <v>39</v>
      </c>
      <c r="D1328" t="s">
        <v>29</v>
      </c>
      <c r="E1328" t="s">
        <v>20</v>
      </c>
      <c r="F1328" s="1">
        <v>44687</v>
      </c>
      <c r="G1328" s="1">
        <v>44888</v>
      </c>
      <c r="H1328">
        <v>2675</v>
      </c>
      <c r="I1328">
        <v>3190</v>
      </c>
      <c r="J1328">
        <v>-515</v>
      </c>
      <c r="K1328" t="s">
        <v>54</v>
      </c>
      <c r="L1328">
        <v>6</v>
      </c>
      <c r="M1328" t="str">
        <f t="shared" si="20"/>
        <v>12+ Months</v>
      </c>
      <c r="N1328" s="1">
        <v>44888</v>
      </c>
      <c r="O1328">
        <v>0</v>
      </c>
      <c r="P1328">
        <v>1327</v>
      </c>
      <c r="Q1328" s="2">
        <v>-0.19</v>
      </c>
      <c r="R1328" t="s">
        <v>27</v>
      </c>
      <c r="S1328">
        <v>2022</v>
      </c>
      <c r="T1328" t="s">
        <v>42</v>
      </c>
    </row>
    <row r="1329" spans="1:20" hidden="1" x14ac:dyDescent="0.3">
      <c r="A1329">
        <v>2248</v>
      </c>
      <c r="B1329">
        <v>488</v>
      </c>
      <c r="C1329" t="s">
        <v>53</v>
      </c>
      <c r="D1329" t="s">
        <v>25</v>
      </c>
      <c r="E1329" t="s">
        <v>20</v>
      </c>
      <c r="F1329" s="1">
        <v>44766</v>
      </c>
      <c r="G1329" s="1">
        <v>45334</v>
      </c>
      <c r="H1329">
        <v>3760</v>
      </c>
      <c r="I1329">
        <v>2059</v>
      </c>
      <c r="J1329">
        <v>577.01</v>
      </c>
      <c r="K1329" t="s">
        <v>21</v>
      </c>
      <c r="L1329">
        <v>18</v>
      </c>
      <c r="M1329" t="str">
        <f t="shared" si="20"/>
        <v>6-12 Months</v>
      </c>
      <c r="N1329" s="1">
        <v>45334</v>
      </c>
      <c r="O1329">
        <v>0</v>
      </c>
      <c r="P1329">
        <v>1328</v>
      </c>
      <c r="Q1329" s="2">
        <v>0.15</v>
      </c>
      <c r="R1329" t="s">
        <v>27</v>
      </c>
      <c r="S1329">
        <v>2024</v>
      </c>
      <c r="T1329" t="s">
        <v>43</v>
      </c>
    </row>
    <row r="1330" spans="1:20" hidden="1" x14ac:dyDescent="0.3">
      <c r="A1330">
        <v>2250</v>
      </c>
      <c r="B1330">
        <v>318</v>
      </c>
      <c r="C1330" t="s">
        <v>45</v>
      </c>
      <c r="D1330" t="s">
        <v>29</v>
      </c>
      <c r="E1330" t="s">
        <v>26</v>
      </c>
      <c r="F1330" s="1">
        <v>44853</v>
      </c>
      <c r="G1330" s="1">
        <v>45064</v>
      </c>
      <c r="H1330">
        <v>8379</v>
      </c>
      <c r="I1330">
        <v>1779</v>
      </c>
      <c r="J1330">
        <v>6600</v>
      </c>
      <c r="K1330" t="s">
        <v>21</v>
      </c>
      <c r="L1330">
        <v>6</v>
      </c>
      <c r="M1330" t="str">
        <f t="shared" si="20"/>
        <v>12+ Months</v>
      </c>
      <c r="N1330" s="1">
        <v>45064</v>
      </c>
      <c r="O1330">
        <v>0</v>
      </c>
      <c r="P1330">
        <v>1329</v>
      </c>
      <c r="Q1330" s="2">
        <v>0.79</v>
      </c>
      <c r="R1330" t="s">
        <v>27</v>
      </c>
      <c r="S1330">
        <v>2023</v>
      </c>
      <c r="T1330" t="s">
        <v>28</v>
      </c>
    </row>
    <row r="1331" spans="1:20" hidden="1" x14ac:dyDescent="0.3">
      <c r="A1331">
        <v>2252</v>
      </c>
      <c r="B1331">
        <v>109</v>
      </c>
      <c r="C1331" t="s">
        <v>45</v>
      </c>
      <c r="D1331" t="s">
        <v>25</v>
      </c>
      <c r="E1331" t="s">
        <v>20</v>
      </c>
      <c r="F1331" s="1">
        <v>44897</v>
      </c>
      <c r="G1331" s="1">
        <v>45233</v>
      </c>
      <c r="H1331">
        <v>7819</v>
      </c>
      <c r="I1331">
        <v>2701</v>
      </c>
      <c r="J1331">
        <v>5118</v>
      </c>
      <c r="K1331" t="s">
        <v>54</v>
      </c>
      <c r="L1331">
        <v>11</v>
      </c>
      <c r="M1331" t="str">
        <f t="shared" si="20"/>
        <v>6-12 Months</v>
      </c>
      <c r="N1331" s="1">
        <v>45233</v>
      </c>
      <c r="O1331">
        <v>0</v>
      </c>
      <c r="P1331">
        <v>1330</v>
      </c>
      <c r="Q1331" s="2">
        <v>0.65</v>
      </c>
      <c r="R1331" t="s">
        <v>27</v>
      </c>
      <c r="S1331">
        <v>2023</v>
      </c>
      <c r="T1331" t="s">
        <v>42</v>
      </c>
    </row>
    <row r="1332" spans="1:20" hidden="1" x14ac:dyDescent="0.3">
      <c r="A1332">
        <v>2254</v>
      </c>
      <c r="B1332">
        <v>179</v>
      </c>
      <c r="C1332" t="s">
        <v>53</v>
      </c>
      <c r="D1332" t="s">
        <v>29</v>
      </c>
      <c r="E1332" t="s">
        <v>20</v>
      </c>
      <c r="F1332" s="1">
        <v>44840</v>
      </c>
      <c r="G1332" s="1">
        <v>45232</v>
      </c>
      <c r="H1332">
        <v>5853</v>
      </c>
      <c r="I1332">
        <v>5787</v>
      </c>
      <c r="J1332">
        <v>66</v>
      </c>
      <c r="K1332" t="s">
        <v>54</v>
      </c>
      <c r="L1332">
        <v>12</v>
      </c>
      <c r="M1332" t="str">
        <f t="shared" si="20"/>
        <v>6-12 Months</v>
      </c>
      <c r="N1332" s="1">
        <v>45232</v>
      </c>
      <c r="O1332">
        <v>1</v>
      </c>
      <c r="P1332">
        <v>1331</v>
      </c>
      <c r="Q1332" s="2">
        <v>0.01</v>
      </c>
      <c r="R1332" t="s">
        <v>27</v>
      </c>
      <c r="S1332">
        <v>2023</v>
      </c>
      <c r="T1332" t="s">
        <v>42</v>
      </c>
    </row>
    <row r="1333" spans="1:20" x14ac:dyDescent="0.3">
      <c r="A1333">
        <v>2255</v>
      </c>
      <c r="B1333">
        <v>500</v>
      </c>
      <c r="C1333" t="s">
        <v>45</v>
      </c>
      <c r="D1333" t="s">
        <v>34</v>
      </c>
      <c r="E1333" t="s">
        <v>26</v>
      </c>
      <c r="F1333" s="1">
        <v>44763</v>
      </c>
      <c r="G1333" s="1">
        <v>45273</v>
      </c>
      <c r="H1333">
        <v>2179</v>
      </c>
      <c r="I1333">
        <v>4012.75</v>
      </c>
      <c r="J1333">
        <v>2635</v>
      </c>
      <c r="K1333" t="s">
        <v>35</v>
      </c>
      <c r="L1333">
        <v>16</v>
      </c>
      <c r="M1333" t="str">
        <f t="shared" si="20"/>
        <v>6-12 Months</v>
      </c>
      <c r="N1333" s="1">
        <v>45273</v>
      </c>
      <c r="O1333">
        <v>1</v>
      </c>
      <c r="P1333">
        <v>1332</v>
      </c>
      <c r="Q1333" s="2">
        <v>1.21</v>
      </c>
      <c r="R1333" t="s">
        <v>22</v>
      </c>
      <c r="S1333">
        <v>2023</v>
      </c>
      <c r="T1333" t="s">
        <v>31</v>
      </c>
    </row>
    <row r="1334" spans="1:20" hidden="1" x14ac:dyDescent="0.3">
      <c r="A1334">
        <v>2259</v>
      </c>
      <c r="B1334">
        <v>388</v>
      </c>
      <c r="C1334" t="s">
        <v>45</v>
      </c>
      <c r="D1334" t="s">
        <v>19</v>
      </c>
      <c r="E1334" t="s">
        <v>20</v>
      </c>
      <c r="F1334" s="1">
        <v>44566</v>
      </c>
      <c r="G1334" s="1">
        <v>45147</v>
      </c>
      <c r="H1334">
        <v>8386</v>
      </c>
      <c r="I1334">
        <v>2120</v>
      </c>
      <c r="J1334">
        <v>6266</v>
      </c>
      <c r="K1334" t="s">
        <v>54</v>
      </c>
      <c r="L1334">
        <v>19</v>
      </c>
      <c r="M1334" t="str">
        <f t="shared" si="20"/>
        <v>6-12 Months</v>
      </c>
      <c r="N1334" s="1">
        <v>45147</v>
      </c>
      <c r="O1334">
        <v>0</v>
      </c>
      <c r="P1334">
        <v>1333</v>
      </c>
      <c r="Q1334" s="2">
        <v>0.75</v>
      </c>
      <c r="R1334" t="s">
        <v>27</v>
      </c>
      <c r="S1334">
        <v>2023</v>
      </c>
      <c r="T1334" t="s">
        <v>36</v>
      </c>
    </row>
    <row r="1335" spans="1:20" hidden="1" x14ac:dyDescent="0.3">
      <c r="A1335">
        <v>2260</v>
      </c>
      <c r="B1335">
        <v>154</v>
      </c>
      <c r="C1335" t="s">
        <v>39</v>
      </c>
      <c r="D1335" t="s">
        <v>34</v>
      </c>
      <c r="E1335" t="s">
        <v>26</v>
      </c>
      <c r="F1335" s="1">
        <v>44716</v>
      </c>
      <c r="G1335" s="1">
        <v>45235</v>
      </c>
      <c r="H1335">
        <v>8928</v>
      </c>
      <c r="I1335">
        <v>4012.75</v>
      </c>
      <c r="J1335">
        <v>9311</v>
      </c>
      <c r="K1335" t="s">
        <v>54</v>
      </c>
      <c r="L1335">
        <v>17</v>
      </c>
      <c r="M1335" t="str">
        <f t="shared" si="20"/>
        <v>6-12 Months</v>
      </c>
      <c r="N1335" s="1">
        <v>45235</v>
      </c>
      <c r="O1335">
        <v>1</v>
      </c>
      <c r="P1335">
        <v>1334</v>
      </c>
      <c r="Q1335" s="2">
        <v>1.04</v>
      </c>
      <c r="R1335" t="s">
        <v>22</v>
      </c>
      <c r="S1335">
        <v>2023</v>
      </c>
      <c r="T1335" t="s">
        <v>42</v>
      </c>
    </row>
    <row r="1336" spans="1:20" hidden="1" x14ac:dyDescent="0.3">
      <c r="A1336">
        <v>2261</v>
      </c>
      <c r="B1336">
        <v>207</v>
      </c>
      <c r="C1336" t="s">
        <v>39</v>
      </c>
      <c r="D1336" t="s">
        <v>34</v>
      </c>
      <c r="E1336" t="s">
        <v>20</v>
      </c>
      <c r="F1336" s="1">
        <v>44860</v>
      </c>
      <c r="G1336" s="1">
        <v>45207</v>
      </c>
      <c r="H1336">
        <v>4967.93</v>
      </c>
      <c r="I1336">
        <v>3702</v>
      </c>
      <c r="J1336">
        <v>-4256</v>
      </c>
      <c r="K1336" t="s">
        <v>54</v>
      </c>
      <c r="L1336">
        <v>11</v>
      </c>
      <c r="M1336" t="str">
        <f t="shared" si="20"/>
        <v>6-12 Months</v>
      </c>
      <c r="N1336" s="1">
        <v>45207</v>
      </c>
      <c r="O1336">
        <v>1</v>
      </c>
      <c r="P1336">
        <v>1335</v>
      </c>
      <c r="Q1336" s="2">
        <v>-0.86</v>
      </c>
      <c r="R1336" t="s">
        <v>27</v>
      </c>
      <c r="S1336">
        <v>2023</v>
      </c>
      <c r="T1336" t="s">
        <v>33</v>
      </c>
    </row>
    <row r="1337" spans="1:20" hidden="1" x14ac:dyDescent="0.3">
      <c r="A1337">
        <v>2263</v>
      </c>
      <c r="B1337">
        <v>149</v>
      </c>
      <c r="C1337" t="s">
        <v>53</v>
      </c>
      <c r="D1337" t="s">
        <v>25</v>
      </c>
      <c r="E1337" t="s">
        <v>37</v>
      </c>
      <c r="F1337" s="1">
        <v>44832</v>
      </c>
      <c r="G1337" s="1">
        <v>45248</v>
      </c>
      <c r="H1337">
        <v>4967.93</v>
      </c>
      <c r="I1337">
        <v>6245</v>
      </c>
      <c r="J1337">
        <v>-6963</v>
      </c>
      <c r="K1337" t="s">
        <v>54</v>
      </c>
      <c r="L1337">
        <v>13</v>
      </c>
      <c r="M1337" t="str">
        <f t="shared" si="20"/>
        <v>6-12 Months</v>
      </c>
      <c r="N1337" s="1">
        <v>45248</v>
      </c>
      <c r="O1337">
        <v>1</v>
      </c>
      <c r="P1337">
        <v>1336</v>
      </c>
      <c r="Q1337" s="2">
        <v>-1.4</v>
      </c>
      <c r="R1337" t="s">
        <v>22</v>
      </c>
      <c r="S1337">
        <v>2023</v>
      </c>
      <c r="T1337" t="s">
        <v>42</v>
      </c>
    </row>
    <row r="1338" spans="1:20" x14ac:dyDescent="0.3">
      <c r="A1338">
        <v>2264</v>
      </c>
      <c r="B1338">
        <v>303</v>
      </c>
      <c r="C1338" t="s">
        <v>45</v>
      </c>
      <c r="D1338" t="s">
        <v>25</v>
      </c>
      <c r="E1338" t="s">
        <v>37</v>
      </c>
      <c r="F1338" s="1">
        <v>44887</v>
      </c>
      <c r="G1338" s="1">
        <v>45038</v>
      </c>
      <c r="H1338">
        <v>5478</v>
      </c>
      <c r="I1338">
        <v>4500</v>
      </c>
      <c r="J1338">
        <v>978</v>
      </c>
      <c r="K1338" t="s">
        <v>35</v>
      </c>
      <c r="L1338">
        <v>5</v>
      </c>
      <c r="M1338" t="str">
        <f t="shared" si="20"/>
        <v>0-6 Months</v>
      </c>
      <c r="N1338" s="1">
        <v>45038</v>
      </c>
      <c r="O1338">
        <v>0</v>
      </c>
      <c r="P1338">
        <v>1337</v>
      </c>
      <c r="Q1338" s="2">
        <v>0.18</v>
      </c>
      <c r="R1338" t="s">
        <v>27</v>
      </c>
      <c r="S1338">
        <v>2023</v>
      </c>
      <c r="T1338" t="s">
        <v>32</v>
      </c>
    </row>
    <row r="1339" spans="1:20" x14ac:dyDescent="0.3">
      <c r="A1339">
        <v>2267</v>
      </c>
      <c r="B1339">
        <v>199</v>
      </c>
      <c r="C1339" t="s">
        <v>39</v>
      </c>
      <c r="D1339" t="s">
        <v>34</v>
      </c>
      <c r="E1339" t="s">
        <v>26</v>
      </c>
      <c r="F1339" s="1">
        <v>44776</v>
      </c>
      <c r="G1339" s="1">
        <v>44870</v>
      </c>
      <c r="H1339">
        <v>9932</v>
      </c>
      <c r="I1339">
        <v>1744</v>
      </c>
      <c r="J1339">
        <v>8188</v>
      </c>
      <c r="K1339" t="s">
        <v>35</v>
      </c>
      <c r="L1339">
        <v>3</v>
      </c>
      <c r="M1339" t="str">
        <f t="shared" si="20"/>
        <v>0-6 Months</v>
      </c>
      <c r="N1339" s="1">
        <v>44870</v>
      </c>
      <c r="O1339">
        <v>1</v>
      </c>
      <c r="P1339">
        <v>1338</v>
      </c>
      <c r="Q1339" s="2">
        <v>0.82</v>
      </c>
      <c r="R1339" t="s">
        <v>27</v>
      </c>
      <c r="S1339">
        <v>2022</v>
      </c>
      <c r="T1339" t="s">
        <v>42</v>
      </c>
    </row>
    <row r="1340" spans="1:20" hidden="1" x14ac:dyDescent="0.3">
      <c r="A1340">
        <v>2268</v>
      </c>
      <c r="B1340">
        <v>152</v>
      </c>
      <c r="C1340" t="s">
        <v>39</v>
      </c>
      <c r="D1340" t="s">
        <v>25</v>
      </c>
      <c r="E1340" t="s">
        <v>20</v>
      </c>
      <c r="F1340" s="1">
        <v>44722</v>
      </c>
      <c r="G1340" s="1">
        <v>44761</v>
      </c>
      <c r="H1340">
        <v>8784</v>
      </c>
      <c r="I1340">
        <v>1518</v>
      </c>
      <c r="J1340">
        <v>7266</v>
      </c>
      <c r="K1340" t="s">
        <v>54</v>
      </c>
      <c r="L1340">
        <v>1</v>
      </c>
      <c r="M1340" t="str">
        <f t="shared" si="20"/>
        <v>0-6 Months</v>
      </c>
      <c r="N1340" s="1">
        <v>44761</v>
      </c>
      <c r="O1340">
        <v>0</v>
      </c>
      <c r="P1340">
        <v>1339</v>
      </c>
      <c r="Q1340" s="2">
        <v>0.83</v>
      </c>
      <c r="R1340" t="s">
        <v>27</v>
      </c>
      <c r="S1340">
        <v>2022</v>
      </c>
      <c r="T1340" t="s">
        <v>44</v>
      </c>
    </row>
    <row r="1341" spans="1:20" x14ac:dyDescent="0.3">
      <c r="A1341">
        <v>2269</v>
      </c>
      <c r="B1341">
        <v>179</v>
      </c>
      <c r="C1341" t="s">
        <v>45</v>
      </c>
      <c r="D1341" t="s">
        <v>25</v>
      </c>
      <c r="E1341" t="s">
        <v>20</v>
      </c>
      <c r="F1341" s="1">
        <v>44744</v>
      </c>
      <c r="G1341" s="1">
        <v>45014</v>
      </c>
      <c r="H1341">
        <v>4967.93</v>
      </c>
      <c r="I1341">
        <v>2618</v>
      </c>
      <c r="J1341">
        <v>-4402</v>
      </c>
      <c r="K1341" t="s">
        <v>35</v>
      </c>
      <c r="L1341">
        <v>8</v>
      </c>
      <c r="M1341" t="str">
        <f t="shared" si="20"/>
        <v>6-12 Months</v>
      </c>
      <c r="N1341" s="1">
        <v>45014</v>
      </c>
      <c r="O1341">
        <v>0</v>
      </c>
      <c r="P1341">
        <v>1340</v>
      </c>
      <c r="Q1341" s="2">
        <v>-0.89</v>
      </c>
      <c r="R1341" t="s">
        <v>27</v>
      </c>
      <c r="S1341">
        <v>2023</v>
      </c>
      <c r="T1341" t="s">
        <v>38</v>
      </c>
    </row>
    <row r="1342" spans="1:20" hidden="1" x14ac:dyDescent="0.3">
      <c r="A1342">
        <v>2270</v>
      </c>
      <c r="B1342">
        <v>377</v>
      </c>
      <c r="C1342" t="s">
        <v>39</v>
      </c>
      <c r="D1342" t="s">
        <v>19</v>
      </c>
      <c r="E1342" t="s">
        <v>20</v>
      </c>
      <c r="F1342" s="1">
        <v>44643</v>
      </c>
      <c r="G1342" s="1">
        <v>45005</v>
      </c>
      <c r="H1342">
        <v>2912</v>
      </c>
      <c r="I1342">
        <v>2358</v>
      </c>
      <c r="J1342">
        <v>554</v>
      </c>
      <c r="K1342" t="s">
        <v>21</v>
      </c>
      <c r="L1342">
        <v>11</v>
      </c>
      <c r="M1342" t="str">
        <f t="shared" si="20"/>
        <v>6-12 Months</v>
      </c>
      <c r="N1342" s="1">
        <v>45005</v>
      </c>
      <c r="O1342">
        <v>0</v>
      </c>
      <c r="P1342">
        <v>1341</v>
      </c>
      <c r="Q1342" s="2">
        <v>0.19</v>
      </c>
      <c r="R1342" t="s">
        <v>27</v>
      </c>
      <c r="S1342">
        <v>2023</v>
      </c>
      <c r="T1342" t="s">
        <v>38</v>
      </c>
    </row>
    <row r="1343" spans="1:20" hidden="1" x14ac:dyDescent="0.3">
      <c r="A1343">
        <v>2271</v>
      </c>
      <c r="B1343">
        <v>461</v>
      </c>
      <c r="C1343" t="s">
        <v>24</v>
      </c>
      <c r="D1343" t="s">
        <v>29</v>
      </c>
      <c r="E1343" t="s">
        <v>20</v>
      </c>
      <c r="F1343" s="1">
        <v>44562</v>
      </c>
      <c r="G1343" s="1">
        <v>44646</v>
      </c>
      <c r="H1343">
        <v>1073</v>
      </c>
      <c r="I1343">
        <v>937</v>
      </c>
      <c r="J1343">
        <v>136</v>
      </c>
      <c r="K1343" t="s">
        <v>54</v>
      </c>
      <c r="L1343">
        <v>2</v>
      </c>
      <c r="M1343" t="str">
        <f t="shared" si="20"/>
        <v>0-6 Months</v>
      </c>
      <c r="N1343" s="1">
        <v>44646</v>
      </c>
      <c r="O1343">
        <v>0</v>
      </c>
      <c r="P1343">
        <v>1342</v>
      </c>
      <c r="Q1343" s="2">
        <v>0.13</v>
      </c>
      <c r="R1343" t="s">
        <v>27</v>
      </c>
      <c r="S1343">
        <v>2022</v>
      </c>
      <c r="T1343" t="s">
        <v>38</v>
      </c>
    </row>
    <row r="1344" spans="1:20" hidden="1" x14ac:dyDescent="0.3">
      <c r="A1344">
        <v>2273</v>
      </c>
      <c r="B1344">
        <v>350</v>
      </c>
      <c r="C1344" t="s">
        <v>53</v>
      </c>
      <c r="D1344" t="s">
        <v>29</v>
      </c>
      <c r="E1344" t="s">
        <v>20</v>
      </c>
      <c r="F1344" s="1">
        <v>44838</v>
      </c>
      <c r="G1344" s="1">
        <v>45091</v>
      </c>
      <c r="H1344">
        <v>7771</v>
      </c>
      <c r="I1344">
        <v>5248</v>
      </c>
      <c r="J1344">
        <v>577.01</v>
      </c>
      <c r="K1344" t="s">
        <v>54</v>
      </c>
      <c r="L1344">
        <v>8</v>
      </c>
      <c r="M1344" t="str">
        <f t="shared" si="20"/>
        <v>6-12 Months</v>
      </c>
      <c r="N1344" s="1">
        <v>45091</v>
      </c>
      <c r="O1344">
        <v>0</v>
      </c>
      <c r="P1344">
        <v>1343</v>
      </c>
      <c r="Q1344" s="2">
        <v>7.0000000000000007E-2</v>
      </c>
      <c r="R1344" t="s">
        <v>27</v>
      </c>
      <c r="S1344">
        <v>2023</v>
      </c>
      <c r="T1344" t="s">
        <v>41</v>
      </c>
    </row>
    <row r="1345" spans="1:20" x14ac:dyDescent="0.3">
      <c r="A1345">
        <v>2278</v>
      </c>
      <c r="B1345">
        <v>450</v>
      </c>
      <c r="C1345" t="s">
        <v>45</v>
      </c>
      <c r="D1345" t="s">
        <v>34</v>
      </c>
      <c r="E1345" t="s">
        <v>20</v>
      </c>
      <c r="F1345" s="1">
        <v>44726</v>
      </c>
      <c r="G1345" s="1">
        <v>45054</v>
      </c>
      <c r="H1345">
        <v>6454</v>
      </c>
      <c r="I1345">
        <v>645</v>
      </c>
      <c r="J1345">
        <v>5809</v>
      </c>
      <c r="K1345" t="s">
        <v>35</v>
      </c>
      <c r="L1345">
        <v>10</v>
      </c>
      <c r="M1345" t="str">
        <f t="shared" si="20"/>
        <v>6-12 Months</v>
      </c>
      <c r="N1345" s="1">
        <v>45054</v>
      </c>
      <c r="O1345">
        <v>0</v>
      </c>
      <c r="P1345">
        <v>1344</v>
      </c>
      <c r="Q1345" s="2">
        <v>0.9</v>
      </c>
      <c r="R1345" t="s">
        <v>27</v>
      </c>
      <c r="S1345">
        <v>2023</v>
      </c>
      <c r="T1345" t="s">
        <v>28</v>
      </c>
    </row>
    <row r="1346" spans="1:20" hidden="1" x14ac:dyDescent="0.3">
      <c r="A1346">
        <v>2279</v>
      </c>
      <c r="B1346">
        <v>445</v>
      </c>
      <c r="C1346" t="s">
        <v>39</v>
      </c>
      <c r="D1346" t="s">
        <v>19</v>
      </c>
      <c r="E1346" t="s">
        <v>20</v>
      </c>
      <c r="F1346" s="1">
        <v>44766</v>
      </c>
      <c r="G1346" s="1">
        <v>44990</v>
      </c>
      <c r="H1346">
        <v>8808</v>
      </c>
      <c r="I1346">
        <v>3649</v>
      </c>
      <c r="J1346">
        <v>5159</v>
      </c>
      <c r="K1346" t="s">
        <v>21</v>
      </c>
      <c r="L1346">
        <v>7</v>
      </c>
      <c r="M1346" t="str">
        <f t="shared" ref="M1346:M1409" si="21">IF(L1346&lt;6,"0-6 Months",IF(L1346&gt;6,"6-12 Months","12+ Months"))</f>
        <v>6-12 Months</v>
      </c>
      <c r="N1346" s="1">
        <v>44990</v>
      </c>
      <c r="O1346">
        <v>0</v>
      </c>
      <c r="P1346">
        <v>1345</v>
      </c>
      <c r="Q1346" s="2">
        <v>0.59</v>
      </c>
      <c r="R1346" t="s">
        <v>27</v>
      </c>
      <c r="S1346">
        <v>2023</v>
      </c>
      <c r="T1346" t="s">
        <v>38</v>
      </c>
    </row>
    <row r="1347" spans="1:20" x14ac:dyDescent="0.3">
      <c r="A1347">
        <v>2280</v>
      </c>
      <c r="B1347">
        <v>286</v>
      </c>
      <c r="C1347" t="s">
        <v>40</v>
      </c>
      <c r="D1347" t="s">
        <v>34</v>
      </c>
      <c r="E1347" t="s">
        <v>26</v>
      </c>
      <c r="F1347" s="1">
        <v>44622</v>
      </c>
      <c r="G1347" s="1">
        <v>45156</v>
      </c>
      <c r="H1347">
        <v>2074</v>
      </c>
      <c r="I1347">
        <v>873</v>
      </c>
      <c r="J1347">
        <v>1201</v>
      </c>
      <c r="K1347" t="s">
        <v>35</v>
      </c>
      <c r="L1347">
        <v>17</v>
      </c>
      <c r="M1347" t="str">
        <f t="shared" si="21"/>
        <v>6-12 Months</v>
      </c>
      <c r="N1347" s="1">
        <v>45156</v>
      </c>
      <c r="O1347">
        <v>0</v>
      </c>
      <c r="P1347">
        <v>1346</v>
      </c>
      <c r="Q1347" s="2">
        <v>0.57999999999999996</v>
      </c>
      <c r="R1347" t="s">
        <v>27</v>
      </c>
      <c r="S1347">
        <v>2023</v>
      </c>
      <c r="T1347" t="s">
        <v>36</v>
      </c>
    </row>
    <row r="1348" spans="1:20" hidden="1" x14ac:dyDescent="0.3">
      <c r="A1348">
        <v>2281</v>
      </c>
      <c r="B1348">
        <v>382</v>
      </c>
      <c r="C1348" t="s">
        <v>45</v>
      </c>
      <c r="D1348" t="s">
        <v>29</v>
      </c>
      <c r="E1348" t="s">
        <v>20</v>
      </c>
      <c r="F1348" s="1">
        <v>44584</v>
      </c>
      <c r="G1348" s="1">
        <v>44733</v>
      </c>
      <c r="H1348">
        <v>4967.93</v>
      </c>
      <c r="I1348">
        <v>1384</v>
      </c>
      <c r="J1348">
        <v>-3145</v>
      </c>
      <c r="K1348" t="s">
        <v>21</v>
      </c>
      <c r="L1348">
        <v>4</v>
      </c>
      <c r="M1348" t="str">
        <f t="shared" si="21"/>
        <v>0-6 Months</v>
      </c>
      <c r="N1348" s="1">
        <v>44733</v>
      </c>
      <c r="O1348">
        <v>0</v>
      </c>
      <c r="P1348">
        <v>1347</v>
      </c>
      <c r="Q1348" s="2">
        <v>-0.63</v>
      </c>
      <c r="R1348" t="s">
        <v>27</v>
      </c>
      <c r="S1348">
        <v>2022</v>
      </c>
      <c r="T1348" t="s">
        <v>41</v>
      </c>
    </row>
    <row r="1349" spans="1:20" hidden="1" x14ac:dyDescent="0.3">
      <c r="A1349">
        <v>2282</v>
      </c>
      <c r="B1349">
        <v>474</v>
      </c>
      <c r="C1349" t="s">
        <v>45</v>
      </c>
      <c r="D1349" t="s">
        <v>29</v>
      </c>
      <c r="E1349" t="s">
        <v>37</v>
      </c>
      <c r="F1349" s="1">
        <v>44729</v>
      </c>
      <c r="G1349" s="1">
        <v>44865</v>
      </c>
      <c r="H1349">
        <v>6882</v>
      </c>
      <c r="I1349">
        <v>1266</v>
      </c>
      <c r="J1349">
        <v>5616</v>
      </c>
      <c r="K1349" t="s">
        <v>54</v>
      </c>
      <c r="L1349">
        <v>4</v>
      </c>
      <c r="M1349" t="str">
        <f t="shared" si="21"/>
        <v>0-6 Months</v>
      </c>
      <c r="N1349" s="1">
        <v>44865</v>
      </c>
      <c r="O1349">
        <v>0</v>
      </c>
      <c r="P1349">
        <v>1348</v>
      </c>
      <c r="Q1349" s="2">
        <v>0.82</v>
      </c>
      <c r="R1349" t="s">
        <v>27</v>
      </c>
      <c r="S1349">
        <v>2022</v>
      </c>
      <c r="T1349" t="s">
        <v>33</v>
      </c>
    </row>
    <row r="1350" spans="1:20" hidden="1" x14ac:dyDescent="0.3">
      <c r="A1350">
        <v>2284</v>
      </c>
      <c r="B1350">
        <v>497</v>
      </c>
      <c r="C1350" t="s">
        <v>53</v>
      </c>
      <c r="D1350" t="s">
        <v>34</v>
      </c>
      <c r="E1350" t="s">
        <v>26</v>
      </c>
      <c r="F1350" s="1">
        <v>44636</v>
      </c>
      <c r="G1350" s="1">
        <v>44890</v>
      </c>
      <c r="H1350">
        <v>4967.93</v>
      </c>
      <c r="I1350">
        <v>2457</v>
      </c>
      <c r="J1350">
        <v>-3962</v>
      </c>
      <c r="K1350" t="s">
        <v>21</v>
      </c>
      <c r="L1350">
        <v>8</v>
      </c>
      <c r="M1350" t="str">
        <f t="shared" si="21"/>
        <v>6-12 Months</v>
      </c>
      <c r="N1350" s="1">
        <v>44890</v>
      </c>
      <c r="O1350">
        <v>0</v>
      </c>
      <c r="P1350">
        <v>1349</v>
      </c>
      <c r="Q1350" s="2">
        <v>-0.8</v>
      </c>
      <c r="R1350" t="s">
        <v>27</v>
      </c>
      <c r="S1350">
        <v>2022</v>
      </c>
      <c r="T1350" t="s">
        <v>42</v>
      </c>
    </row>
    <row r="1351" spans="1:20" hidden="1" x14ac:dyDescent="0.3">
      <c r="A1351">
        <v>2286</v>
      </c>
      <c r="B1351">
        <v>496</v>
      </c>
      <c r="C1351" t="s">
        <v>40</v>
      </c>
      <c r="D1351" t="s">
        <v>19</v>
      </c>
      <c r="E1351" t="s">
        <v>26</v>
      </c>
      <c r="F1351" s="1">
        <v>44823</v>
      </c>
      <c r="G1351" s="1">
        <v>44988</v>
      </c>
      <c r="H1351">
        <v>426</v>
      </c>
      <c r="I1351">
        <v>7724</v>
      </c>
      <c r="J1351">
        <v>-7298</v>
      </c>
      <c r="K1351" t="s">
        <v>54</v>
      </c>
      <c r="L1351">
        <v>5</v>
      </c>
      <c r="M1351" t="str">
        <f t="shared" si="21"/>
        <v>0-6 Months</v>
      </c>
      <c r="N1351" s="1">
        <v>44988</v>
      </c>
      <c r="O1351">
        <v>0</v>
      </c>
      <c r="P1351">
        <v>1350</v>
      </c>
      <c r="Q1351" s="2">
        <v>-17.13</v>
      </c>
      <c r="R1351" t="s">
        <v>22</v>
      </c>
      <c r="S1351">
        <v>2023</v>
      </c>
      <c r="T1351" t="s">
        <v>38</v>
      </c>
    </row>
    <row r="1352" spans="1:20" hidden="1" x14ac:dyDescent="0.3">
      <c r="A1352">
        <v>2287</v>
      </c>
      <c r="B1352">
        <v>179</v>
      </c>
      <c r="C1352" t="s">
        <v>53</v>
      </c>
      <c r="D1352" t="s">
        <v>19</v>
      </c>
      <c r="E1352" t="s">
        <v>26</v>
      </c>
      <c r="F1352" s="1">
        <v>44768</v>
      </c>
      <c r="G1352" s="1">
        <v>44835</v>
      </c>
      <c r="H1352">
        <v>1655</v>
      </c>
      <c r="I1352">
        <v>7572</v>
      </c>
      <c r="J1352">
        <v>-5917</v>
      </c>
      <c r="K1352" t="s">
        <v>54</v>
      </c>
      <c r="L1352">
        <v>2</v>
      </c>
      <c r="M1352" t="str">
        <f t="shared" si="21"/>
        <v>0-6 Months</v>
      </c>
      <c r="N1352" s="1">
        <v>44835</v>
      </c>
      <c r="O1352">
        <v>0</v>
      </c>
      <c r="P1352">
        <v>1351</v>
      </c>
      <c r="Q1352" s="2">
        <v>-3.58</v>
      </c>
      <c r="R1352" t="s">
        <v>22</v>
      </c>
      <c r="S1352">
        <v>2022</v>
      </c>
      <c r="T1352" t="s">
        <v>33</v>
      </c>
    </row>
    <row r="1353" spans="1:20" hidden="1" x14ac:dyDescent="0.3">
      <c r="A1353">
        <v>2288</v>
      </c>
      <c r="B1353">
        <v>246</v>
      </c>
      <c r="C1353" t="s">
        <v>24</v>
      </c>
      <c r="D1353" t="s">
        <v>25</v>
      </c>
      <c r="E1353" t="s">
        <v>20</v>
      </c>
      <c r="F1353" s="1">
        <v>44857</v>
      </c>
      <c r="G1353" s="1">
        <v>45006</v>
      </c>
      <c r="H1353">
        <v>4967.93</v>
      </c>
      <c r="I1353">
        <v>7497</v>
      </c>
      <c r="J1353">
        <v>-9158</v>
      </c>
      <c r="K1353" t="s">
        <v>54</v>
      </c>
      <c r="L1353">
        <v>4</v>
      </c>
      <c r="M1353" t="str">
        <f t="shared" si="21"/>
        <v>0-6 Months</v>
      </c>
      <c r="N1353" s="1">
        <v>45006</v>
      </c>
      <c r="O1353">
        <v>0</v>
      </c>
      <c r="P1353">
        <v>1352</v>
      </c>
      <c r="Q1353" s="2">
        <v>-1.84</v>
      </c>
      <c r="R1353" t="s">
        <v>22</v>
      </c>
      <c r="S1353">
        <v>2023</v>
      </c>
      <c r="T1353" t="s">
        <v>38</v>
      </c>
    </row>
    <row r="1354" spans="1:20" hidden="1" x14ac:dyDescent="0.3">
      <c r="A1354">
        <v>2289</v>
      </c>
      <c r="B1354">
        <v>385</v>
      </c>
      <c r="C1354" t="s">
        <v>40</v>
      </c>
      <c r="D1354" t="s">
        <v>34</v>
      </c>
      <c r="E1354" t="s">
        <v>20</v>
      </c>
      <c r="F1354" s="1">
        <v>44703</v>
      </c>
      <c r="G1354" s="1">
        <v>45186</v>
      </c>
      <c r="H1354">
        <v>1972</v>
      </c>
      <c r="I1354">
        <v>2173</v>
      </c>
      <c r="J1354">
        <v>-201</v>
      </c>
      <c r="K1354" t="s">
        <v>54</v>
      </c>
      <c r="L1354">
        <v>15</v>
      </c>
      <c r="M1354" t="str">
        <f t="shared" si="21"/>
        <v>6-12 Months</v>
      </c>
      <c r="N1354" s="1">
        <v>45186</v>
      </c>
      <c r="O1354">
        <v>1</v>
      </c>
      <c r="P1354">
        <v>1353</v>
      </c>
      <c r="Q1354" s="2">
        <v>-0.1</v>
      </c>
      <c r="R1354" t="s">
        <v>27</v>
      </c>
      <c r="S1354">
        <v>2023</v>
      </c>
      <c r="T1354" t="s">
        <v>30</v>
      </c>
    </row>
    <row r="1355" spans="1:20" hidden="1" x14ac:dyDescent="0.3">
      <c r="A1355">
        <v>2290</v>
      </c>
      <c r="B1355">
        <v>134</v>
      </c>
      <c r="C1355" t="s">
        <v>24</v>
      </c>
      <c r="D1355" t="s">
        <v>29</v>
      </c>
      <c r="E1355" t="s">
        <v>37</v>
      </c>
      <c r="F1355" s="1">
        <v>44666</v>
      </c>
      <c r="G1355" s="1">
        <v>44699</v>
      </c>
      <c r="H1355">
        <v>4967.93</v>
      </c>
      <c r="I1355">
        <v>3466</v>
      </c>
      <c r="J1355">
        <v>-3698</v>
      </c>
      <c r="K1355" t="s">
        <v>54</v>
      </c>
      <c r="L1355">
        <v>1</v>
      </c>
      <c r="M1355" t="str">
        <f t="shared" si="21"/>
        <v>0-6 Months</v>
      </c>
      <c r="N1355" s="1">
        <v>44699</v>
      </c>
      <c r="O1355">
        <v>0</v>
      </c>
      <c r="P1355">
        <v>1354</v>
      </c>
      <c r="Q1355" s="2">
        <v>-0.74</v>
      </c>
      <c r="R1355" t="s">
        <v>27</v>
      </c>
      <c r="S1355">
        <v>2022</v>
      </c>
      <c r="T1355" t="s">
        <v>28</v>
      </c>
    </row>
    <row r="1356" spans="1:20" hidden="1" x14ac:dyDescent="0.3">
      <c r="A1356">
        <v>2291</v>
      </c>
      <c r="B1356">
        <v>144</v>
      </c>
      <c r="C1356" t="s">
        <v>39</v>
      </c>
      <c r="D1356" t="s">
        <v>19</v>
      </c>
      <c r="E1356" t="s">
        <v>37</v>
      </c>
      <c r="F1356" s="1">
        <v>44570</v>
      </c>
      <c r="G1356" s="1">
        <v>45162</v>
      </c>
      <c r="H1356">
        <v>4915</v>
      </c>
      <c r="I1356">
        <v>840</v>
      </c>
      <c r="J1356">
        <v>4075</v>
      </c>
      <c r="K1356" t="s">
        <v>54</v>
      </c>
      <c r="L1356">
        <v>19</v>
      </c>
      <c r="M1356" t="str">
        <f t="shared" si="21"/>
        <v>6-12 Months</v>
      </c>
      <c r="N1356" s="1">
        <v>45162</v>
      </c>
      <c r="O1356">
        <v>0</v>
      </c>
      <c r="P1356">
        <v>1355</v>
      </c>
      <c r="Q1356" s="2">
        <v>0.83</v>
      </c>
      <c r="R1356" t="s">
        <v>27</v>
      </c>
      <c r="S1356">
        <v>2023</v>
      </c>
      <c r="T1356" t="s">
        <v>36</v>
      </c>
    </row>
    <row r="1357" spans="1:20" x14ac:dyDescent="0.3">
      <c r="A1357">
        <v>2292</v>
      </c>
      <c r="B1357">
        <v>363</v>
      </c>
      <c r="C1357" t="s">
        <v>53</v>
      </c>
      <c r="D1357" t="s">
        <v>34</v>
      </c>
      <c r="E1357" t="s">
        <v>26</v>
      </c>
      <c r="F1357" s="1">
        <v>44602</v>
      </c>
      <c r="G1357" s="1">
        <v>45078</v>
      </c>
      <c r="H1357">
        <v>4967.93</v>
      </c>
      <c r="I1357">
        <v>1934</v>
      </c>
      <c r="J1357">
        <v>-3223</v>
      </c>
      <c r="K1357" t="s">
        <v>35</v>
      </c>
      <c r="L1357">
        <v>15</v>
      </c>
      <c r="M1357" t="str">
        <f t="shared" si="21"/>
        <v>6-12 Months</v>
      </c>
      <c r="N1357" s="1">
        <v>45078</v>
      </c>
      <c r="O1357">
        <v>0</v>
      </c>
      <c r="P1357">
        <v>1356</v>
      </c>
      <c r="Q1357" s="2">
        <v>-0.65</v>
      </c>
      <c r="R1357" t="s">
        <v>27</v>
      </c>
      <c r="S1357">
        <v>2023</v>
      </c>
      <c r="T1357" t="s">
        <v>41</v>
      </c>
    </row>
    <row r="1358" spans="1:20" hidden="1" x14ac:dyDescent="0.3">
      <c r="A1358">
        <v>2293</v>
      </c>
      <c r="B1358">
        <v>427</v>
      </c>
      <c r="C1358" t="s">
        <v>40</v>
      </c>
      <c r="D1358" t="s">
        <v>34</v>
      </c>
      <c r="E1358" t="s">
        <v>26</v>
      </c>
      <c r="F1358" s="1">
        <v>44620</v>
      </c>
      <c r="G1358" s="1">
        <v>44741</v>
      </c>
      <c r="H1358">
        <v>3451</v>
      </c>
      <c r="I1358">
        <v>1757</v>
      </c>
      <c r="J1358">
        <v>1694</v>
      </c>
      <c r="K1358" t="s">
        <v>54</v>
      </c>
      <c r="L1358">
        <v>4</v>
      </c>
      <c r="M1358" t="str">
        <f t="shared" si="21"/>
        <v>0-6 Months</v>
      </c>
      <c r="N1358" s="1">
        <v>44741</v>
      </c>
      <c r="O1358">
        <v>0</v>
      </c>
      <c r="P1358">
        <v>1357</v>
      </c>
      <c r="Q1358" s="2">
        <v>0.49</v>
      </c>
      <c r="R1358" t="s">
        <v>27</v>
      </c>
      <c r="S1358">
        <v>2022</v>
      </c>
      <c r="T1358" t="s">
        <v>41</v>
      </c>
    </row>
    <row r="1359" spans="1:20" hidden="1" x14ac:dyDescent="0.3">
      <c r="A1359">
        <v>2296</v>
      </c>
      <c r="B1359">
        <v>413</v>
      </c>
      <c r="C1359" t="s">
        <v>45</v>
      </c>
      <c r="D1359" t="s">
        <v>25</v>
      </c>
      <c r="E1359" t="s">
        <v>26</v>
      </c>
      <c r="F1359" s="1">
        <v>44706</v>
      </c>
      <c r="G1359" s="1">
        <v>45168</v>
      </c>
      <c r="H1359">
        <v>8627</v>
      </c>
      <c r="I1359">
        <v>989</v>
      </c>
      <c r="J1359">
        <v>7638</v>
      </c>
      <c r="K1359" t="s">
        <v>21</v>
      </c>
      <c r="L1359">
        <v>15</v>
      </c>
      <c r="M1359" t="str">
        <f t="shared" si="21"/>
        <v>6-12 Months</v>
      </c>
      <c r="N1359" s="1">
        <v>45168</v>
      </c>
      <c r="O1359">
        <v>1</v>
      </c>
      <c r="P1359">
        <v>1358</v>
      </c>
      <c r="Q1359" s="2">
        <v>0.89</v>
      </c>
      <c r="R1359" t="s">
        <v>27</v>
      </c>
      <c r="S1359">
        <v>2023</v>
      </c>
      <c r="T1359" t="s">
        <v>36</v>
      </c>
    </row>
    <row r="1360" spans="1:20" hidden="1" x14ac:dyDescent="0.3">
      <c r="A1360">
        <v>2297</v>
      </c>
      <c r="B1360">
        <v>151</v>
      </c>
      <c r="C1360" t="s">
        <v>40</v>
      </c>
      <c r="D1360" t="s">
        <v>34</v>
      </c>
      <c r="E1360" t="s">
        <v>20</v>
      </c>
      <c r="F1360" s="1">
        <v>44842</v>
      </c>
      <c r="G1360" s="1">
        <v>45191</v>
      </c>
      <c r="H1360">
        <v>4967.93</v>
      </c>
      <c r="I1360">
        <v>496</v>
      </c>
      <c r="J1360">
        <v>-2038</v>
      </c>
      <c r="K1360" t="s">
        <v>21</v>
      </c>
      <c r="L1360">
        <v>11</v>
      </c>
      <c r="M1360" t="str">
        <f t="shared" si="21"/>
        <v>6-12 Months</v>
      </c>
      <c r="N1360" s="1">
        <v>45191</v>
      </c>
      <c r="O1360">
        <v>1</v>
      </c>
      <c r="P1360">
        <v>1359</v>
      </c>
      <c r="Q1360" s="2">
        <v>-0.41</v>
      </c>
      <c r="R1360" t="s">
        <v>27</v>
      </c>
      <c r="S1360">
        <v>2023</v>
      </c>
      <c r="T1360" t="s">
        <v>30</v>
      </c>
    </row>
    <row r="1361" spans="1:20" hidden="1" x14ac:dyDescent="0.3">
      <c r="A1361">
        <v>2301</v>
      </c>
      <c r="B1361">
        <v>176</v>
      </c>
      <c r="C1361" t="s">
        <v>24</v>
      </c>
      <c r="D1361" t="s">
        <v>34</v>
      </c>
      <c r="E1361" t="s">
        <v>37</v>
      </c>
      <c r="F1361" s="1">
        <v>44894</v>
      </c>
      <c r="G1361" s="1">
        <v>44974</v>
      </c>
      <c r="H1361">
        <v>8895</v>
      </c>
      <c r="I1361">
        <v>6426</v>
      </c>
      <c r="J1361">
        <v>2469</v>
      </c>
      <c r="K1361" t="s">
        <v>54</v>
      </c>
      <c r="L1361">
        <v>2</v>
      </c>
      <c r="M1361" t="str">
        <f t="shared" si="21"/>
        <v>0-6 Months</v>
      </c>
      <c r="N1361" s="1">
        <v>44974</v>
      </c>
      <c r="O1361">
        <v>1</v>
      </c>
      <c r="P1361">
        <v>1360</v>
      </c>
      <c r="Q1361" s="2">
        <v>0.28000000000000003</v>
      </c>
      <c r="R1361" t="s">
        <v>27</v>
      </c>
      <c r="S1361">
        <v>2023</v>
      </c>
      <c r="T1361" t="s">
        <v>43</v>
      </c>
    </row>
    <row r="1362" spans="1:20" hidden="1" x14ac:dyDescent="0.3">
      <c r="A1362">
        <v>2302</v>
      </c>
      <c r="B1362">
        <v>271</v>
      </c>
      <c r="C1362" t="s">
        <v>53</v>
      </c>
      <c r="D1362" t="s">
        <v>25</v>
      </c>
      <c r="E1362" t="s">
        <v>20</v>
      </c>
      <c r="F1362" s="1">
        <v>44769</v>
      </c>
      <c r="G1362" s="1">
        <v>44917</v>
      </c>
      <c r="H1362">
        <v>5719</v>
      </c>
      <c r="I1362">
        <v>1308</v>
      </c>
      <c r="J1362">
        <v>4411</v>
      </c>
      <c r="K1362" t="s">
        <v>21</v>
      </c>
      <c r="L1362">
        <v>4</v>
      </c>
      <c r="M1362" t="str">
        <f t="shared" si="21"/>
        <v>0-6 Months</v>
      </c>
      <c r="N1362" s="1">
        <v>44917</v>
      </c>
      <c r="O1362">
        <v>1</v>
      </c>
      <c r="P1362">
        <v>1361</v>
      </c>
      <c r="Q1362" s="2">
        <v>0.77</v>
      </c>
      <c r="R1362" t="s">
        <v>27</v>
      </c>
      <c r="S1362">
        <v>2022</v>
      </c>
      <c r="T1362" t="s">
        <v>31</v>
      </c>
    </row>
    <row r="1363" spans="1:20" hidden="1" x14ac:dyDescent="0.3">
      <c r="A1363">
        <v>2305</v>
      </c>
      <c r="B1363">
        <v>333</v>
      </c>
      <c r="C1363" t="s">
        <v>39</v>
      </c>
      <c r="D1363" t="s">
        <v>34</v>
      </c>
      <c r="E1363" t="s">
        <v>37</v>
      </c>
      <c r="F1363" s="1">
        <v>44610</v>
      </c>
      <c r="G1363" s="1">
        <v>44888</v>
      </c>
      <c r="H1363">
        <v>7058</v>
      </c>
      <c r="I1363">
        <v>6170</v>
      </c>
      <c r="J1363">
        <v>888</v>
      </c>
      <c r="K1363" t="s">
        <v>54</v>
      </c>
      <c r="L1363">
        <v>9</v>
      </c>
      <c r="M1363" t="str">
        <f t="shared" si="21"/>
        <v>6-12 Months</v>
      </c>
      <c r="N1363" s="1">
        <v>44888</v>
      </c>
      <c r="O1363">
        <v>1</v>
      </c>
      <c r="P1363">
        <v>1362</v>
      </c>
      <c r="Q1363" s="2">
        <v>0.13</v>
      </c>
      <c r="R1363" t="s">
        <v>27</v>
      </c>
      <c r="S1363">
        <v>2022</v>
      </c>
      <c r="T1363" t="s">
        <v>42</v>
      </c>
    </row>
    <row r="1364" spans="1:20" hidden="1" x14ac:dyDescent="0.3">
      <c r="A1364">
        <v>2306</v>
      </c>
      <c r="B1364">
        <v>434</v>
      </c>
      <c r="C1364" t="s">
        <v>24</v>
      </c>
      <c r="D1364" t="s">
        <v>29</v>
      </c>
      <c r="E1364" t="s">
        <v>37</v>
      </c>
      <c r="F1364" s="1">
        <v>44753</v>
      </c>
      <c r="G1364" s="1">
        <v>44863</v>
      </c>
      <c r="H1364">
        <v>1169</v>
      </c>
      <c r="I1364">
        <v>7385</v>
      </c>
      <c r="J1364">
        <v>-6216</v>
      </c>
      <c r="K1364" t="s">
        <v>54</v>
      </c>
      <c r="L1364">
        <v>3</v>
      </c>
      <c r="M1364" t="str">
        <f t="shared" si="21"/>
        <v>0-6 Months</v>
      </c>
      <c r="N1364" s="1">
        <v>44863</v>
      </c>
      <c r="O1364">
        <v>1</v>
      </c>
      <c r="P1364">
        <v>1363</v>
      </c>
      <c r="Q1364" s="2">
        <v>-5.32</v>
      </c>
      <c r="R1364" t="s">
        <v>22</v>
      </c>
      <c r="S1364">
        <v>2022</v>
      </c>
      <c r="T1364" t="s">
        <v>33</v>
      </c>
    </row>
    <row r="1365" spans="1:20" x14ac:dyDescent="0.3">
      <c r="A1365">
        <v>2309</v>
      </c>
      <c r="B1365">
        <v>242</v>
      </c>
      <c r="C1365" t="s">
        <v>53</v>
      </c>
      <c r="D1365" t="s">
        <v>34</v>
      </c>
      <c r="E1365" t="s">
        <v>37</v>
      </c>
      <c r="F1365" s="1">
        <v>44727</v>
      </c>
      <c r="G1365" s="1">
        <v>44837</v>
      </c>
      <c r="H1365">
        <v>7749</v>
      </c>
      <c r="I1365">
        <v>4012.75</v>
      </c>
      <c r="J1365">
        <v>8194</v>
      </c>
      <c r="K1365" t="s">
        <v>35</v>
      </c>
      <c r="L1365">
        <v>3</v>
      </c>
      <c r="M1365" t="str">
        <f t="shared" si="21"/>
        <v>0-6 Months</v>
      </c>
      <c r="N1365" s="1">
        <v>44837</v>
      </c>
      <c r="O1365">
        <v>1</v>
      </c>
      <c r="P1365">
        <v>1364</v>
      </c>
      <c r="Q1365" s="2">
        <v>1.06</v>
      </c>
      <c r="R1365" t="s">
        <v>22</v>
      </c>
      <c r="S1365">
        <v>2022</v>
      </c>
      <c r="T1365" t="s">
        <v>33</v>
      </c>
    </row>
    <row r="1366" spans="1:20" hidden="1" x14ac:dyDescent="0.3">
      <c r="A1366">
        <v>2313</v>
      </c>
      <c r="B1366">
        <v>116</v>
      </c>
      <c r="C1366" t="s">
        <v>45</v>
      </c>
      <c r="D1366" t="s">
        <v>29</v>
      </c>
      <c r="E1366" t="s">
        <v>26</v>
      </c>
      <c r="F1366" s="1">
        <v>44761</v>
      </c>
      <c r="G1366" s="1">
        <v>44821</v>
      </c>
      <c r="H1366">
        <v>9489</v>
      </c>
      <c r="I1366">
        <v>4427</v>
      </c>
      <c r="J1366">
        <v>5062</v>
      </c>
      <c r="K1366" t="s">
        <v>21</v>
      </c>
      <c r="L1366">
        <v>1</v>
      </c>
      <c r="M1366" t="str">
        <f t="shared" si="21"/>
        <v>0-6 Months</v>
      </c>
      <c r="N1366" s="1">
        <v>44821</v>
      </c>
      <c r="O1366">
        <v>0</v>
      </c>
      <c r="P1366">
        <v>1365</v>
      </c>
      <c r="Q1366" s="2">
        <v>0.53</v>
      </c>
      <c r="R1366" t="s">
        <v>27</v>
      </c>
      <c r="S1366">
        <v>2022</v>
      </c>
      <c r="T1366" t="s">
        <v>30</v>
      </c>
    </row>
    <row r="1367" spans="1:20" hidden="1" x14ac:dyDescent="0.3">
      <c r="A1367">
        <v>2315</v>
      </c>
      <c r="B1367">
        <v>347</v>
      </c>
      <c r="C1367" t="s">
        <v>24</v>
      </c>
      <c r="D1367" t="s">
        <v>25</v>
      </c>
      <c r="E1367" t="s">
        <v>20</v>
      </c>
      <c r="F1367" s="1">
        <v>44680</v>
      </c>
      <c r="G1367" s="1">
        <v>44713</v>
      </c>
      <c r="H1367">
        <v>11</v>
      </c>
      <c r="I1367">
        <v>7680</v>
      </c>
      <c r="J1367">
        <v>577.01</v>
      </c>
      <c r="K1367" t="s">
        <v>54</v>
      </c>
      <c r="L1367">
        <v>1</v>
      </c>
      <c r="M1367" t="str">
        <f t="shared" si="21"/>
        <v>0-6 Months</v>
      </c>
      <c r="N1367" s="1">
        <v>44713</v>
      </c>
      <c r="O1367">
        <v>0</v>
      </c>
      <c r="P1367">
        <v>1366</v>
      </c>
      <c r="Q1367" s="2">
        <v>52.46</v>
      </c>
      <c r="R1367" t="s">
        <v>22</v>
      </c>
      <c r="S1367">
        <v>2022</v>
      </c>
      <c r="T1367" t="s">
        <v>41</v>
      </c>
    </row>
    <row r="1368" spans="1:20" hidden="1" x14ac:dyDescent="0.3">
      <c r="A1368">
        <v>2316</v>
      </c>
      <c r="B1368">
        <v>242</v>
      </c>
      <c r="C1368" t="s">
        <v>53</v>
      </c>
      <c r="D1368" t="s">
        <v>25</v>
      </c>
      <c r="E1368" t="s">
        <v>20</v>
      </c>
      <c r="F1368" s="1">
        <v>44878</v>
      </c>
      <c r="G1368" s="1">
        <v>45311</v>
      </c>
      <c r="H1368">
        <v>532</v>
      </c>
      <c r="I1368">
        <v>4012.75</v>
      </c>
      <c r="J1368">
        <v>563</v>
      </c>
      <c r="K1368" t="s">
        <v>54</v>
      </c>
      <c r="L1368">
        <v>14</v>
      </c>
      <c r="M1368" t="str">
        <f t="shared" si="21"/>
        <v>6-12 Months</v>
      </c>
      <c r="N1368" s="1">
        <v>45311</v>
      </c>
      <c r="O1368">
        <v>0</v>
      </c>
      <c r="P1368">
        <v>1367</v>
      </c>
      <c r="Q1368" s="2">
        <v>1.06</v>
      </c>
      <c r="R1368" t="s">
        <v>22</v>
      </c>
      <c r="S1368">
        <v>2024</v>
      </c>
      <c r="T1368" t="s">
        <v>23</v>
      </c>
    </row>
    <row r="1369" spans="1:20" hidden="1" x14ac:dyDescent="0.3">
      <c r="A1369">
        <v>2317</v>
      </c>
      <c r="B1369">
        <v>261</v>
      </c>
      <c r="C1369" t="s">
        <v>24</v>
      </c>
      <c r="D1369" t="s">
        <v>29</v>
      </c>
      <c r="E1369" t="s">
        <v>20</v>
      </c>
      <c r="F1369" s="1">
        <v>44630</v>
      </c>
      <c r="G1369" s="1">
        <v>45006</v>
      </c>
      <c r="H1369">
        <v>6425</v>
      </c>
      <c r="I1369">
        <v>5798</v>
      </c>
      <c r="J1369">
        <v>627</v>
      </c>
      <c r="K1369" t="s">
        <v>54</v>
      </c>
      <c r="L1369">
        <v>12</v>
      </c>
      <c r="M1369" t="str">
        <f t="shared" si="21"/>
        <v>6-12 Months</v>
      </c>
      <c r="N1369" s="1">
        <v>45006</v>
      </c>
      <c r="O1369">
        <v>1</v>
      </c>
      <c r="P1369">
        <v>1368</v>
      </c>
      <c r="Q1369" s="2">
        <v>0.1</v>
      </c>
      <c r="R1369" t="s">
        <v>27</v>
      </c>
      <c r="S1369">
        <v>2023</v>
      </c>
      <c r="T1369" t="s">
        <v>38</v>
      </c>
    </row>
    <row r="1370" spans="1:20" hidden="1" x14ac:dyDescent="0.3">
      <c r="A1370">
        <v>2318</v>
      </c>
      <c r="B1370">
        <v>392</v>
      </c>
      <c r="C1370" t="s">
        <v>53</v>
      </c>
      <c r="D1370" t="s">
        <v>19</v>
      </c>
      <c r="E1370" t="s">
        <v>20</v>
      </c>
      <c r="F1370" s="1">
        <v>44588</v>
      </c>
      <c r="G1370" s="1">
        <v>45135</v>
      </c>
      <c r="H1370">
        <v>8441</v>
      </c>
      <c r="I1370">
        <v>4012.75</v>
      </c>
      <c r="J1370">
        <v>8872</v>
      </c>
      <c r="K1370" t="s">
        <v>54</v>
      </c>
      <c r="L1370">
        <v>18</v>
      </c>
      <c r="M1370" t="str">
        <f t="shared" si="21"/>
        <v>6-12 Months</v>
      </c>
      <c r="N1370" s="1">
        <v>45135</v>
      </c>
      <c r="O1370">
        <v>0</v>
      </c>
      <c r="P1370">
        <v>1369</v>
      </c>
      <c r="Q1370" s="2">
        <v>1.05</v>
      </c>
      <c r="R1370" t="s">
        <v>22</v>
      </c>
      <c r="S1370">
        <v>2023</v>
      </c>
      <c r="T1370" t="s">
        <v>44</v>
      </c>
    </row>
    <row r="1371" spans="1:20" hidden="1" x14ac:dyDescent="0.3">
      <c r="A1371">
        <v>2320</v>
      </c>
      <c r="B1371">
        <v>440</v>
      </c>
      <c r="C1371" t="s">
        <v>24</v>
      </c>
      <c r="D1371" t="s">
        <v>19</v>
      </c>
      <c r="E1371" t="s">
        <v>20</v>
      </c>
      <c r="F1371" s="1">
        <v>44652</v>
      </c>
      <c r="G1371" s="1">
        <v>45091</v>
      </c>
      <c r="H1371">
        <v>9421</v>
      </c>
      <c r="I1371">
        <v>6745</v>
      </c>
      <c r="J1371">
        <v>2676</v>
      </c>
      <c r="K1371" t="s">
        <v>21</v>
      </c>
      <c r="L1371">
        <v>14</v>
      </c>
      <c r="M1371" t="str">
        <f t="shared" si="21"/>
        <v>6-12 Months</v>
      </c>
      <c r="N1371" s="1">
        <v>45091</v>
      </c>
      <c r="O1371">
        <v>1</v>
      </c>
      <c r="P1371">
        <v>1370</v>
      </c>
      <c r="Q1371" s="2">
        <v>0.28000000000000003</v>
      </c>
      <c r="R1371" t="s">
        <v>27</v>
      </c>
      <c r="S1371">
        <v>2023</v>
      </c>
      <c r="T1371" t="s">
        <v>41</v>
      </c>
    </row>
    <row r="1372" spans="1:20" hidden="1" x14ac:dyDescent="0.3">
      <c r="A1372">
        <v>2321</v>
      </c>
      <c r="B1372">
        <v>261</v>
      </c>
      <c r="C1372" t="s">
        <v>39</v>
      </c>
      <c r="D1372" t="s">
        <v>19</v>
      </c>
      <c r="E1372" t="s">
        <v>26</v>
      </c>
      <c r="F1372" s="1">
        <v>44714</v>
      </c>
      <c r="G1372" s="1">
        <v>45255</v>
      </c>
      <c r="H1372">
        <v>3444</v>
      </c>
      <c r="I1372">
        <v>6059</v>
      </c>
      <c r="J1372">
        <v>-2615</v>
      </c>
      <c r="K1372" t="s">
        <v>21</v>
      </c>
      <c r="L1372">
        <v>17</v>
      </c>
      <c r="M1372" t="str">
        <f t="shared" si="21"/>
        <v>6-12 Months</v>
      </c>
      <c r="N1372" s="1">
        <v>45255</v>
      </c>
      <c r="O1372">
        <v>1</v>
      </c>
      <c r="P1372">
        <v>1371</v>
      </c>
      <c r="Q1372" s="2">
        <v>-0.76</v>
      </c>
      <c r="R1372" t="s">
        <v>27</v>
      </c>
      <c r="S1372">
        <v>2023</v>
      </c>
      <c r="T1372" t="s">
        <v>42</v>
      </c>
    </row>
    <row r="1373" spans="1:20" hidden="1" x14ac:dyDescent="0.3">
      <c r="A1373">
        <v>2322</v>
      </c>
      <c r="B1373">
        <v>208</v>
      </c>
      <c r="C1373" t="s">
        <v>45</v>
      </c>
      <c r="D1373" t="s">
        <v>29</v>
      </c>
      <c r="E1373" t="s">
        <v>20</v>
      </c>
      <c r="F1373" s="1">
        <v>44908</v>
      </c>
      <c r="G1373" s="1">
        <v>44993</v>
      </c>
      <c r="H1373">
        <v>7471</v>
      </c>
      <c r="I1373">
        <v>3134</v>
      </c>
      <c r="J1373">
        <v>577.01</v>
      </c>
      <c r="K1373" t="s">
        <v>54</v>
      </c>
      <c r="L1373">
        <v>2</v>
      </c>
      <c r="M1373" t="str">
        <f t="shared" si="21"/>
        <v>0-6 Months</v>
      </c>
      <c r="N1373" s="1">
        <v>44993</v>
      </c>
      <c r="O1373">
        <v>1</v>
      </c>
      <c r="P1373">
        <v>1372</v>
      </c>
      <c r="Q1373" s="2">
        <v>0.08</v>
      </c>
      <c r="R1373" t="s">
        <v>27</v>
      </c>
      <c r="S1373">
        <v>2023</v>
      </c>
      <c r="T1373" t="s">
        <v>38</v>
      </c>
    </row>
    <row r="1374" spans="1:20" x14ac:dyDescent="0.3">
      <c r="A1374">
        <v>2325</v>
      </c>
      <c r="B1374">
        <v>412</v>
      </c>
      <c r="C1374" t="s">
        <v>53</v>
      </c>
      <c r="D1374" t="s">
        <v>19</v>
      </c>
      <c r="E1374" t="s">
        <v>26</v>
      </c>
      <c r="F1374" s="1">
        <v>44679</v>
      </c>
      <c r="G1374" s="1">
        <v>44843</v>
      </c>
      <c r="H1374">
        <v>8303</v>
      </c>
      <c r="I1374">
        <v>7114</v>
      </c>
      <c r="J1374">
        <v>1189</v>
      </c>
      <c r="K1374" t="s">
        <v>35</v>
      </c>
      <c r="L1374">
        <v>5</v>
      </c>
      <c r="M1374" t="str">
        <f t="shared" si="21"/>
        <v>0-6 Months</v>
      </c>
      <c r="N1374" s="1">
        <v>44843</v>
      </c>
      <c r="O1374">
        <v>1</v>
      </c>
      <c r="P1374">
        <v>1373</v>
      </c>
      <c r="Q1374" s="2">
        <v>0.14000000000000001</v>
      </c>
      <c r="R1374" t="s">
        <v>27</v>
      </c>
      <c r="S1374">
        <v>2022</v>
      </c>
      <c r="T1374" t="s">
        <v>33</v>
      </c>
    </row>
    <row r="1375" spans="1:20" hidden="1" x14ac:dyDescent="0.3">
      <c r="A1375">
        <v>2327</v>
      </c>
      <c r="B1375">
        <v>194</v>
      </c>
      <c r="C1375" t="s">
        <v>24</v>
      </c>
      <c r="D1375" t="s">
        <v>25</v>
      </c>
      <c r="E1375" t="s">
        <v>26</v>
      </c>
      <c r="F1375" s="1">
        <v>44780</v>
      </c>
      <c r="G1375" s="1">
        <v>45309</v>
      </c>
      <c r="H1375">
        <v>8056</v>
      </c>
      <c r="I1375">
        <v>6252</v>
      </c>
      <c r="J1375">
        <v>577.01</v>
      </c>
      <c r="K1375" t="s">
        <v>21</v>
      </c>
      <c r="L1375">
        <v>17</v>
      </c>
      <c r="M1375" t="str">
        <f t="shared" si="21"/>
        <v>6-12 Months</v>
      </c>
      <c r="N1375" s="1">
        <v>45309</v>
      </c>
      <c r="O1375">
        <v>0</v>
      </c>
      <c r="P1375">
        <v>1374</v>
      </c>
      <c r="Q1375" s="2">
        <v>7.0000000000000007E-2</v>
      </c>
      <c r="R1375" t="s">
        <v>27</v>
      </c>
      <c r="S1375">
        <v>2024</v>
      </c>
      <c r="T1375" t="s">
        <v>23</v>
      </c>
    </row>
    <row r="1376" spans="1:20" x14ac:dyDescent="0.3">
      <c r="A1376">
        <v>2330</v>
      </c>
      <c r="B1376">
        <v>182</v>
      </c>
      <c r="C1376" t="s">
        <v>53</v>
      </c>
      <c r="D1376" t="s">
        <v>34</v>
      </c>
      <c r="E1376" t="s">
        <v>37</v>
      </c>
      <c r="F1376" s="1">
        <v>44638</v>
      </c>
      <c r="G1376" s="1">
        <v>44820</v>
      </c>
      <c r="H1376">
        <v>3099</v>
      </c>
      <c r="I1376">
        <v>2882</v>
      </c>
      <c r="J1376">
        <v>217</v>
      </c>
      <c r="K1376" t="s">
        <v>35</v>
      </c>
      <c r="L1376">
        <v>5</v>
      </c>
      <c r="M1376" t="str">
        <f t="shared" si="21"/>
        <v>0-6 Months</v>
      </c>
      <c r="N1376" s="1">
        <v>44820</v>
      </c>
      <c r="O1376">
        <v>1</v>
      </c>
      <c r="P1376">
        <v>1375</v>
      </c>
      <c r="Q1376" s="2">
        <v>7.0000000000000007E-2</v>
      </c>
      <c r="R1376" t="s">
        <v>27</v>
      </c>
      <c r="S1376">
        <v>2022</v>
      </c>
      <c r="T1376" t="s">
        <v>30</v>
      </c>
    </row>
    <row r="1377" spans="1:20" hidden="1" x14ac:dyDescent="0.3">
      <c r="A1377">
        <v>2332</v>
      </c>
      <c r="B1377">
        <v>332</v>
      </c>
      <c r="C1377" t="s">
        <v>45</v>
      </c>
      <c r="D1377" t="s">
        <v>19</v>
      </c>
      <c r="E1377" t="s">
        <v>20</v>
      </c>
      <c r="F1377" s="1">
        <v>44728</v>
      </c>
      <c r="G1377" s="1">
        <v>45022</v>
      </c>
      <c r="H1377">
        <v>4967.93</v>
      </c>
      <c r="I1377">
        <v>932</v>
      </c>
      <c r="J1377">
        <v>-2875</v>
      </c>
      <c r="K1377" t="s">
        <v>54</v>
      </c>
      <c r="L1377">
        <v>9</v>
      </c>
      <c r="M1377" t="str">
        <f t="shared" si="21"/>
        <v>6-12 Months</v>
      </c>
      <c r="N1377" s="1">
        <v>45022</v>
      </c>
      <c r="O1377">
        <v>1</v>
      </c>
      <c r="P1377">
        <v>1376</v>
      </c>
      <c r="Q1377" s="2">
        <v>-0.57999999999999996</v>
      </c>
      <c r="R1377" t="s">
        <v>27</v>
      </c>
      <c r="S1377">
        <v>2023</v>
      </c>
      <c r="T1377" t="s">
        <v>32</v>
      </c>
    </row>
    <row r="1378" spans="1:20" hidden="1" x14ac:dyDescent="0.3">
      <c r="A1378">
        <v>2334</v>
      </c>
      <c r="B1378">
        <v>363</v>
      </c>
      <c r="C1378" t="s">
        <v>40</v>
      </c>
      <c r="D1378" t="s">
        <v>19</v>
      </c>
      <c r="E1378" t="s">
        <v>37</v>
      </c>
      <c r="F1378" s="1">
        <v>44745</v>
      </c>
      <c r="G1378" s="1">
        <v>45283</v>
      </c>
      <c r="H1378">
        <v>22</v>
      </c>
      <c r="I1378">
        <v>3726</v>
      </c>
      <c r="J1378">
        <v>-3704</v>
      </c>
      <c r="K1378" t="s">
        <v>21</v>
      </c>
      <c r="L1378">
        <v>17</v>
      </c>
      <c r="M1378" t="str">
        <f t="shared" si="21"/>
        <v>6-12 Months</v>
      </c>
      <c r="N1378" s="1">
        <v>45283</v>
      </c>
      <c r="O1378">
        <v>0</v>
      </c>
      <c r="P1378">
        <v>1377</v>
      </c>
      <c r="Q1378" s="2">
        <v>-168.36</v>
      </c>
      <c r="R1378" t="s">
        <v>22</v>
      </c>
      <c r="S1378">
        <v>2023</v>
      </c>
      <c r="T1378" t="s">
        <v>31</v>
      </c>
    </row>
    <row r="1379" spans="1:20" x14ac:dyDescent="0.3">
      <c r="A1379">
        <v>2335</v>
      </c>
      <c r="B1379">
        <v>311</v>
      </c>
      <c r="C1379" t="s">
        <v>39</v>
      </c>
      <c r="D1379" t="s">
        <v>25</v>
      </c>
      <c r="E1379" t="s">
        <v>37</v>
      </c>
      <c r="F1379" s="1">
        <v>44575</v>
      </c>
      <c r="G1379" s="1">
        <v>44961</v>
      </c>
      <c r="H1379">
        <v>3199</v>
      </c>
      <c r="I1379">
        <v>931</v>
      </c>
      <c r="J1379">
        <v>2268</v>
      </c>
      <c r="K1379" t="s">
        <v>35</v>
      </c>
      <c r="L1379">
        <v>12</v>
      </c>
      <c r="M1379" t="str">
        <f t="shared" si="21"/>
        <v>6-12 Months</v>
      </c>
      <c r="N1379" s="1">
        <v>44961</v>
      </c>
      <c r="O1379">
        <v>0</v>
      </c>
      <c r="P1379">
        <v>1378</v>
      </c>
      <c r="Q1379" s="2">
        <v>0.71</v>
      </c>
      <c r="R1379" t="s">
        <v>27</v>
      </c>
      <c r="S1379">
        <v>2023</v>
      </c>
      <c r="T1379" t="s">
        <v>43</v>
      </c>
    </row>
    <row r="1380" spans="1:20" hidden="1" x14ac:dyDescent="0.3">
      <c r="A1380">
        <v>2336</v>
      </c>
      <c r="B1380">
        <v>169</v>
      </c>
      <c r="C1380" t="s">
        <v>39</v>
      </c>
      <c r="D1380" t="s">
        <v>19</v>
      </c>
      <c r="E1380" t="s">
        <v>26</v>
      </c>
      <c r="F1380" s="1">
        <v>44724</v>
      </c>
      <c r="G1380" s="1">
        <v>45290</v>
      </c>
      <c r="H1380">
        <v>8941</v>
      </c>
      <c r="I1380">
        <v>1617</v>
      </c>
      <c r="J1380">
        <v>7324</v>
      </c>
      <c r="K1380" t="s">
        <v>54</v>
      </c>
      <c r="L1380">
        <v>18</v>
      </c>
      <c r="M1380" t="str">
        <f t="shared" si="21"/>
        <v>6-12 Months</v>
      </c>
      <c r="N1380" s="1">
        <v>45290</v>
      </c>
      <c r="O1380">
        <v>0</v>
      </c>
      <c r="P1380">
        <v>1379</v>
      </c>
      <c r="Q1380" s="2">
        <v>0.82</v>
      </c>
      <c r="R1380" t="s">
        <v>27</v>
      </c>
      <c r="S1380">
        <v>2023</v>
      </c>
      <c r="T1380" t="s">
        <v>31</v>
      </c>
    </row>
    <row r="1381" spans="1:20" hidden="1" x14ac:dyDescent="0.3">
      <c r="A1381">
        <v>2338</v>
      </c>
      <c r="B1381">
        <v>283</v>
      </c>
      <c r="C1381" t="s">
        <v>53</v>
      </c>
      <c r="D1381" t="s">
        <v>29</v>
      </c>
      <c r="E1381" t="s">
        <v>20</v>
      </c>
      <c r="F1381" s="1">
        <v>44876</v>
      </c>
      <c r="G1381" s="1">
        <v>45142</v>
      </c>
      <c r="H1381">
        <v>1112</v>
      </c>
      <c r="I1381">
        <v>1917</v>
      </c>
      <c r="J1381">
        <v>-805</v>
      </c>
      <c r="K1381" t="s">
        <v>21</v>
      </c>
      <c r="L1381">
        <v>8</v>
      </c>
      <c r="M1381" t="str">
        <f t="shared" si="21"/>
        <v>6-12 Months</v>
      </c>
      <c r="N1381" s="1">
        <v>45142</v>
      </c>
      <c r="O1381">
        <v>1</v>
      </c>
      <c r="P1381">
        <v>1380</v>
      </c>
      <c r="Q1381" s="2">
        <v>-0.72</v>
      </c>
      <c r="R1381" t="s">
        <v>27</v>
      </c>
      <c r="S1381">
        <v>2023</v>
      </c>
      <c r="T1381" t="s">
        <v>36</v>
      </c>
    </row>
    <row r="1382" spans="1:20" hidden="1" x14ac:dyDescent="0.3">
      <c r="A1382">
        <v>2339</v>
      </c>
      <c r="B1382">
        <v>124</v>
      </c>
      <c r="C1382" t="s">
        <v>53</v>
      </c>
      <c r="D1382" t="s">
        <v>29</v>
      </c>
      <c r="E1382" t="s">
        <v>37</v>
      </c>
      <c r="F1382" s="1">
        <v>44595</v>
      </c>
      <c r="G1382" s="1">
        <v>44630</v>
      </c>
      <c r="H1382">
        <v>5385</v>
      </c>
      <c r="I1382">
        <v>869</v>
      </c>
      <c r="J1382">
        <v>4516</v>
      </c>
      <c r="K1382" t="s">
        <v>54</v>
      </c>
      <c r="L1382">
        <v>1</v>
      </c>
      <c r="M1382" t="str">
        <f t="shared" si="21"/>
        <v>0-6 Months</v>
      </c>
      <c r="N1382" s="1">
        <v>44630</v>
      </c>
      <c r="O1382">
        <v>1</v>
      </c>
      <c r="P1382">
        <v>1381</v>
      </c>
      <c r="Q1382" s="2">
        <v>0.84</v>
      </c>
      <c r="R1382" t="s">
        <v>27</v>
      </c>
      <c r="S1382">
        <v>2022</v>
      </c>
      <c r="T1382" t="s">
        <v>38</v>
      </c>
    </row>
    <row r="1383" spans="1:20" hidden="1" x14ac:dyDescent="0.3">
      <c r="A1383">
        <v>2340</v>
      </c>
      <c r="B1383">
        <v>105</v>
      </c>
      <c r="C1383" t="s">
        <v>39</v>
      </c>
      <c r="D1383" t="s">
        <v>25</v>
      </c>
      <c r="E1383" t="s">
        <v>37</v>
      </c>
      <c r="F1383" s="1">
        <v>44843</v>
      </c>
      <c r="G1383" s="1">
        <v>45000</v>
      </c>
      <c r="H1383">
        <v>1522</v>
      </c>
      <c r="I1383">
        <v>5109</v>
      </c>
      <c r="J1383">
        <v>-3587</v>
      </c>
      <c r="K1383" t="s">
        <v>21</v>
      </c>
      <c r="L1383">
        <v>5</v>
      </c>
      <c r="M1383" t="str">
        <f t="shared" si="21"/>
        <v>0-6 Months</v>
      </c>
      <c r="N1383" s="1">
        <v>45000</v>
      </c>
      <c r="O1383">
        <v>1</v>
      </c>
      <c r="P1383">
        <v>1382</v>
      </c>
      <c r="Q1383" s="2">
        <v>-2.36</v>
      </c>
      <c r="R1383" t="s">
        <v>22</v>
      </c>
      <c r="S1383">
        <v>2023</v>
      </c>
      <c r="T1383" t="s">
        <v>38</v>
      </c>
    </row>
    <row r="1384" spans="1:20" hidden="1" x14ac:dyDescent="0.3">
      <c r="A1384">
        <v>2344</v>
      </c>
      <c r="B1384">
        <v>102</v>
      </c>
      <c r="C1384" t="s">
        <v>24</v>
      </c>
      <c r="D1384" t="s">
        <v>25</v>
      </c>
      <c r="E1384" t="s">
        <v>26</v>
      </c>
      <c r="F1384" s="1">
        <v>44892</v>
      </c>
      <c r="G1384" s="1">
        <v>44975</v>
      </c>
      <c r="H1384">
        <v>4967.93</v>
      </c>
      <c r="I1384">
        <v>1380</v>
      </c>
      <c r="J1384">
        <v>-1789</v>
      </c>
      <c r="K1384" t="s">
        <v>21</v>
      </c>
      <c r="L1384">
        <v>2</v>
      </c>
      <c r="M1384" t="str">
        <f t="shared" si="21"/>
        <v>0-6 Months</v>
      </c>
      <c r="N1384" s="1">
        <v>44975</v>
      </c>
      <c r="O1384">
        <v>0</v>
      </c>
      <c r="P1384">
        <v>1383</v>
      </c>
      <c r="Q1384" s="2">
        <v>-0.36</v>
      </c>
      <c r="R1384" t="s">
        <v>27</v>
      </c>
      <c r="S1384">
        <v>2023</v>
      </c>
      <c r="T1384" t="s">
        <v>43</v>
      </c>
    </row>
    <row r="1385" spans="1:20" x14ac:dyDescent="0.3">
      <c r="A1385">
        <v>2345</v>
      </c>
      <c r="B1385">
        <v>475</v>
      </c>
      <c r="C1385" t="s">
        <v>24</v>
      </c>
      <c r="D1385" t="s">
        <v>34</v>
      </c>
      <c r="E1385" t="s">
        <v>26</v>
      </c>
      <c r="F1385" s="1">
        <v>44647</v>
      </c>
      <c r="G1385" s="1">
        <v>45163</v>
      </c>
      <c r="H1385">
        <v>4967.93</v>
      </c>
      <c r="I1385">
        <v>1690</v>
      </c>
      <c r="J1385">
        <v>-2691</v>
      </c>
      <c r="K1385" t="s">
        <v>35</v>
      </c>
      <c r="L1385">
        <v>16</v>
      </c>
      <c r="M1385" t="str">
        <f t="shared" si="21"/>
        <v>6-12 Months</v>
      </c>
      <c r="N1385" s="1">
        <v>45163</v>
      </c>
      <c r="O1385">
        <v>0</v>
      </c>
      <c r="P1385">
        <v>1384</v>
      </c>
      <c r="Q1385" s="2">
        <v>-0.54</v>
      </c>
      <c r="R1385" t="s">
        <v>27</v>
      </c>
      <c r="S1385">
        <v>2023</v>
      </c>
      <c r="T1385" t="s">
        <v>36</v>
      </c>
    </row>
    <row r="1386" spans="1:20" x14ac:dyDescent="0.3">
      <c r="A1386">
        <v>2348</v>
      </c>
      <c r="B1386">
        <v>149</v>
      </c>
      <c r="C1386" t="s">
        <v>45</v>
      </c>
      <c r="D1386" t="s">
        <v>34</v>
      </c>
      <c r="E1386" t="s">
        <v>20</v>
      </c>
      <c r="F1386" s="1">
        <v>44810</v>
      </c>
      <c r="G1386" s="1">
        <v>45369</v>
      </c>
      <c r="H1386">
        <v>4967.93</v>
      </c>
      <c r="I1386">
        <v>4012.75</v>
      </c>
      <c r="J1386">
        <v>60</v>
      </c>
      <c r="K1386" t="s">
        <v>35</v>
      </c>
      <c r="L1386">
        <v>18</v>
      </c>
      <c r="M1386" t="str">
        <f t="shared" si="21"/>
        <v>6-12 Months</v>
      </c>
      <c r="N1386" s="1">
        <v>45369</v>
      </c>
      <c r="O1386">
        <v>0</v>
      </c>
      <c r="P1386">
        <v>1385</v>
      </c>
      <c r="Q1386" s="2">
        <v>0.01</v>
      </c>
      <c r="R1386" t="s">
        <v>27</v>
      </c>
      <c r="S1386">
        <v>2024</v>
      </c>
      <c r="T1386" t="s">
        <v>38</v>
      </c>
    </row>
    <row r="1387" spans="1:20" x14ac:dyDescent="0.3">
      <c r="A1387">
        <v>2349</v>
      </c>
      <c r="B1387">
        <v>162</v>
      </c>
      <c r="C1387" t="s">
        <v>24</v>
      </c>
      <c r="D1387" t="s">
        <v>29</v>
      </c>
      <c r="E1387" t="s">
        <v>20</v>
      </c>
      <c r="F1387" s="1">
        <v>44865</v>
      </c>
      <c r="G1387" s="1">
        <v>45187</v>
      </c>
      <c r="H1387">
        <v>4749</v>
      </c>
      <c r="I1387">
        <v>5660</v>
      </c>
      <c r="J1387">
        <v>-911</v>
      </c>
      <c r="K1387" t="s">
        <v>35</v>
      </c>
      <c r="L1387">
        <v>10</v>
      </c>
      <c r="M1387" t="str">
        <f t="shared" si="21"/>
        <v>6-12 Months</v>
      </c>
      <c r="N1387" s="1">
        <v>45187</v>
      </c>
      <c r="O1387">
        <v>1</v>
      </c>
      <c r="P1387">
        <v>1386</v>
      </c>
      <c r="Q1387" s="2">
        <v>-0.19</v>
      </c>
      <c r="R1387" t="s">
        <v>27</v>
      </c>
      <c r="S1387">
        <v>2023</v>
      </c>
      <c r="T1387" t="s">
        <v>30</v>
      </c>
    </row>
    <row r="1388" spans="1:20" hidden="1" x14ac:dyDescent="0.3">
      <c r="A1388">
        <v>2351</v>
      </c>
      <c r="B1388">
        <v>319</v>
      </c>
      <c r="C1388" t="s">
        <v>39</v>
      </c>
      <c r="D1388" t="s">
        <v>19</v>
      </c>
      <c r="E1388" t="s">
        <v>26</v>
      </c>
      <c r="F1388" s="1">
        <v>44785</v>
      </c>
      <c r="G1388" s="1">
        <v>45147</v>
      </c>
      <c r="H1388">
        <v>9106</v>
      </c>
      <c r="I1388">
        <v>7582</v>
      </c>
      <c r="J1388">
        <v>1524</v>
      </c>
      <c r="K1388" t="s">
        <v>54</v>
      </c>
      <c r="L1388">
        <v>11</v>
      </c>
      <c r="M1388" t="str">
        <f t="shared" si="21"/>
        <v>6-12 Months</v>
      </c>
      <c r="N1388" s="1">
        <v>45147</v>
      </c>
      <c r="O1388">
        <v>0</v>
      </c>
      <c r="P1388">
        <v>1387</v>
      </c>
      <c r="Q1388" s="2">
        <v>0.17</v>
      </c>
      <c r="R1388" t="s">
        <v>27</v>
      </c>
      <c r="S1388">
        <v>2023</v>
      </c>
      <c r="T1388" t="s">
        <v>36</v>
      </c>
    </row>
    <row r="1389" spans="1:20" hidden="1" x14ac:dyDescent="0.3">
      <c r="A1389">
        <v>2353</v>
      </c>
      <c r="B1389">
        <v>360</v>
      </c>
      <c r="C1389" t="s">
        <v>40</v>
      </c>
      <c r="D1389" t="s">
        <v>19</v>
      </c>
      <c r="E1389" t="s">
        <v>26</v>
      </c>
      <c r="F1389" s="1">
        <v>44684</v>
      </c>
      <c r="G1389" s="1">
        <v>45272</v>
      </c>
      <c r="H1389">
        <v>7422</v>
      </c>
      <c r="I1389">
        <v>2715</v>
      </c>
      <c r="J1389">
        <v>4707</v>
      </c>
      <c r="K1389" t="s">
        <v>21</v>
      </c>
      <c r="L1389">
        <v>19</v>
      </c>
      <c r="M1389" t="str">
        <f t="shared" si="21"/>
        <v>6-12 Months</v>
      </c>
      <c r="N1389" s="1">
        <v>45272</v>
      </c>
      <c r="O1389">
        <v>0</v>
      </c>
      <c r="P1389">
        <v>1388</v>
      </c>
      <c r="Q1389" s="2">
        <v>0.63</v>
      </c>
      <c r="R1389" t="s">
        <v>27</v>
      </c>
      <c r="S1389">
        <v>2023</v>
      </c>
      <c r="T1389" t="s">
        <v>31</v>
      </c>
    </row>
    <row r="1390" spans="1:20" x14ac:dyDescent="0.3">
      <c r="A1390">
        <v>2354</v>
      </c>
      <c r="B1390">
        <v>495</v>
      </c>
      <c r="C1390" t="s">
        <v>39</v>
      </c>
      <c r="D1390" t="s">
        <v>25</v>
      </c>
      <c r="E1390" t="s">
        <v>37</v>
      </c>
      <c r="F1390" s="1">
        <v>44802</v>
      </c>
      <c r="G1390" s="1">
        <v>45292</v>
      </c>
      <c r="H1390">
        <v>3360</v>
      </c>
      <c r="I1390">
        <v>3680</v>
      </c>
      <c r="J1390">
        <v>-320</v>
      </c>
      <c r="K1390" t="s">
        <v>35</v>
      </c>
      <c r="L1390">
        <v>16</v>
      </c>
      <c r="M1390" t="str">
        <f t="shared" si="21"/>
        <v>6-12 Months</v>
      </c>
      <c r="N1390" s="1">
        <v>45292</v>
      </c>
      <c r="O1390">
        <v>1</v>
      </c>
      <c r="P1390">
        <v>1389</v>
      </c>
      <c r="Q1390" s="2">
        <v>-0.1</v>
      </c>
      <c r="R1390" t="s">
        <v>27</v>
      </c>
      <c r="S1390">
        <v>2024</v>
      </c>
      <c r="T1390" t="s">
        <v>23</v>
      </c>
    </row>
    <row r="1391" spans="1:20" x14ac:dyDescent="0.3">
      <c r="A1391">
        <v>2355</v>
      </c>
      <c r="B1391">
        <v>169</v>
      </c>
      <c r="C1391" t="s">
        <v>39</v>
      </c>
      <c r="D1391" t="s">
        <v>19</v>
      </c>
      <c r="E1391" t="s">
        <v>20</v>
      </c>
      <c r="F1391" s="1">
        <v>44812</v>
      </c>
      <c r="G1391" s="1">
        <v>45343</v>
      </c>
      <c r="H1391">
        <v>2540</v>
      </c>
      <c r="I1391">
        <v>5358</v>
      </c>
      <c r="J1391">
        <v>-2818</v>
      </c>
      <c r="K1391" t="s">
        <v>35</v>
      </c>
      <c r="L1391">
        <v>17</v>
      </c>
      <c r="M1391" t="str">
        <f t="shared" si="21"/>
        <v>6-12 Months</v>
      </c>
      <c r="N1391" s="1">
        <v>45343</v>
      </c>
      <c r="O1391">
        <v>0</v>
      </c>
      <c r="P1391">
        <v>1390</v>
      </c>
      <c r="Q1391" s="2">
        <v>-1.1100000000000001</v>
      </c>
      <c r="R1391" t="s">
        <v>22</v>
      </c>
      <c r="S1391">
        <v>2024</v>
      </c>
      <c r="T1391" t="s">
        <v>43</v>
      </c>
    </row>
    <row r="1392" spans="1:20" hidden="1" x14ac:dyDescent="0.3">
      <c r="A1392">
        <v>2356</v>
      </c>
      <c r="B1392">
        <v>279</v>
      </c>
      <c r="C1392" t="s">
        <v>45</v>
      </c>
      <c r="D1392" t="s">
        <v>29</v>
      </c>
      <c r="E1392" t="s">
        <v>26</v>
      </c>
      <c r="F1392" s="1">
        <v>44902</v>
      </c>
      <c r="G1392" s="1">
        <v>45279</v>
      </c>
      <c r="H1392">
        <v>34</v>
      </c>
      <c r="I1392">
        <v>2194</v>
      </c>
      <c r="J1392">
        <v>-2160</v>
      </c>
      <c r="K1392" t="s">
        <v>21</v>
      </c>
      <c r="L1392">
        <v>12</v>
      </c>
      <c r="M1392" t="str">
        <f t="shared" si="21"/>
        <v>6-12 Months</v>
      </c>
      <c r="N1392" s="1">
        <v>45279</v>
      </c>
      <c r="O1392">
        <v>1</v>
      </c>
      <c r="P1392">
        <v>1391</v>
      </c>
      <c r="Q1392" s="2">
        <v>-63.53</v>
      </c>
      <c r="R1392" t="s">
        <v>22</v>
      </c>
      <c r="S1392">
        <v>2023</v>
      </c>
      <c r="T1392" t="s">
        <v>31</v>
      </c>
    </row>
    <row r="1393" spans="1:20" hidden="1" x14ac:dyDescent="0.3">
      <c r="A1393">
        <v>2357</v>
      </c>
      <c r="B1393">
        <v>138</v>
      </c>
      <c r="C1393" t="s">
        <v>40</v>
      </c>
      <c r="D1393" t="s">
        <v>34</v>
      </c>
      <c r="E1393" t="s">
        <v>37</v>
      </c>
      <c r="F1393" s="1">
        <v>44820</v>
      </c>
      <c r="G1393" s="1">
        <v>45020</v>
      </c>
      <c r="H1393">
        <v>8774</v>
      </c>
      <c r="I1393">
        <v>4842</v>
      </c>
      <c r="J1393">
        <v>3932</v>
      </c>
      <c r="K1393" t="s">
        <v>21</v>
      </c>
      <c r="L1393">
        <v>6</v>
      </c>
      <c r="M1393" t="str">
        <f t="shared" si="21"/>
        <v>12+ Months</v>
      </c>
      <c r="N1393" s="1">
        <v>45020</v>
      </c>
      <c r="O1393">
        <v>1</v>
      </c>
      <c r="P1393">
        <v>1392</v>
      </c>
      <c r="Q1393" s="2">
        <v>0.45</v>
      </c>
      <c r="R1393" t="s">
        <v>27</v>
      </c>
      <c r="S1393">
        <v>2023</v>
      </c>
      <c r="T1393" t="s">
        <v>32</v>
      </c>
    </row>
    <row r="1394" spans="1:20" hidden="1" x14ac:dyDescent="0.3">
      <c r="A1394">
        <v>2358</v>
      </c>
      <c r="B1394">
        <v>447</v>
      </c>
      <c r="C1394" t="s">
        <v>39</v>
      </c>
      <c r="D1394" t="s">
        <v>34</v>
      </c>
      <c r="E1394" t="s">
        <v>20</v>
      </c>
      <c r="F1394" s="1">
        <v>44571</v>
      </c>
      <c r="G1394" s="1">
        <v>44901</v>
      </c>
      <c r="H1394">
        <v>6436</v>
      </c>
      <c r="I1394">
        <v>6865</v>
      </c>
      <c r="J1394">
        <v>577.01</v>
      </c>
      <c r="K1394" t="s">
        <v>54</v>
      </c>
      <c r="L1394">
        <v>10</v>
      </c>
      <c r="M1394" t="str">
        <f t="shared" si="21"/>
        <v>6-12 Months</v>
      </c>
      <c r="N1394" s="1">
        <v>44901</v>
      </c>
      <c r="O1394">
        <v>0</v>
      </c>
      <c r="P1394">
        <v>1393</v>
      </c>
      <c r="Q1394" s="2">
        <v>0.09</v>
      </c>
      <c r="R1394" t="s">
        <v>27</v>
      </c>
      <c r="S1394">
        <v>2022</v>
      </c>
      <c r="T1394" t="s">
        <v>31</v>
      </c>
    </row>
    <row r="1395" spans="1:20" hidden="1" x14ac:dyDescent="0.3">
      <c r="A1395">
        <v>2359</v>
      </c>
      <c r="B1395">
        <v>222</v>
      </c>
      <c r="C1395" t="s">
        <v>39</v>
      </c>
      <c r="D1395" t="s">
        <v>34</v>
      </c>
      <c r="E1395" t="s">
        <v>37</v>
      </c>
      <c r="F1395" s="1">
        <v>44631</v>
      </c>
      <c r="G1395" s="1">
        <v>44728</v>
      </c>
      <c r="H1395">
        <v>4967.93</v>
      </c>
      <c r="I1395">
        <v>7404</v>
      </c>
      <c r="J1395">
        <v>-7520</v>
      </c>
      <c r="K1395" t="s">
        <v>54</v>
      </c>
      <c r="L1395">
        <v>3</v>
      </c>
      <c r="M1395" t="str">
        <f t="shared" si="21"/>
        <v>0-6 Months</v>
      </c>
      <c r="N1395" s="1">
        <v>44728</v>
      </c>
      <c r="O1395">
        <v>0</v>
      </c>
      <c r="P1395">
        <v>1394</v>
      </c>
      <c r="Q1395" s="2">
        <v>-1.51</v>
      </c>
      <c r="R1395" t="s">
        <v>22</v>
      </c>
      <c r="S1395">
        <v>2022</v>
      </c>
      <c r="T1395" t="s">
        <v>41</v>
      </c>
    </row>
    <row r="1396" spans="1:20" hidden="1" x14ac:dyDescent="0.3">
      <c r="A1396">
        <v>2361</v>
      </c>
      <c r="B1396">
        <v>271</v>
      </c>
      <c r="C1396" t="s">
        <v>45</v>
      </c>
      <c r="D1396" t="s">
        <v>29</v>
      </c>
      <c r="E1396" t="s">
        <v>20</v>
      </c>
      <c r="F1396" s="1">
        <v>44711</v>
      </c>
      <c r="G1396" s="1">
        <v>45150</v>
      </c>
      <c r="H1396">
        <v>3935</v>
      </c>
      <c r="I1396">
        <v>7521</v>
      </c>
      <c r="J1396">
        <v>-3586</v>
      </c>
      <c r="K1396" t="s">
        <v>21</v>
      </c>
      <c r="L1396">
        <v>14</v>
      </c>
      <c r="M1396" t="str">
        <f t="shared" si="21"/>
        <v>6-12 Months</v>
      </c>
      <c r="N1396" s="1">
        <v>45150</v>
      </c>
      <c r="O1396">
        <v>0</v>
      </c>
      <c r="P1396">
        <v>1395</v>
      </c>
      <c r="Q1396" s="2">
        <v>-0.91</v>
      </c>
      <c r="R1396" t="s">
        <v>27</v>
      </c>
      <c r="S1396">
        <v>2023</v>
      </c>
      <c r="T1396" t="s">
        <v>36</v>
      </c>
    </row>
    <row r="1397" spans="1:20" hidden="1" x14ac:dyDescent="0.3">
      <c r="A1397">
        <v>2362</v>
      </c>
      <c r="B1397">
        <v>423</v>
      </c>
      <c r="C1397" t="s">
        <v>45</v>
      </c>
      <c r="D1397" t="s">
        <v>34</v>
      </c>
      <c r="E1397" t="s">
        <v>26</v>
      </c>
      <c r="F1397" s="1">
        <v>44794</v>
      </c>
      <c r="G1397" s="1">
        <v>45322</v>
      </c>
      <c r="H1397">
        <v>2023</v>
      </c>
      <c r="I1397">
        <v>6069</v>
      </c>
      <c r="J1397">
        <v>-4046</v>
      </c>
      <c r="K1397" t="s">
        <v>21</v>
      </c>
      <c r="L1397">
        <v>17</v>
      </c>
      <c r="M1397" t="str">
        <f t="shared" si="21"/>
        <v>6-12 Months</v>
      </c>
      <c r="N1397" s="1">
        <v>45322</v>
      </c>
      <c r="O1397">
        <v>0</v>
      </c>
      <c r="P1397">
        <v>1396</v>
      </c>
      <c r="Q1397" s="2">
        <v>-2</v>
      </c>
      <c r="R1397" t="s">
        <v>22</v>
      </c>
      <c r="S1397">
        <v>2024</v>
      </c>
      <c r="T1397" t="s">
        <v>23</v>
      </c>
    </row>
    <row r="1398" spans="1:20" hidden="1" x14ac:dyDescent="0.3">
      <c r="A1398">
        <v>2366</v>
      </c>
      <c r="B1398">
        <v>347</v>
      </c>
      <c r="C1398" t="s">
        <v>40</v>
      </c>
      <c r="D1398" t="s">
        <v>19</v>
      </c>
      <c r="E1398" t="s">
        <v>37</v>
      </c>
      <c r="F1398" s="1">
        <v>44656</v>
      </c>
      <c r="G1398" s="1">
        <v>44784</v>
      </c>
      <c r="H1398">
        <v>4681</v>
      </c>
      <c r="I1398">
        <v>3901</v>
      </c>
      <c r="J1398">
        <v>780</v>
      </c>
      <c r="K1398" t="s">
        <v>54</v>
      </c>
      <c r="L1398">
        <v>4</v>
      </c>
      <c r="M1398" t="str">
        <f t="shared" si="21"/>
        <v>0-6 Months</v>
      </c>
      <c r="N1398" s="1">
        <v>44784</v>
      </c>
      <c r="O1398">
        <v>1</v>
      </c>
      <c r="P1398">
        <v>1397</v>
      </c>
      <c r="Q1398" s="2">
        <v>0.17</v>
      </c>
      <c r="R1398" t="s">
        <v>27</v>
      </c>
      <c r="S1398">
        <v>2022</v>
      </c>
      <c r="T1398" t="s">
        <v>36</v>
      </c>
    </row>
    <row r="1399" spans="1:20" hidden="1" x14ac:dyDescent="0.3">
      <c r="A1399">
        <v>2367</v>
      </c>
      <c r="B1399">
        <v>484</v>
      </c>
      <c r="C1399" t="s">
        <v>24</v>
      </c>
      <c r="D1399" t="s">
        <v>25</v>
      </c>
      <c r="E1399" t="s">
        <v>20</v>
      </c>
      <c r="F1399" s="1">
        <v>44904</v>
      </c>
      <c r="G1399" s="1">
        <v>45034</v>
      </c>
      <c r="H1399">
        <v>986</v>
      </c>
      <c r="I1399">
        <v>7947</v>
      </c>
      <c r="J1399">
        <v>-6961</v>
      </c>
      <c r="K1399" t="s">
        <v>21</v>
      </c>
      <c r="L1399">
        <v>4</v>
      </c>
      <c r="M1399" t="str">
        <f t="shared" si="21"/>
        <v>0-6 Months</v>
      </c>
      <c r="N1399" s="1">
        <v>45034</v>
      </c>
      <c r="O1399">
        <v>0</v>
      </c>
      <c r="P1399">
        <v>1398</v>
      </c>
      <c r="Q1399" s="2">
        <v>-7.06</v>
      </c>
      <c r="R1399" t="s">
        <v>22</v>
      </c>
      <c r="S1399">
        <v>2023</v>
      </c>
      <c r="T1399" t="s">
        <v>32</v>
      </c>
    </row>
    <row r="1400" spans="1:20" x14ac:dyDescent="0.3">
      <c r="A1400">
        <v>2368</v>
      </c>
      <c r="B1400">
        <v>465</v>
      </c>
      <c r="C1400" t="s">
        <v>40</v>
      </c>
      <c r="D1400" t="s">
        <v>25</v>
      </c>
      <c r="E1400" t="s">
        <v>20</v>
      </c>
      <c r="F1400" s="1">
        <v>44768</v>
      </c>
      <c r="G1400" s="1">
        <v>44977</v>
      </c>
      <c r="H1400">
        <v>4967.93</v>
      </c>
      <c r="I1400">
        <v>6657</v>
      </c>
      <c r="J1400">
        <v>-6713</v>
      </c>
      <c r="K1400" t="s">
        <v>35</v>
      </c>
      <c r="L1400">
        <v>6</v>
      </c>
      <c r="M1400" t="str">
        <f t="shared" si="21"/>
        <v>12+ Months</v>
      </c>
      <c r="N1400" s="1">
        <v>44977</v>
      </c>
      <c r="O1400">
        <v>0</v>
      </c>
      <c r="P1400">
        <v>1399</v>
      </c>
      <c r="Q1400" s="2">
        <v>-1.35</v>
      </c>
      <c r="R1400" t="s">
        <v>22</v>
      </c>
      <c r="S1400">
        <v>2023</v>
      </c>
      <c r="T1400" t="s">
        <v>43</v>
      </c>
    </row>
    <row r="1401" spans="1:20" hidden="1" x14ac:dyDescent="0.3">
      <c r="A1401">
        <v>2369</v>
      </c>
      <c r="B1401">
        <v>127</v>
      </c>
      <c r="C1401" t="s">
        <v>45</v>
      </c>
      <c r="D1401" t="s">
        <v>29</v>
      </c>
      <c r="E1401" t="s">
        <v>20</v>
      </c>
      <c r="F1401" s="1">
        <v>44706</v>
      </c>
      <c r="G1401" s="1">
        <v>44812</v>
      </c>
      <c r="H1401">
        <v>4176</v>
      </c>
      <c r="I1401">
        <v>111</v>
      </c>
      <c r="J1401">
        <v>4065</v>
      </c>
      <c r="K1401" t="s">
        <v>21</v>
      </c>
      <c r="L1401">
        <v>3</v>
      </c>
      <c r="M1401" t="str">
        <f t="shared" si="21"/>
        <v>0-6 Months</v>
      </c>
      <c r="N1401" s="1">
        <v>44812</v>
      </c>
      <c r="O1401">
        <v>1</v>
      </c>
      <c r="P1401">
        <v>1400</v>
      </c>
      <c r="Q1401" s="2">
        <v>0.97</v>
      </c>
      <c r="R1401" t="s">
        <v>27</v>
      </c>
      <c r="S1401">
        <v>2022</v>
      </c>
      <c r="T1401" t="s">
        <v>30</v>
      </c>
    </row>
    <row r="1402" spans="1:20" x14ac:dyDescent="0.3">
      <c r="A1402">
        <v>2374</v>
      </c>
      <c r="B1402">
        <v>117</v>
      </c>
      <c r="C1402" t="s">
        <v>53</v>
      </c>
      <c r="D1402" t="s">
        <v>19</v>
      </c>
      <c r="E1402" t="s">
        <v>26</v>
      </c>
      <c r="F1402" s="1">
        <v>44837</v>
      </c>
      <c r="G1402" s="1">
        <v>45023</v>
      </c>
      <c r="H1402">
        <v>2204</v>
      </c>
      <c r="I1402">
        <v>3534</v>
      </c>
      <c r="J1402">
        <v>-1330</v>
      </c>
      <c r="K1402" t="s">
        <v>35</v>
      </c>
      <c r="L1402">
        <v>6</v>
      </c>
      <c r="M1402" t="str">
        <f t="shared" si="21"/>
        <v>12+ Months</v>
      </c>
      <c r="N1402" s="1">
        <v>45023</v>
      </c>
      <c r="O1402">
        <v>0</v>
      </c>
      <c r="P1402">
        <v>1401</v>
      </c>
      <c r="Q1402" s="2">
        <v>-0.6</v>
      </c>
      <c r="R1402" t="s">
        <v>27</v>
      </c>
      <c r="S1402">
        <v>2023</v>
      </c>
      <c r="T1402" t="s">
        <v>32</v>
      </c>
    </row>
    <row r="1403" spans="1:20" hidden="1" x14ac:dyDescent="0.3">
      <c r="A1403">
        <v>2375</v>
      </c>
      <c r="B1403">
        <v>223</v>
      </c>
      <c r="C1403" t="s">
        <v>53</v>
      </c>
      <c r="D1403" t="s">
        <v>19</v>
      </c>
      <c r="E1403" t="s">
        <v>37</v>
      </c>
      <c r="F1403" s="1">
        <v>44656</v>
      </c>
      <c r="G1403" s="1">
        <v>45109</v>
      </c>
      <c r="H1403">
        <v>2765</v>
      </c>
      <c r="I1403">
        <v>6885</v>
      </c>
      <c r="J1403">
        <v>-4120</v>
      </c>
      <c r="K1403" t="s">
        <v>21</v>
      </c>
      <c r="L1403">
        <v>14</v>
      </c>
      <c r="M1403" t="str">
        <f t="shared" si="21"/>
        <v>6-12 Months</v>
      </c>
      <c r="N1403" s="1">
        <v>45109</v>
      </c>
      <c r="O1403">
        <v>0</v>
      </c>
      <c r="P1403">
        <v>1402</v>
      </c>
      <c r="Q1403" s="2">
        <v>-1.49</v>
      </c>
      <c r="R1403" t="s">
        <v>22</v>
      </c>
      <c r="S1403">
        <v>2023</v>
      </c>
      <c r="T1403" t="s">
        <v>44</v>
      </c>
    </row>
    <row r="1404" spans="1:20" hidden="1" x14ac:dyDescent="0.3">
      <c r="A1404">
        <v>2376</v>
      </c>
      <c r="B1404">
        <v>450</v>
      </c>
      <c r="C1404" t="s">
        <v>39</v>
      </c>
      <c r="D1404" t="s">
        <v>19</v>
      </c>
      <c r="E1404" t="s">
        <v>26</v>
      </c>
      <c r="F1404" s="1">
        <v>44738</v>
      </c>
      <c r="G1404" s="1">
        <v>44978</v>
      </c>
      <c r="H1404">
        <v>892</v>
      </c>
      <c r="I1404">
        <v>7921</v>
      </c>
      <c r="J1404">
        <v>-7029</v>
      </c>
      <c r="K1404" t="s">
        <v>54</v>
      </c>
      <c r="L1404">
        <v>7</v>
      </c>
      <c r="M1404" t="str">
        <f t="shared" si="21"/>
        <v>6-12 Months</v>
      </c>
      <c r="N1404" s="1">
        <v>44978</v>
      </c>
      <c r="O1404">
        <v>1</v>
      </c>
      <c r="P1404">
        <v>1403</v>
      </c>
      <c r="Q1404" s="2">
        <v>-7.88</v>
      </c>
      <c r="R1404" t="s">
        <v>22</v>
      </c>
      <c r="S1404">
        <v>2023</v>
      </c>
      <c r="T1404" t="s">
        <v>43</v>
      </c>
    </row>
    <row r="1405" spans="1:20" x14ac:dyDescent="0.3">
      <c r="A1405">
        <v>2379</v>
      </c>
      <c r="B1405">
        <v>209</v>
      </c>
      <c r="C1405" t="s">
        <v>24</v>
      </c>
      <c r="D1405" t="s">
        <v>25</v>
      </c>
      <c r="E1405" t="s">
        <v>37</v>
      </c>
      <c r="F1405" s="1">
        <v>44654</v>
      </c>
      <c r="G1405" s="1">
        <v>45101</v>
      </c>
      <c r="H1405">
        <v>9904</v>
      </c>
      <c r="I1405">
        <v>7891</v>
      </c>
      <c r="J1405">
        <v>2013</v>
      </c>
      <c r="K1405" t="s">
        <v>35</v>
      </c>
      <c r="L1405">
        <v>14</v>
      </c>
      <c r="M1405" t="str">
        <f t="shared" si="21"/>
        <v>6-12 Months</v>
      </c>
      <c r="N1405" s="1">
        <v>45101</v>
      </c>
      <c r="O1405">
        <v>0</v>
      </c>
      <c r="P1405">
        <v>1404</v>
      </c>
      <c r="Q1405" s="2">
        <v>0.2</v>
      </c>
      <c r="R1405" t="s">
        <v>27</v>
      </c>
      <c r="S1405">
        <v>2023</v>
      </c>
      <c r="T1405" t="s">
        <v>41</v>
      </c>
    </row>
    <row r="1406" spans="1:20" hidden="1" x14ac:dyDescent="0.3">
      <c r="A1406">
        <v>2380</v>
      </c>
      <c r="B1406">
        <v>353</v>
      </c>
      <c r="C1406" t="s">
        <v>40</v>
      </c>
      <c r="D1406" t="s">
        <v>34</v>
      </c>
      <c r="E1406" t="s">
        <v>20</v>
      </c>
      <c r="F1406" s="1">
        <v>44759</v>
      </c>
      <c r="G1406" s="1">
        <v>45341</v>
      </c>
      <c r="H1406">
        <v>6760</v>
      </c>
      <c r="I1406">
        <v>1510</v>
      </c>
      <c r="J1406">
        <v>5250</v>
      </c>
      <c r="K1406" t="s">
        <v>21</v>
      </c>
      <c r="L1406">
        <v>19</v>
      </c>
      <c r="M1406" t="str">
        <f t="shared" si="21"/>
        <v>6-12 Months</v>
      </c>
      <c r="N1406" s="1">
        <v>45341</v>
      </c>
      <c r="O1406">
        <v>0</v>
      </c>
      <c r="P1406">
        <v>1405</v>
      </c>
      <c r="Q1406" s="2">
        <v>0.78</v>
      </c>
      <c r="R1406" t="s">
        <v>27</v>
      </c>
      <c r="S1406">
        <v>2024</v>
      </c>
      <c r="T1406" t="s">
        <v>43</v>
      </c>
    </row>
    <row r="1407" spans="1:20" hidden="1" x14ac:dyDescent="0.3">
      <c r="A1407">
        <v>2381</v>
      </c>
      <c r="B1407">
        <v>460</v>
      </c>
      <c r="C1407" t="s">
        <v>53</v>
      </c>
      <c r="D1407" t="s">
        <v>25</v>
      </c>
      <c r="E1407" t="s">
        <v>37</v>
      </c>
      <c r="F1407" s="1">
        <v>44786</v>
      </c>
      <c r="G1407" s="1">
        <v>45161</v>
      </c>
      <c r="H1407">
        <v>4967.93</v>
      </c>
      <c r="I1407">
        <v>6792</v>
      </c>
      <c r="J1407">
        <v>-7872</v>
      </c>
      <c r="K1407" t="s">
        <v>21</v>
      </c>
      <c r="L1407">
        <v>12</v>
      </c>
      <c r="M1407" t="str">
        <f t="shared" si="21"/>
        <v>6-12 Months</v>
      </c>
      <c r="N1407" s="1">
        <v>45161</v>
      </c>
      <c r="O1407">
        <v>1</v>
      </c>
      <c r="P1407">
        <v>1406</v>
      </c>
      <c r="Q1407" s="2">
        <v>-1.58</v>
      </c>
      <c r="R1407" t="s">
        <v>22</v>
      </c>
      <c r="S1407">
        <v>2023</v>
      </c>
      <c r="T1407" t="s">
        <v>36</v>
      </c>
    </row>
    <row r="1408" spans="1:20" hidden="1" x14ac:dyDescent="0.3">
      <c r="A1408">
        <v>2384</v>
      </c>
      <c r="B1408">
        <v>422</v>
      </c>
      <c r="C1408" t="s">
        <v>45</v>
      </c>
      <c r="D1408" t="s">
        <v>34</v>
      </c>
      <c r="E1408" t="s">
        <v>20</v>
      </c>
      <c r="F1408" s="1">
        <v>44615</v>
      </c>
      <c r="G1408" s="1">
        <v>44896</v>
      </c>
      <c r="H1408">
        <v>3395</v>
      </c>
      <c r="I1408">
        <v>3545</v>
      </c>
      <c r="J1408">
        <v>-150</v>
      </c>
      <c r="K1408" t="s">
        <v>54</v>
      </c>
      <c r="L1408">
        <v>9</v>
      </c>
      <c r="M1408" t="str">
        <f t="shared" si="21"/>
        <v>6-12 Months</v>
      </c>
      <c r="N1408" s="1">
        <v>44896</v>
      </c>
      <c r="O1408">
        <v>0</v>
      </c>
      <c r="P1408">
        <v>1407</v>
      </c>
      <c r="Q1408" s="2">
        <v>-0.04</v>
      </c>
      <c r="R1408" t="s">
        <v>27</v>
      </c>
      <c r="S1408">
        <v>2022</v>
      </c>
      <c r="T1408" t="s">
        <v>31</v>
      </c>
    </row>
    <row r="1409" spans="1:20" x14ac:dyDescent="0.3">
      <c r="A1409">
        <v>2386</v>
      </c>
      <c r="B1409">
        <v>176</v>
      </c>
      <c r="C1409" t="s">
        <v>45</v>
      </c>
      <c r="D1409" t="s">
        <v>19</v>
      </c>
      <c r="E1409" t="s">
        <v>26</v>
      </c>
      <c r="F1409" s="1">
        <v>44895</v>
      </c>
      <c r="G1409" s="1">
        <v>45088</v>
      </c>
      <c r="H1409">
        <v>4967.93</v>
      </c>
      <c r="I1409">
        <v>3281</v>
      </c>
      <c r="J1409">
        <v>-4254</v>
      </c>
      <c r="K1409" t="s">
        <v>35</v>
      </c>
      <c r="L1409">
        <v>6</v>
      </c>
      <c r="M1409" t="str">
        <f t="shared" si="21"/>
        <v>12+ Months</v>
      </c>
      <c r="N1409" s="1">
        <v>45088</v>
      </c>
      <c r="O1409">
        <v>1</v>
      </c>
      <c r="P1409">
        <v>1408</v>
      </c>
      <c r="Q1409" s="2">
        <v>-0.86</v>
      </c>
      <c r="R1409" t="s">
        <v>27</v>
      </c>
      <c r="S1409">
        <v>2023</v>
      </c>
      <c r="T1409" t="s">
        <v>41</v>
      </c>
    </row>
    <row r="1410" spans="1:20" hidden="1" x14ac:dyDescent="0.3">
      <c r="A1410">
        <v>2389</v>
      </c>
      <c r="B1410">
        <v>185</v>
      </c>
      <c r="C1410" t="s">
        <v>24</v>
      </c>
      <c r="D1410" t="s">
        <v>25</v>
      </c>
      <c r="E1410" t="s">
        <v>26</v>
      </c>
      <c r="F1410" s="1">
        <v>44835</v>
      </c>
      <c r="G1410" s="1">
        <v>44919</v>
      </c>
      <c r="H1410">
        <v>2650</v>
      </c>
      <c r="I1410">
        <v>2774</v>
      </c>
      <c r="J1410">
        <v>-124</v>
      </c>
      <c r="K1410" t="s">
        <v>54</v>
      </c>
      <c r="L1410">
        <v>2</v>
      </c>
      <c r="M1410" t="str">
        <f t="shared" ref="M1410:M1473" si="22">IF(L1410&lt;6,"0-6 Months",IF(L1410&gt;6,"6-12 Months","12+ Months"))</f>
        <v>0-6 Months</v>
      </c>
      <c r="N1410" s="1">
        <v>44919</v>
      </c>
      <c r="O1410">
        <v>0</v>
      </c>
      <c r="P1410">
        <v>1409</v>
      </c>
      <c r="Q1410" s="2">
        <v>-0.05</v>
      </c>
      <c r="R1410" t="s">
        <v>27</v>
      </c>
      <c r="S1410">
        <v>2022</v>
      </c>
      <c r="T1410" t="s">
        <v>31</v>
      </c>
    </row>
    <row r="1411" spans="1:20" hidden="1" x14ac:dyDescent="0.3">
      <c r="A1411">
        <v>2390</v>
      </c>
      <c r="B1411">
        <v>479</v>
      </c>
      <c r="C1411" t="s">
        <v>24</v>
      </c>
      <c r="D1411" t="s">
        <v>34</v>
      </c>
      <c r="E1411" t="s">
        <v>37</v>
      </c>
      <c r="F1411" s="1">
        <v>44622</v>
      </c>
      <c r="G1411" s="1">
        <v>45035</v>
      </c>
      <c r="H1411">
        <v>2248</v>
      </c>
      <c r="I1411">
        <v>4012.75</v>
      </c>
      <c r="J1411">
        <v>2436</v>
      </c>
      <c r="K1411" t="s">
        <v>54</v>
      </c>
      <c r="L1411">
        <v>13</v>
      </c>
      <c r="M1411" t="str">
        <f t="shared" si="22"/>
        <v>6-12 Months</v>
      </c>
      <c r="N1411" s="1">
        <v>45035</v>
      </c>
      <c r="O1411">
        <v>0</v>
      </c>
      <c r="P1411">
        <v>1410</v>
      </c>
      <c r="Q1411" s="2">
        <v>1.08</v>
      </c>
      <c r="R1411" t="s">
        <v>22</v>
      </c>
      <c r="S1411">
        <v>2023</v>
      </c>
      <c r="T1411" t="s">
        <v>32</v>
      </c>
    </row>
    <row r="1412" spans="1:20" hidden="1" x14ac:dyDescent="0.3">
      <c r="A1412">
        <v>2393</v>
      </c>
      <c r="B1412">
        <v>353</v>
      </c>
      <c r="C1412" t="s">
        <v>53</v>
      </c>
      <c r="D1412" t="s">
        <v>25</v>
      </c>
      <c r="E1412" t="s">
        <v>20</v>
      </c>
      <c r="F1412" s="1">
        <v>44835</v>
      </c>
      <c r="G1412" s="1">
        <v>45376</v>
      </c>
      <c r="H1412">
        <v>4967.93</v>
      </c>
      <c r="I1412">
        <v>4012.75</v>
      </c>
      <c r="J1412">
        <v>460</v>
      </c>
      <c r="K1412" t="s">
        <v>21</v>
      </c>
      <c r="L1412">
        <v>17</v>
      </c>
      <c r="M1412" t="str">
        <f t="shared" si="22"/>
        <v>6-12 Months</v>
      </c>
      <c r="N1412" s="1">
        <v>45376</v>
      </c>
      <c r="O1412">
        <v>0</v>
      </c>
      <c r="P1412">
        <v>1411</v>
      </c>
      <c r="Q1412" s="2">
        <v>0.09</v>
      </c>
      <c r="R1412" t="s">
        <v>27</v>
      </c>
      <c r="S1412">
        <v>2024</v>
      </c>
      <c r="T1412" t="s">
        <v>38</v>
      </c>
    </row>
    <row r="1413" spans="1:20" hidden="1" x14ac:dyDescent="0.3">
      <c r="A1413">
        <v>2394</v>
      </c>
      <c r="B1413">
        <v>445</v>
      </c>
      <c r="C1413" t="s">
        <v>24</v>
      </c>
      <c r="D1413" t="s">
        <v>29</v>
      </c>
      <c r="E1413" t="s">
        <v>26</v>
      </c>
      <c r="F1413" s="1">
        <v>44763</v>
      </c>
      <c r="G1413" s="1">
        <v>44931</v>
      </c>
      <c r="H1413">
        <v>9844</v>
      </c>
      <c r="I1413">
        <v>4012.75</v>
      </c>
      <c r="J1413">
        <v>10120</v>
      </c>
      <c r="K1413" t="s">
        <v>54</v>
      </c>
      <c r="L1413">
        <v>5</v>
      </c>
      <c r="M1413" t="str">
        <f t="shared" si="22"/>
        <v>0-6 Months</v>
      </c>
      <c r="N1413" s="1">
        <v>44931</v>
      </c>
      <c r="O1413">
        <v>1</v>
      </c>
      <c r="P1413">
        <v>1412</v>
      </c>
      <c r="Q1413" s="2">
        <v>1.03</v>
      </c>
      <c r="R1413" t="s">
        <v>22</v>
      </c>
      <c r="S1413">
        <v>2023</v>
      </c>
      <c r="T1413" t="s">
        <v>23</v>
      </c>
    </row>
    <row r="1414" spans="1:20" hidden="1" x14ac:dyDescent="0.3">
      <c r="A1414">
        <v>2396</v>
      </c>
      <c r="B1414">
        <v>392</v>
      </c>
      <c r="C1414" t="s">
        <v>45</v>
      </c>
      <c r="D1414" t="s">
        <v>34</v>
      </c>
      <c r="E1414" t="s">
        <v>20</v>
      </c>
      <c r="F1414" s="1">
        <v>44632</v>
      </c>
      <c r="G1414" s="1">
        <v>44679</v>
      </c>
      <c r="H1414">
        <v>4967.93</v>
      </c>
      <c r="I1414">
        <v>4731</v>
      </c>
      <c r="J1414">
        <v>577.01</v>
      </c>
      <c r="K1414" t="s">
        <v>21</v>
      </c>
      <c r="L1414">
        <v>1</v>
      </c>
      <c r="M1414" t="str">
        <f t="shared" si="22"/>
        <v>0-6 Months</v>
      </c>
      <c r="N1414" s="1">
        <v>44679</v>
      </c>
      <c r="O1414">
        <v>1</v>
      </c>
      <c r="P1414">
        <v>1413</v>
      </c>
      <c r="Q1414" s="2">
        <v>0.12</v>
      </c>
      <c r="R1414" t="s">
        <v>27</v>
      </c>
      <c r="S1414">
        <v>2022</v>
      </c>
      <c r="T1414" t="s">
        <v>32</v>
      </c>
    </row>
    <row r="1415" spans="1:20" hidden="1" x14ac:dyDescent="0.3">
      <c r="A1415">
        <v>2402</v>
      </c>
      <c r="B1415">
        <v>408</v>
      </c>
      <c r="C1415" t="s">
        <v>53</v>
      </c>
      <c r="D1415" t="s">
        <v>25</v>
      </c>
      <c r="E1415" t="s">
        <v>20</v>
      </c>
      <c r="F1415" s="1">
        <v>44594</v>
      </c>
      <c r="G1415" s="1">
        <v>44707</v>
      </c>
      <c r="H1415">
        <v>8906</v>
      </c>
      <c r="I1415">
        <v>2019</v>
      </c>
      <c r="J1415">
        <v>6887</v>
      </c>
      <c r="K1415" t="s">
        <v>54</v>
      </c>
      <c r="L1415">
        <v>3</v>
      </c>
      <c r="M1415" t="str">
        <f t="shared" si="22"/>
        <v>0-6 Months</v>
      </c>
      <c r="N1415" s="1">
        <v>44707</v>
      </c>
      <c r="O1415">
        <v>0</v>
      </c>
      <c r="P1415">
        <v>1414</v>
      </c>
      <c r="Q1415" s="2">
        <v>0.77</v>
      </c>
      <c r="R1415" t="s">
        <v>27</v>
      </c>
      <c r="S1415">
        <v>2022</v>
      </c>
      <c r="T1415" t="s">
        <v>28</v>
      </c>
    </row>
    <row r="1416" spans="1:20" hidden="1" x14ac:dyDescent="0.3">
      <c r="A1416">
        <v>2403</v>
      </c>
      <c r="B1416">
        <v>474</v>
      </c>
      <c r="C1416" t="s">
        <v>24</v>
      </c>
      <c r="D1416" t="s">
        <v>19</v>
      </c>
      <c r="E1416" t="s">
        <v>37</v>
      </c>
      <c r="F1416" s="1">
        <v>44604</v>
      </c>
      <c r="G1416" s="1">
        <v>45064</v>
      </c>
      <c r="H1416">
        <v>5107</v>
      </c>
      <c r="I1416">
        <v>4987</v>
      </c>
      <c r="J1416">
        <v>120</v>
      </c>
      <c r="K1416" t="s">
        <v>54</v>
      </c>
      <c r="L1416">
        <v>15</v>
      </c>
      <c r="M1416" t="str">
        <f t="shared" si="22"/>
        <v>6-12 Months</v>
      </c>
      <c r="N1416" s="1">
        <v>45064</v>
      </c>
      <c r="O1416">
        <v>0</v>
      </c>
      <c r="P1416">
        <v>1415</v>
      </c>
      <c r="Q1416" s="2">
        <v>0.02</v>
      </c>
      <c r="R1416" t="s">
        <v>27</v>
      </c>
      <c r="S1416">
        <v>2023</v>
      </c>
      <c r="T1416" t="s">
        <v>28</v>
      </c>
    </row>
    <row r="1417" spans="1:20" hidden="1" x14ac:dyDescent="0.3">
      <c r="A1417">
        <v>2405</v>
      </c>
      <c r="B1417">
        <v>116</v>
      </c>
      <c r="C1417" t="s">
        <v>40</v>
      </c>
      <c r="D1417" t="s">
        <v>25</v>
      </c>
      <c r="E1417" t="s">
        <v>20</v>
      </c>
      <c r="F1417" s="1">
        <v>44636</v>
      </c>
      <c r="G1417" s="1">
        <v>44890</v>
      </c>
      <c r="H1417">
        <v>3642</v>
      </c>
      <c r="I1417">
        <v>5395</v>
      </c>
      <c r="J1417">
        <v>-1753</v>
      </c>
      <c r="K1417" t="s">
        <v>21</v>
      </c>
      <c r="L1417">
        <v>8</v>
      </c>
      <c r="M1417" t="str">
        <f t="shared" si="22"/>
        <v>6-12 Months</v>
      </c>
      <c r="N1417" s="1">
        <v>44890</v>
      </c>
      <c r="O1417">
        <v>1</v>
      </c>
      <c r="P1417">
        <v>1416</v>
      </c>
      <c r="Q1417" s="2">
        <v>-0.48</v>
      </c>
      <c r="R1417" t="s">
        <v>27</v>
      </c>
      <c r="S1417">
        <v>2022</v>
      </c>
      <c r="T1417" t="s">
        <v>42</v>
      </c>
    </row>
    <row r="1418" spans="1:20" hidden="1" x14ac:dyDescent="0.3">
      <c r="A1418">
        <v>2408</v>
      </c>
      <c r="B1418">
        <v>479</v>
      </c>
      <c r="C1418" t="s">
        <v>39</v>
      </c>
      <c r="D1418" t="s">
        <v>29</v>
      </c>
      <c r="E1418" t="s">
        <v>26</v>
      </c>
      <c r="F1418" s="1">
        <v>44768</v>
      </c>
      <c r="G1418" s="1">
        <v>45322</v>
      </c>
      <c r="H1418">
        <v>4967.93</v>
      </c>
      <c r="I1418">
        <v>5766</v>
      </c>
      <c r="J1418">
        <v>-6072</v>
      </c>
      <c r="K1418" t="s">
        <v>21</v>
      </c>
      <c r="L1418">
        <v>18</v>
      </c>
      <c r="M1418" t="str">
        <f t="shared" si="22"/>
        <v>6-12 Months</v>
      </c>
      <c r="N1418" s="1">
        <v>45322</v>
      </c>
      <c r="O1418">
        <v>1</v>
      </c>
      <c r="P1418">
        <v>1417</v>
      </c>
      <c r="Q1418" s="2">
        <v>-1.22</v>
      </c>
      <c r="R1418" t="s">
        <v>22</v>
      </c>
      <c r="S1418">
        <v>2024</v>
      </c>
      <c r="T1418" t="s">
        <v>23</v>
      </c>
    </row>
    <row r="1419" spans="1:20" hidden="1" x14ac:dyDescent="0.3">
      <c r="A1419">
        <v>2410</v>
      </c>
      <c r="B1419">
        <v>289</v>
      </c>
      <c r="C1419" t="s">
        <v>40</v>
      </c>
      <c r="D1419" t="s">
        <v>29</v>
      </c>
      <c r="E1419" t="s">
        <v>26</v>
      </c>
      <c r="F1419" s="1">
        <v>44690</v>
      </c>
      <c r="G1419" s="1">
        <v>44930</v>
      </c>
      <c r="H1419">
        <v>9894</v>
      </c>
      <c r="I1419">
        <v>2064</v>
      </c>
      <c r="J1419">
        <v>7830</v>
      </c>
      <c r="K1419" t="s">
        <v>54</v>
      </c>
      <c r="L1419">
        <v>7</v>
      </c>
      <c r="M1419" t="str">
        <f t="shared" si="22"/>
        <v>6-12 Months</v>
      </c>
      <c r="N1419" s="1">
        <v>44930</v>
      </c>
      <c r="O1419">
        <v>1</v>
      </c>
      <c r="P1419">
        <v>1418</v>
      </c>
      <c r="Q1419" s="2">
        <v>0.79</v>
      </c>
      <c r="R1419" t="s">
        <v>27</v>
      </c>
      <c r="S1419">
        <v>2023</v>
      </c>
      <c r="T1419" t="s">
        <v>23</v>
      </c>
    </row>
    <row r="1420" spans="1:20" hidden="1" x14ac:dyDescent="0.3">
      <c r="A1420">
        <v>2412</v>
      </c>
      <c r="B1420">
        <v>163</v>
      </c>
      <c r="C1420" t="s">
        <v>39</v>
      </c>
      <c r="D1420" t="s">
        <v>29</v>
      </c>
      <c r="E1420" t="s">
        <v>20</v>
      </c>
      <c r="F1420" s="1">
        <v>44724</v>
      </c>
      <c r="G1420" s="1">
        <v>44774</v>
      </c>
      <c r="H1420">
        <v>2730</v>
      </c>
      <c r="I1420">
        <v>6673</v>
      </c>
      <c r="J1420">
        <v>-3943</v>
      </c>
      <c r="K1420" t="s">
        <v>54</v>
      </c>
      <c r="L1420">
        <v>1</v>
      </c>
      <c r="M1420" t="str">
        <f t="shared" si="22"/>
        <v>0-6 Months</v>
      </c>
      <c r="N1420" s="1">
        <v>44774</v>
      </c>
      <c r="O1420">
        <v>0</v>
      </c>
      <c r="P1420">
        <v>1419</v>
      </c>
      <c r="Q1420" s="2">
        <v>-1.44</v>
      </c>
      <c r="R1420" t="s">
        <v>22</v>
      </c>
      <c r="S1420">
        <v>2022</v>
      </c>
      <c r="T1420" t="s">
        <v>36</v>
      </c>
    </row>
    <row r="1421" spans="1:20" x14ac:dyDescent="0.3">
      <c r="A1421">
        <v>2413</v>
      </c>
      <c r="B1421">
        <v>400</v>
      </c>
      <c r="C1421" t="s">
        <v>45</v>
      </c>
      <c r="D1421" t="s">
        <v>34</v>
      </c>
      <c r="E1421" t="s">
        <v>20</v>
      </c>
      <c r="F1421" s="1">
        <v>44592</v>
      </c>
      <c r="G1421" s="1">
        <v>44640</v>
      </c>
      <c r="H1421">
        <v>4008</v>
      </c>
      <c r="I1421">
        <v>372</v>
      </c>
      <c r="J1421">
        <v>3636</v>
      </c>
      <c r="K1421" t="s">
        <v>35</v>
      </c>
      <c r="L1421">
        <v>1</v>
      </c>
      <c r="M1421" t="str">
        <f t="shared" si="22"/>
        <v>0-6 Months</v>
      </c>
      <c r="N1421" s="1">
        <v>44640</v>
      </c>
      <c r="O1421">
        <v>1</v>
      </c>
      <c r="P1421">
        <v>1420</v>
      </c>
      <c r="Q1421" s="2">
        <v>0.91</v>
      </c>
      <c r="R1421" t="s">
        <v>27</v>
      </c>
      <c r="S1421">
        <v>2022</v>
      </c>
      <c r="T1421" t="s">
        <v>38</v>
      </c>
    </row>
    <row r="1422" spans="1:20" x14ac:dyDescent="0.3">
      <c r="A1422">
        <v>2414</v>
      </c>
      <c r="B1422">
        <v>358</v>
      </c>
      <c r="C1422" t="s">
        <v>45</v>
      </c>
      <c r="D1422" t="s">
        <v>19</v>
      </c>
      <c r="E1422" t="s">
        <v>37</v>
      </c>
      <c r="F1422" s="1">
        <v>44572</v>
      </c>
      <c r="G1422" s="1">
        <v>44633</v>
      </c>
      <c r="H1422">
        <v>1557</v>
      </c>
      <c r="I1422">
        <v>4580</v>
      </c>
      <c r="J1422">
        <v>-3023</v>
      </c>
      <c r="K1422" t="s">
        <v>35</v>
      </c>
      <c r="L1422">
        <v>2</v>
      </c>
      <c r="M1422" t="str">
        <f t="shared" si="22"/>
        <v>0-6 Months</v>
      </c>
      <c r="N1422" s="1">
        <v>44633</v>
      </c>
      <c r="O1422">
        <v>1</v>
      </c>
      <c r="P1422">
        <v>1421</v>
      </c>
      <c r="Q1422" s="2">
        <v>-1.94</v>
      </c>
      <c r="R1422" t="s">
        <v>22</v>
      </c>
      <c r="S1422">
        <v>2022</v>
      </c>
      <c r="T1422" t="s">
        <v>38</v>
      </c>
    </row>
    <row r="1423" spans="1:20" x14ac:dyDescent="0.3">
      <c r="A1423">
        <v>2415</v>
      </c>
      <c r="B1423">
        <v>169</v>
      </c>
      <c r="C1423" t="s">
        <v>53</v>
      </c>
      <c r="D1423" t="s">
        <v>25</v>
      </c>
      <c r="E1423" t="s">
        <v>26</v>
      </c>
      <c r="F1423" s="1">
        <v>44672</v>
      </c>
      <c r="G1423" s="1">
        <v>44921</v>
      </c>
      <c r="H1423">
        <v>2466</v>
      </c>
      <c r="I1423">
        <v>3815</v>
      </c>
      <c r="J1423">
        <v>-1349</v>
      </c>
      <c r="K1423" t="s">
        <v>35</v>
      </c>
      <c r="L1423">
        <v>8</v>
      </c>
      <c r="M1423" t="str">
        <f t="shared" si="22"/>
        <v>6-12 Months</v>
      </c>
      <c r="N1423" s="1">
        <v>44921</v>
      </c>
      <c r="O1423">
        <v>1</v>
      </c>
      <c r="P1423">
        <v>1422</v>
      </c>
      <c r="Q1423" s="2">
        <v>-0.55000000000000004</v>
      </c>
      <c r="R1423" t="s">
        <v>27</v>
      </c>
      <c r="S1423">
        <v>2022</v>
      </c>
      <c r="T1423" t="s">
        <v>31</v>
      </c>
    </row>
    <row r="1424" spans="1:20" x14ac:dyDescent="0.3">
      <c r="A1424">
        <v>2417</v>
      </c>
      <c r="B1424">
        <v>343</v>
      </c>
      <c r="C1424" t="s">
        <v>39</v>
      </c>
      <c r="D1424" t="s">
        <v>19</v>
      </c>
      <c r="E1424" t="s">
        <v>20</v>
      </c>
      <c r="F1424" s="1">
        <v>44922</v>
      </c>
      <c r="G1424" s="1">
        <v>45254</v>
      </c>
      <c r="H1424">
        <v>4967.93</v>
      </c>
      <c r="I1424">
        <v>1296</v>
      </c>
      <c r="J1424">
        <v>-3136</v>
      </c>
      <c r="K1424" t="s">
        <v>35</v>
      </c>
      <c r="L1424">
        <v>10</v>
      </c>
      <c r="M1424" t="str">
        <f t="shared" si="22"/>
        <v>6-12 Months</v>
      </c>
      <c r="N1424" s="1">
        <v>45254</v>
      </c>
      <c r="O1424">
        <v>0</v>
      </c>
      <c r="P1424">
        <v>1423</v>
      </c>
      <c r="Q1424" s="2">
        <v>-0.63</v>
      </c>
      <c r="R1424" t="s">
        <v>27</v>
      </c>
      <c r="S1424">
        <v>2023</v>
      </c>
      <c r="T1424" t="s">
        <v>42</v>
      </c>
    </row>
    <row r="1425" spans="1:20" hidden="1" x14ac:dyDescent="0.3">
      <c r="A1425">
        <v>2418</v>
      </c>
      <c r="B1425">
        <v>265</v>
      </c>
      <c r="C1425" t="s">
        <v>53</v>
      </c>
      <c r="D1425" t="s">
        <v>25</v>
      </c>
      <c r="E1425" t="s">
        <v>20</v>
      </c>
      <c r="F1425" s="1">
        <v>44698</v>
      </c>
      <c r="G1425" s="1">
        <v>44899</v>
      </c>
      <c r="H1425">
        <v>2360</v>
      </c>
      <c r="I1425">
        <v>4012.75</v>
      </c>
      <c r="J1425">
        <v>2568</v>
      </c>
      <c r="K1425" t="s">
        <v>54</v>
      </c>
      <c r="L1425">
        <v>6</v>
      </c>
      <c r="M1425" t="str">
        <f t="shared" si="22"/>
        <v>12+ Months</v>
      </c>
      <c r="N1425" s="1">
        <v>44899</v>
      </c>
      <c r="O1425">
        <v>0</v>
      </c>
      <c r="P1425">
        <v>1424</v>
      </c>
      <c r="Q1425" s="2">
        <v>1.0900000000000001</v>
      </c>
      <c r="R1425" t="s">
        <v>22</v>
      </c>
      <c r="S1425">
        <v>2022</v>
      </c>
      <c r="T1425" t="s">
        <v>31</v>
      </c>
    </row>
    <row r="1426" spans="1:20" hidden="1" x14ac:dyDescent="0.3">
      <c r="A1426">
        <v>2423</v>
      </c>
      <c r="B1426">
        <v>188</v>
      </c>
      <c r="C1426" t="s">
        <v>53</v>
      </c>
      <c r="D1426" t="s">
        <v>34</v>
      </c>
      <c r="E1426" t="s">
        <v>26</v>
      </c>
      <c r="F1426" s="1">
        <v>44628</v>
      </c>
      <c r="G1426" s="1">
        <v>44722</v>
      </c>
      <c r="H1426">
        <v>3399</v>
      </c>
      <c r="I1426">
        <v>3334</v>
      </c>
      <c r="J1426">
        <v>65</v>
      </c>
      <c r="K1426" t="s">
        <v>54</v>
      </c>
      <c r="L1426">
        <v>3</v>
      </c>
      <c r="M1426" t="str">
        <f t="shared" si="22"/>
        <v>0-6 Months</v>
      </c>
      <c r="N1426" s="1">
        <v>44722</v>
      </c>
      <c r="O1426">
        <v>1</v>
      </c>
      <c r="P1426">
        <v>1425</v>
      </c>
      <c r="Q1426" s="2">
        <v>0.02</v>
      </c>
      <c r="R1426" t="s">
        <v>27</v>
      </c>
      <c r="S1426">
        <v>2022</v>
      </c>
      <c r="T1426" t="s">
        <v>41</v>
      </c>
    </row>
    <row r="1427" spans="1:20" hidden="1" x14ac:dyDescent="0.3">
      <c r="A1427">
        <v>2426</v>
      </c>
      <c r="B1427">
        <v>138</v>
      </c>
      <c r="C1427" t="s">
        <v>45</v>
      </c>
      <c r="D1427" t="s">
        <v>19</v>
      </c>
      <c r="E1427" t="s">
        <v>37</v>
      </c>
      <c r="F1427" s="1">
        <v>44656</v>
      </c>
      <c r="G1427" s="1">
        <v>45081</v>
      </c>
      <c r="H1427">
        <v>9278</v>
      </c>
      <c r="I1427">
        <v>346</v>
      </c>
      <c r="J1427">
        <v>8932</v>
      </c>
      <c r="K1427" t="s">
        <v>54</v>
      </c>
      <c r="L1427">
        <v>13</v>
      </c>
      <c r="M1427" t="str">
        <f t="shared" si="22"/>
        <v>6-12 Months</v>
      </c>
      <c r="N1427" s="1">
        <v>45081</v>
      </c>
      <c r="O1427">
        <v>1</v>
      </c>
      <c r="P1427">
        <v>1426</v>
      </c>
      <c r="Q1427" s="2">
        <v>0.96</v>
      </c>
      <c r="R1427" t="s">
        <v>27</v>
      </c>
      <c r="S1427">
        <v>2023</v>
      </c>
      <c r="T1427" t="s">
        <v>41</v>
      </c>
    </row>
    <row r="1428" spans="1:20" hidden="1" x14ac:dyDescent="0.3">
      <c r="A1428">
        <v>2428</v>
      </c>
      <c r="B1428">
        <v>470</v>
      </c>
      <c r="C1428" t="s">
        <v>45</v>
      </c>
      <c r="D1428" t="s">
        <v>29</v>
      </c>
      <c r="E1428" t="s">
        <v>20</v>
      </c>
      <c r="F1428" s="1">
        <v>44701</v>
      </c>
      <c r="G1428" s="1">
        <v>44820</v>
      </c>
      <c r="H1428">
        <v>231</v>
      </c>
      <c r="I1428">
        <v>2626</v>
      </c>
      <c r="J1428">
        <v>-2395</v>
      </c>
      <c r="K1428" t="s">
        <v>54</v>
      </c>
      <c r="L1428">
        <v>3</v>
      </c>
      <c r="M1428" t="str">
        <f t="shared" si="22"/>
        <v>0-6 Months</v>
      </c>
      <c r="N1428" s="1">
        <v>44820</v>
      </c>
      <c r="O1428">
        <v>0</v>
      </c>
      <c r="P1428">
        <v>1427</v>
      </c>
      <c r="Q1428" s="2">
        <v>-10.37</v>
      </c>
      <c r="R1428" t="s">
        <v>22</v>
      </c>
      <c r="S1428">
        <v>2022</v>
      </c>
      <c r="T1428" t="s">
        <v>30</v>
      </c>
    </row>
    <row r="1429" spans="1:20" hidden="1" x14ac:dyDescent="0.3">
      <c r="A1429">
        <v>2429</v>
      </c>
      <c r="B1429">
        <v>256</v>
      </c>
      <c r="C1429" t="s">
        <v>39</v>
      </c>
      <c r="D1429" t="s">
        <v>29</v>
      </c>
      <c r="E1429" t="s">
        <v>20</v>
      </c>
      <c r="F1429" s="1">
        <v>44915</v>
      </c>
      <c r="G1429" s="1">
        <v>45165</v>
      </c>
      <c r="H1429">
        <v>9737</v>
      </c>
      <c r="I1429">
        <v>6829</v>
      </c>
      <c r="J1429">
        <v>2908</v>
      </c>
      <c r="K1429" t="s">
        <v>21</v>
      </c>
      <c r="L1429">
        <v>8</v>
      </c>
      <c r="M1429" t="str">
        <f t="shared" si="22"/>
        <v>6-12 Months</v>
      </c>
      <c r="N1429" s="1">
        <v>45165</v>
      </c>
      <c r="O1429">
        <v>0</v>
      </c>
      <c r="P1429">
        <v>1428</v>
      </c>
      <c r="Q1429" s="2">
        <v>0.3</v>
      </c>
      <c r="R1429" t="s">
        <v>27</v>
      </c>
      <c r="S1429">
        <v>2023</v>
      </c>
      <c r="T1429" t="s">
        <v>36</v>
      </c>
    </row>
    <row r="1430" spans="1:20" hidden="1" x14ac:dyDescent="0.3">
      <c r="A1430">
        <v>2430</v>
      </c>
      <c r="B1430">
        <v>159</v>
      </c>
      <c r="C1430" t="s">
        <v>40</v>
      </c>
      <c r="D1430" t="s">
        <v>25</v>
      </c>
      <c r="E1430" t="s">
        <v>20</v>
      </c>
      <c r="F1430" s="1">
        <v>44595</v>
      </c>
      <c r="G1430" s="1">
        <v>44652</v>
      </c>
      <c r="H1430">
        <v>4967.93</v>
      </c>
      <c r="I1430">
        <v>5351</v>
      </c>
      <c r="J1430">
        <v>577.01</v>
      </c>
      <c r="K1430" t="s">
        <v>54</v>
      </c>
      <c r="L1430">
        <v>1</v>
      </c>
      <c r="M1430" t="str">
        <f t="shared" si="22"/>
        <v>0-6 Months</v>
      </c>
      <c r="N1430" s="1">
        <v>44652</v>
      </c>
      <c r="O1430">
        <v>1</v>
      </c>
      <c r="P1430">
        <v>1429</v>
      </c>
      <c r="Q1430" s="2">
        <v>0.12</v>
      </c>
      <c r="R1430" t="s">
        <v>27</v>
      </c>
      <c r="S1430">
        <v>2022</v>
      </c>
      <c r="T1430" t="s">
        <v>32</v>
      </c>
    </row>
    <row r="1431" spans="1:20" x14ac:dyDescent="0.3">
      <c r="A1431">
        <v>2432</v>
      </c>
      <c r="B1431">
        <v>283</v>
      </c>
      <c r="C1431" t="s">
        <v>45</v>
      </c>
      <c r="D1431" t="s">
        <v>25</v>
      </c>
      <c r="E1431" t="s">
        <v>37</v>
      </c>
      <c r="F1431" s="1">
        <v>44668</v>
      </c>
      <c r="G1431" s="1">
        <v>45165</v>
      </c>
      <c r="H1431">
        <v>4967.93</v>
      </c>
      <c r="I1431">
        <v>227</v>
      </c>
      <c r="J1431">
        <v>-2061</v>
      </c>
      <c r="K1431" t="s">
        <v>35</v>
      </c>
      <c r="L1431">
        <v>16</v>
      </c>
      <c r="M1431" t="str">
        <f t="shared" si="22"/>
        <v>6-12 Months</v>
      </c>
      <c r="N1431" s="1">
        <v>45165</v>
      </c>
      <c r="O1431">
        <v>0</v>
      </c>
      <c r="P1431">
        <v>1430</v>
      </c>
      <c r="Q1431" s="2">
        <v>-0.41</v>
      </c>
      <c r="R1431" t="s">
        <v>27</v>
      </c>
      <c r="S1431">
        <v>2023</v>
      </c>
      <c r="T1431" t="s">
        <v>36</v>
      </c>
    </row>
    <row r="1432" spans="1:20" hidden="1" x14ac:dyDescent="0.3">
      <c r="A1432">
        <v>2434</v>
      </c>
      <c r="B1432">
        <v>139</v>
      </c>
      <c r="C1432" t="s">
        <v>45</v>
      </c>
      <c r="D1432" t="s">
        <v>29</v>
      </c>
      <c r="E1432" t="s">
        <v>20</v>
      </c>
      <c r="F1432" s="1">
        <v>44603</v>
      </c>
      <c r="G1432" s="1">
        <v>44639</v>
      </c>
      <c r="H1432">
        <v>4967.93</v>
      </c>
      <c r="I1432">
        <v>4964</v>
      </c>
      <c r="J1432">
        <v>-6089</v>
      </c>
      <c r="K1432" t="s">
        <v>54</v>
      </c>
      <c r="L1432">
        <v>1</v>
      </c>
      <c r="M1432" t="str">
        <f t="shared" si="22"/>
        <v>0-6 Months</v>
      </c>
      <c r="N1432" s="1">
        <v>44639</v>
      </c>
      <c r="O1432">
        <v>1</v>
      </c>
      <c r="P1432">
        <v>1431</v>
      </c>
      <c r="Q1432" s="2">
        <v>-1.23</v>
      </c>
      <c r="R1432" t="s">
        <v>22</v>
      </c>
      <c r="S1432">
        <v>2022</v>
      </c>
      <c r="T1432" t="s">
        <v>38</v>
      </c>
    </row>
    <row r="1433" spans="1:20" hidden="1" x14ac:dyDescent="0.3">
      <c r="A1433">
        <v>2435</v>
      </c>
      <c r="B1433">
        <v>232</v>
      </c>
      <c r="C1433" t="s">
        <v>53</v>
      </c>
      <c r="D1433" t="s">
        <v>25</v>
      </c>
      <c r="E1433" t="s">
        <v>20</v>
      </c>
      <c r="F1433" s="1">
        <v>44910</v>
      </c>
      <c r="G1433" s="1">
        <v>45461</v>
      </c>
      <c r="H1433">
        <v>5167</v>
      </c>
      <c r="I1433">
        <v>1274</v>
      </c>
      <c r="J1433">
        <v>3893</v>
      </c>
      <c r="K1433" t="s">
        <v>54</v>
      </c>
      <c r="L1433">
        <v>18</v>
      </c>
      <c r="M1433" t="str">
        <f t="shared" si="22"/>
        <v>6-12 Months</v>
      </c>
      <c r="N1433" s="1">
        <v>45461</v>
      </c>
      <c r="O1433">
        <v>1</v>
      </c>
      <c r="P1433">
        <v>1432</v>
      </c>
      <c r="Q1433" s="2">
        <v>0.75</v>
      </c>
      <c r="R1433" t="s">
        <v>27</v>
      </c>
      <c r="S1433">
        <v>2024</v>
      </c>
      <c r="T1433" t="s">
        <v>41</v>
      </c>
    </row>
    <row r="1434" spans="1:20" hidden="1" x14ac:dyDescent="0.3">
      <c r="A1434">
        <v>2438</v>
      </c>
      <c r="B1434">
        <v>500</v>
      </c>
      <c r="C1434" t="s">
        <v>53</v>
      </c>
      <c r="D1434" t="s">
        <v>34</v>
      </c>
      <c r="E1434" t="s">
        <v>37</v>
      </c>
      <c r="F1434" s="1">
        <v>44597</v>
      </c>
      <c r="G1434" s="1">
        <v>44826</v>
      </c>
      <c r="H1434">
        <v>8489</v>
      </c>
      <c r="I1434">
        <v>2759</v>
      </c>
      <c r="J1434">
        <v>5730</v>
      </c>
      <c r="K1434" t="s">
        <v>54</v>
      </c>
      <c r="L1434">
        <v>7</v>
      </c>
      <c r="M1434" t="str">
        <f t="shared" si="22"/>
        <v>6-12 Months</v>
      </c>
      <c r="N1434" s="1">
        <v>44826</v>
      </c>
      <c r="O1434">
        <v>0</v>
      </c>
      <c r="P1434">
        <v>1433</v>
      </c>
      <c r="Q1434" s="2">
        <v>0.67</v>
      </c>
      <c r="R1434" t="s">
        <v>27</v>
      </c>
      <c r="S1434">
        <v>2022</v>
      </c>
      <c r="T1434" t="s">
        <v>30</v>
      </c>
    </row>
    <row r="1435" spans="1:20" hidden="1" x14ac:dyDescent="0.3">
      <c r="A1435">
        <v>2439</v>
      </c>
      <c r="B1435">
        <v>330</v>
      </c>
      <c r="C1435" t="s">
        <v>24</v>
      </c>
      <c r="D1435" t="s">
        <v>34</v>
      </c>
      <c r="E1435" t="s">
        <v>20</v>
      </c>
      <c r="F1435" s="1">
        <v>44683</v>
      </c>
      <c r="G1435" s="1">
        <v>44992</v>
      </c>
      <c r="H1435">
        <v>5677</v>
      </c>
      <c r="I1435">
        <v>4217</v>
      </c>
      <c r="J1435">
        <v>1460</v>
      </c>
      <c r="K1435" t="s">
        <v>21</v>
      </c>
      <c r="L1435">
        <v>10</v>
      </c>
      <c r="M1435" t="str">
        <f t="shared" si="22"/>
        <v>6-12 Months</v>
      </c>
      <c r="N1435" s="1">
        <v>44992</v>
      </c>
      <c r="O1435">
        <v>0</v>
      </c>
      <c r="P1435">
        <v>1434</v>
      </c>
      <c r="Q1435" s="2">
        <v>0.26</v>
      </c>
      <c r="R1435" t="s">
        <v>27</v>
      </c>
      <c r="S1435">
        <v>2023</v>
      </c>
      <c r="T1435" t="s">
        <v>38</v>
      </c>
    </row>
    <row r="1436" spans="1:20" hidden="1" x14ac:dyDescent="0.3">
      <c r="A1436">
        <v>2441</v>
      </c>
      <c r="B1436">
        <v>371</v>
      </c>
      <c r="C1436" t="s">
        <v>39</v>
      </c>
      <c r="D1436" t="s">
        <v>19</v>
      </c>
      <c r="E1436" t="s">
        <v>26</v>
      </c>
      <c r="F1436" s="1">
        <v>44596</v>
      </c>
      <c r="G1436" s="1">
        <v>45130</v>
      </c>
      <c r="H1436">
        <v>1476</v>
      </c>
      <c r="I1436">
        <v>4012.75</v>
      </c>
      <c r="J1436">
        <v>577.01</v>
      </c>
      <c r="K1436" t="s">
        <v>21</v>
      </c>
      <c r="L1436">
        <v>17</v>
      </c>
      <c r="M1436" t="str">
        <f t="shared" si="22"/>
        <v>6-12 Months</v>
      </c>
      <c r="N1436" s="1">
        <v>45130</v>
      </c>
      <c r="O1436">
        <v>0</v>
      </c>
      <c r="P1436">
        <v>1435</v>
      </c>
      <c r="Q1436" s="2">
        <v>0.39</v>
      </c>
      <c r="R1436" t="s">
        <v>27</v>
      </c>
      <c r="S1436">
        <v>2023</v>
      </c>
      <c r="T1436" t="s">
        <v>44</v>
      </c>
    </row>
    <row r="1437" spans="1:20" hidden="1" x14ac:dyDescent="0.3">
      <c r="A1437">
        <v>2442</v>
      </c>
      <c r="B1437">
        <v>142</v>
      </c>
      <c r="C1437" t="s">
        <v>39</v>
      </c>
      <c r="D1437" t="s">
        <v>25</v>
      </c>
      <c r="E1437" t="s">
        <v>20</v>
      </c>
      <c r="F1437" s="1">
        <v>44900</v>
      </c>
      <c r="G1437" s="1">
        <v>45319</v>
      </c>
      <c r="H1437">
        <v>6027</v>
      </c>
      <c r="I1437">
        <v>3463</v>
      </c>
      <c r="J1437">
        <v>2564</v>
      </c>
      <c r="K1437" t="s">
        <v>54</v>
      </c>
      <c r="L1437">
        <v>13</v>
      </c>
      <c r="M1437" t="str">
        <f t="shared" si="22"/>
        <v>6-12 Months</v>
      </c>
      <c r="N1437" s="1">
        <v>45319</v>
      </c>
      <c r="O1437">
        <v>1</v>
      </c>
      <c r="P1437">
        <v>1436</v>
      </c>
      <c r="Q1437" s="2">
        <v>0.43</v>
      </c>
      <c r="R1437" t="s">
        <v>27</v>
      </c>
      <c r="S1437">
        <v>2024</v>
      </c>
      <c r="T1437" t="s">
        <v>23</v>
      </c>
    </row>
    <row r="1438" spans="1:20" hidden="1" x14ac:dyDescent="0.3">
      <c r="A1438">
        <v>2443</v>
      </c>
      <c r="B1438">
        <v>331</v>
      </c>
      <c r="C1438" t="s">
        <v>45</v>
      </c>
      <c r="D1438" t="s">
        <v>29</v>
      </c>
      <c r="E1438" t="s">
        <v>20</v>
      </c>
      <c r="F1438" s="1">
        <v>44571</v>
      </c>
      <c r="G1438" s="1">
        <v>45089</v>
      </c>
      <c r="H1438">
        <v>8953</v>
      </c>
      <c r="I1438">
        <v>6676</v>
      </c>
      <c r="J1438">
        <v>2277</v>
      </c>
      <c r="K1438" t="s">
        <v>54</v>
      </c>
      <c r="L1438">
        <v>17</v>
      </c>
      <c r="M1438" t="str">
        <f t="shared" si="22"/>
        <v>6-12 Months</v>
      </c>
      <c r="N1438" s="1">
        <v>45089</v>
      </c>
      <c r="O1438">
        <v>0</v>
      </c>
      <c r="P1438">
        <v>1437</v>
      </c>
      <c r="Q1438" s="2">
        <v>0.25</v>
      </c>
      <c r="R1438" t="s">
        <v>27</v>
      </c>
      <c r="S1438">
        <v>2023</v>
      </c>
      <c r="T1438" t="s">
        <v>41</v>
      </c>
    </row>
    <row r="1439" spans="1:20" hidden="1" x14ac:dyDescent="0.3">
      <c r="A1439">
        <v>2444</v>
      </c>
      <c r="B1439">
        <v>389</v>
      </c>
      <c r="C1439" t="s">
        <v>39</v>
      </c>
      <c r="D1439" t="s">
        <v>19</v>
      </c>
      <c r="E1439" t="s">
        <v>37</v>
      </c>
      <c r="F1439" s="1">
        <v>44912</v>
      </c>
      <c r="G1439" s="1">
        <v>45236</v>
      </c>
      <c r="H1439">
        <v>6548</v>
      </c>
      <c r="I1439">
        <v>313</v>
      </c>
      <c r="J1439">
        <v>577.01</v>
      </c>
      <c r="K1439" t="s">
        <v>54</v>
      </c>
      <c r="L1439">
        <v>10</v>
      </c>
      <c r="M1439" t="str">
        <f t="shared" si="22"/>
        <v>6-12 Months</v>
      </c>
      <c r="N1439" s="1">
        <v>45236</v>
      </c>
      <c r="O1439">
        <v>0</v>
      </c>
      <c r="P1439">
        <v>1438</v>
      </c>
      <c r="Q1439" s="2">
        <v>0.09</v>
      </c>
      <c r="R1439" t="s">
        <v>27</v>
      </c>
      <c r="S1439">
        <v>2023</v>
      </c>
      <c r="T1439" t="s">
        <v>42</v>
      </c>
    </row>
    <row r="1440" spans="1:20" hidden="1" x14ac:dyDescent="0.3">
      <c r="A1440">
        <v>2445</v>
      </c>
      <c r="B1440">
        <v>209</v>
      </c>
      <c r="C1440" t="s">
        <v>39</v>
      </c>
      <c r="D1440" t="s">
        <v>34</v>
      </c>
      <c r="E1440" t="s">
        <v>26</v>
      </c>
      <c r="F1440" s="1">
        <v>44703</v>
      </c>
      <c r="G1440" s="1">
        <v>45169</v>
      </c>
      <c r="H1440">
        <v>5023</v>
      </c>
      <c r="I1440">
        <v>4</v>
      </c>
      <c r="J1440">
        <v>5019</v>
      </c>
      <c r="K1440" t="s">
        <v>54</v>
      </c>
      <c r="L1440">
        <v>15</v>
      </c>
      <c r="M1440" t="str">
        <f t="shared" si="22"/>
        <v>6-12 Months</v>
      </c>
      <c r="N1440" s="1">
        <v>45169</v>
      </c>
      <c r="O1440">
        <v>0</v>
      </c>
      <c r="P1440">
        <v>1439</v>
      </c>
      <c r="Q1440" s="2">
        <v>1</v>
      </c>
      <c r="R1440" t="s">
        <v>27</v>
      </c>
      <c r="S1440">
        <v>2023</v>
      </c>
      <c r="T1440" t="s">
        <v>36</v>
      </c>
    </row>
    <row r="1441" spans="1:20" hidden="1" x14ac:dyDescent="0.3">
      <c r="A1441">
        <v>2446</v>
      </c>
      <c r="B1441">
        <v>333</v>
      </c>
      <c r="C1441" t="s">
        <v>45</v>
      </c>
      <c r="D1441" t="s">
        <v>19</v>
      </c>
      <c r="E1441" t="s">
        <v>26</v>
      </c>
      <c r="F1441" s="1">
        <v>44744</v>
      </c>
      <c r="G1441" s="1">
        <v>44856</v>
      </c>
      <c r="H1441">
        <v>5592</v>
      </c>
      <c r="I1441">
        <v>6276</v>
      </c>
      <c r="J1441">
        <v>-684</v>
      </c>
      <c r="K1441" t="s">
        <v>54</v>
      </c>
      <c r="L1441">
        <v>3</v>
      </c>
      <c r="M1441" t="str">
        <f t="shared" si="22"/>
        <v>0-6 Months</v>
      </c>
      <c r="N1441" s="1">
        <v>44856</v>
      </c>
      <c r="O1441">
        <v>0</v>
      </c>
      <c r="P1441">
        <v>1440</v>
      </c>
      <c r="Q1441" s="2">
        <v>-0.12</v>
      </c>
      <c r="R1441" t="s">
        <v>27</v>
      </c>
      <c r="S1441">
        <v>2022</v>
      </c>
      <c r="T1441" t="s">
        <v>33</v>
      </c>
    </row>
    <row r="1442" spans="1:20" x14ac:dyDescent="0.3">
      <c r="A1442">
        <v>2447</v>
      </c>
      <c r="B1442">
        <v>203</v>
      </c>
      <c r="C1442" t="s">
        <v>45</v>
      </c>
      <c r="D1442" t="s">
        <v>34</v>
      </c>
      <c r="E1442" t="s">
        <v>26</v>
      </c>
      <c r="F1442" s="1">
        <v>44761</v>
      </c>
      <c r="G1442" s="1">
        <v>45064</v>
      </c>
      <c r="H1442">
        <v>938</v>
      </c>
      <c r="I1442">
        <v>4582</v>
      </c>
      <c r="J1442">
        <v>577.01</v>
      </c>
      <c r="K1442" t="s">
        <v>35</v>
      </c>
      <c r="L1442">
        <v>9</v>
      </c>
      <c r="M1442" t="str">
        <f t="shared" si="22"/>
        <v>6-12 Months</v>
      </c>
      <c r="N1442" s="1">
        <v>45064</v>
      </c>
      <c r="O1442">
        <v>0</v>
      </c>
      <c r="P1442">
        <v>1441</v>
      </c>
      <c r="Q1442" s="2">
        <v>0.62</v>
      </c>
      <c r="R1442" t="s">
        <v>27</v>
      </c>
      <c r="S1442">
        <v>2023</v>
      </c>
      <c r="T1442" t="s">
        <v>28</v>
      </c>
    </row>
    <row r="1443" spans="1:20" hidden="1" x14ac:dyDescent="0.3">
      <c r="A1443">
        <v>2448</v>
      </c>
      <c r="B1443">
        <v>233</v>
      </c>
      <c r="C1443" t="s">
        <v>39</v>
      </c>
      <c r="D1443" t="s">
        <v>19</v>
      </c>
      <c r="E1443" t="s">
        <v>26</v>
      </c>
      <c r="F1443" s="1">
        <v>44726</v>
      </c>
      <c r="G1443" s="1">
        <v>45144</v>
      </c>
      <c r="H1443">
        <v>9786</v>
      </c>
      <c r="I1443">
        <v>4818</v>
      </c>
      <c r="J1443">
        <v>4968</v>
      </c>
      <c r="K1443" t="s">
        <v>21</v>
      </c>
      <c r="L1443">
        <v>13</v>
      </c>
      <c r="M1443" t="str">
        <f t="shared" si="22"/>
        <v>6-12 Months</v>
      </c>
      <c r="N1443" s="1">
        <v>45144</v>
      </c>
      <c r="O1443">
        <v>0</v>
      </c>
      <c r="P1443">
        <v>1442</v>
      </c>
      <c r="Q1443" s="2">
        <v>0.51</v>
      </c>
      <c r="R1443" t="s">
        <v>27</v>
      </c>
      <c r="S1443">
        <v>2023</v>
      </c>
      <c r="T1443" t="s">
        <v>36</v>
      </c>
    </row>
    <row r="1444" spans="1:20" hidden="1" x14ac:dyDescent="0.3">
      <c r="A1444">
        <v>2450</v>
      </c>
      <c r="B1444">
        <v>148</v>
      </c>
      <c r="C1444" t="s">
        <v>24</v>
      </c>
      <c r="D1444" t="s">
        <v>25</v>
      </c>
      <c r="E1444" t="s">
        <v>20</v>
      </c>
      <c r="F1444" s="1">
        <v>44599</v>
      </c>
      <c r="G1444" s="1">
        <v>45135</v>
      </c>
      <c r="H1444">
        <v>7940</v>
      </c>
      <c r="I1444">
        <v>883</v>
      </c>
      <c r="J1444">
        <v>7057</v>
      </c>
      <c r="K1444" t="s">
        <v>54</v>
      </c>
      <c r="L1444">
        <v>17</v>
      </c>
      <c r="M1444" t="str">
        <f t="shared" si="22"/>
        <v>6-12 Months</v>
      </c>
      <c r="N1444" s="1">
        <v>45135</v>
      </c>
      <c r="O1444">
        <v>0</v>
      </c>
      <c r="P1444">
        <v>1443</v>
      </c>
      <c r="Q1444" s="2">
        <v>0.89</v>
      </c>
      <c r="R1444" t="s">
        <v>27</v>
      </c>
      <c r="S1444">
        <v>2023</v>
      </c>
      <c r="T1444" t="s">
        <v>44</v>
      </c>
    </row>
    <row r="1445" spans="1:20" hidden="1" x14ac:dyDescent="0.3">
      <c r="A1445">
        <v>2451</v>
      </c>
      <c r="B1445">
        <v>141</v>
      </c>
      <c r="C1445" t="s">
        <v>24</v>
      </c>
      <c r="D1445" t="s">
        <v>34</v>
      </c>
      <c r="E1445" t="s">
        <v>26</v>
      </c>
      <c r="F1445" s="1">
        <v>44889</v>
      </c>
      <c r="G1445" s="1">
        <v>45128</v>
      </c>
      <c r="H1445">
        <v>4967.93</v>
      </c>
      <c r="I1445">
        <v>4012.75</v>
      </c>
      <c r="J1445">
        <v>-1705</v>
      </c>
      <c r="K1445" t="s">
        <v>54</v>
      </c>
      <c r="L1445">
        <v>7</v>
      </c>
      <c r="M1445" t="str">
        <f t="shared" si="22"/>
        <v>6-12 Months</v>
      </c>
      <c r="N1445" s="1">
        <v>45128</v>
      </c>
      <c r="O1445">
        <v>0</v>
      </c>
      <c r="P1445">
        <v>1444</v>
      </c>
      <c r="Q1445" s="2">
        <v>-0.34</v>
      </c>
      <c r="R1445" t="s">
        <v>27</v>
      </c>
      <c r="S1445">
        <v>2023</v>
      </c>
      <c r="T1445" t="s">
        <v>44</v>
      </c>
    </row>
    <row r="1446" spans="1:20" x14ac:dyDescent="0.3">
      <c r="A1446">
        <v>2452</v>
      </c>
      <c r="B1446">
        <v>139</v>
      </c>
      <c r="C1446" t="s">
        <v>45</v>
      </c>
      <c r="D1446" t="s">
        <v>29</v>
      </c>
      <c r="E1446" t="s">
        <v>20</v>
      </c>
      <c r="F1446" s="1">
        <v>44904</v>
      </c>
      <c r="G1446" s="1">
        <v>45390</v>
      </c>
      <c r="H1446">
        <v>34</v>
      </c>
      <c r="I1446">
        <v>6016</v>
      </c>
      <c r="J1446">
        <v>-5982</v>
      </c>
      <c r="K1446" t="s">
        <v>35</v>
      </c>
      <c r="L1446">
        <v>15</v>
      </c>
      <c r="M1446" t="str">
        <f t="shared" si="22"/>
        <v>6-12 Months</v>
      </c>
      <c r="N1446" s="1">
        <v>45390</v>
      </c>
      <c r="O1446">
        <v>1</v>
      </c>
      <c r="P1446">
        <v>1445</v>
      </c>
      <c r="Q1446" s="2">
        <v>-175.94</v>
      </c>
      <c r="R1446" t="s">
        <v>22</v>
      </c>
      <c r="S1446">
        <v>2024</v>
      </c>
      <c r="T1446" t="s">
        <v>32</v>
      </c>
    </row>
    <row r="1447" spans="1:20" x14ac:dyDescent="0.3">
      <c r="A1447">
        <v>2455</v>
      </c>
      <c r="B1447">
        <v>256</v>
      </c>
      <c r="C1447" t="s">
        <v>53</v>
      </c>
      <c r="D1447" t="s">
        <v>34</v>
      </c>
      <c r="E1447" t="s">
        <v>37</v>
      </c>
      <c r="F1447" s="1">
        <v>44733</v>
      </c>
      <c r="G1447" s="1">
        <v>44845</v>
      </c>
      <c r="H1447">
        <v>8163</v>
      </c>
      <c r="I1447">
        <v>146</v>
      </c>
      <c r="J1447">
        <v>8017</v>
      </c>
      <c r="K1447" t="s">
        <v>35</v>
      </c>
      <c r="L1447">
        <v>3</v>
      </c>
      <c r="M1447" t="str">
        <f t="shared" si="22"/>
        <v>0-6 Months</v>
      </c>
      <c r="N1447" s="1">
        <v>44845</v>
      </c>
      <c r="O1447">
        <v>1</v>
      </c>
      <c r="P1447">
        <v>1446</v>
      </c>
      <c r="Q1447" s="2">
        <v>0.98</v>
      </c>
      <c r="R1447" t="s">
        <v>27</v>
      </c>
      <c r="S1447">
        <v>2022</v>
      </c>
      <c r="T1447" t="s">
        <v>33</v>
      </c>
    </row>
    <row r="1448" spans="1:20" hidden="1" x14ac:dyDescent="0.3">
      <c r="A1448">
        <v>2456</v>
      </c>
      <c r="B1448">
        <v>112</v>
      </c>
      <c r="C1448" t="s">
        <v>40</v>
      </c>
      <c r="D1448" t="s">
        <v>19</v>
      </c>
      <c r="E1448" t="s">
        <v>20</v>
      </c>
      <c r="F1448" s="1">
        <v>44634</v>
      </c>
      <c r="G1448" s="1">
        <v>44950</v>
      </c>
      <c r="H1448">
        <v>8870</v>
      </c>
      <c r="I1448">
        <v>2676</v>
      </c>
      <c r="J1448">
        <v>6194</v>
      </c>
      <c r="K1448" t="s">
        <v>54</v>
      </c>
      <c r="L1448">
        <v>10</v>
      </c>
      <c r="M1448" t="str">
        <f t="shared" si="22"/>
        <v>6-12 Months</v>
      </c>
      <c r="N1448" s="1">
        <v>44950</v>
      </c>
      <c r="O1448">
        <v>1</v>
      </c>
      <c r="P1448">
        <v>1447</v>
      </c>
      <c r="Q1448" s="2">
        <v>0.7</v>
      </c>
      <c r="R1448" t="s">
        <v>27</v>
      </c>
      <c r="S1448">
        <v>2023</v>
      </c>
      <c r="T1448" t="s">
        <v>23</v>
      </c>
    </row>
    <row r="1449" spans="1:20" x14ac:dyDescent="0.3">
      <c r="A1449">
        <v>2457</v>
      </c>
      <c r="B1449">
        <v>113</v>
      </c>
      <c r="C1449" t="s">
        <v>53</v>
      </c>
      <c r="D1449" t="s">
        <v>19</v>
      </c>
      <c r="E1449" t="s">
        <v>37</v>
      </c>
      <c r="F1449" s="1">
        <v>44886</v>
      </c>
      <c r="G1449" s="1">
        <v>45376</v>
      </c>
      <c r="H1449">
        <v>756</v>
      </c>
      <c r="I1449">
        <v>1496</v>
      </c>
      <c r="J1449">
        <v>-740</v>
      </c>
      <c r="K1449" t="s">
        <v>35</v>
      </c>
      <c r="L1449">
        <v>16</v>
      </c>
      <c r="M1449" t="str">
        <f t="shared" si="22"/>
        <v>6-12 Months</v>
      </c>
      <c r="N1449" s="1">
        <v>45376</v>
      </c>
      <c r="O1449">
        <v>1</v>
      </c>
      <c r="P1449">
        <v>1448</v>
      </c>
      <c r="Q1449" s="2">
        <v>-0.98</v>
      </c>
      <c r="R1449" t="s">
        <v>27</v>
      </c>
      <c r="S1449">
        <v>2024</v>
      </c>
      <c r="T1449" t="s">
        <v>38</v>
      </c>
    </row>
    <row r="1450" spans="1:20" hidden="1" x14ac:dyDescent="0.3">
      <c r="A1450">
        <v>2459</v>
      </c>
      <c r="B1450">
        <v>109</v>
      </c>
      <c r="C1450" t="s">
        <v>45</v>
      </c>
      <c r="D1450" t="s">
        <v>34</v>
      </c>
      <c r="E1450" t="s">
        <v>20</v>
      </c>
      <c r="F1450" s="1">
        <v>44904</v>
      </c>
      <c r="G1450" s="1">
        <v>45154</v>
      </c>
      <c r="H1450">
        <v>174</v>
      </c>
      <c r="I1450">
        <v>4212</v>
      </c>
      <c r="J1450">
        <v>577.01</v>
      </c>
      <c r="K1450" t="s">
        <v>54</v>
      </c>
      <c r="L1450">
        <v>8</v>
      </c>
      <c r="M1450" t="str">
        <f t="shared" si="22"/>
        <v>6-12 Months</v>
      </c>
      <c r="N1450" s="1">
        <v>45154</v>
      </c>
      <c r="O1450">
        <v>1</v>
      </c>
      <c r="P1450">
        <v>1449</v>
      </c>
      <c r="Q1450" s="2">
        <v>3.32</v>
      </c>
      <c r="R1450" t="s">
        <v>22</v>
      </c>
      <c r="S1450">
        <v>2023</v>
      </c>
      <c r="T1450" t="s">
        <v>36</v>
      </c>
    </row>
    <row r="1451" spans="1:20" hidden="1" x14ac:dyDescent="0.3">
      <c r="A1451">
        <v>2463</v>
      </c>
      <c r="B1451">
        <v>264</v>
      </c>
      <c r="C1451" t="s">
        <v>40</v>
      </c>
      <c r="D1451" t="s">
        <v>34</v>
      </c>
      <c r="E1451" t="s">
        <v>37</v>
      </c>
      <c r="F1451" s="1">
        <v>44770</v>
      </c>
      <c r="G1451" s="1">
        <v>44826</v>
      </c>
      <c r="H1451">
        <v>3435</v>
      </c>
      <c r="I1451">
        <v>3607</v>
      </c>
      <c r="J1451">
        <v>-172</v>
      </c>
      <c r="K1451" t="s">
        <v>21</v>
      </c>
      <c r="L1451">
        <v>1</v>
      </c>
      <c r="M1451" t="str">
        <f t="shared" si="22"/>
        <v>0-6 Months</v>
      </c>
      <c r="N1451" s="1">
        <v>44826</v>
      </c>
      <c r="O1451">
        <v>0</v>
      </c>
      <c r="P1451">
        <v>1450</v>
      </c>
      <c r="Q1451" s="2">
        <v>-0.05</v>
      </c>
      <c r="R1451" t="s">
        <v>27</v>
      </c>
      <c r="S1451">
        <v>2022</v>
      </c>
      <c r="T1451" t="s">
        <v>30</v>
      </c>
    </row>
    <row r="1452" spans="1:20" hidden="1" x14ac:dyDescent="0.3">
      <c r="A1452">
        <v>2464</v>
      </c>
      <c r="B1452">
        <v>371</v>
      </c>
      <c r="C1452" t="s">
        <v>45</v>
      </c>
      <c r="D1452" t="s">
        <v>34</v>
      </c>
      <c r="E1452" t="s">
        <v>20</v>
      </c>
      <c r="F1452" s="1">
        <v>44902</v>
      </c>
      <c r="G1452" s="1">
        <v>45300</v>
      </c>
      <c r="H1452">
        <v>9981</v>
      </c>
      <c r="I1452">
        <v>6144</v>
      </c>
      <c r="J1452">
        <v>3837</v>
      </c>
      <c r="K1452" t="s">
        <v>54</v>
      </c>
      <c r="L1452">
        <v>13</v>
      </c>
      <c r="M1452" t="str">
        <f t="shared" si="22"/>
        <v>6-12 Months</v>
      </c>
      <c r="N1452" s="1">
        <v>45300</v>
      </c>
      <c r="O1452">
        <v>0</v>
      </c>
      <c r="P1452">
        <v>1451</v>
      </c>
      <c r="Q1452" s="2">
        <v>0.38</v>
      </c>
      <c r="R1452" t="s">
        <v>27</v>
      </c>
      <c r="S1452">
        <v>2024</v>
      </c>
      <c r="T1452" t="s">
        <v>23</v>
      </c>
    </row>
    <row r="1453" spans="1:20" hidden="1" x14ac:dyDescent="0.3">
      <c r="A1453">
        <v>2465</v>
      </c>
      <c r="B1453">
        <v>259</v>
      </c>
      <c r="C1453" t="s">
        <v>24</v>
      </c>
      <c r="D1453" t="s">
        <v>25</v>
      </c>
      <c r="E1453" t="s">
        <v>37</v>
      </c>
      <c r="F1453" s="1">
        <v>44889</v>
      </c>
      <c r="G1453" s="1">
        <v>45307</v>
      </c>
      <c r="H1453">
        <v>9142</v>
      </c>
      <c r="I1453">
        <v>4012.75</v>
      </c>
      <c r="J1453">
        <v>577.01</v>
      </c>
      <c r="K1453" t="s">
        <v>54</v>
      </c>
      <c r="L1453">
        <v>13</v>
      </c>
      <c r="M1453" t="str">
        <f t="shared" si="22"/>
        <v>6-12 Months</v>
      </c>
      <c r="N1453" s="1">
        <v>45307</v>
      </c>
      <c r="O1453">
        <v>1</v>
      </c>
      <c r="P1453">
        <v>1452</v>
      </c>
      <c r="Q1453" s="2">
        <v>0.06</v>
      </c>
      <c r="R1453" t="s">
        <v>27</v>
      </c>
      <c r="S1453">
        <v>2024</v>
      </c>
      <c r="T1453" t="s">
        <v>23</v>
      </c>
    </row>
    <row r="1454" spans="1:20" hidden="1" x14ac:dyDescent="0.3">
      <c r="A1454">
        <v>2466</v>
      </c>
      <c r="B1454">
        <v>115</v>
      </c>
      <c r="C1454" t="s">
        <v>40</v>
      </c>
      <c r="D1454" t="s">
        <v>19</v>
      </c>
      <c r="E1454" t="s">
        <v>26</v>
      </c>
      <c r="F1454" s="1">
        <v>44749</v>
      </c>
      <c r="G1454" s="1">
        <v>45332</v>
      </c>
      <c r="H1454">
        <v>306</v>
      </c>
      <c r="I1454">
        <v>4012.75</v>
      </c>
      <c r="J1454">
        <v>949</v>
      </c>
      <c r="K1454" t="s">
        <v>54</v>
      </c>
      <c r="L1454">
        <v>19</v>
      </c>
      <c r="M1454" t="str">
        <f t="shared" si="22"/>
        <v>6-12 Months</v>
      </c>
      <c r="N1454" s="1">
        <v>45332</v>
      </c>
      <c r="O1454">
        <v>0</v>
      </c>
      <c r="P1454">
        <v>1453</v>
      </c>
      <c r="Q1454" s="2">
        <v>3.1</v>
      </c>
      <c r="R1454" t="s">
        <v>22</v>
      </c>
      <c r="S1454">
        <v>2024</v>
      </c>
      <c r="T1454" t="s">
        <v>43</v>
      </c>
    </row>
    <row r="1455" spans="1:20" hidden="1" x14ac:dyDescent="0.3">
      <c r="A1455">
        <v>2467</v>
      </c>
      <c r="B1455">
        <v>171</v>
      </c>
      <c r="C1455" t="s">
        <v>24</v>
      </c>
      <c r="D1455" t="s">
        <v>25</v>
      </c>
      <c r="E1455" t="s">
        <v>26</v>
      </c>
      <c r="F1455" s="1">
        <v>44672</v>
      </c>
      <c r="G1455" s="1">
        <v>44984</v>
      </c>
      <c r="H1455">
        <v>4337</v>
      </c>
      <c r="I1455">
        <v>548</v>
      </c>
      <c r="J1455">
        <v>3789</v>
      </c>
      <c r="K1455" t="s">
        <v>54</v>
      </c>
      <c r="L1455">
        <v>10</v>
      </c>
      <c r="M1455" t="str">
        <f t="shared" si="22"/>
        <v>6-12 Months</v>
      </c>
      <c r="N1455" s="1">
        <v>44984</v>
      </c>
      <c r="O1455">
        <v>0</v>
      </c>
      <c r="P1455">
        <v>1454</v>
      </c>
      <c r="Q1455" s="2">
        <v>0.87</v>
      </c>
      <c r="R1455" t="s">
        <v>27</v>
      </c>
      <c r="S1455">
        <v>2023</v>
      </c>
      <c r="T1455" t="s">
        <v>43</v>
      </c>
    </row>
    <row r="1456" spans="1:20" hidden="1" x14ac:dyDescent="0.3">
      <c r="A1456">
        <v>2471</v>
      </c>
      <c r="B1456">
        <v>300</v>
      </c>
      <c r="C1456" t="s">
        <v>53</v>
      </c>
      <c r="D1456" t="s">
        <v>29</v>
      </c>
      <c r="E1456" t="s">
        <v>20</v>
      </c>
      <c r="F1456" s="1">
        <v>44778</v>
      </c>
      <c r="G1456" s="1">
        <v>45235</v>
      </c>
      <c r="H1456">
        <v>1505</v>
      </c>
      <c r="I1456">
        <v>3727</v>
      </c>
      <c r="J1456">
        <v>577.01</v>
      </c>
      <c r="K1456" t="s">
        <v>21</v>
      </c>
      <c r="L1456">
        <v>15</v>
      </c>
      <c r="M1456" t="str">
        <f t="shared" si="22"/>
        <v>6-12 Months</v>
      </c>
      <c r="N1456" s="1">
        <v>45235</v>
      </c>
      <c r="O1456">
        <v>0</v>
      </c>
      <c r="P1456">
        <v>1455</v>
      </c>
      <c r="Q1456" s="2">
        <v>0.38</v>
      </c>
      <c r="R1456" t="s">
        <v>27</v>
      </c>
      <c r="S1456">
        <v>2023</v>
      </c>
      <c r="T1456" t="s">
        <v>42</v>
      </c>
    </row>
    <row r="1457" spans="1:20" hidden="1" x14ac:dyDescent="0.3">
      <c r="A1457">
        <v>2472</v>
      </c>
      <c r="B1457">
        <v>228</v>
      </c>
      <c r="C1457" t="s">
        <v>45</v>
      </c>
      <c r="D1457" t="s">
        <v>19</v>
      </c>
      <c r="E1457" t="s">
        <v>20</v>
      </c>
      <c r="F1457" s="1">
        <v>44885</v>
      </c>
      <c r="G1457" s="1">
        <v>45338</v>
      </c>
      <c r="H1457">
        <v>1474</v>
      </c>
      <c r="I1457">
        <v>7949</v>
      </c>
      <c r="J1457">
        <v>-6475</v>
      </c>
      <c r="K1457" t="s">
        <v>54</v>
      </c>
      <c r="L1457">
        <v>14</v>
      </c>
      <c r="M1457" t="str">
        <f t="shared" si="22"/>
        <v>6-12 Months</v>
      </c>
      <c r="N1457" s="1">
        <v>45338</v>
      </c>
      <c r="O1457">
        <v>0</v>
      </c>
      <c r="P1457">
        <v>1456</v>
      </c>
      <c r="Q1457" s="2">
        <v>-4.3899999999999997</v>
      </c>
      <c r="R1457" t="s">
        <v>22</v>
      </c>
      <c r="S1457">
        <v>2024</v>
      </c>
      <c r="T1457" t="s">
        <v>43</v>
      </c>
    </row>
    <row r="1458" spans="1:20" hidden="1" x14ac:dyDescent="0.3">
      <c r="A1458">
        <v>2473</v>
      </c>
      <c r="B1458">
        <v>408</v>
      </c>
      <c r="C1458" t="s">
        <v>45</v>
      </c>
      <c r="D1458" t="s">
        <v>25</v>
      </c>
      <c r="E1458" t="s">
        <v>20</v>
      </c>
      <c r="F1458" s="1">
        <v>44567</v>
      </c>
      <c r="G1458" s="1">
        <v>44928</v>
      </c>
      <c r="H1458">
        <v>7008</v>
      </c>
      <c r="I1458">
        <v>4012.75</v>
      </c>
      <c r="J1458">
        <v>7337</v>
      </c>
      <c r="K1458" t="s">
        <v>54</v>
      </c>
      <c r="L1458">
        <v>11</v>
      </c>
      <c r="M1458" t="str">
        <f t="shared" si="22"/>
        <v>6-12 Months</v>
      </c>
      <c r="N1458" s="1">
        <v>44928</v>
      </c>
      <c r="O1458">
        <v>0</v>
      </c>
      <c r="P1458">
        <v>1457</v>
      </c>
      <c r="Q1458" s="2">
        <v>1.05</v>
      </c>
      <c r="R1458" t="s">
        <v>22</v>
      </c>
      <c r="S1458">
        <v>2023</v>
      </c>
      <c r="T1458" t="s">
        <v>23</v>
      </c>
    </row>
    <row r="1459" spans="1:20" hidden="1" x14ac:dyDescent="0.3">
      <c r="A1459">
        <v>2475</v>
      </c>
      <c r="B1459">
        <v>254</v>
      </c>
      <c r="C1459" t="s">
        <v>53</v>
      </c>
      <c r="D1459" t="s">
        <v>19</v>
      </c>
      <c r="E1459" t="s">
        <v>26</v>
      </c>
      <c r="F1459" s="1">
        <v>44915</v>
      </c>
      <c r="G1459" s="1">
        <v>45080</v>
      </c>
      <c r="H1459">
        <v>2386</v>
      </c>
      <c r="I1459">
        <v>3179</v>
      </c>
      <c r="J1459">
        <v>-793</v>
      </c>
      <c r="K1459" t="s">
        <v>54</v>
      </c>
      <c r="L1459">
        <v>5</v>
      </c>
      <c r="M1459" t="str">
        <f t="shared" si="22"/>
        <v>0-6 Months</v>
      </c>
      <c r="N1459" s="1">
        <v>45080</v>
      </c>
      <c r="O1459">
        <v>1</v>
      </c>
      <c r="P1459">
        <v>1458</v>
      </c>
      <c r="Q1459" s="2">
        <v>-0.33</v>
      </c>
      <c r="R1459" t="s">
        <v>27</v>
      </c>
      <c r="S1459">
        <v>2023</v>
      </c>
      <c r="T1459" t="s">
        <v>41</v>
      </c>
    </row>
    <row r="1460" spans="1:20" hidden="1" x14ac:dyDescent="0.3">
      <c r="A1460">
        <v>2477</v>
      </c>
      <c r="B1460">
        <v>422</v>
      </c>
      <c r="C1460" t="s">
        <v>40</v>
      </c>
      <c r="D1460" t="s">
        <v>34</v>
      </c>
      <c r="E1460" t="s">
        <v>37</v>
      </c>
      <c r="F1460" s="1">
        <v>44723</v>
      </c>
      <c r="G1460" s="1">
        <v>44999</v>
      </c>
      <c r="H1460">
        <v>3703</v>
      </c>
      <c r="I1460">
        <v>4102</v>
      </c>
      <c r="J1460">
        <v>-399</v>
      </c>
      <c r="K1460" t="s">
        <v>54</v>
      </c>
      <c r="L1460">
        <v>9</v>
      </c>
      <c r="M1460" t="str">
        <f t="shared" si="22"/>
        <v>6-12 Months</v>
      </c>
      <c r="N1460" s="1">
        <v>44999</v>
      </c>
      <c r="O1460">
        <v>1</v>
      </c>
      <c r="P1460">
        <v>1459</v>
      </c>
      <c r="Q1460" s="2">
        <v>-0.11</v>
      </c>
      <c r="R1460" t="s">
        <v>27</v>
      </c>
      <c r="S1460">
        <v>2023</v>
      </c>
      <c r="T1460" t="s">
        <v>38</v>
      </c>
    </row>
    <row r="1461" spans="1:20" hidden="1" x14ac:dyDescent="0.3">
      <c r="A1461">
        <v>2478</v>
      </c>
      <c r="B1461">
        <v>376</v>
      </c>
      <c r="C1461" t="s">
        <v>39</v>
      </c>
      <c r="D1461" t="s">
        <v>29</v>
      </c>
      <c r="E1461" t="s">
        <v>26</v>
      </c>
      <c r="F1461" s="1">
        <v>44854</v>
      </c>
      <c r="G1461" s="1">
        <v>45376</v>
      </c>
      <c r="H1461">
        <v>5906</v>
      </c>
      <c r="I1461">
        <v>877</v>
      </c>
      <c r="J1461">
        <v>5029</v>
      </c>
      <c r="K1461" t="s">
        <v>54</v>
      </c>
      <c r="L1461">
        <v>17</v>
      </c>
      <c r="M1461" t="str">
        <f t="shared" si="22"/>
        <v>6-12 Months</v>
      </c>
      <c r="N1461" s="1">
        <v>45376</v>
      </c>
      <c r="O1461">
        <v>0</v>
      </c>
      <c r="P1461">
        <v>1460</v>
      </c>
      <c r="Q1461" s="2">
        <v>0.85</v>
      </c>
      <c r="R1461" t="s">
        <v>27</v>
      </c>
      <c r="S1461">
        <v>2024</v>
      </c>
      <c r="T1461" t="s">
        <v>38</v>
      </c>
    </row>
    <row r="1462" spans="1:20" hidden="1" x14ac:dyDescent="0.3">
      <c r="A1462">
        <v>2483</v>
      </c>
      <c r="B1462">
        <v>491</v>
      </c>
      <c r="C1462" t="s">
        <v>39</v>
      </c>
      <c r="D1462" t="s">
        <v>19</v>
      </c>
      <c r="E1462" t="s">
        <v>37</v>
      </c>
      <c r="F1462" s="1">
        <v>44594</v>
      </c>
      <c r="G1462" s="1">
        <v>44977</v>
      </c>
      <c r="H1462">
        <v>3957</v>
      </c>
      <c r="I1462">
        <v>4012.75</v>
      </c>
      <c r="J1462">
        <v>4401</v>
      </c>
      <c r="K1462" t="s">
        <v>54</v>
      </c>
      <c r="L1462">
        <v>12</v>
      </c>
      <c r="M1462" t="str">
        <f t="shared" si="22"/>
        <v>6-12 Months</v>
      </c>
      <c r="N1462" s="1">
        <v>44977</v>
      </c>
      <c r="O1462">
        <v>1</v>
      </c>
      <c r="P1462">
        <v>1461</v>
      </c>
      <c r="Q1462" s="2">
        <v>1.1100000000000001</v>
      </c>
      <c r="R1462" t="s">
        <v>22</v>
      </c>
      <c r="S1462">
        <v>2023</v>
      </c>
      <c r="T1462" t="s">
        <v>43</v>
      </c>
    </row>
    <row r="1463" spans="1:20" x14ac:dyDescent="0.3">
      <c r="A1463">
        <v>2486</v>
      </c>
      <c r="B1463">
        <v>257</v>
      </c>
      <c r="C1463" t="s">
        <v>24</v>
      </c>
      <c r="D1463" t="s">
        <v>19</v>
      </c>
      <c r="E1463" t="s">
        <v>37</v>
      </c>
      <c r="F1463" s="1">
        <v>44889</v>
      </c>
      <c r="G1463" s="1">
        <v>45003</v>
      </c>
      <c r="H1463">
        <v>9560</v>
      </c>
      <c r="I1463">
        <v>4475</v>
      </c>
      <c r="J1463">
        <v>577.01</v>
      </c>
      <c r="K1463" t="s">
        <v>35</v>
      </c>
      <c r="L1463">
        <v>3</v>
      </c>
      <c r="M1463" t="str">
        <f t="shared" si="22"/>
        <v>0-6 Months</v>
      </c>
      <c r="N1463" s="1">
        <v>45003</v>
      </c>
      <c r="O1463">
        <v>0</v>
      </c>
      <c r="P1463">
        <v>1462</v>
      </c>
      <c r="Q1463" s="2">
        <v>0.06</v>
      </c>
      <c r="R1463" t="s">
        <v>27</v>
      </c>
      <c r="S1463">
        <v>2023</v>
      </c>
      <c r="T1463" t="s">
        <v>38</v>
      </c>
    </row>
    <row r="1464" spans="1:20" hidden="1" x14ac:dyDescent="0.3">
      <c r="A1464">
        <v>2487</v>
      </c>
      <c r="B1464">
        <v>117</v>
      </c>
      <c r="C1464" t="s">
        <v>39</v>
      </c>
      <c r="D1464" t="s">
        <v>34</v>
      </c>
      <c r="E1464" t="s">
        <v>20</v>
      </c>
      <c r="F1464" s="1">
        <v>44879</v>
      </c>
      <c r="G1464" s="1">
        <v>45080</v>
      </c>
      <c r="H1464">
        <v>4967.93</v>
      </c>
      <c r="I1464">
        <v>4564</v>
      </c>
      <c r="J1464">
        <v>-5095</v>
      </c>
      <c r="K1464" t="s">
        <v>54</v>
      </c>
      <c r="L1464">
        <v>6</v>
      </c>
      <c r="M1464" t="str">
        <f t="shared" si="22"/>
        <v>12+ Months</v>
      </c>
      <c r="N1464" s="1">
        <v>45080</v>
      </c>
      <c r="O1464">
        <v>0</v>
      </c>
      <c r="P1464">
        <v>1463</v>
      </c>
      <c r="Q1464" s="2">
        <v>-1.03</v>
      </c>
      <c r="R1464" t="s">
        <v>22</v>
      </c>
      <c r="S1464">
        <v>2023</v>
      </c>
      <c r="T1464" t="s">
        <v>41</v>
      </c>
    </row>
    <row r="1465" spans="1:20" x14ac:dyDescent="0.3">
      <c r="A1465">
        <v>2494</v>
      </c>
      <c r="B1465">
        <v>307</v>
      </c>
      <c r="C1465" t="s">
        <v>40</v>
      </c>
      <c r="D1465" t="s">
        <v>19</v>
      </c>
      <c r="E1465" t="s">
        <v>20</v>
      </c>
      <c r="F1465" s="1">
        <v>44730</v>
      </c>
      <c r="G1465" s="1">
        <v>44795</v>
      </c>
      <c r="H1465">
        <v>5977</v>
      </c>
      <c r="I1465">
        <v>4697</v>
      </c>
      <c r="J1465">
        <v>1280</v>
      </c>
      <c r="K1465" t="s">
        <v>35</v>
      </c>
      <c r="L1465">
        <v>2</v>
      </c>
      <c r="M1465" t="str">
        <f t="shared" si="22"/>
        <v>0-6 Months</v>
      </c>
      <c r="N1465" s="1">
        <v>44795</v>
      </c>
      <c r="O1465">
        <v>1</v>
      </c>
      <c r="P1465">
        <v>1464</v>
      </c>
      <c r="Q1465" s="2">
        <v>0.21</v>
      </c>
      <c r="R1465" t="s">
        <v>27</v>
      </c>
      <c r="S1465">
        <v>2022</v>
      </c>
      <c r="T1465" t="s">
        <v>36</v>
      </c>
    </row>
    <row r="1466" spans="1:20" hidden="1" x14ac:dyDescent="0.3">
      <c r="A1466">
        <v>2495</v>
      </c>
      <c r="B1466">
        <v>128</v>
      </c>
      <c r="C1466" t="s">
        <v>40</v>
      </c>
      <c r="D1466" t="s">
        <v>34</v>
      </c>
      <c r="E1466" t="s">
        <v>20</v>
      </c>
      <c r="F1466" s="1">
        <v>44641</v>
      </c>
      <c r="G1466" s="1">
        <v>44897</v>
      </c>
      <c r="H1466">
        <v>9257</v>
      </c>
      <c r="I1466">
        <v>3488</v>
      </c>
      <c r="J1466">
        <v>5769</v>
      </c>
      <c r="K1466" t="s">
        <v>21</v>
      </c>
      <c r="L1466">
        <v>8</v>
      </c>
      <c r="M1466" t="str">
        <f t="shared" si="22"/>
        <v>6-12 Months</v>
      </c>
      <c r="N1466" s="1">
        <v>44897</v>
      </c>
      <c r="O1466">
        <v>0</v>
      </c>
      <c r="P1466">
        <v>1465</v>
      </c>
      <c r="Q1466" s="2">
        <v>0.62</v>
      </c>
      <c r="R1466" t="s">
        <v>27</v>
      </c>
      <c r="S1466">
        <v>2022</v>
      </c>
      <c r="T1466" t="s">
        <v>31</v>
      </c>
    </row>
    <row r="1467" spans="1:20" x14ac:dyDescent="0.3">
      <c r="A1467">
        <v>2501</v>
      </c>
      <c r="B1467">
        <v>464</v>
      </c>
      <c r="C1467" t="s">
        <v>40</v>
      </c>
      <c r="D1467" t="s">
        <v>19</v>
      </c>
      <c r="E1467" t="s">
        <v>26</v>
      </c>
      <c r="F1467" s="1">
        <v>44634</v>
      </c>
      <c r="G1467" s="1">
        <v>44690</v>
      </c>
      <c r="H1467">
        <v>4967.93</v>
      </c>
      <c r="I1467">
        <v>4012.75</v>
      </c>
      <c r="J1467">
        <v>6</v>
      </c>
      <c r="K1467" t="s">
        <v>35</v>
      </c>
      <c r="L1467">
        <v>1</v>
      </c>
      <c r="M1467" t="str">
        <f t="shared" si="22"/>
        <v>0-6 Months</v>
      </c>
      <c r="N1467" s="1">
        <v>44690</v>
      </c>
      <c r="O1467">
        <v>1</v>
      </c>
      <c r="P1467">
        <v>1466</v>
      </c>
      <c r="Q1467" s="2">
        <v>0</v>
      </c>
      <c r="R1467" t="s">
        <v>27</v>
      </c>
      <c r="S1467">
        <v>2022</v>
      </c>
      <c r="T1467" t="s">
        <v>28</v>
      </c>
    </row>
    <row r="1468" spans="1:20" hidden="1" x14ac:dyDescent="0.3">
      <c r="A1468">
        <v>2502</v>
      </c>
      <c r="B1468">
        <v>147</v>
      </c>
      <c r="C1468" t="s">
        <v>45</v>
      </c>
      <c r="D1468" t="s">
        <v>19</v>
      </c>
      <c r="E1468" t="s">
        <v>26</v>
      </c>
      <c r="F1468" s="1">
        <v>44767</v>
      </c>
      <c r="G1468" s="1">
        <v>45029</v>
      </c>
      <c r="H1468">
        <v>4667</v>
      </c>
      <c r="I1468">
        <v>7425</v>
      </c>
      <c r="J1468">
        <v>-2758</v>
      </c>
      <c r="K1468" t="s">
        <v>54</v>
      </c>
      <c r="L1468">
        <v>8</v>
      </c>
      <c r="M1468" t="str">
        <f t="shared" si="22"/>
        <v>6-12 Months</v>
      </c>
      <c r="N1468" s="1">
        <v>45029</v>
      </c>
      <c r="O1468">
        <v>0</v>
      </c>
      <c r="P1468">
        <v>1467</v>
      </c>
      <c r="Q1468" s="2">
        <v>-0.59</v>
      </c>
      <c r="R1468" t="s">
        <v>27</v>
      </c>
      <c r="S1468">
        <v>2023</v>
      </c>
      <c r="T1468" t="s">
        <v>32</v>
      </c>
    </row>
    <row r="1469" spans="1:20" hidden="1" x14ac:dyDescent="0.3">
      <c r="A1469">
        <v>2503</v>
      </c>
      <c r="B1469">
        <v>328</v>
      </c>
      <c r="C1469" t="s">
        <v>40</v>
      </c>
      <c r="D1469" t="s">
        <v>19</v>
      </c>
      <c r="E1469" t="s">
        <v>26</v>
      </c>
      <c r="F1469" s="1">
        <v>44821</v>
      </c>
      <c r="G1469" s="1">
        <v>44929</v>
      </c>
      <c r="H1469">
        <v>8093</v>
      </c>
      <c r="I1469">
        <v>945</v>
      </c>
      <c r="J1469">
        <v>7148</v>
      </c>
      <c r="K1469" t="s">
        <v>54</v>
      </c>
      <c r="L1469">
        <v>3</v>
      </c>
      <c r="M1469" t="str">
        <f t="shared" si="22"/>
        <v>0-6 Months</v>
      </c>
      <c r="N1469" s="1">
        <v>44929</v>
      </c>
      <c r="O1469">
        <v>1</v>
      </c>
      <c r="P1469">
        <v>1468</v>
      </c>
      <c r="Q1469" s="2">
        <v>0.88</v>
      </c>
      <c r="R1469" t="s">
        <v>27</v>
      </c>
      <c r="S1469">
        <v>2023</v>
      </c>
      <c r="T1469" t="s">
        <v>23</v>
      </c>
    </row>
    <row r="1470" spans="1:20" hidden="1" x14ac:dyDescent="0.3">
      <c r="A1470">
        <v>2505</v>
      </c>
      <c r="B1470">
        <v>334</v>
      </c>
      <c r="C1470" t="s">
        <v>53</v>
      </c>
      <c r="D1470" t="s">
        <v>25</v>
      </c>
      <c r="E1470" t="s">
        <v>20</v>
      </c>
      <c r="F1470" s="1">
        <v>44916</v>
      </c>
      <c r="G1470" s="1">
        <v>45136</v>
      </c>
      <c r="H1470">
        <v>9698</v>
      </c>
      <c r="I1470">
        <v>5007</v>
      </c>
      <c r="J1470">
        <v>4691</v>
      </c>
      <c r="K1470" t="s">
        <v>21</v>
      </c>
      <c r="L1470">
        <v>7</v>
      </c>
      <c r="M1470" t="str">
        <f t="shared" si="22"/>
        <v>6-12 Months</v>
      </c>
      <c r="N1470" s="1">
        <v>45136</v>
      </c>
      <c r="O1470">
        <v>0</v>
      </c>
      <c r="P1470">
        <v>1469</v>
      </c>
      <c r="Q1470" s="2">
        <v>0.48</v>
      </c>
      <c r="R1470" t="s">
        <v>27</v>
      </c>
      <c r="S1470">
        <v>2023</v>
      </c>
      <c r="T1470" t="s">
        <v>44</v>
      </c>
    </row>
    <row r="1471" spans="1:20" x14ac:dyDescent="0.3">
      <c r="A1471">
        <v>2506</v>
      </c>
      <c r="B1471">
        <v>350</v>
      </c>
      <c r="C1471" t="s">
        <v>45</v>
      </c>
      <c r="D1471" t="s">
        <v>34</v>
      </c>
      <c r="E1471" t="s">
        <v>26</v>
      </c>
      <c r="F1471" s="1">
        <v>44581</v>
      </c>
      <c r="G1471" s="1">
        <v>45004</v>
      </c>
      <c r="H1471">
        <v>2512</v>
      </c>
      <c r="I1471">
        <v>3715</v>
      </c>
      <c r="J1471">
        <v>-1203</v>
      </c>
      <c r="K1471" t="s">
        <v>35</v>
      </c>
      <c r="L1471">
        <v>13</v>
      </c>
      <c r="M1471" t="str">
        <f t="shared" si="22"/>
        <v>6-12 Months</v>
      </c>
      <c r="N1471" s="1">
        <v>45004</v>
      </c>
      <c r="O1471">
        <v>0</v>
      </c>
      <c r="P1471">
        <v>1470</v>
      </c>
      <c r="Q1471" s="2">
        <v>-0.48</v>
      </c>
      <c r="R1471" t="s">
        <v>27</v>
      </c>
      <c r="S1471">
        <v>2023</v>
      </c>
      <c r="T1471" t="s">
        <v>38</v>
      </c>
    </row>
    <row r="1472" spans="1:20" x14ac:dyDescent="0.3">
      <c r="A1472">
        <v>2507</v>
      </c>
      <c r="B1472">
        <v>448</v>
      </c>
      <c r="C1472" t="s">
        <v>39</v>
      </c>
      <c r="D1472" t="s">
        <v>29</v>
      </c>
      <c r="E1472" t="s">
        <v>26</v>
      </c>
      <c r="F1472" s="1">
        <v>44913</v>
      </c>
      <c r="G1472" s="1">
        <v>45431</v>
      </c>
      <c r="H1472">
        <v>7266</v>
      </c>
      <c r="I1472">
        <v>374</v>
      </c>
      <c r="J1472">
        <v>6892</v>
      </c>
      <c r="K1472" t="s">
        <v>35</v>
      </c>
      <c r="L1472">
        <v>17</v>
      </c>
      <c r="M1472" t="str">
        <f t="shared" si="22"/>
        <v>6-12 Months</v>
      </c>
      <c r="N1472" s="1">
        <v>45431</v>
      </c>
      <c r="O1472">
        <v>0</v>
      </c>
      <c r="P1472">
        <v>1471</v>
      </c>
      <c r="Q1472" s="2">
        <v>0.95</v>
      </c>
      <c r="R1472" t="s">
        <v>27</v>
      </c>
      <c r="S1472">
        <v>2024</v>
      </c>
      <c r="T1472" t="s">
        <v>28</v>
      </c>
    </row>
    <row r="1473" spans="1:20" hidden="1" x14ac:dyDescent="0.3">
      <c r="A1473">
        <v>2508</v>
      </c>
      <c r="B1473">
        <v>356</v>
      </c>
      <c r="C1473" t="s">
        <v>45</v>
      </c>
      <c r="D1473" t="s">
        <v>29</v>
      </c>
      <c r="E1473" t="s">
        <v>37</v>
      </c>
      <c r="F1473" s="1">
        <v>44673</v>
      </c>
      <c r="G1473" s="1">
        <v>44703</v>
      </c>
      <c r="H1473">
        <v>9850</v>
      </c>
      <c r="I1473">
        <v>4012.75</v>
      </c>
      <c r="J1473">
        <v>10023</v>
      </c>
      <c r="K1473" t="s">
        <v>54</v>
      </c>
      <c r="L1473">
        <v>1</v>
      </c>
      <c r="M1473" t="str">
        <f t="shared" si="22"/>
        <v>0-6 Months</v>
      </c>
      <c r="N1473" s="1">
        <v>44703</v>
      </c>
      <c r="O1473">
        <v>0</v>
      </c>
      <c r="P1473">
        <v>1472</v>
      </c>
      <c r="Q1473" s="2">
        <v>1.02</v>
      </c>
      <c r="R1473" t="s">
        <v>22</v>
      </c>
      <c r="S1473">
        <v>2022</v>
      </c>
      <c r="T1473" t="s">
        <v>28</v>
      </c>
    </row>
    <row r="1474" spans="1:20" hidden="1" x14ac:dyDescent="0.3">
      <c r="A1474">
        <v>2509</v>
      </c>
      <c r="B1474">
        <v>490</v>
      </c>
      <c r="C1474" t="s">
        <v>24</v>
      </c>
      <c r="D1474" t="s">
        <v>29</v>
      </c>
      <c r="E1474" t="s">
        <v>26</v>
      </c>
      <c r="F1474" s="1">
        <v>44590</v>
      </c>
      <c r="G1474" s="1">
        <v>44670</v>
      </c>
      <c r="H1474">
        <v>7188</v>
      </c>
      <c r="I1474">
        <v>919</v>
      </c>
      <c r="J1474">
        <v>6269</v>
      </c>
      <c r="K1474" t="s">
        <v>54</v>
      </c>
      <c r="L1474">
        <v>2</v>
      </c>
      <c r="M1474" t="str">
        <f t="shared" ref="M1474:M1537" si="23">IF(L1474&lt;6,"0-6 Months",IF(L1474&gt;6,"6-12 Months","12+ Months"))</f>
        <v>0-6 Months</v>
      </c>
      <c r="N1474" s="1">
        <v>44670</v>
      </c>
      <c r="O1474">
        <v>0</v>
      </c>
      <c r="P1474">
        <v>1473</v>
      </c>
      <c r="Q1474" s="2">
        <v>0.87</v>
      </c>
      <c r="R1474" t="s">
        <v>27</v>
      </c>
      <c r="S1474">
        <v>2022</v>
      </c>
      <c r="T1474" t="s">
        <v>32</v>
      </c>
    </row>
    <row r="1475" spans="1:20" x14ac:dyDescent="0.3">
      <c r="A1475">
        <v>2510</v>
      </c>
      <c r="B1475">
        <v>217</v>
      </c>
      <c r="C1475" t="s">
        <v>53</v>
      </c>
      <c r="D1475" t="s">
        <v>25</v>
      </c>
      <c r="E1475" t="s">
        <v>20</v>
      </c>
      <c r="F1475" s="1">
        <v>44678</v>
      </c>
      <c r="G1475" s="1">
        <v>44784</v>
      </c>
      <c r="H1475">
        <v>4967.93</v>
      </c>
      <c r="I1475">
        <v>7979</v>
      </c>
      <c r="J1475">
        <v>-8246</v>
      </c>
      <c r="K1475" t="s">
        <v>35</v>
      </c>
      <c r="L1475">
        <v>3</v>
      </c>
      <c r="M1475" t="str">
        <f t="shared" si="23"/>
        <v>0-6 Months</v>
      </c>
      <c r="N1475" s="1">
        <v>44784</v>
      </c>
      <c r="O1475">
        <v>1</v>
      </c>
      <c r="P1475">
        <v>1474</v>
      </c>
      <c r="Q1475" s="2">
        <v>-1.66</v>
      </c>
      <c r="R1475" t="s">
        <v>22</v>
      </c>
      <c r="S1475">
        <v>2022</v>
      </c>
      <c r="T1475" t="s">
        <v>36</v>
      </c>
    </row>
    <row r="1476" spans="1:20" hidden="1" x14ac:dyDescent="0.3">
      <c r="A1476">
        <v>2512</v>
      </c>
      <c r="B1476">
        <v>323</v>
      </c>
      <c r="C1476" t="s">
        <v>45</v>
      </c>
      <c r="D1476" t="s">
        <v>34</v>
      </c>
      <c r="E1476" t="s">
        <v>20</v>
      </c>
      <c r="F1476" s="1">
        <v>44823</v>
      </c>
      <c r="G1476" s="1">
        <v>45062</v>
      </c>
      <c r="H1476">
        <v>1683</v>
      </c>
      <c r="I1476">
        <v>2068</v>
      </c>
      <c r="J1476">
        <v>-385</v>
      </c>
      <c r="K1476" t="s">
        <v>54</v>
      </c>
      <c r="L1476">
        <v>7</v>
      </c>
      <c r="M1476" t="str">
        <f t="shared" si="23"/>
        <v>6-12 Months</v>
      </c>
      <c r="N1476" s="1">
        <v>45062</v>
      </c>
      <c r="O1476">
        <v>0</v>
      </c>
      <c r="P1476">
        <v>1475</v>
      </c>
      <c r="Q1476" s="2">
        <v>-0.23</v>
      </c>
      <c r="R1476" t="s">
        <v>27</v>
      </c>
      <c r="S1476">
        <v>2023</v>
      </c>
      <c r="T1476" t="s">
        <v>28</v>
      </c>
    </row>
    <row r="1477" spans="1:20" hidden="1" x14ac:dyDescent="0.3">
      <c r="A1477">
        <v>2513</v>
      </c>
      <c r="B1477">
        <v>206</v>
      </c>
      <c r="C1477" t="s">
        <v>53</v>
      </c>
      <c r="D1477" t="s">
        <v>34</v>
      </c>
      <c r="E1477" t="s">
        <v>26</v>
      </c>
      <c r="F1477" s="1">
        <v>44714</v>
      </c>
      <c r="G1477" s="1">
        <v>45089</v>
      </c>
      <c r="H1477">
        <v>6579</v>
      </c>
      <c r="I1477">
        <v>7510</v>
      </c>
      <c r="J1477">
        <v>-931</v>
      </c>
      <c r="K1477" t="s">
        <v>21</v>
      </c>
      <c r="L1477">
        <v>12</v>
      </c>
      <c r="M1477" t="str">
        <f t="shared" si="23"/>
        <v>6-12 Months</v>
      </c>
      <c r="N1477" s="1">
        <v>45089</v>
      </c>
      <c r="O1477">
        <v>1</v>
      </c>
      <c r="P1477">
        <v>1476</v>
      </c>
      <c r="Q1477" s="2">
        <v>-0.14000000000000001</v>
      </c>
      <c r="R1477" t="s">
        <v>27</v>
      </c>
      <c r="S1477">
        <v>2023</v>
      </c>
      <c r="T1477" t="s">
        <v>41</v>
      </c>
    </row>
    <row r="1478" spans="1:20" x14ac:dyDescent="0.3">
      <c r="A1478">
        <v>2514</v>
      </c>
      <c r="B1478">
        <v>258</v>
      </c>
      <c r="C1478" t="s">
        <v>39</v>
      </c>
      <c r="D1478" t="s">
        <v>29</v>
      </c>
      <c r="E1478" t="s">
        <v>26</v>
      </c>
      <c r="F1478" s="1">
        <v>44666</v>
      </c>
      <c r="G1478" s="1">
        <v>45012</v>
      </c>
      <c r="H1478">
        <v>1525</v>
      </c>
      <c r="I1478">
        <v>7123</v>
      </c>
      <c r="J1478">
        <v>-5598</v>
      </c>
      <c r="K1478" t="s">
        <v>35</v>
      </c>
      <c r="L1478">
        <v>11</v>
      </c>
      <c r="M1478" t="str">
        <f t="shared" si="23"/>
        <v>6-12 Months</v>
      </c>
      <c r="N1478" s="1">
        <v>45012</v>
      </c>
      <c r="O1478">
        <v>1</v>
      </c>
      <c r="P1478">
        <v>1477</v>
      </c>
      <c r="Q1478" s="2">
        <v>-3.67</v>
      </c>
      <c r="R1478" t="s">
        <v>22</v>
      </c>
      <c r="S1478">
        <v>2023</v>
      </c>
      <c r="T1478" t="s">
        <v>38</v>
      </c>
    </row>
    <row r="1479" spans="1:20" hidden="1" x14ac:dyDescent="0.3">
      <c r="A1479">
        <v>2515</v>
      </c>
      <c r="B1479">
        <v>315</v>
      </c>
      <c r="C1479" t="s">
        <v>45</v>
      </c>
      <c r="D1479" t="s">
        <v>25</v>
      </c>
      <c r="E1479" t="s">
        <v>37</v>
      </c>
      <c r="F1479" s="1">
        <v>44907</v>
      </c>
      <c r="G1479" s="1">
        <v>45205</v>
      </c>
      <c r="H1479">
        <v>6916</v>
      </c>
      <c r="I1479">
        <v>1765</v>
      </c>
      <c r="J1479">
        <v>5151</v>
      </c>
      <c r="K1479" t="s">
        <v>54</v>
      </c>
      <c r="L1479">
        <v>9</v>
      </c>
      <c r="M1479" t="str">
        <f t="shared" si="23"/>
        <v>6-12 Months</v>
      </c>
      <c r="N1479" s="1">
        <v>45205</v>
      </c>
      <c r="O1479">
        <v>0</v>
      </c>
      <c r="P1479">
        <v>1478</v>
      </c>
      <c r="Q1479" s="2">
        <v>0.74</v>
      </c>
      <c r="R1479" t="s">
        <v>27</v>
      </c>
      <c r="S1479">
        <v>2023</v>
      </c>
      <c r="T1479" t="s">
        <v>33</v>
      </c>
    </row>
    <row r="1480" spans="1:20" hidden="1" x14ac:dyDescent="0.3">
      <c r="A1480">
        <v>2517</v>
      </c>
      <c r="B1480">
        <v>259</v>
      </c>
      <c r="C1480" t="s">
        <v>53</v>
      </c>
      <c r="D1480" t="s">
        <v>25</v>
      </c>
      <c r="E1480" t="s">
        <v>26</v>
      </c>
      <c r="F1480" s="1">
        <v>44564</v>
      </c>
      <c r="G1480" s="1">
        <v>45009</v>
      </c>
      <c r="H1480">
        <v>5477</v>
      </c>
      <c r="I1480">
        <v>5135</v>
      </c>
      <c r="J1480">
        <v>342</v>
      </c>
      <c r="K1480" t="s">
        <v>21</v>
      </c>
      <c r="L1480">
        <v>14</v>
      </c>
      <c r="M1480" t="str">
        <f t="shared" si="23"/>
        <v>6-12 Months</v>
      </c>
      <c r="N1480" s="1">
        <v>45009</v>
      </c>
      <c r="O1480">
        <v>0</v>
      </c>
      <c r="P1480">
        <v>1479</v>
      </c>
      <c r="Q1480" s="2">
        <v>0.06</v>
      </c>
      <c r="R1480" t="s">
        <v>27</v>
      </c>
      <c r="S1480">
        <v>2023</v>
      </c>
      <c r="T1480" t="s">
        <v>38</v>
      </c>
    </row>
    <row r="1481" spans="1:20" hidden="1" x14ac:dyDescent="0.3">
      <c r="A1481">
        <v>2518</v>
      </c>
      <c r="B1481">
        <v>449</v>
      </c>
      <c r="C1481" t="s">
        <v>39</v>
      </c>
      <c r="D1481" t="s">
        <v>29</v>
      </c>
      <c r="E1481" t="s">
        <v>20</v>
      </c>
      <c r="F1481" s="1">
        <v>44926</v>
      </c>
      <c r="G1481" s="1">
        <v>45234</v>
      </c>
      <c r="H1481">
        <v>3943</v>
      </c>
      <c r="I1481">
        <v>2308</v>
      </c>
      <c r="J1481">
        <v>1635</v>
      </c>
      <c r="K1481" t="s">
        <v>21</v>
      </c>
      <c r="L1481">
        <v>10</v>
      </c>
      <c r="M1481" t="str">
        <f t="shared" si="23"/>
        <v>6-12 Months</v>
      </c>
      <c r="N1481" s="1">
        <v>45234</v>
      </c>
      <c r="O1481">
        <v>1</v>
      </c>
      <c r="P1481">
        <v>1480</v>
      </c>
      <c r="Q1481" s="2">
        <v>0.41</v>
      </c>
      <c r="R1481" t="s">
        <v>27</v>
      </c>
      <c r="S1481">
        <v>2023</v>
      </c>
      <c r="T1481" t="s">
        <v>42</v>
      </c>
    </row>
    <row r="1482" spans="1:20" x14ac:dyDescent="0.3">
      <c r="A1482">
        <v>2521</v>
      </c>
      <c r="B1482">
        <v>366</v>
      </c>
      <c r="C1482" t="s">
        <v>45</v>
      </c>
      <c r="D1482" t="s">
        <v>25</v>
      </c>
      <c r="E1482" t="s">
        <v>26</v>
      </c>
      <c r="F1482" s="1">
        <v>44589</v>
      </c>
      <c r="G1482" s="1">
        <v>44644</v>
      </c>
      <c r="H1482">
        <v>4967.93</v>
      </c>
      <c r="I1482">
        <v>2054</v>
      </c>
      <c r="J1482">
        <v>577.01</v>
      </c>
      <c r="K1482" t="s">
        <v>35</v>
      </c>
      <c r="L1482">
        <v>1</v>
      </c>
      <c r="M1482" t="str">
        <f t="shared" si="23"/>
        <v>0-6 Months</v>
      </c>
      <c r="N1482" s="1">
        <v>44644</v>
      </c>
      <c r="O1482">
        <v>0</v>
      </c>
      <c r="P1482">
        <v>1481</v>
      </c>
      <c r="Q1482" s="2">
        <v>0.12</v>
      </c>
      <c r="R1482" t="s">
        <v>27</v>
      </c>
      <c r="S1482">
        <v>2022</v>
      </c>
      <c r="T1482" t="s">
        <v>38</v>
      </c>
    </row>
    <row r="1483" spans="1:20" hidden="1" x14ac:dyDescent="0.3">
      <c r="A1483">
        <v>2522</v>
      </c>
      <c r="B1483">
        <v>399</v>
      </c>
      <c r="C1483" t="s">
        <v>39</v>
      </c>
      <c r="D1483" t="s">
        <v>19</v>
      </c>
      <c r="E1483" t="s">
        <v>26</v>
      </c>
      <c r="F1483" s="1">
        <v>44836</v>
      </c>
      <c r="G1483" s="1">
        <v>45379</v>
      </c>
      <c r="H1483">
        <v>2284</v>
      </c>
      <c r="I1483">
        <v>6627</v>
      </c>
      <c r="J1483">
        <v>-4343</v>
      </c>
      <c r="K1483" t="s">
        <v>54</v>
      </c>
      <c r="L1483">
        <v>17</v>
      </c>
      <c r="M1483" t="str">
        <f t="shared" si="23"/>
        <v>6-12 Months</v>
      </c>
      <c r="N1483" s="1">
        <v>45379</v>
      </c>
      <c r="O1483">
        <v>0</v>
      </c>
      <c r="P1483">
        <v>1482</v>
      </c>
      <c r="Q1483" s="2">
        <v>-1.9</v>
      </c>
      <c r="R1483" t="s">
        <v>22</v>
      </c>
      <c r="S1483">
        <v>2024</v>
      </c>
      <c r="T1483" t="s">
        <v>38</v>
      </c>
    </row>
    <row r="1484" spans="1:20" hidden="1" x14ac:dyDescent="0.3">
      <c r="A1484">
        <v>2524</v>
      </c>
      <c r="B1484">
        <v>403</v>
      </c>
      <c r="C1484" t="s">
        <v>39</v>
      </c>
      <c r="D1484" t="s">
        <v>29</v>
      </c>
      <c r="E1484" t="s">
        <v>37</v>
      </c>
      <c r="F1484" s="1">
        <v>44881</v>
      </c>
      <c r="G1484" s="1">
        <v>45030</v>
      </c>
      <c r="H1484">
        <v>8029</v>
      </c>
      <c r="I1484">
        <v>5405</v>
      </c>
      <c r="J1484">
        <v>2624</v>
      </c>
      <c r="K1484" t="s">
        <v>54</v>
      </c>
      <c r="L1484">
        <v>4</v>
      </c>
      <c r="M1484" t="str">
        <f t="shared" si="23"/>
        <v>0-6 Months</v>
      </c>
      <c r="N1484" s="1">
        <v>45030</v>
      </c>
      <c r="O1484">
        <v>0</v>
      </c>
      <c r="P1484">
        <v>1483</v>
      </c>
      <c r="Q1484" s="2">
        <v>0.33</v>
      </c>
      <c r="R1484" t="s">
        <v>27</v>
      </c>
      <c r="S1484">
        <v>2023</v>
      </c>
      <c r="T1484" t="s">
        <v>32</v>
      </c>
    </row>
    <row r="1485" spans="1:20" hidden="1" x14ac:dyDescent="0.3">
      <c r="A1485">
        <v>2526</v>
      </c>
      <c r="B1485">
        <v>291</v>
      </c>
      <c r="C1485" t="s">
        <v>24</v>
      </c>
      <c r="D1485" t="s">
        <v>25</v>
      </c>
      <c r="E1485" t="s">
        <v>26</v>
      </c>
      <c r="F1485" s="1">
        <v>44823</v>
      </c>
      <c r="G1485" s="1">
        <v>45037</v>
      </c>
      <c r="H1485">
        <v>322</v>
      </c>
      <c r="I1485">
        <v>4012.75</v>
      </c>
      <c r="J1485">
        <v>638</v>
      </c>
      <c r="K1485" t="s">
        <v>54</v>
      </c>
      <c r="L1485">
        <v>7</v>
      </c>
      <c r="M1485" t="str">
        <f t="shared" si="23"/>
        <v>6-12 Months</v>
      </c>
      <c r="N1485" s="1">
        <v>45037</v>
      </c>
      <c r="O1485">
        <v>0</v>
      </c>
      <c r="P1485">
        <v>1484</v>
      </c>
      <c r="Q1485" s="2">
        <v>1.98</v>
      </c>
      <c r="R1485" t="s">
        <v>22</v>
      </c>
      <c r="S1485">
        <v>2023</v>
      </c>
      <c r="T1485" t="s">
        <v>32</v>
      </c>
    </row>
    <row r="1486" spans="1:20" hidden="1" x14ac:dyDescent="0.3">
      <c r="A1486">
        <v>2529</v>
      </c>
      <c r="B1486">
        <v>235</v>
      </c>
      <c r="C1486" t="s">
        <v>53</v>
      </c>
      <c r="D1486" t="s">
        <v>19</v>
      </c>
      <c r="E1486" t="s">
        <v>26</v>
      </c>
      <c r="F1486" s="1">
        <v>44919</v>
      </c>
      <c r="G1486" s="1">
        <v>45026</v>
      </c>
      <c r="H1486">
        <v>1686</v>
      </c>
      <c r="I1486">
        <v>3937</v>
      </c>
      <c r="J1486">
        <v>-2251</v>
      </c>
      <c r="K1486" t="s">
        <v>54</v>
      </c>
      <c r="L1486">
        <v>3</v>
      </c>
      <c r="M1486" t="str">
        <f t="shared" si="23"/>
        <v>0-6 Months</v>
      </c>
      <c r="N1486" s="1">
        <v>45026</v>
      </c>
      <c r="O1486">
        <v>0</v>
      </c>
      <c r="P1486">
        <v>1485</v>
      </c>
      <c r="Q1486" s="2">
        <v>-1.34</v>
      </c>
      <c r="R1486" t="s">
        <v>22</v>
      </c>
      <c r="S1486">
        <v>2023</v>
      </c>
      <c r="T1486" t="s">
        <v>32</v>
      </c>
    </row>
    <row r="1487" spans="1:20" hidden="1" x14ac:dyDescent="0.3">
      <c r="A1487">
        <v>2530</v>
      </c>
      <c r="B1487">
        <v>463</v>
      </c>
      <c r="C1487" t="s">
        <v>45</v>
      </c>
      <c r="D1487" t="s">
        <v>34</v>
      </c>
      <c r="E1487" t="s">
        <v>37</v>
      </c>
      <c r="F1487" s="1">
        <v>44619</v>
      </c>
      <c r="G1487" s="1">
        <v>44882</v>
      </c>
      <c r="H1487">
        <v>5360</v>
      </c>
      <c r="I1487">
        <v>2543</v>
      </c>
      <c r="J1487">
        <v>2817</v>
      </c>
      <c r="K1487" t="s">
        <v>21</v>
      </c>
      <c r="L1487">
        <v>8</v>
      </c>
      <c r="M1487" t="str">
        <f t="shared" si="23"/>
        <v>6-12 Months</v>
      </c>
      <c r="N1487" s="1">
        <v>44882</v>
      </c>
      <c r="O1487">
        <v>0</v>
      </c>
      <c r="P1487">
        <v>1486</v>
      </c>
      <c r="Q1487" s="2">
        <v>0.53</v>
      </c>
      <c r="R1487" t="s">
        <v>27</v>
      </c>
      <c r="S1487">
        <v>2022</v>
      </c>
      <c r="T1487" t="s">
        <v>42</v>
      </c>
    </row>
    <row r="1488" spans="1:20" hidden="1" x14ac:dyDescent="0.3">
      <c r="A1488">
        <v>2531</v>
      </c>
      <c r="B1488">
        <v>140</v>
      </c>
      <c r="C1488" t="s">
        <v>53</v>
      </c>
      <c r="D1488" t="s">
        <v>29</v>
      </c>
      <c r="E1488" t="s">
        <v>20</v>
      </c>
      <c r="F1488" s="1">
        <v>44591</v>
      </c>
      <c r="G1488" s="1">
        <v>44950</v>
      </c>
      <c r="H1488">
        <v>8478</v>
      </c>
      <c r="I1488">
        <v>993</v>
      </c>
      <c r="J1488">
        <v>7485</v>
      </c>
      <c r="K1488" t="s">
        <v>54</v>
      </c>
      <c r="L1488">
        <v>11</v>
      </c>
      <c r="M1488" t="str">
        <f t="shared" si="23"/>
        <v>6-12 Months</v>
      </c>
      <c r="N1488" s="1">
        <v>44950</v>
      </c>
      <c r="O1488">
        <v>0</v>
      </c>
      <c r="P1488">
        <v>1487</v>
      </c>
      <c r="Q1488" s="2">
        <v>0.88</v>
      </c>
      <c r="R1488" t="s">
        <v>27</v>
      </c>
      <c r="S1488">
        <v>2023</v>
      </c>
      <c r="T1488" t="s">
        <v>23</v>
      </c>
    </row>
    <row r="1489" spans="1:20" hidden="1" x14ac:dyDescent="0.3">
      <c r="A1489">
        <v>2532</v>
      </c>
      <c r="B1489">
        <v>123</v>
      </c>
      <c r="C1489" t="s">
        <v>39</v>
      </c>
      <c r="D1489" t="s">
        <v>29</v>
      </c>
      <c r="E1489" t="s">
        <v>37</v>
      </c>
      <c r="F1489" s="1">
        <v>44879</v>
      </c>
      <c r="G1489" s="1">
        <v>45382</v>
      </c>
      <c r="H1489">
        <v>9264</v>
      </c>
      <c r="I1489">
        <v>4661</v>
      </c>
      <c r="J1489">
        <v>4603</v>
      </c>
      <c r="K1489" t="s">
        <v>54</v>
      </c>
      <c r="L1489">
        <v>16</v>
      </c>
      <c r="M1489" t="str">
        <f t="shared" si="23"/>
        <v>6-12 Months</v>
      </c>
      <c r="N1489" s="1">
        <v>45382</v>
      </c>
      <c r="O1489">
        <v>1</v>
      </c>
      <c r="P1489">
        <v>1488</v>
      </c>
      <c r="Q1489" s="2">
        <v>0.5</v>
      </c>
      <c r="R1489" t="s">
        <v>27</v>
      </c>
      <c r="S1489">
        <v>2024</v>
      </c>
      <c r="T1489" t="s">
        <v>38</v>
      </c>
    </row>
    <row r="1490" spans="1:20" x14ac:dyDescent="0.3">
      <c r="A1490">
        <v>2533</v>
      </c>
      <c r="B1490">
        <v>267</v>
      </c>
      <c r="C1490" t="s">
        <v>53</v>
      </c>
      <c r="D1490" t="s">
        <v>19</v>
      </c>
      <c r="E1490" t="s">
        <v>37</v>
      </c>
      <c r="F1490" s="1">
        <v>44889</v>
      </c>
      <c r="G1490" s="1">
        <v>45197</v>
      </c>
      <c r="H1490">
        <v>4720</v>
      </c>
      <c r="I1490">
        <v>5144</v>
      </c>
      <c r="J1490">
        <v>-424</v>
      </c>
      <c r="K1490" t="s">
        <v>35</v>
      </c>
      <c r="L1490">
        <v>10</v>
      </c>
      <c r="M1490" t="str">
        <f t="shared" si="23"/>
        <v>6-12 Months</v>
      </c>
      <c r="N1490" s="1">
        <v>45197</v>
      </c>
      <c r="O1490">
        <v>0</v>
      </c>
      <c r="P1490">
        <v>1489</v>
      </c>
      <c r="Q1490" s="2">
        <v>-0.09</v>
      </c>
      <c r="R1490" t="s">
        <v>27</v>
      </c>
      <c r="S1490">
        <v>2023</v>
      </c>
      <c r="T1490" t="s">
        <v>30</v>
      </c>
    </row>
    <row r="1491" spans="1:20" x14ac:dyDescent="0.3">
      <c r="A1491">
        <v>2535</v>
      </c>
      <c r="B1491">
        <v>178</v>
      </c>
      <c r="C1491" t="s">
        <v>40</v>
      </c>
      <c r="D1491" t="s">
        <v>34</v>
      </c>
      <c r="E1491" t="s">
        <v>26</v>
      </c>
      <c r="F1491" s="1">
        <v>44679</v>
      </c>
      <c r="G1491" s="1">
        <v>44777</v>
      </c>
      <c r="H1491">
        <v>4967.93</v>
      </c>
      <c r="I1491">
        <v>3635</v>
      </c>
      <c r="J1491">
        <v>-4933</v>
      </c>
      <c r="K1491" t="s">
        <v>35</v>
      </c>
      <c r="L1491">
        <v>3</v>
      </c>
      <c r="M1491" t="str">
        <f t="shared" si="23"/>
        <v>0-6 Months</v>
      </c>
      <c r="N1491" s="1">
        <v>44777</v>
      </c>
      <c r="O1491">
        <v>0</v>
      </c>
      <c r="P1491">
        <v>1490</v>
      </c>
      <c r="Q1491" s="2">
        <v>-0.99</v>
      </c>
      <c r="R1491" t="s">
        <v>27</v>
      </c>
      <c r="S1491">
        <v>2022</v>
      </c>
      <c r="T1491" t="s">
        <v>36</v>
      </c>
    </row>
    <row r="1492" spans="1:20" hidden="1" x14ac:dyDescent="0.3">
      <c r="A1492">
        <v>2536</v>
      </c>
      <c r="B1492">
        <v>441</v>
      </c>
      <c r="C1492" t="s">
        <v>53</v>
      </c>
      <c r="D1492" t="s">
        <v>29</v>
      </c>
      <c r="E1492" t="s">
        <v>26</v>
      </c>
      <c r="F1492" s="1">
        <v>44820</v>
      </c>
      <c r="G1492" s="1">
        <v>45139</v>
      </c>
      <c r="H1492">
        <v>4967.93</v>
      </c>
      <c r="I1492">
        <v>3247</v>
      </c>
      <c r="J1492">
        <v>-4241</v>
      </c>
      <c r="K1492" t="s">
        <v>54</v>
      </c>
      <c r="L1492">
        <v>10</v>
      </c>
      <c r="M1492" t="str">
        <f t="shared" si="23"/>
        <v>6-12 Months</v>
      </c>
      <c r="N1492" s="1">
        <v>45139</v>
      </c>
      <c r="O1492">
        <v>0</v>
      </c>
      <c r="P1492">
        <v>1491</v>
      </c>
      <c r="Q1492" s="2">
        <v>-0.85</v>
      </c>
      <c r="R1492" t="s">
        <v>27</v>
      </c>
      <c r="S1492">
        <v>2023</v>
      </c>
      <c r="T1492" t="s">
        <v>36</v>
      </c>
    </row>
    <row r="1493" spans="1:20" hidden="1" x14ac:dyDescent="0.3">
      <c r="A1493">
        <v>2538</v>
      </c>
      <c r="B1493">
        <v>452</v>
      </c>
      <c r="C1493" t="s">
        <v>24</v>
      </c>
      <c r="D1493" t="s">
        <v>19</v>
      </c>
      <c r="E1493" t="s">
        <v>37</v>
      </c>
      <c r="F1493" s="1">
        <v>44886</v>
      </c>
      <c r="G1493" s="1">
        <v>45301</v>
      </c>
      <c r="H1493">
        <v>570</v>
      </c>
      <c r="I1493">
        <v>2198</v>
      </c>
      <c r="J1493">
        <v>-1628</v>
      </c>
      <c r="K1493" t="s">
        <v>21</v>
      </c>
      <c r="L1493">
        <v>13</v>
      </c>
      <c r="M1493" t="str">
        <f t="shared" si="23"/>
        <v>6-12 Months</v>
      </c>
      <c r="N1493" s="1">
        <v>45301</v>
      </c>
      <c r="O1493">
        <v>1</v>
      </c>
      <c r="P1493">
        <v>1492</v>
      </c>
      <c r="Q1493" s="2">
        <v>-2.86</v>
      </c>
      <c r="R1493" t="s">
        <v>22</v>
      </c>
      <c r="S1493">
        <v>2024</v>
      </c>
      <c r="T1493" t="s">
        <v>23</v>
      </c>
    </row>
    <row r="1494" spans="1:20" hidden="1" x14ac:dyDescent="0.3">
      <c r="A1494">
        <v>2539</v>
      </c>
      <c r="B1494">
        <v>322</v>
      </c>
      <c r="C1494" t="s">
        <v>40</v>
      </c>
      <c r="D1494" t="s">
        <v>19</v>
      </c>
      <c r="E1494" t="s">
        <v>37</v>
      </c>
      <c r="F1494" s="1">
        <v>44910</v>
      </c>
      <c r="G1494" s="1">
        <v>45091</v>
      </c>
      <c r="H1494">
        <v>5757</v>
      </c>
      <c r="I1494">
        <v>4012.75</v>
      </c>
      <c r="J1494">
        <v>6404</v>
      </c>
      <c r="K1494" t="s">
        <v>54</v>
      </c>
      <c r="L1494">
        <v>5</v>
      </c>
      <c r="M1494" t="str">
        <f t="shared" si="23"/>
        <v>0-6 Months</v>
      </c>
      <c r="N1494" s="1">
        <v>45091</v>
      </c>
      <c r="O1494">
        <v>1</v>
      </c>
      <c r="P1494">
        <v>1493</v>
      </c>
      <c r="Q1494" s="2">
        <v>1.1100000000000001</v>
      </c>
      <c r="R1494" t="s">
        <v>22</v>
      </c>
      <c r="S1494">
        <v>2023</v>
      </c>
      <c r="T1494" t="s">
        <v>41</v>
      </c>
    </row>
    <row r="1495" spans="1:20" hidden="1" x14ac:dyDescent="0.3">
      <c r="A1495">
        <v>2540</v>
      </c>
      <c r="B1495">
        <v>307</v>
      </c>
      <c r="C1495" t="s">
        <v>40</v>
      </c>
      <c r="D1495" t="s">
        <v>29</v>
      </c>
      <c r="E1495" t="s">
        <v>37</v>
      </c>
      <c r="F1495" s="1">
        <v>44827</v>
      </c>
      <c r="G1495" s="1">
        <v>44903</v>
      </c>
      <c r="H1495">
        <v>7957</v>
      </c>
      <c r="I1495">
        <v>5969</v>
      </c>
      <c r="J1495">
        <v>1988</v>
      </c>
      <c r="K1495" t="s">
        <v>54</v>
      </c>
      <c r="L1495">
        <v>2</v>
      </c>
      <c r="M1495" t="str">
        <f t="shared" si="23"/>
        <v>0-6 Months</v>
      </c>
      <c r="N1495" s="1">
        <v>44903</v>
      </c>
      <c r="O1495">
        <v>0</v>
      </c>
      <c r="P1495">
        <v>1494</v>
      </c>
      <c r="Q1495" s="2">
        <v>0.25</v>
      </c>
      <c r="R1495" t="s">
        <v>27</v>
      </c>
      <c r="S1495">
        <v>2022</v>
      </c>
      <c r="T1495" t="s">
        <v>31</v>
      </c>
    </row>
    <row r="1496" spans="1:20" hidden="1" x14ac:dyDescent="0.3">
      <c r="A1496">
        <v>2541</v>
      </c>
      <c r="B1496">
        <v>248</v>
      </c>
      <c r="C1496" t="s">
        <v>39</v>
      </c>
      <c r="D1496" t="s">
        <v>25</v>
      </c>
      <c r="E1496" t="s">
        <v>37</v>
      </c>
      <c r="F1496" s="1">
        <v>44712</v>
      </c>
      <c r="G1496" s="1">
        <v>45205</v>
      </c>
      <c r="H1496">
        <v>4967.93</v>
      </c>
      <c r="I1496">
        <v>5608</v>
      </c>
      <c r="J1496">
        <v>-7028</v>
      </c>
      <c r="K1496" t="s">
        <v>54</v>
      </c>
      <c r="L1496">
        <v>16</v>
      </c>
      <c r="M1496" t="str">
        <f t="shared" si="23"/>
        <v>6-12 Months</v>
      </c>
      <c r="N1496" s="1">
        <v>45205</v>
      </c>
      <c r="O1496">
        <v>0</v>
      </c>
      <c r="P1496">
        <v>1495</v>
      </c>
      <c r="Q1496" s="2">
        <v>-1.41</v>
      </c>
      <c r="R1496" t="s">
        <v>22</v>
      </c>
      <c r="S1496">
        <v>2023</v>
      </c>
      <c r="T1496" t="s">
        <v>33</v>
      </c>
    </row>
    <row r="1497" spans="1:20" x14ac:dyDescent="0.3">
      <c r="A1497">
        <v>2542</v>
      </c>
      <c r="B1497">
        <v>262</v>
      </c>
      <c r="C1497" t="s">
        <v>40</v>
      </c>
      <c r="D1497" t="s">
        <v>19</v>
      </c>
      <c r="E1497" t="s">
        <v>37</v>
      </c>
      <c r="F1497" s="1">
        <v>44796</v>
      </c>
      <c r="G1497" s="1">
        <v>44907</v>
      </c>
      <c r="H1497">
        <v>1115</v>
      </c>
      <c r="I1497">
        <v>2038</v>
      </c>
      <c r="J1497">
        <v>-923</v>
      </c>
      <c r="K1497" t="s">
        <v>35</v>
      </c>
      <c r="L1497">
        <v>3</v>
      </c>
      <c r="M1497" t="str">
        <f t="shared" si="23"/>
        <v>0-6 Months</v>
      </c>
      <c r="N1497" s="1">
        <v>44907</v>
      </c>
      <c r="O1497">
        <v>1</v>
      </c>
      <c r="P1497">
        <v>1496</v>
      </c>
      <c r="Q1497" s="2">
        <v>-0.83</v>
      </c>
      <c r="R1497" t="s">
        <v>27</v>
      </c>
      <c r="S1497">
        <v>2022</v>
      </c>
      <c r="T1497" t="s">
        <v>31</v>
      </c>
    </row>
    <row r="1498" spans="1:20" hidden="1" x14ac:dyDescent="0.3">
      <c r="A1498">
        <v>2543</v>
      </c>
      <c r="B1498">
        <v>189</v>
      </c>
      <c r="C1498" t="s">
        <v>24</v>
      </c>
      <c r="D1498" t="s">
        <v>29</v>
      </c>
      <c r="E1498" t="s">
        <v>20</v>
      </c>
      <c r="F1498" s="1">
        <v>44725</v>
      </c>
      <c r="G1498" s="1">
        <v>44925</v>
      </c>
      <c r="H1498">
        <v>6966</v>
      </c>
      <c r="I1498">
        <v>1313</v>
      </c>
      <c r="J1498">
        <v>5653</v>
      </c>
      <c r="K1498" t="s">
        <v>21</v>
      </c>
      <c r="L1498">
        <v>6</v>
      </c>
      <c r="M1498" t="str">
        <f t="shared" si="23"/>
        <v>12+ Months</v>
      </c>
      <c r="N1498" s="1">
        <v>44925</v>
      </c>
      <c r="O1498">
        <v>0</v>
      </c>
      <c r="P1498">
        <v>1497</v>
      </c>
      <c r="Q1498" s="2">
        <v>0.81</v>
      </c>
      <c r="R1498" t="s">
        <v>27</v>
      </c>
      <c r="S1498">
        <v>2022</v>
      </c>
      <c r="T1498" t="s">
        <v>31</v>
      </c>
    </row>
    <row r="1499" spans="1:20" hidden="1" x14ac:dyDescent="0.3">
      <c r="A1499">
        <v>2544</v>
      </c>
      <c r="B1499">
        <v>348</v>
      </c>
      <c r="C1499" t="s">
        <v>53</v>
      </c>
      <c r="D1499" t="s">
        <v>34</v>
      </c>
      <c r="E1499" t="s">
        <v>20</v>
      </c>
      <c r="F1499" s="1">
        <v>44709</v>
      </c>
      <c r="G1499" s="1">
        <v>45040</v>
      </c>
      <c r="H1499">
        <v>1218</v>
      </c>
      <c r="I1499">
        <v>7803</v>
      </c>
      <c r="J1499">
        <v>-6585</v>
      </c>
      <c r="K1499" t="s">
        <v>54</v>
      </c>
      <c r="L1499">
        <v>10</v>
      </c>
      <c r="M1499" t="str">
        <f t="shared" si="23"/>
        <v>6-12 Months</v>
      </c>
      <c r="N1499" s="1">
        <v>45040</v>
      </c>
      <c r="O1499">
        <v>1</v>
      </c>
      <c r="P1499">
        <v>1498</v>
      </c>
      <c r="Q1499" s="2">
        <v>-5.41</v>
      </c>
      <c r="R1499" t="s">
        <v>22</v>
      </c>
      <c r="S1499">
        <v>2023</v>
      </c>
      <c r="T1499" t="s">
        <v>32</v>
      </c>
    </row>
    <row r="1500" spans="1:20" x14ac:dyDescent="0.3">
      <c r="A1500">
        <v>2545</v>
      </c>
      <c r="B1500">
        <v>325</v>
      </c>
      <c r="C1500" t="s">
        <v>39</v>
      </c>
      <c r="D1500" t="s">
        <v>19</v>
      </c>
      <c r="E1500" t="s">
        <v>20</v>
      </c>
      <c r="F1500" s="1">
        <v>44758</v>
      </c>
      <c r="G1500" s="1">
        <v>44840</v>
      </c>
      <c r="H1500">
        <v>4959</v>
      </c>
      <c r="I1500">
        <v>4192</v>
      </c>
      <c r="J1500">
        <v>767</v>
      </c>
      <c r="K1500" t="s">
        <v>35</v>
      </c>
      <c r="L1500">
        <v>2</v>
      </c>
      <c r="M1500" t="str">
        <f t="shared" si="23"/>
        <v>0-6 Months</v>
      </c>
      <c r="N1500" s="1">
        <v>44840</v>
      </c>
      <c r="O1500">
        <v>1</v>
      </c>
      <c r="P1500">
        <v>1499</v>
      </c>
      <c r="Q1500" s="2">
        <v>0.15</v>
      </c>
      <c r="R1500" t="s">
        <v>27</v>
      </c>
      <c r="S1500">
        <v>2022</v>
      </c>
      <c r="T1500" t="s">
        <v>33</v>
      </c>
    </row>
    <row r="1501" spans="1:20" x14ac:dyDescent="0.3">
      <c r="A1501">
        <v>2547</v>
      </c>
      <c r="B1501">
        <v>114</v>
      </c>
      <c r="C1501" t="s">
        <v>39</v>
      </c>
      <c r="D1501" t="s">
        <v>25</v>
      </c>
      <c r="E1501" t="s">
        <v>37</v>
      </c>
      <c r="F1501" s="1">
        <v>44847</v>
      </c>
      <c r="G1501" s="1">
        <v>45048</v>
      </c>
      <c r="H1501">
        <v>4943</v>
      </c>
      <c r="I1501">
        <v>7537</v>
      </c>
      <c r="J1501">
        <v>577.01</v>
      </c>
      <c r="K1501" t="s">
        <v>35</v>
      </c>
      <c r="L1501">
        <v>6</v>
      </c>
      <c r="M1501" t="str">
        <f t="shared" si="23"/>
        <v>12+ Months</v>
      </c>
      <c r="N1501" s="1">
        <v>45048</v>
      </c>
      <c r="O1501">
        <v>1</v>
      </c>
      <c r="P1501">
        <v>1500</v>
      </c>
      <c r="Q1501" s="2">
        <v>0.12</v>
      </c>
      <c r="R1501" t="s">
        <v>27</v>
      </c>
      <c r="S1501">
        <v>2023</v>
      </c>
      <c r="T1501" t="s">
        <v>28</v>
      </c>
    </row>
    <row r="1502" spans="1:20" hidden="1" x14ac:dyDescent="0.3">
      <c r="A1502">
        <v>2548</v>
      </c>
      <c r="B1502">
        <v>315</v>
      </c>
      <c r="C1502" t="s">
        <v>53</v>
      </c>
      <c r="D1502" t="s">
        <v>29</v>
      </c>
      <c r="E1502" t="s">
        <v>20</v>
      </c>
      <c r="F1502" s="1">
        <v>44799</v>
      </c>
      <c r="G1502" s="1">
        <v>45391</v>
      </c>
      <c r="H1502">
        <v>8867</v>
      </c>
      <c r="I1502">
        <v>4012.75</v>
      </c>
      <c r="J1502">
        <v>9444</v>
      </c>
      <c r="K1502" t="s">
        <v>21</v>
      </c>
      <c r="L1502">
        <v>19</v>
      </c>
      <c r="M1502" t="str">
        <f t="shared" si="23"/>
        <v>6-12 Months</v>
      </c>
      <c r="N1502" s="1">
        <v>45391</v>
      </c>
      <c r="O1502">
        <v>0</v>
      </c>
      <c r="P1502">
        <v>1501</v>
      </c>
      <c r="Q1502" s="2">
        <v>1.07</v>
      </c>
      <c r="R1502" t="s">
        <v>22</v>
      </c>
      <c r="S1502">
        <v>2024</v>
      </c>
      <c r="T1502" t="s">
        <v>32</v>
      </c>
    </row>
    <row r="1503" spans="1:20" hidden="1" x14ac:dyDescent="0.3">
      <c r="A1503">
        <v>2550</v>
      </c>
      <c r="B1503">
        <v>173</v>
      </c>
      <c r="C1503" t="s">
        <v>45</v>
      </c>
      <c r="D1503" t="s">
        <v>25</v>
      </c>
      <c r="E1503" t="s">
        <v>26</v>
      </c>
      <c r="F1503" s="1">
        <v>44722</v>
      </c>
      <c r="G1503" s="1">
        <v>44873</v>
      </c>
      <c r="H1503">
        <v>835</v>
      </c>
      <c r="I1503">
        <v>2123</v>
      </c>
      <c r="J1503">
        <v>-1288</v>
      </c>
      <c r="K1503" t="s">
        <v>21</v>
      </c>
      <c r="L1503">
        <v>4</v>
      </c>
      <c r="M1503" t="str">
        <f t="shared" si="23"/>
        <v>0-6 Months</v>
      </c>
      <c r="N1503" s="1">
        <v>44873</v>
      </c>
      <c r="O1503">
        <v>1</v>
      </c>
      <c r="P1503">
        <v>1502</v>
      </c>
      <c r="Q1503" s="2">
        <v>-1.54</v>
      </c>
      <c r="R1503" t="s">
        <v>22</v>
      </c>
      <c r="S1503">
        <v>2022</v>
      </c>
      <c r="T1503" t="s">
        <v>42</v>
      </c>
    </row>
    <row r="1504" spans="1:20" hidden="1" x14ac:dyDescent="0.3">
      <c r="A1504">
        <v>2553</v>
      </c>
      <c r="B1504">
        <v>118</v>
      </c>
      <c r="C1504" t="s">
        <v>45</v>
      </c>
      <c r="D1504" t="s">
        <v>19</v>
      </c>
      <c r="E1504" t="s">
        <v>20</v>
      </c>
      <c r="F1504" s="1">
        <v>44836</v>
      </c>
      <c r="G1504" s="1">
        <v>45290</v>
      </c>
      <c r="H1504">
        <v>5335</v>
      </c>
      <c r="I1504">
        <v>5423</v>
      </c>
      <c r="J1504">
        <v>-88</v>
      </c>
      <c r="K1504" t="s">
        <v>54</v>
      </c>
      <c r="L1504">
        <v>14</v>
      </c>
      <c r="M1504" t="str">
        <f t="shared" si="23"/>
        <v>6-12 Months</v>
      </c>
      <c r="N1504" s="1">
        <v>45290</v>
      </c>
      <c r="O1504">
        <v>0</v>
      </c>
      <c r="P1504">
        <v>1503</v>
      </c>
      <c r="Q1504" s="2">
        <v>-0.02</v>
      </c>
      <c r="R1504" t="s">
        <v>27</v>
      </c>
      <c r="S1504">
        <v>2023</v>
      </c>
      <c r="T1504" t="s">
        <v>31</v>
      </c>
    </row>
    <row r="1505" spans="1:20" hidden="1" x14ac:dyDescent="0.3">
      <c r="A1505">
        <v>2556</v>
      </c>
      <c r="B1505">
        <v>377</v>
      </c>
      <c r="C1505" t="s">
        <v>40</v>
      </c>
      <c r="D1505" t="s">
        <v>29</v>
      </c>
      <c r="E1505" t="s">
        <v>26</v>
      </c>
      <c r="F1505" s="1">
        <v>44728</v>
      </c>
      <c r="G1505" s="1">
        <v>45132</v>
      </c>
      <c r="H1505">
        <v>9182</v>
      </c>
      <c r="I1505">
        <v>2046</v>
      </c>
      <c r="J1505">
        <v>7136</v>
      </c>
      <c r="K1505" t="s">
        <v>54</v>
      </c>
      <c r="L1505">
        <v>13</v>
      </c>
      <c r="M1505" t="str">
        <f t="shared" si="23"/>
        <v>6-12 Months</v>
      </c>
      <c r="N1505" s="1">
        <v>45132</v>
      </c>
      <c r="O1505">
        <v>1</v>
      </c>
      <c r="P1505">
        <v>1504</v>
      </c>
      <c r="Q1505" s="2">
        <v>0.78</v>
      </c>
      <c r="R1505" t="s">
        <v>27</v>
      </c>
      <c r="S1505">
        <v>2023</v>
      </c>
      <c r="T1505" t="s">
        <v>44</v>
      </c>
    </row>
    <row r="1506" spans="1:20" hidden="1" x14ac:dyDescent="0.3">
      <c r="A1506">
        <v>2558</v>
      </c>
      <c r="B1506">
        <v>259</v>
      </c>
      <c r="C1506" t="s">
        <v>40</v>
      </c>
      <c r="D1506" t="s">
        <v>34</v>
      </c>
      <c r="E1506" t="s">
        <v>26</v>
      </c>
      <c r="F1506" s="1">
        <v>44615</v>
      </c>
      <c r="G1506" s="1">
        <v>44668</v>
      </c>
      <c r="H1506">
        <v>9725</v>
      </c>
      <c r="I1506">
        <v>4012.75</v>
      </c>
      <c r="J1506">
        <v>10060</v>
      </c>
      <c r="K1506" t="s">
        <v>21</v>
      </c>
      <c r="L1506">
        <v>1</v>
      </c>
      <c r="M1506" t="str">
        <f t="shared" si="23"/>
        <v>0-6 Months</v>
      </c>
      <c r="N1506" s="1">
        <v>44668</v>
      </c>
      <c r="O1506">
        <v>0</v>
      </c>
      <c r="P1506">
        <v>1505</v>
      </c>
      <c r="Q1506" s="2">
        <v>1.03</v>
      </c>
      <c r="R1506" t="s">
        <v>22</v>
      </c>
      <c r="S1506">
        <v>2022</v>
      </c>
      <c r="T1506" t="s">
        <v>32</v>
      </c>
    </row>
    <row r="1507" spans="1:20" hidden="1" x14ac:dyDescent="0.3">
      <c r="A1507">
        <v>2560</v>
      </c>
      <c r="B1507">
        <v>480</v>
      </c>
      <c r="C1507" t="s">
        <v>53</v>
      </c>
      <c r="D1507" t="s">
        <v>25</v>
      </c>
      <c r="E1507" t="s">
        <v>20</v>
      </c>
      <c r="F1507" s="1">
        <v>44896</v>
      </c>
      <c r="G1507" s="1">
        <v>45347</v>
      </c>
      <c r="H1507">
        <v>4967.93</v>
      </c>
      <c r="I1507">
        <v>4120</v>
      </c>
      <c r="J1507">
        <v>-5568</v>
      </c>
      <c r="K1507" t="s">
        <v>54</v>
      </c>
      <c r="L1507">
        <v>14</v>
      </c>
      <c r="M1507" t="str">
        <f t="shared" si="23"/>
        <v>6-12 Months</v>
      </c>
      <c r="N1507" s="1">
        <v>45347</v>
      </c>
      <c r="O1507">
        <v>1</v>
      </c>
      <c r="P1507">
        <v>1506</v>
      </c>
      <c r="Q1507" s="2">
        <v>-1.1200000000000001</v>
      </c>
      <c r="R1507" t="s">
        <v>22</v>
      </c>
      <c r="S1507">
        <v>2024</v>
      </c>
      <c r="T1507" t="s">
        <v>43</v>
      </c>
    </row>
    <row r="1508" spans="1:20" hidden="1" x14ac:dyDescent="0.3">
      <c r="A1508">
        <v>2561</v>
      </c>
      <c r="B1508">
        <v>234</v>
      </c>
      <c r="C1508" t="s">
        <v>39</v>
      </c>
      <c r="D1508" t="s">
        <v>25</v>
      </c>
      <c r="E1508" t="s">
        <v>37</v>
      </c>
      <c r="F1508" s="1">
        <v>44691</v>
      </c>
      <c r="G1508" s="1">
        <v>45005</v>
      </c>
      <c r="H1508">
        <v>6258</v>
      </c>
      <c r="I1508">
        <v>3670</v>
      </c>
      <c r="J1508">
        <v>2588</v>
      </c>
      <c r="K1508" t="s">
        <v>21</v>
      </c>
      <c r="L1508">
        <v>10</v>
      </c>
      <c r="M1508" t="str">
        <f t="shared" si="23"/>
        <v>6-12 Months</v>
      </c>
      <c r="N1508" s="1">
        <v>45005</v>
      </c>
      <c r="O1508">
        <v>0</v>
      </c>
      <c r="P1508">
        <v>1507</v>
      </c>
      <c r="Q1508" s="2">
        <v>0.41</v>
      </c>
      <c r="R1508" t="s">
        <v>27</v>
      </c>
      <c r="S1508">
        <v>2023</v>
      </c>
      <c r="T1508" t="s">
        <v>38</v>
      </c>
    </row>
    <row r="1509" spans="1:20" hidden="1" x14ac:dyDescent="0.3">
      <c r="A1509">
        <v>2563</v>
      </c>
      <c r="B1509">
        <v>378</v>
      </c>
      <c r="C1509" t="s">
        <v>24</v>
      </c>
      <c r="D1509" t="s">
        <v>25</v>
      </c>
      <c r="E1509" t="s">
        <v>26</v>
      </c>
      <c r="F1509" s="1">
        <v>44655</v>
      </c>
      <c r="G1509" s="1">
        <v>45144</v>
      </c>
      <c r="H1509">
        <v>7773</v>
      </c>
      <c r="I1509">
        <v>2052</v>
      </c>
      <c r="J1509">
        <v>5721</v>
      </c>
      <c r="K1509" t="s">
        <v>54</v>
      </c>
      <c r="L1509">
        <v>16</v>
      </c>
      <c r="M1509" t="str">
        <f t="shared" si="23"/>
        <v>6-12 Months</v>
      </c>
      <c r="N1509" s="1">
        <v>45144</v>
      </c>
      <c r="O1509">
        <v>1</v>
      </c>
      <c r="P1509">
        <v>1508</v>
      </c>
      <c r="Q1509" s="2">
        <v>0.74</v>
      </c>
      <c r="R1509" t="s">
        <v>27</v>
      </c>
      <c r="S1509">
        <v>2023</v>
      </c>
      <c r="T1509" t="s">
        <v>36</v>
      </c>
    </row>
    <row r="1510" spans="1:20" hidden="1" x14ac:dyDescent="0.3">
      <c r="A1510">
        <v>2564</v>
      </c>
      <c r="B1510">
        <v>454</v>
      </c>
      <c r="C1510" t="s">
        <v>24</v>
      </c>
      <c r="D1510" t="s">
        <v>19</v>
      </c>
      <c r="E1510" t="s">
        <v>20</v>
      </c>
      <c r="F1510" s="1">
        <v>44653</v>
      </c>
      <c r="G1510" s="1">
        <v>44993</v>
      </c>
      <c r="H1510">
        <v>4964</v>
      </c>
      <c r="I1510">
        <v>2766</v>
      </c>
      <c r="J1510">
        <v>577.01</v>
      </c>
      <c r="K1510" t="s">
        <v>54</v>
      </c>
      <c r="L1510">
        <v>11</v>
      </c>
      <c r="M1510" t="str">
        <f t="shared" si="23"/>
        <v>6-12 Months</v>
      </c>
      <c r="N1510" s="1">
        <v>44993</v>
      </c>
      <c r="O1510">
        <v>1</v>
      </c>
      <c r="P1510">
        <v>1509</v>
      </c>
      <c r="Q1510" s="2">
        <v>0.12</v>
      </c>
      <c r="R1510" t="s">
        <v>27</v>
      </c>
      <c r="S1510">
        <v>2023</v>
      </c>
      <c r="T1510" t="s">
        <v>38</v>
      </c>
    </row>
    <row r="1511" spans="1:20" hidden="1" x14ac:dyDescent="0.3">
      <c r="A1511">
        <v>2565</v>
      </c>
      <c r="B1511">
        <v>420</v>
      </c>
      <c r="C1511" t="s">
        <v>24</v>
      </c>
      <c r="D1511" t="s">
        <v>29</v>
      </c>
      <c r="E1511" t="s">
        <v>26</v>
      </c>
      <c r="F1511" s="1">
        <v>44868</v>
      </c>
      <c r="G1511" s="1">
        <v>45205</v>
      </c>
      <c r="H1511">
        <v>5973</v>
      </c>
      <c r="I1511">
        <v>1306</v>
      </c>
      <c r="J1511">
        <v>4667</v>
      </c>
      <c r="K1511" t="s">
        <v>21</v>
      </c>
      <c r="L1511">
        <v>11</v>
      </c>
      <c r="M1511" t="str">
        <f t="shared" si="23"/>
        <v>6-12 Months</v>
      </c>
      <c r="N1511" s="1">
        <v>45205</v>
      </c>
      <c r="O1511">
        <v>0</v>
      </c>
      <c r="P1511">
        <v>1510</v>
      </c>
      <c r="Q1511" s="2">
        <v>0.78</v>
      </c>
      <c r="R1511" t="s">
        <v>27</v>
      </c>
      <c r="S1511">
        <v>2023</v>
      </c>
      <c r="T1511" t="s">
        <v>33</v>
      </c>
    </row>
    <row r="1512" spans="1:20" hidden="1" x14ac:dyDescent="0.3">
      <c r="A1512">
        <v>2566</v>
      </c>
      <c r="B1512">
        <v>398</v>
      </c>
      <c r="C1512" t="s">
        <v>24</v>
      </c>
      <c r="D1512" t="s">
        <v>19</v>
      </c>
      <c r="E1512" t="s">
        <v>37</v>
      </c>
      <c r="F1512" s="1">
        <v>44579</v>
      </c>
      <c r="G1512" s="1">
        <v>44689</v>
      </c>
      <c r="H1512">
        <v>4967.93</v>
      </c>
      <c r="I1512">
        <v>6891</v>
      </c>
      <c r="J1512">
        <v>-8550</v>
      </c>
      <c r="K1512" t="s">
        <v>54</v>
      </c>
      <c r="L1512">
        <v>3</v>
      </c>
      <c r="M1512" t="str">
        <f t="shared" si="23"/>
        <v>0-6 Months</v>
      </c>
      <c r="N1512" s="1">
        <v>44689</v>
      </c>
      <c r="O1512">
        <v>0</v>
      </c>
      <c r="P1512">
        <v>1511</v>
      </c>
      <c r="Q1512" s="2">
        <v>-1.72</v>
      </c>
      <c r="R1512" t="s">
        <v>22</v>
      </c>
      <c r="S1512">
        <v>2022</v>
      </c>
      <c r="T1512" t="s">
        <v>28</v>
      </c>
    </row>
    <row r="1513" spans="1:20" hidden="1" x14ac:dyDescent="0.3">
      <c r="A1513">
        <v>2568</v>
      </c>
      <c r="B1513">
        <v>409</v>
      </c>
      <c r="C1513" t="s">
        <v>24</v>
      </c>
      <c r="D1513" t="s">
        <v>34</v>
      </c>
      <c r="E1513" t="s">
        <v>26</v>
      </c>
      <c r="F1513" s="1">
        <v>44689</v>
      </c>
      <c r="G1513" s="1">
        <v>44814</v>
      </c>
      <c r="H1513">
        <v>2962</v>
      </c>
      <c r="I1513">
        <v>7404</v>
      </c>
      <c r="J1513">
        <v>-4442</v>
      </c>
      <c r="K1513" t="s">
        <v>54</v>
      </c>
      <c r="L1513">
        <v>4</v>
      </c>
      <c r="M1513" t="str">
        <f t="shared" si="23"/>
        <v>0-6 Months</v>
      </c>
      <c r="N1513" s="1">
        <v>44814</v>
      </c>
      <c r="O1513">
        <v>1</v>
      </c>
      <c r="P1513">
        <v>1512</v>
      </c>
      <c r="Q1513" s="2">
        <v>-1.5</v>
      </c>
      <c r="R1513" t="s">
        <v>22</v>
      </c>
      <c r="S1513">
        <v>2022</v>
      </c>
      <c r="T1513" t="s">
        <v>30</v>
      </c>
    </row>
    <row r="1514" spans="1:20" hidden="1" x14ac:dyDescent="0.3">
      <c r="A1514">
        <v>2569</v>
      </c>
      <c r="B1514">
        <v>367</v>
      </c>
      <c r="C1514" t="s">
        <v>45</v>
      </c>
      <c r="D1514" t="s">
        <v>34</v>
      </c>
      <c r="E1514" t="s">
        <v>37</v>
      </c>
      <c r="F1514" s="1">
        <v>44574</v>
      </c>
      <c r="G1514" s="1">
        <v>45082</v>
      </c>
      <c r="H1514">
        <v>3093</v>
      </c>
      <c r="I1514">
        <v>661</v>
      </c>
      <c r="J1514">
        <v>2432</v>
      </c>
      <c r="K1514" t="s">
        <v>54</v>
      </c>
      <c r="L1514">
        <v>16</v>
      </c>
      <c r="M1514" t="str">
        <f t="shared" si="23"/>
        <v>6-12 Months</v>
      </c>
      <c r="N1514" s="1">
        <v>45082</v>
      </c>
      <c r="O1514">
        <v>1</v>
      </c>
      <c r="P1514">
        <v>1513</v>
      </c>
      <c r="Q1514" s="2">
        <v>0.79</v>
      </c>
      <c r="R1514" t="s">
        <v>27</v>
      </c>
      <c r="S1514">
        <v>2023</v>
      </c>
      <c r="T1514" t="s">
        <v>41</v>
      </c>
    </row>
    <row r="1515" spans="1:20" hidden="1" x14ac:dyDescent="0.3">
      <c r="A1515">
        <v>2570</v>
      </c>
      <c r="B1515">
        <v>439</v>
      </c>
      <c r="C1515" t="s">
        <v>40</v>
      </c>
      <c r="D1515" t="s">
        <v>19</v>
      </c>
      <c r="E1515" t="s">
        <v>26</v>
      </c>
      <c r="F1515" s="1">
        <v>44590</v>
      </c>
      <c r="G1515" s="1">
        <v>44666</v>
      </c>
      <c r="H1515">
        <v>9607</v>
      </c>
      <c r="I1515">
        <v>3069</v>
      </c>
      <c r="J1515">
        <v>6538</v>
      </c>
      <c r="K1515" t="s">
        <v>54</v>
      </c>
      <c r="L1515">
        <v>2</v>
      </c>
      <c r="M1515" t="str">
        <f t="shared" si="23"/>
        <v>0-6 Months</v>
      </c>
      <c r="N1515" s="1">
        <v>44666</v>
      </c>
      <c r="O1515">
        <v>0</v>
      </c>
      <c r="P1515">
        <v>1514</v>
      </c>
      <c r="Q1515" s="2">
        <v>0.68</v>
      </c>
      <c r="R1515" t="s">
        <v>27</v>
      </c>
      <c r="S1515">
        <v>2022</v>
      </c>
      <c r="T1515" t="s">
        <v>32</v>
      </c>
    </row>
    <row r="1516" spans="1:20" x14ac:dyDescent="0.3">
      <c r="A1516">
        <v>2572</v>
      </c>
      <c r="B1516">
        <v>250</v>
      </c>
      <c r="C1516" t="s">
        <v>24</v>
      </c>
      <c r="D1516" t="s">
        <v>25</v>
      </c>
      <c r="E1516" t="s">
        <v>26</v>
      </c>
      <c r="F1516" s="1">
        <v>44706</v>
      </c>
      <c r="G1516" s="1">
        <v>44902</v>
      </c>
      <c r="H1516">
        <v>8207</v>
      </c>
      <c r="I1516">
        <v>111</v>
      </c>
      <c r="J1516">
        <v>8096</v>
      </c>
      <c r="K1516" t="s">
        <v>35</v>
      </c>
      <c r="L1516">
        <v>6</v>
      </c>
      <c r="M1516" t="str">
        <f t="shared" si="23"/>
        <v>12+ Months</v>
      </c>
      <c r="N1516" s="1">
        <v>44902</v>
      </c>
      <c r="O1516">
        <v>0</v>
      </c>
      <c r="P1516">
        <v>1515</v>
      </c>
      <c r="Q1516" s="2">
        <v>0.99</v>
      </c>
      <c r="R1516" t="s">
        <v>27</v>
      </c>
      <c r="S1516">
        <v>2022</v>
      </c>
      <c r="T1516" t="s">
        <v>31</v>
      </c>
    </row>
    <row r="1517" spans="1:20" hidden="1" x14ac:dyDescent="0.3">
      <c r="A1517">
        <v>2573</v>
      </c>
      <c r="B1517">
        <v>319</v>
      </c>
      <c r="C1517" t="s">
        <v>53</v>
      </c>
      <c r="D1517" t="s">
        <v>29</v>
      </c>
      <c r="E1517" t="s">
        <v>20</v>
      </c>
      <c r="F1517" s="1">
        <v>44885</v>
      </c>
      <c r="G1517" s="1">
        <v>45318</v>
      </c>
      <c r="H1517">
        <v>7137</v>
      </c>
      <c r="I1517">
        <v>4603</v>
      </c>
      <c r="J1517">
        <v>2534</v>
      </c>
      <c r="K1517" t="s">
        <v>21</v>
      </c>
      <c r="L1517">
        <v>14</v>
      </c>
      <c r="M1517" t="str">
        <f t="shared" si="23"/>
        <v>6-12 Months</v>
      </c>
      <c r="N1517" s="1">
        <v>45318</v>
      </c>
      <c r="O1517">
        <v>1</v>
      </c>
      <c r="P1517">
        <v>1516</v>
      </c>
      <c r="Q1517" s="2">
        <v>0.36</v>
      </c>
      <c r="R1517" t="s">
        <v>27</v>
      </c>
      <c r="S1517">
        <v>2024</v>
      </c>
      <c r="T1517" t="s">
        <v>23</v>
      </c>
    </row>
    <row r="1518" spans="1:20" x14ac:dyDescent="0.3">
      <c r="A1518">
        <v>2574</v>
      </c>
      <c r="B1518">
        <v>485</v>
      </c>
      <c r="C1518" t="s">
        <v>45</v>
      </c>
      <c r="D1518" t="s">
        <v>34</v>
      </c>
      <c r="E1518" t="s">
        <v>20</v>
      </c>
      <c r="F1518" s="1">
        <v>44577</v>
      </c>
      <c r="G1518" s="1">
        <v>44627</v>
      </c>
      <c r="H1518">
        <v>5698</v>
      </c>
      <c r="I1518">
        <v>2160</v>
      </c>
      <c r="J1518">
        <v>3538</v>
      </c>
      <c r="K1518" t="s">
        <v>35</v>
      </c>
      <c r="L1518">
        <v>1</v>
      </c>
      <c r="M1518" t="str">
        <f t="shared" si="23"/>
        <v>0-6 Months</v>
      </c>
      <c r="N1518" s="1">
        <v>44627</v>
      </c>
      <c r="O1518">
        <v>0</v>
      </c>
      <c r="P1518">
        <v>1517</v>
      </c>
      <c r="Q1518" s="2">
        <v>0.62</v>
      </c>
      <c r="R1518" t="s">
        <v>27</v>
      </c>
      <c r="S1518">
        <v>2022</v>
      </c>
      <c r="T1518" t="s">
        <v>38</v>
      </c>
    </row>
    <row r="1519" spans="1:20" hidden="1" x14ac:dyDescent="0.3">
      <c r="A1519">
        <v>2575</v>
      </c>
      <c r="B1519">
        <v>412</v>
      </c>
      <c r="C1519" t="s">
        <v>24</v>
      </c>
      <c r="D1519" t="s">
        <v>19</v>
      </c>
      <c r="E1519" t="s">
        <v>26</v>
      </c>
      <c r="F1519" s="1">
        <v>44569</v>
      </c>
      <c r="G1519" s="1">
        <v>44618</v>
      </c>
      <c r="H1519">
        <v>339</v>
      </c>
      <c r="I1519">
        <v>30</v>
      </c>
      <c r="J1519">
        <v>309</v>
      </c>
      <c r="K1519" t="s">
        <v>54</v>
      </c>
      <c r="L1519">
        <v>1</v>
      </c>
      <c r="M1519" t="str">
        <f t="shared" si="23"/>
        <v>0-6 Months</v>
      </c>
      <c r="N1519" s="1">
        <v>44618</v>
      </c>
      <c r="O1519">
        <v>0</v>
      </c>
      <c r="P1519">
        <v>1518</v>
      </c>
      <c r="Q1519" s="2">
        <v>0.91</v>
      </c>
      <c r="R1519" t="s">
        <v>27</v>
      </c>
      <c r="S1519">
        <v>2022</v>
      </c>
      <c r="T1519" t="s">
        <v>43</v>
      </c>
    </row>
    <row r="1520" spans="1:20" hidden="1" x14ac:dyDescent="0.3">
      <c r="A1520">
        <v>2577</v>
      </c>
      <c r="B1520">
        <v>260</v>
      </c>
      <c r="C1520" t="s">
        <v>40</v>
      </c>
      <c r="D1520" t="s">
        <v>19</v>
      </c>
      <c r="E1520" t="s">
        <v>26</v>
      </c>
      <c r="F1520" s="1">
        <v>44870</v>
      </c>
      <c r="G1520" s="1">
        <v>45316</v>
      </c>
      <c r="H1520">
        <v>3758</v>
      </c>
      <c r="I1520">
        <v>6979</v>
      </c>
      <c r="J1520">
        <v>-3221</v>
      </c>
      <c r="K1520" t="s">
        <v>54</v>
      </c>
      <c r="L1520">
        <v>14</v>
      </c>
      <c r="M1520" t="str">
        <f t="shared" si="23"/>
        <v>6-12 Months</v>
      </c>
      <c r="N1520" s="1">
        <v>45316</v>
      </c>
      <c r="O1520">
        <v>0</v>
      </c>
      <c r="P1520">
        <v>1519</v>
      </c>
      <c r="Q1520" s="2">
        <v>-0.86</v>
      </c>
      <c r="R1520" t="s">
        <v>27</v>
      </c>
      <c r="S1520">
        <v>2024</v>
      </c>
      <c r="T1520" t="s">
        <v>23</v>
      </c>
    </row>
    <row r="1521" spans="1:20" x14ac:dyDescent="0.3">
      <c r="A1521">
        <v>2580</v>
      </c>
      <c r="B1521">
        <v>352</v>
      </c>
      <c r="C1521" t="s">
        <v>39</v>
      </c>
      <c r="D1521" t="s">
        <v>29</v>
      </c>
      <c r="E1521" t="s">
        <v>26</v>
      </c>
      <c r="F1521" s="1">
        <v>44584</v>
      </c>
      <c r="G1521" s="1">
        <v>45002</v>
      </c>
      <c r="H1521">
        <v>6631</v>
      </c>
      <c r="I1521">
        <v>7062</v>
      </c>
      <c r="J1521">
        <v>-431</v>
      </c>
      <c r="K1521" t="s">
        <v>35</v>
      </c>
      <c r="L1521">
        <v>13</v>
      </c>
      <c r="M1521" t="str">
        <f t="shared" si="23"/>
        <v>6-12 Months</v>
      </c>
      <c r="N1521" s="1">
        <v>45002</v>
      </c>
      <c r="O1521">
        <v>0</v>
      </c>
      <c r="P1521">
        <v>1520</v>
      </c>
      <c r="Q1521" s="2">
        <v>-0.06</v>
      </c>
      <c r="R1521" t="s">
        <v>27</v>
      </c>
      <c r="S1521">
        <v>2023</v>
      </c>
      <c r="T1521" t="s">
        <v>38</v>
      </c>
    </row>
    <row r="1522" spans="1:20" hidden="1" x14ac:dyDescent="0.3">
      <c r="A1522">
        <v>2581</v>
      </c>
      <c r="B1522">
        <v>194</v>
      </c>
      <c r="C1522" t="s">
        <v>39</v>
      </c>
      <c r="D1522" t="s">
        <v>29</v>
      </c>
      <c r="E1522" t="s">
        <v>37</v>
      </c>
      <c r="F1522" s="1">
        <v>44707</v>
      </c>
      <c r="G1522" s="1">
        <v>44845</v>
      </c>
      <c r="H1522">
        <v>5902</v>
      </c>
      <c r="I1522">
        <v>7743</v>
      </c>
      <c r="J1522">
        <v>-1841</v>
      </c>
      <c r="K1522" t="s">
        <v>54</v>
      </c>
      <c r="L1522">
        <v>4</v>
      </c>
      <c r="M1522" t="str">
        <f t="shared" si="23"/>
        <v>0-6 Months</v>
      </c>
      <c r="N1522" s="1">
        <v>44845</v>
      </c>
      <c r="O1522">
        <v>1</v>
      </c>
      <c r="P1522">
        <v>1521</v>
      </c>
      <c r="Q1522" s="2">
        <v>-0.31</v>
      </c>
      <c r="R1522" t="s">
        <v>27</v>
      </c>
      <c r="S1522">
        <v>2022</v>
      </c>
      <c r="T1522" t="s">
        <v>33</v>
      </c>
    </row>
    <row r="1523" spans="1:20" x14ac:dyDescent="0.3">
      <c r="A1523">
        <v>2583</v>
      </c>
      <c r="B1523">
        <v>202</v>
      </c>
      <c r="C1523" t="s">
        <v>39</v>
      </c>
      <c r="D1523" t="s">
        <v>34</v>
      </c>
      <c r="E1523" t="s">
        <v>37</v>
      </c>
      <c r="F1523" s="1">
        <v>44917</v>
      </c>
      <c r="G1523" s="1">
        <v>45138</v>
      </c>
      <c r="H1523">
        <v>1121</v>
      </c>
      <c r="I1523">
        <v>464</v>
      </c>
      <c r="J1523">
        <v>657</v>
      </c>
      <c r="K1523" t="s">
        <v>35</v>
      </c>
      <c r="L1523">
        <v>7</v>
      </c>
      <c r="M1523" t="str">
        <f t="shared" si="23"/>
        <v>6-12 Months</v>
      </c>
      <c r="N1523" s="1">
        <v>45138</v>
      </c>
      <c r="O1523">
        <v>1</v>
      </c>
      <c r="P1523">
        <v>1522</v>
      </c>
      <c r="Q1523" s="2">
        <v>0.59</v>
      </c>
      <c r="R1523" t="s">
        <v>27</v>
      </c>
      <c r="S1523">
        <v>2023</v>
      </c>
      <c r="T1523" t="s">
        <v>44</v>
      </c>
    </row>
    <row r="1524" spans="1:20" x14ac:dyDescent="0.3">
      <c r="A1524">
        <v>2584</v>
      </c>
      <c r="B1524">
        <v>307</v>
      </c>
      <c r="C1524" t="s">
        <v>24</v>
      </c>
      <c r="D1524" t="s">
        <v>25</v>
      </c>
      <c r="E1524" t="s">
        <v>37</v>
      </c>
      <c r="F1524" s="1">
        <v>44894</v>
      </c>
      <c r="G1524" s="1">
        <v>45431</v>
      </c>
      <c r="H1524">
        <v>8397</v>
      </c>
      <c r="I1524">
        <v>6861</v>
      </c>
      <c r="J1524">
        <v>1536</v>
      </c>
      <c r="K1524" t="s">
        <v>35</v>
      </c>
      <c r="L1524">
        <v>17</v>
      </c>
      <c r="M1524" t="str">
        <f t="shared" si="23"/>
        <v>6-12 Months</v>
      </c>
      <c r="N1524" s="1">
        <v>45431</v>
      </c>
      <c r="O1524">
        <v>0</v>
      </c>
      <c r="P1524">
        <v>1523</v>
      </c>
      <c r="Q1524" s="2">
        <v>0.18</v>
      </c>
      <c r="R1524" t="s">
        <v>27</v>
      </c>
      <c r="S1524">
        <v>2024</v>
      </c>
      <c r="T1524" t="s">
        <v>28</v>
      </c>
    </row>
    <row r="1525" spans="1:20" hidden="1" x14ac:dyDescent="0.3">
      <c r="A1525">
        <v>2585</v>
      </c>
      <c r="B1525">
        <v>103</v>
      </c>
      <c r="C1525" t="s">
        <v>40</v>
      </c>
      <c r="D1525" t="s">
        <v>34</v>
      </c>
      <c r="E1525" t="s">
        <v>20</v>
      </c>
      <c r="F1525" s="1">
        <v>44639</v>
      </c>
      <c r="G1525" s="1">
        <v>45043</v>
      </c>
      <c r="H1525">
        <v>2299</v>
      </c>
      <c r="I1525">
        <v>6450</v>
      </c>
      <c r="J1525">
        <v>577.01</v>
      </c>
      <c r="K1525" t="s">
        <v>54</v>
      </c>
      <c r="L1525">
        <v>13</v>
      </c>
      <c r="M1525" t="str">
        <f t="shared" si="23"/>
        <v>6-12 Months</v>
      </c>
      <c r="N1525" s="1">
        <v>45043</v>
      </c>
      <c r="O1525">
        <v>0</v>
      </c>
      <c r="P1525">
        <v>1524</v>
      </c>
      <c r="Q1525" s="2">
        <v>0.25</v>
      </c>
      <c r="R1525" t="s">
        <v>27</v>
      </c>
      <c r="S1525">
        <v>2023</v>
      </c>
      <c r="T1525" t="s">
        <v>32</v>
      </c>
    </row>
    <row r="1526" spans="1:20" hidden="1" x14ac:dyDescent="0.3">
      <c r="A1526">
        <v>2586</v>
      </c>
      <c r="B1526">
        <v>102</v>
      </c>
      <c r="C1526" t="s">
        <v>39</v>
      </c>
      <c r="D1526" t="s">
        <v>34</v>
      </c>
      <c r="E1526" t="s">
        <v>37</v>
      </c>
      <c r="F1526" s="1">
        <v>44879</v>
      </c>
      <c r="G1526" s="1">
        <v>45470</v>
      </c>
      <c r="H1526">
        <v>3641</v>
      </c>
      <c r="I1526">
        <v>6097</v>
      </c>
      <c r="J1526">
        <v>-2456</v>
      </c>
      <c r="K1526" t="s">
        <v>54</v>
      </c>
      <c r="L1526">
        <v>19</v>
      </c>
      <c r="M1526" t="str">
        <f t="shared" si="23"/>
        <v>6-12 Months</v>
      </c>
      <c r="N1526" s="1">
        <v>45470</v>
      </c>
      <c r="O1526">
        <v>1</v>
      </c>
      <c r="P1526">
        <v>1525</v>
      </c>
      <c r="Q1526" s="2">
        <v>-0.67</v>
      </c>
      <c r="R1526" t="s">
        <v>27</v>
      </c>
      <c r="S1526">
        <v>2024</v>
      </c>
      <c r="T1526" t="s">
        <v>41</v>
      </c>
    </row>
    <row r="1527" spans="1:20" x14ac:dyDescent="0.3">
      <c r="A1527">
        <v>2588</v>
      </c>
      <c r="B1527">
        <v>428</v>
      </c>
      <c r="C1527" t="s">
        <v>53</v>
      </c>
      <c r="D1527" t="s">
        <v>25</v>
      </c>
      <c r="E1527" t="s">
        <v>20</v>
      </c>
      <c r="F1527" s="1">
        <v>44776</v>
      </c>
      <c r="G1527" s="1">
        <v>45026</v>
      </c>
      <c r="H1527">
        <v>8992</v>
      </c>
      <c r="I1527">
        <v>471</v>
      </c>
      <c r="J1527">
        <v>8521</v>
      </c>
      <c r="K1527" t="s">
        <v>35</v>
      </c>
      <c r="L1527">
        <v>8</v>
      </c>
      <c r="M1527" t="str">
        <f t="shared" si="23"/>
        <v>6-12 Months</v>
      </c>
      <c r="N1527" s="1">
        <v>45026</v>
      </c>
      <c r="O1527">
        <v>0</v>
      </c>
      <c r="P1527">
        <v>1526</v>
      </c>
      <c r="Q1527" s="2">
        <v>0.95</v>
      </c>
      <c r="R1527" t="s">
        <v>27</v>
      </c>
      <c r="S1527">
        <v>2023</v>
      </c>
      <c r="T1527" t="s">
        <v>32</v>
      </c>
    </row>
    <row r="1528" spans="1:20" hidden="1" x14ac:dyDescent="0.3">
      <c r="A1528">
        <v>2590</v>
      </c>
      <c r="B1528">
        <v>422</v>
      </c>
      <c r="C1528" t="s">
        <v>45</v>
      </c>
      <c r="D1528" t="s">
        <v>19</v>
      </c>
      <c r="E1528" t="s">
        <v>20</v>
      </c>
      <c r="F1528" s="1">
        <v>44816</v>
      </c>
      <c r="G1528" s="1">
        <v>45312</v>
      </c>
      <c r="H1528">
        <v>2151</v>
      </c>
      <c r="I1528">
        <v>3101</v>
      </c>
      <c r="J1528">
        <v>-950</v>
      </c>
      <c r="K1528" t="s">
        <v>54</v>
      </c>
      <c r="L1528">
        <v>16</v>
      </c>
      <c r="M1528" t="str">
        <f t="shared" si="23"/>
        <v>6-12 Months</v>
      </c>
      <c r="N1528" s="1">
        <v>45312</v>
      </c>
      <c r="O1528">
        <v>0</v>
      </c>
      <c r="P1528">
        <v>1527</v>
      </c>
      <c r="Q1528" s="2">
        <v>-0.44</v>
      </c>
      <c r="R1528" t="s">
        <v>27</v>
      </c>
      <c r="S1528">
        <v>2024</v>
      </c>
      <c r="T1528" t="s">
        <v>23</v>
      </c>
    </row>
    <row r="1529" spans="1:20" hidden="1" x14ac:dyDescent="0.3">
      <c r="A1529">
        <v>2592</v>
      </c>
      <c r="B1529">
        <v>377</v>
      </c>
      <c r="C1529" t="s">
        <v>39</v>
      </c>
      <c r="D1529" t="s">
        <v>19</v>
      </c>
      <c r="E1529" t="s">
        <v>20</v>
      </c>
      <c r="F1529" s="1">
        <v>44893</v>
      </c>
      <c r="G1529" s="1">
        <v>45096</v>
      </c>
      <c r="H1529">
        <v>1395</v>
      </c>
      <c r="I1529">
        <v>7088</v>
      </c>
      <c r="J1529">
        <v>-5693</v>
      </c>
      <c r="K1529" t="s">
        <v>54</v>
      </c>
      <c r="L1529">
        <v>6</v>
      </c>
      <c r="M1529" t="str">
        <f t="shared" si="23"/>
        <v>12+ Months</v>
      </c>
      <c r="N1529" s="1">
        <v>45096</v>
      </c>
      <c r="O1529">
        <v>1</v>
      </c>
      <c r="P1529">
        <v>1528</v>
      </c>
      <c r="Q1529" s="2">
        <v>-4.08</v>
      </c>
      <c r="R1529" t="s">
        <v>22</v>
      </c>
      <c r="S1529">
        <v>2023</v>
      </c>
      <c r="T1529" t="s">
        <v>41</v>
      </c>
    </row>
    <row r="1530" spans="1:20" hidden="1" x14ac:dyDescent="0.3">
      <c r="A1530">
        <v>2593</v>
      </c>
      <c r="B1530">
        <v>499</v>
      </c>
      <c r="C1530" t="s">
        <v>40</v>
      </c>
      <c r="D1530" t="s">
        <v>34</v>
      </c>
      <c r="E1530" t="s">
        <v>37</v>
      </c>
      <c r="F1530" s="1">
        <v>44684</v>
      </c>
      <c r="G1530" s="1">
        <v>45160</v>
      </c>
      <c r="H1530">
        <v>9198</v>
      </c>
      <c r="I1530">
        <v>3321</v>
      </c>
      <c r="J1530">
        <v>577.01</v>
      </c>
      <c r="K1530" t="s">
        <v>54</v>
      </c>
      <c r="L1530">
        <v>15</v>
      </c>
      <c r="M1530" t="str">
        <f t="shared" si="23"/>
        <v>6-12 Months</v>
      </c>
      <c r="N1530" s="1">
        <v>45160</v>
      </c>
      <c r="O1530">
        <v>0</v>
      </c>
      <c r="P1530">
        <v>1529</v>
      </c>
      <c r="Q1530" s="2">
        <v>0.06</v>
      </c>
      <c r="R1530" t="s">
        <v>27</v>
      </c>
      <c r="S1530">
        <v>2023</v>
      </c>
      <c r="T1530" t="s">
        <v>36</v>
      </c>
    </row>
    <row r="1531" spans="1:20" hidden="1" x14ac:dyDescent="0.3">
      <c r="A1531">
        <v>2595</v>
      </c>
      <c r="B1531">
        <v>320</v>
      </c>
      <c r="C1531" t="s">
        <v>45</v>
      </c>
      <c r="D1531" t="s">
        <v>19</v>
      </c>
      <c r="E1531" t="s">
        <v>26</v>
      </c>
      <c r="F1531" s="1">
        <v>44615</v>
      </c>
      <c r="G1531" s="1">
        <v>44659</v>
      </c>
      <c r="H1531">
        <v>963</v>
      </c>
      <c r="I1531">
        <v>1453</v>
      </c>
      <c r="J1531">
        <v>-490</v>
      </c>
      <c r="K1531" t="s">
        <v>54</v>
      </c>
      <c r="L1531">
        <v>1</v>
      </c>
      <c r="M1531" t="str">
        <f t="shared" si="23"/>
        <v>0-6 Months</v>
      </c>
      <c r="N1531" s="1">
        <v>44659</v>
      </c>
      <c r="O1531">
        <v>0</v>
      </c>
      <c r="P1531">
        <v>1530</v>
      </c>
      <c r="Q1531" s="2">
        <v>-0.51</v>
      </c>
      <c r="R1531" t="s">
        <v>27</v>
      </c>
      <c r="S1531">
        <v>2022</v>
      </c>
      <c r="T1531" t="s">
        <v>32</v>
      </c>
    </row>
    <row r="1532" spans="1:20" hidden="1" x14ac:dyDescent="0.3">
      <c r="A1532">
        <v>2596</v>
      </c>
      <c r="B1532">
        <v>438</v>
      </c>
      <c r="C1532" t="s">
        <v>53</v>
      </c>
      <c r="D1532" t="s">
        <v>25</v>
      </c>
      <c r="E1532" t="s">
        <v>37</v>
      </c>
      <c r="F1532" s="1">
        <v>44672</v>
      </c>
      <c r="G1532" s="1">
        <v>44765</v>
      </c>
      <c r="H1532">
        <v>8686</v>
      </c>
      <c r="I1532">
        <v>2432</v>
      </c>
      <c r="J1532">
        <v>6254</v>
      </c>
      <c r="K1532" t="s">
        <v>54</v>
      </c>
      <c r="L1532">
        <v>3</v>
      </c>
      <c r="M1532" t="str">
        <f t="shared" si="23"/>
        <v>0-6 Months</v>
      </c>
      <c r="N1532" s="1">
        <v>44765</v>
      </c>
      <c r="O1532">
        <v>1</v>
      </c>
      <c r="P1532">
        <v>1531</v>
      </c>
      <c r="Q1532" s="2">
        <v>0.72</v>
      </c>
      <c r="R1532" t="s">
        <v>27</v>
      </c>
      <c r="S1532">
        <v>2022</v>
      </c>
      <c r="T1532" t="s">
        <v>44</v>
      </c>
    </row>
    <row r="1533" spans="1:20" hidden="1" x14ac:dyDescent="0.3">
      <c r="A1533">
        <v>2597</v>
      </c>
      <c r="B1533">
        <v>474</v>
      </c>
      <c r="C1533" t="s">
        <v>39</v>
      </c>
      <c r="D1533" t="s">
        <v>29</v>
      </c>
      <c r="E1533" t="s">
        <v>26</v>
      </c>
      <c r="F1533" s="1">
        <v>44898</v>
      </c>
      <c r="G1533" s="1">
        <v>45287</v>
      </c>
      <c r="H1533">
        <v>5802</v>
      </c>
      <c r="I1533">
        <v>1338</v>
      </c>
      <c r="J1533">
        <v>4464</v>
      </c>
      <c r="K1533" t="s">
        <v>54</v>
      </c>
      <c r="L1533">
        <v>12</v>
      </c>
      <c r="M1533" t="str">
        <f t="shared" si="23"/>
        <v>6-12 Months</v>
      </c>
      <c r="N1533" s="1">
        <v>45287</v>
      </c>
      <c r="O1533">
        <v>1</v>
      </c>
      <c r="P1533">
        <v>1532</v>
      </c>
      <c r="Q1533" s="2">
        <v>0.77</v>
      </c>
      <c r="R1533" t="s">
        <v>27</v>
      </c>
      <c r="S1533">
        <v>2023</v>
      </c>
      <c r="T1533" t="s">
        <v>31</v>
      </c>
    </row>
    <row r="1534" spans="1:20" hidden="1" x14ac:dyDescent="0.3">
      <c r="A1534">
        <v>2598</v>
      </c>
      <c r="B1534">
        <v>298</v>
      </c>
      <c r="C1534" t="s">
        <v>24</v>
      </c>
      <c r="D1534" t="s">
        <v>19</v>
      </c>
      <c r="E1534" t="s">
        <v>37</v>
      </c>
      <c r="F1534" s="1">
        <v>44876</v>
      </c>
      <c r="G1534" s="1">
        <v>45273</v>
      </c>
      <c r="H1534">
        <v>6494</v>
      </c>
      <c r="I1534">
        <v>3044</v>
      </c>
      <c r="J1534">
        <v>3450</v>
      </c>
      <c r="K1534" t="s">
        <v>54</v>
      </c>
      <c r="L1534">
        <v>13</v>
      </c>
      <c r="M1534" t="str">
        <f t="shared" si="23"/>
        <v>6-12 Months</v>
      </c>
      <c r="N1534" s="1">
        <v>45273</v>
      </c>
      <c r="O1534">
        <v>1</v>
      </c>
      <c r="P1534">
        <v>1533</v>
      </c>
      <c r="Q1534" s="2">
        <v>0.53</v>
      </c>
      <c r="R1534" t="s">
        <v>27</v>
      </c>
      <c r="S1534">
        <v>2023</v>
      </c>
      <c r="T1534" t="s">
        <v>31</v>
      </c>
    </row>
    <row r="1535" spans="1:20" x14ac:dyDescent="0.3">
      <c r="A1535">
        <v>2599</v>
      </c>
      <c r="B1535">
        <v>422</v>
      </c>
      <c r="C1535" t="s">
        <v>40</v>
      </c>
      <c r="D1535" t="s">
        <v>19</v>
      </c>
      <c r="E1535" t="s">
        <v>37</v>
      </c>
      <c r="F1535" s="1">
        <v>44674</v>
      </c>
      <c r="G1535" s="1">
        <v>45152</v>
      </c>
      <c r="H1535">
        <v>2004</v>
      </c>
      <c r="I1535">
        <v>7940</v>
      </c>
      <c r="J1535">
        <v>-5936</v>
      </c>
      <c r="K1535" t="s">
        <v>35</v>
      </c>
      <c r="L1535">
        <v>15</v>
      </c>
      <c r="M1535" t="str">
        <f t="shared" si="23"/>
        <v>6-12 Months</v>
      </c>
      <c r="N1535" s="1">
        <v>45152</v>
      </c>
      <c r="O1535">
        <v>0</v>
      </c>
      <c r="P1535">
        <v>1534</v>
      </c>
      <c r="Q1535" s="2">
        <v>-2.96</v>
      </c>
      <c r="R1535" t="s">
        <v>22</v>
      </c>
      <c r="S1535">
        <v>2023</v>
      </c>
      <c r="T1535" t="s">
        <v>36</v>
      </c>
    </row>
    <row r="1536" spans="1:20" hidden="1" x14ac:dyDescent="0.3">
      <c r="A1536">
        <v>2601</v>
      </c>
      <c r="B1536">
        <v>336</v>
      </c>
      <c r="C1536" t="s">
        <v>45</v>
      </c>
      <c r="D1536" t="s">
        <v>25</v>
      </c>
      <c r="E1536" t="s">
        <v>20</v>
      </c>
      <c r="F1536" s="1">
        <v>44569</v>
      </c>
      <c r="G1536" s="1">
        <v>45149</v>
      </c>
      <c r="H1536">
        <v>5468</v>
      </c>
      <c r="I1536">
        <v>6089</v>
      </c>
      <c r="J1536">
        <v>-621</v>
      </c>
      <c r="K1536" t="s">
        <v>54</v>
      </c>
      <c r="L1536">
        <v>19</v>
      </c>
      <c r="M1536" t="str">
        <f t="shared" si="23"/>
        <v>6-12 Months</v>
      </c>
      <c r="N1536" s="1">
        <v>45149</v>
      </c>
      <c r="O1536">
        <v>1</v>
      </c>
      <c r="P1536">
        <v>1535</v>
      </c>
      <c r="Q1536" s="2">
        <v>-0.11</v>
      </c>
      <c r="R1536" t="s">
        <v>27</v>
      </c>
      <c r="S1536">
        <v>2023</v>
      </c>
      <c r="T1536" t="s">
        <v>36</v>
      </c>
    </row>
    <row r="1537" spans="1:20" hidden="1" x14ac:dyDescent="0.3">
      <c r="A1537">
        <v>2602</v>
      </c>
      <c r="B1537">
        <v>434</v>
      </c>
      <c r="C1537" t="s">
        <v>39</v>
      </c>
      <c r="D1537" t="s">
        <v>25</v>
      </c>
      <c r="E1537" t="s">
        <v>26</v>
      </c>
      <c r="F1537" s="1">
        <v>44653</v>
      </c>
      <c r="G1537" s="1">
        <v>45079</v>
      </c>
      <c r="H1537">
        <v>3619</v>
      </c>
      <c r="I1537">
        <v>7941</v>
      </c>
      <c r="J1537">
        <v>-4322</v>
      </c>
      <c r="K1537" t="s">
        <v>54</v>
      </c>
      <c r="L1537">
        <v>14</v>
      </c>
      <c r="M1537" t="str">
        <f t="shared" si="23"/>
        <v>6-12 Months</v>
      </c>
      <c r="N1537" s="1">
        <v>45079</v>
      </c>
      <c r="O1537">
        <v>0</v>
      </c>
      <c r="P1537">
        <v>1536</v>
      </c>
      <c r="Q1537" s="2">
        <v>-1.19</v>
      </c>
      <c r="R1537" t="s">
        <v>22</v>
      </c>
      <c r="S1537">
        <v>2023</v>
      </c>
      <c r="T1537" t="s">
        <v>41</v>
      </c>
    </row>
    <row r="1538" spans="1:20" hidden="1" x14ac:dyDescent="0.3">
      <c r="A1538">
        <v>2605</v>
      </c>
      <c r="B1538">
        <v>287</v>
      </c>
      <c r="C1538" t="s">
        <v>39</v>
      </c>
      <c r="D1538" t="s">
        <v>34</v>
      </c>
      <c r="E1538" t="s">
        <v>26</v>
      </c>
      <c r="F1538" s="1">
        <v>44819</v>
      </c>
      <c r="G1538" s="1">
        <v>45042</v>
      </c>
      <c r="H1538">
        <v>4731</v>
      </c>
      <c r="I1538">
        <v>1035</v>
      </c>
      <c r="J1538">
        <v>3696</v>
      </c>
      <c r="K1538" t="s">
        <v>21</v>
      </c>
      <c r="L1538">
        <v>7</v>
      </c>
      <c r="M1538" t="str">
        <f t="shared" ref="M1538:M1601" si="24">IF(L1538&lt;6,"0-6 Months",IF(L1538&gt;6,"6-12 Months","12+ Months"))</f>
        <v>6-12 Months</v>
      </c>
      <c r="N1538" s="1">
        <v>45042</v>
      </c>
      <c r="O1538">
        <v>1</v>
      </c>
      <c r="P1538">
        <v>1537</v>
      </c>
      <c r="Q1538" s="2">
        <v>0.78</v>
      </c>
      <c r="R1538" t="s">
        <v>27</v>
      </c>
      <c r="S1538">
        <v>2023</v>
      </c>
      <c r="T1538" t="s">
        <v>32</v>
      </c>
    </row>
    <row r="1539" spans="1:20" hidden="1" x14ac:dyDescent="0.3">
      <c r="A1539">
        <v>2607</v>
      </c>
      <c r="B1539">
        <v>435</v>
      </c>
      <c r="C1539" t="s">
        <v>45</v>
      </c>
      <c r="D1539" t="s">
        <v>25</v>
      </c>
      <c r="E1539" t="s">
        <v>20</v>
      </c>
      <c r="F1539" s="1">
        <v>44757</v>
      </c>
      <c r="G1539" s="1">
        <v>45198</v>
      </c>
      <c r="H1539">
        <v>483</v>
      </c>
      <c r="I1539">
        <v>336</v>
      </c>
      <c r="J1539">
        <v>147</v>
      </c>
      <c r="K1539" t="s">
        <v>54</v>
      </c>
      <c r="L1539">
        <v>14</v>
      </c>
      <c r="M1539" t="str">
        <f t="shared" si="24"/>
        <v>6-12 Months</v>
      </c>
      <c r="N1539" s="1">
        <v>45198</v>
      </c>
      <c r="O1539">
        <v>1</v>
      </c>
      <c r="P1539">
        <v>1538</v>
      </c>
      <c r="Q1539" s="2">
        <v>0.3</v>
      </c>
      <c r="R1539" t="s">
        <v>27</v>
      </c>
      <c r="S1539">
        <v>2023</v>
      </c>
      <c r="T1539" t="s">
        <v>30</v>
      </c>
    </row>
    <row r="1540" spans="1:20" hidden="1" x14ac:dyDescent="0.3">
      <c r="A1540">
        <v>2609</v>
      </c>
      <c r="B1540">
        <v>472</v>
      </c>
      <c r="C1540" t="s">
        <v>45</v>
      </c>
      <c r="D1540" t="s">
        <v>25</v>
      </c>
      <c r="E1540" t="s">
        <v>26</v>
      </c>
      <c r="F1540" s="1">
        <v>44840</v>
      </c>
      <c r="G1540" s="1">
        <v>45267</v>
      </c>
      <c r="H1540">
        <v>7509</v>
      </c>
      <c r="I1540">
        <v>2803</v>
      </c>
      <c r="J1540">
        <v>4706</v>
      </c>
      <c r="K1540" t="s">
        <v>54</v>
      </c>
      <c r="L1540">
        <v>14</v>
      </c>
      <c r="M1540" t="str">
        <f t="shared" si="24"/>
        <v>6-12 Months</v>
      </c>
      <c r="N1540" s="1">
        <v>45267</v>
      </c>
      <c r="O1540">
        <v>0</v>
      </c>
      <c r="P1540">
        <v>1539</v>
      </c>
      <c r="Q1540" s="2">
        <v>0.63</v>
      </c>
      <c r="R1540" t="s">
        <v>27</v>
      </c>
      <c r="S1540">
        <v>2023</v>
      </c>
      <c r="T1540" t="s">
        <v>31</v>
      </c>
    </row>
    <row r="1541" spans="1:20" hidden="1" x14ac:dyDescent="0.3">
      <c r="A1541">
        <v>2610</v>
      </c>
      <c r="B1541">
        <v>351</v>
      </c>
      <c r="C1541" t="s">
        <v>45</v>
      </c>
      <c r="D1541" t="s">
        <v>25</v>
      </c>
      <c r="E1541" t="s">
        <v>26</v>
      </c>
      <c r="F1541" s="1">
        <v>44579</v>
      </c>
      <c r="G1541" s="1">
        <v>44837</v>
      </c>
      <c r="H1541">
        <v>7139</v>
      </c>
      <c r="I1541">
        <v>4012.75</v>
      </c>
      <c r="J1541">
        <v>7236</v>
      </c>
      <c r="K1541" t="s">
        <v>54</v>
      </c>
      <c r="L1541">
        <v>8</v>
      </c>
      <c r="M1541" t="str">
        <f t="shared" si="24"/>
        <v>6-12 Months</v>
      </c>
      <c r="N1541" s="1">
        <v>44837</v>
      </c>
      <c r="O1541">
        <v>1</v>
      </c>
      <c r="P1541">
        <v>1540</v>
      </c>
      <c r="Q1541" s="2">
        <v>1.01</v>
      </c>
      <c r="R1541" t="s">
        <v>22</v>
      </c>
      <c r="S1541">
        <v>2022</v>
      </c>
      <c r="T1541" t="s">
        <v>33</v>
      </c>
    </row>
    <row r="1542" spans="1:20" hidden="1" x14ac:dyDescent="0.3">
      <c r="A1542">
        <v>2611</v>
      </c>
      <c r="B1542">
        <v>323</v>
      </c>
      <c r="C1542" t="s">
        <v>45</v>
      </c>
      <c r="D1542" t="s">
        <v>19</v>
      </c>
      <c r="E1542" t="s">
        <v>26</v>
      </c>
      <c r="F1542" s="1">
        <v>44832</v>
      </c>
      <c r="G1542" s="1">
        <v>44959</v>
      </c>
      <c r="H1542">
        <v>4769</v>
      </c>
      <c r="I1542">
        <v>2753</v>
      </c>
      <c r="J1542">
        <v>2016</v>
      </c>
      <c r="K1542" t="s">
        <v>54</v>
      </c>
      <c r="L1542">
        <v>4</v>
      </c>
      <c r="M1542" t="str">
        <f t="shared" si="24"/>
        <v>0-6 Months</v>
      </c>
      <c r="N1542" s="1">
        <v>44959</v>
      </c>
      <c r="O1542">
        <v>0</v>
      </c>
      <c r="P1542">
        <v>1541</v>
      </c>
      <c r="Q1542" s="2">
        <v>0.42</v>
      </c>
      <c r="R1542" t="s">
        <v>27</v>
      </c>
      <c r="S1542">
        <v>2023</v>
      </c>
      <c r="T1542" t="s">
        <v>43</v>
      </c>
    </row>
    <row r="1543" spans="1:20" x14ac:dyDescent="0.3">
      <c r="A1543">
        <v>2612</v>
      </c>
      <c r="B1543">
        <v>373</v>
      </c>
      <c r="C1543" t="s">
        <v>45</v>
      </c>
      <c r="D1543" t="s">
        <v>25</v>
      </c>
      <c r="E1543" t="s">
        <v>26</v>
      </c>
      <c r="F1543" s="1">
        <v>44631</v>
      </c>
      <c r="G1543" s="1">
        <v>44993</v>
      </c>
      <c r="H1543">
        <v>2951</v>
      </c>
      <c r="I1543">
        <v>6604</v>
      </c>
      <c r="J1543">
        <v>-3653</v>
      </c>
      <c r="K1543" t="s">
        <v>35</v>
      </c>
      <c r="L1543">
        <v>11</v>
      </c>
      <c r="M1543" t="str">
        <f t="shared" si="24"/>
        <v>6-12 Months</v>
      </c>
      <c r="N1543" s="1">
        <v>44993</v>
      </c>
      <c r="O1543">
        <v>0</v>
      </c>
      <c r="P1543">
        <v>1542</v>
      </c>
      <c r="Q1543" s="2">
        <v>-1.24</v>
      </c>
      <c r="R1543" t="s">
        <v>22</v>
      </c>
      <c r="S1543">
        <v>2023</v>
      </c>
      <c r="T1543" t="s">
        <v>38</v>
      </c>
    </row>
    <row r="1544" spans="1:20" x14ac:dyDescent="0.3">
      <c r="A1544">
        <v>2614</v>
      </c>
      <c r="B1544">
        <v>332</v>
      </c>
      <c r="C1544" t="s">
        <v>39</v>
      </c>
      <c r="D1544" t="s">
        <v>29</v>
      </c>
      <c r="E1544" t="s">
        <v>37</v>
      </c>
      <c r="F1544" s="1">
        <v>44657</v>
      </c>
      <c r="G1544" s="1">
        <v>44758</v>
      </c>
      <c r="H1544">
        <v>1477</v>
      </c>
      <c r="I1544">
        <v>4093</v>
      </c>
      <c r="J1544">
        <v>-2616</v>
      </c>
      <c r="K1544" t="s">
        <v>35</v>
      </c>
      <c r="L1544">
        <v>3</v>
      </c>
      <c r="M1544" t="str">
        <f t="shared" si="24"/>
        <v>0-6 Months</v>
      </c>
      <c r="N1544" s="1">
        <v>44758</v>
      </c>
      <c r="O1544">
        <v>0</v>
      </c>
      <c r="P1544">
        <v>1543</v>
      </c>
      <c r="Q1544" s="2">
        <v>-1.77</v>
      </c>
      <c r="R1544" t="s">
        <v>22</v>
      </c>
      <c r="S1544">
        <v>2022</v>
      </c>
      <c r="T1544" t="s">
        <v>44</v>
      </c>
    </row>
    <row r="1545" spans="1:20" x14ac:dyDescent="0.3">
      <c r="A1545">
        <v>2615</v>
      </c>
      <c r="B1545">
        <v>218</v>
      </c>
      <c r="C1545" t="s">
        <v>45</v>
      </c>
      <c r="D1545" t="s">
        <v>34</v>
      </c>
      <c r="E1545" t="s">
        <v>26</v>
      </c>
      <c r="F1545" s="1">
        <v>44612</v>
      </c>
      <c r="G1545" s="1">
        <v>45037</v>
      </c>
      <c r="H1545">
        <v>5712</v>
      </c>
      <c r="I1545">
        <v>7757</v>
      </c>
      <c r="J1545">
        <v>-2045</v>
      </c>
      <c r="K1545" t="s">
        <v>35</v>
      </c>
      <c r="L1545">
        <v>14</v>
      </c>
      <c r="M1545" t="str">
        <f t="shared" si="24"/>
        <v>6-12 Months</v>
      </c>
      <c r="N1545" s="1">
        <v>45037</v>
      </c>
      <c r="O1545">
        <v>0</v>
      </c>
      <c r="P1545">
        <v>1544</v>
      </c>
      <c r="Q1545" s="2">
        <v>-0.36</v>
      </c>
      <c r="R1545" t="s">
        <v>27</v>
      </c>
      <c r="S1545">
        <v>2023</v>
      </c>
      <c r="T1545" t="s">
        <v>32</v>
      </c>
    </row>
    <row r="1546" spans="1:20" hidden="1" x14ac:dyDescent="0.3">
      <c r="A1546">
        <v>2616</v>
      </c>
      <c r="B1546">
        <v>434</v>
      </c>
      <c r="C1546" t="s">
        <v>24</v>
      </c>
      <c r="D1546" t="s">
        <v>19</v>
      </c>
      <c r="E1546" t="s">
        <v>26</v>
      </c>
      <c r="F1546" s="1">
        <v>44662</v>
      </c>
      <c r="G1546" s="1">
        <v>45157</v>
      </c>
      <c r="H1546">
        <v>8629</v>
      </c>
      <c r="I1546">
        <v>6537</v>
      </c>
      <c r="J1546">
        <v>2092</v>
      </c>
      <c r="K1546" t="s">
        <v>21</v>
      </c>
      <c r="L1546">
        <v>16</v>
      </c>
      <c r="M1546" t="str">
        <f t="shared" si="24"/>
        <v>6-12 Months</v>
      </c>
      <c r="N1546" s="1">
        <v>45157</v>
      </c>
      <c r="O1546">
        <v>0</v>
      </c>
      <c r="P1546">
        <v>1545</v>
      </c>
      <c r="Q1546" s="2">
        <v>0.24</v>
      </c>
      <c r="R1546" t="s">
        <v>27</v>
      </c>
      <c r="S1546">
        <v>2023</v>
      </c>
      <c r="T1546" t="s">
        <v>36</v>
      </c>
    </row>
    <row r="1547" spans="1:20" hidden="1" x14ac:dyDescent="0.3">
      <c r="A1547">
        <v>2617</v>
      </c>
      <c r="B1547">
        <v>432</v>
      </c>
      <c r="C1547" t="s">
        <v>24</v>
      </c>
      <c r="D1547" t="s">
        <v>29</v>
      </c>
      <c r="E1547" t="s">
        <v>37</v>
      </c>
      <c r="F1547" s="1">
        <v>44818</v>
      </c>
      <c r="G1547" s="1">
        <v>45077</v>
      </c>
      <c r="H1547">
        <v>4659</v>
      </c>
      <c r="I1547">
        <v>2645</v>
      </c>
      <c r="J1547">
        <v>2014</v>
      </c>
      <c r="K1547" t="s">
        <v>54</v>
      </c>
      <c r="L1547">
        <v>8</v>
      </c>
      <c r="M1547" t="str">
        <f t="shared" si="24"/>
        <v>6-12 Months</v>
      </c>
      <c r="N1547" s="1">
        <v>45077</v>
      </c>
      <c r="O1547">
        <v>0</v>
      </c>
      <c r="P1547">
        <v>1546</v>
      </c>
      <c r="Q1547" s="2">
        <v>0.43</v>
      </c>
      <c r="R1547" t="s">
        <v>27</v>
      </c>
      <c r="S1547">
        <v>2023</v>
      </c>
      <c r="T1547" t="s">
        <v>28</v>
      </c>
    </row>
    <row r="1548" spans="1:20" hidden="1" x14ac:dyDescent="0.3">
      <c r="A1548">
        <v>2618</v>
      </c>
      <c r="B1548">
        <v>180</v>
      </c>
      <c r="C1548" t="s">
        <v>39</v>
      </c>
      <c r="D1548" t="s">
        <v>29</v>
      </c>
      <c r="E1548" t="s">
        <v>20</v>
      </c>
      <c r="F1548" s="1">
        <v>44659</v>
      </c>
      <c r="G1548" s="1">
        <v>45016</v>
      </c>
      <c r="H1548">
        <v>825</v>
      </c>
      <c r="I1548">
        <v>791</v>
      </c>
      <c r="J1548">
        <v>34</v>
      </c>
      <c r="K1548" t="s">
        <v>54</v>
      </c>
      <c r="L1548">
        <v>11</v>
      </c>
      <c r="M1548" t="str">
        <f t="shared" si="24"/>
        <v>6-12 Months</v>
      </c>
      <c r="N1548" s="1">
        <v>45016</v>
      </c>
      <c r="O1548">
        <v>0</v>
      </c>
      <c r="P1548">
        <v>1547</v>
      </c>
      <c r="Q1548" s="2">
        <v>0.04</v>
      </c>
      <c r="R1548" t="s">
        <v>27</v>
      </c>
      <c r="S1548">
        <v>2023</v>
      </c>
      <c r="T1548" t="s">
        <v>38</v>
      </c>
    </row>
    <row r="1549" spans="1:20" hidden="1" x14ac:dyDescent="0.3">
      <c r="A1549">
        <v>2619</v>
      </c>
      <c r="B1549">
        <v>465</v>
      </c>
      <c r="C1549" t="s">
        <v>45</v>
      </c>
      <c r="D1549" t="s">
        <v>29</v>
      </c>
      <c r="E1549" t="s">
        <v>37</v>
      </c>
      <c r="F1549" s="1">
        <v>44898</v>
      </c>
      <c r="G1549" s="1">
        <v>45125</v>
      </c>
      <c r="H1549">
        <v>5581</v>
      </c>
      <c r="I1549">
        <v>4651</v>
      </c>
      <c r="J1549">
        <v>930</v>
      </c>
      <c r="K1549" t="s">
        <v>54</v>
      </c>
      <c r="L1549">
        <v>7</v>
      </c>
      <c r="M1549" t="str">
        <f t="shared" si="24"/>
        <v>6-12 Months</v>
      </c>
      <c r="N1549" s="1">
        <v>45125</v>
      </c>
      <c r="O1549">
        <v>0</v>
      </c>
      <c r="P1549">
        <v>1548</v>
      </c>
      <c r="Q1549" s="2">
        <v>0.17</v>
      </c>
      <c r="R1549" t="s">
        <v>27</v>
      </c>
      <c r="S1549">
        <v>2023</v>
      </c>
      <c r="T1549" t="s">
        <v>44</v>
      </c>
    </row>
    <row r="1550" spans="1:20" hidden="1" x14ac:dyDescent="0.3">
      <c r="A1550">
        <v>2620</v>
      </c>
      <c r="B1550">
        <v>186</v>
      </c>
      <c r="C1550" t="s">
        <v>24</v>
      </c>
      <c r="D1550" t="s">
        <v>29</v>
      </c>
      <c r="E1550" t="s">
        <v>26</v>
      </c>
      <c r="F1550" s="1">
        <v>44645</v>
      </c>
      <c r="G1550" s="1">
        <v>44934</v>
      </c>
      <c r="H1550">
        <v>4967.93</v>
      </c>
      <c r="I1550">
        <v>4075</v>
      </c>
      <c r="J1550">
        <v>-4612</v>
      </c>
      <c r="K1550" t="s">
        <v>54</v>
      </c>
      <c r="L1550">
        <v>9</v>
      </c>
      <c r="M1550" t="str">
        <f t="shared" si="24"/>
        <v>6-12 Months</v>
      </c>
      <c r="N1550" s="1">
        <v>44934</v>
      </c>
      <c r="O1550">
        <v>1</v>
      </c>
      <c r="P1550">
        <v>1549</v>
      </c>
      <c r="Q1550" s="2">
        <v>-0.93</v>
      </c>
      <c r="R1550" t="s">
        <v>27</v>
      </c>
      <c r="S1550">
        <v>2023</v>
      </c>
      <c r="T1550" t="s">
        <v>23</v>
      </c>
    </row>
    <row r="1551" spans="1:20" x14ac:dyDescent="0.3">
      <c r="A1551">
        <v>2621</v>
      </c>
      <c r="B1551">
        <v>247</v>
      </c>
      <c r="C1551" t="s">
        <v>53</v>
      </c>
      <c r="D1551" t="s">
        <v>34</v>
      </c>
      <c r="E1551" t="s">
        <v>37</v>
      </c>
      <c r="F1551" s="1">
        <v>44764</v>
      </c>
      <c r="G1551" s="1">
        <v>45226</v>
      </c>
      <c r="H1551">
        <v>4760</v>
      </c>
      <c r="I1551">
        <v>6608</v>
      </c>
      <c r="J1551">
        <v>-1848</v>
      </c>
      <c r="K1551" t="s">
        <v>35</v>
      </c>
      <c r="L1551">
        <v>15</v>
      </c>
      <c r="M1551" t="str">
        <f t="shared" si="24"/>
        <v>6-12 Months</v>
      </c>
      <c r="N1551" s="1">
        <v>45226</v>
      </c>
      <c r="O1551">
        <v>1</v>
      </c>
      <c r="P1551">
        <v>1550</v>
      </c>
      <c r="Q1551" s="2">
        <v>-0.39</v>
      </c>
      <c r="R1551" t="s">
        <v>27</v>
      </c>
      <c r="S1551">
        <v>2023</v>
      </c>
      <c r="T1551" t="s">
        <v>33</v>
      </c>
    </row>
    <row r="1552" spans="1:20" hidden="1" x14ac:dyDescent="0.3">
      <c r="A1552">
        <v>2622</v>
      </c>
      <c r="B1552">
        <v>484</v>
      </c>
      <c r="C1552" t="s">
        <v>40</v>
      </c>
      <c r="D1552" t="s">
        <v>29</v>
      </c>
      <c r="E1552" t="s">
        <v>20</v>
      </c>
      <c r="F1552" s="1">
        <v>44913</v>
      </c>
      <c r="G1552" s="1">
        <v>45326</v>
      </c>
      <c r="H1552">
        <v>4443</v>
      </c>
      <c r="I1552">
        <v>7108</v>
      </c>
      <c r="J1552">
        <v>-2665</v>
      </c>
      <c r="K1552" t="s">
        <v>54</v>
      </c>
      <c r="L1552">
        <v>13</v>
      </c>
      <c r="M1552" t="str">
        <f t="shared" si="24"/>
        <v>6-12 Months</v>
      </c>
      <c r="N1552" s="1">
        <v>45326</v>
      </c>
      <c r="O1552">
        <v>0</v>
      </c>
      <c r="P1552">
        <v>1551</v>
      </c>
      <c r="Q1552" s="2">
        <v>-0.6</v>
      </c>
      <c r="R1552" t="s">
        <v>27</v>
      </c>
      <c r="S1552">
        <v>2024</v>
      </c>
      <c r="T1552" t="s">
        <v>43</v>
      </c>
    </row>
    <row r="1553" spans="1:20" hidden="1" x14ac:dyDescent="0.3">
      <c r="A1553">
        <v>2623</v>
      </c>
      <c r="B1553">
        <v>151</v>
      </c>
      <c r="C1553" t="s">
        <v>45</v>
      </c>
      <c r="D1553" t="s">
        <v>19</v>
      </c>
      <c r="E1553" t="s">
        <v>26</v>
      </c>
      <c r="F1553" s="1">
        <v>44736</v>
      </c>
      <c r="G1553" s="1">
        <v>45238</v>
      </c>
      <c r="H1553">
        <v>2682</v>
      </c>
      <c r="I1553">
        <v>5092</v>
      </c>
      <c r="J1553">
        <v>-2410</v>
      </c>
      <c r="K1553" t="s">
        <v>54</v>
      </c>
      <c r="L1553">
        <v>16</v>
      </c>
      <c r="M1553" t="str">
        <f t="shared" si="24"/>
        <v>6-12 Months</v>
      </c>
      <c r="N1553" s="1">
        <v>45238</v>
      </c>
      <c r="O1553">
        <v>0</v>
      </c>
      <c r="P1553">
        <v>1552</v>
      </c>
      <c r="Q1553" s="2">
        <v>-0.9</v>
      </c>
      <c r="R1553" t="s">
        <v>27</v>
      </c>
      <c r="S1553">
        <v>2023</v>
      </c>
      <c r="T1553" t="s">
        <v>42</v>
      </c>
    </row>
    <row r="1554" spans="1:20" hidden="1" x14ac:dyDescent="0.3">
      <c r="A1554">
        <v>2624</v>
      </c>
      <c r="B1554">
        <v>297</v>
      </c>
      <c r="C1554" t="s">
        <v>39</v>
      </c>
      <c r="D1554" t="s">
        <v>19</v>
      </c>
      <c r="E1554" t="s">
        <v>20</v>
      </c>
      <c r="F1554" s="1">
        <v>44919</v>
      </c>
      <c r="G1554" s="1">
        <v>45140</v>
      </c>
      <c r="H1554">
        <v>9391</v>
      </c>
      <c r="I1554">
        <v>4012.75</v>
      </c>
      <c r="J1554">
        <v>9779</v>
      </c>
      <c r="K1554" t="s">
        <v>54</v>
      </c>
      <c r="L1554">
        <v>7</v>
      </c>
      <c r="M1554" t="str">
        <f t="shared" si="24"/>
        <v>6-12 Months</v>
      </c>
      <c r="N1554" s="1">
        <v>45140</v>
      </c>
      <c r="O1554">
        <v>1</v>
      </c>
      <c r="P1554">
        <v>1553</v>
      </c>
      <c r="Q1554" s="2">
        <v>1.04</v>
      </c>
      <c r="R1554" t="s">
        <v>22</v>
      </c>
      <c r="S1554">
        <v>2023</v>
      </c>
      <c r="T1554" t="s">
        <v>36</v>
      </c>
    </row>
    <row r="1555" spans="1:20" hidden="1" x14ac:dyDescent="0.3">
      <c r="A1555">
        <v>2625</v>
      </c>
      <c r="B1555">
        <v>215</v>
      </c>
      <c r="C1555" t="s">
        <v>40</v>
      </c>
      <c r="D1555" t="s">
        <v>34</v>
      </c>
      <c r="E1555" t="s">
        <v>37</v>
      </c>
      <c r="F1555" s="1">
        <v>44659</v>
      </c>
      <c r="G1555" s="1">
        <v>44917</v>
      </c>
      <c r="H1555">
        <v>1614</v>
      </c>
      <c r="I1555">
        <v>5788</v>
      </c>
      <c r="J1555">
        <v>-4174</v>
      </c>
      <c r="K1555" t="s">
        <v>54</v>
      </c>
      <c r="L1555">
        <v>8</v>
      </c>
      <c r="M1555" t="str">
        <f t="shared" si="24"/>
        <v>6-12 Months</v>
      </c>
      <c r="N1555" s="1">
        <v>44917</v>
      </c>
      <c r="O1555">
        <v>0</v>
      </c>
      <c r="P1555">
        <v>1554</v>
      </c>
      <c r="Q1555" s="2">
        <v>-2.59</v>
      </c>
      <c r="R1555" t="s">
        <v>22</v>
      </c>
      <c r="S1555">
        <v>2022</v>
      </c>
      <c r="T1555" t="s">
        <v>31</v>
      </c>
    </row>
    <row r="1556" spans="1:20" hidden="1" x14ac:dyDescent="0.3">
      <c r="A1556">
        <v>2628</v>
      </c>
      <c r="B1556">
        <v>343</v>
      </c>
      <c r="C1556" t="s">
        <v>53</v>
      </c>
      <c r="D1556" t="s">
        <v>29</v>
      </c>
      <c r="E1556" t="s">
        <v>20</v>
      </c>
      <c r="F1556" s="1">
        <v>44633</v>
      </c>
      <c r="G1556" s="1">
        <v>45090</v>
      </c>
      <c r="H1556">
        <v>322</v>
      </c>
      <c r="I1556">
        <v>724</v>
      </c>
      <c r="J1556">
        <v>-402</v>
      </c>
      <c r="K1556" t="s">
        <v>54</v>
      </c>
      <c r="L1556">
        <v>15</v>
      </c>
      <c r="M1556" t="str">
        <f t="shared" si="24"/>
        <v>6-12 Months</v>
      </c>
      <c r="N1556" s="1">
        <v>45090</v>
      </c>
      <c r="O1556">
        <v>1</v>
      </c>
      <c r="P1556">
        <v>1555</v>
      </c>
      <c r="Q1556" s="2">
        <v>-1.25</v>
      </c>
      <c r="R1556" t="s">
        <v>22</v>
      </c>
      <c r="S1556">
        <v>2023</v>
      </c>
      <c r="T1556" t="s">
        <v>41</v>
      </c>
    </row>
    <row r="1557" spans="1:20" hidden="1" x14ac:dyDescent="0.3">
      <c r="A1557">
        <v>2629</v>
      </c>
      <c r="B1557">
        <v>427</v>
      </c>
      <c r="C1557" t="s">
        <v>39</v>
      </c>
      <c r="D1557" t="s">
        <v>19</v>
      </c>
      <c r="E1557" t="s">
        <v>37</v>
      </c>
      <c r="F1557" s="1">
        <v>44671</v>
      </c>
      <c r="G1557" s="1">
        <v>44850</v>
      </c>
      <c r="H1557">
        <v>4264</v>
      </c>
      <c r="I1557">
        <v>4012.75</v>
      </c>
      <c r="J1557">
        <v>5158</v>
      </c>
      <c r="K1557" t="s">
        <v>21</v>
      </c>
      <c r="L1557">
        <v>5</v>
      </c>
      <c r="M1557" t="str">
        <f t="shared" si="24"/>
        <v>0-6 Months</v>
      </c>
      <c r="N1557" s="1">
        <v>44850</v>
      </c>
      <c r="O1557">
        <v>0</v>
      </c>
      <c r="P1557">
        <v>1556</v>
      </c>
      <c r="Q1557" s="2">
        <v>1.21</v>
      </c>
      <c r="R1557" t="s">
        <v>22</v>
      </c>
      <c r="S1557">
        <v>2022</v>
      </c>
      <c r="T1557" t="s">
        <v>33</v>
      </c>
    </row>
    <row r="1558" spans="1:20" x14ac:dyDescent="0.3">
      <c r="A1558">
        <v>2630</v>
      </c>
      <c r="B1558">
        <v>384</v>
      </c>
      <c r="C1558" t="s">
        <v>40</v>
      </c>
      <c r="D1558" t="s">
        <v>25</v>
      </c>
      <c r="E1558" t="s">
        <v>20</v>
      </c>
      <c r="F1558" s="1">
        <v>44671</v>
      </c>
      <c r="G1558" s="1">
        <v>44776</v>
      </c>
      <c r="H1558">
        <v>7081</v>
      </c>
      <c r="I1558">
        <v>3896</v>
      </c>
      <c r="J1558">
        <v>3185</v>
      </c>
      <c r="K1558" t="s">
        <v>35</v>
      </c>
      <c r="L1558">
        <v>3</v>
      </c>
      <c r="M1558" t="str">
        <f t="shared" si="24"/>
        <v>0-6 Months</v>
      </c>
      <c r="N1558" s="1">
        <v>44776</v>
      </c>
      <c r="O1558">
        <v>0</v>
      </c>
      <c r="P1558">
        <v>1557</v>
      </c>
      <c r="Q1558" s="2">
        <v>0.45</v>
      </c>
      <c r="R1558" t="s">
        <v>27</v>
      </c>
      <c r="S1558">
        <v>2022</v>
      </c>
      <c r="T1558" t="s">
        <v>36</v>
      </c>
    </row>
    <row r="1559" spans="1:20" hidden="1" x14ac:dyDescent="0.3">
      <c r="A1559">
        <v>2631</v>
      </c>
      <c r="B1559">
        <v>131</v>
      </c>
      <c r="C1559" t="s">
        <v>40</v>
      </c>
      <c r="D1559" t="s">
        <v>29</v>
      </c>
      <c r="E1559" t="s">
        <v>20</v>
      </c>
      <c r="F1559" s="1">
        <v>44709</v>
      </c>
      <c r="G1559" s="1">
        <v>45250</v>
      </c>
      <c r="H1559">
        <v>4967.93</v>
      </c>
      <c r="I1559">
        <v>5498</v>
      </c>
      <c r="J1559">
        <v>-5505</v>
      </c>
      <c r="K1559" t="s">
        <v>54</v>
      </c>
      <c r="L1559">
        <v>17</v>
      </c>
      <c r="M1559" t="str">
        <f t="shared" si="24"/>
        <v>6-12 Months</v>
      </c>
      <c r="N1559" s="1">
        <v>45250</v>
      </c>
      <c r="O1559">
        <v>1</v>
      </c>
      <c r="P1559">
        <v>1558</v>
      </c>
      <c r="Q1559" s="2">
        <v>-1.1100000000000001</v>
      </c>
      <c r="R1559" t="s">
        <v>22</v>
      </c>
      <c r="S1559">
        <v>2023</v>
      </c>
      <c r="T1559" t="s">
        <v>42</v>
      </c>
    </row>
    <row r="1560" spans="1:20" x14ac:dyDescent="0.3">
      <c r="A1560">
        <v>2632</v>
      </c>
      <c r="B1560">
        <v>168</v>
      </c>
      <c r="C1560" t="s">
        <v>45</v>
      </c>
      <c r="D1560" t="s">
        <v>25</v>
      </c>
      <c r="E1560" t="s">
        <v>26</v>
      </c>
      <c r="F1560" s="1">
        <v>44842</v>
      </c>
      <c r="G1560" s="1">
        <v>45389</v>
      </c>
      <c r="H1560">
        <v>4967.93</v>
      </c>
      <c r="I1560">
        <v>4400</v>
      </c>
      <c r="J1560">
        <v>577.01</v>
      </c>
      <c r="K1560" t="s">
        <v>35</v>
      </c>
      <c r="L1560">
        <v>17</v>
      </c>
      <c r="M1560" t="str">
        <f t="shared" si="24"/>
        <v>6-12 Months</v>
      </c>
      <c r="N1560" s="1">
        <v>45389</v>
      </c>
      <c r="O1560">
        <v>0</v>
      </c>
      <c r="P1560">
        <v>1559</v>
      </c>
      <c r="Q1560" s="2">
        <v>0.12</v>
      </c>
      <c r="R1560" t="s">
        <v>27</v>
      </c>
      <c r="S1560">
        <v>2024</v>
      </c>
      <c r="T1560" t="s">
        <v>32</v>
      </c>
    </row>
    <row r="1561" spans="1:20" hidden="1" x14ac:dyDescent="0.3">
      <c r="A1561">
        <v>2633</v>
      </c>
      <c r="B1561">
        <v>419</v>
      </c>
      <c r="C1561" t="s">
        <v>45</v>
      </c>
      <c r="D1561" t="s">
        <v>25</v>
      </c>
      <c r="E1561" t="s">
        <v>37</v>
      </c>
      <c r="F1561" s="1">
        <v>44789</v>
      </c>
      <c r="G1561" s="1">
        <v>45362</v>
      </c>
      <c r="H1561">
        <v>9026</v>
      </c>
      <c r="I1561">
        <v>7060</v>
      </c>
      <c r="J1561">
        <v>1966</v>
      </c>
      <c r="K1561" t="s">
        <v>54</v>
      </c>
      <c r="L1561">
        <v>18</v>
      </c>
      <c r="M1561" t="str">
        <f t="shared" si="24"/>
        <v>6-12 Months</v>
      </c>
      <c r="N1561" s="1">
        <v>45362</v>
      </c>
      <c r="O1561">
        <v>0</v>
      </c>
      <c r="P1561">
        <v>1560</v>
      </c>
      <c r="Q1561" s="2">
        <v>0.22</v>
      </c>
      <c r="R1561" t="s">
        <v>27</v>
      </c>
      <c r="S1561">
        <v>2024</v>
      </c>
      <c r="T1561" t="s">
        <v>38</v>
      </c>
    </row>
    <row r="1562" spans="1:20" hidden="1" x14ac:dyDescent="0.3">
      <c r="A1562">
        <v>2634</v>
      </c>
      <c r="B1562">
        <v>228</v>
      </c>
      <c r="C1562" t="s">
        <v>39</v>
      </c>
      <c r="D1562" t="s">
        <v>29</v>
      </c>
      <c r="E1562" t="s">
        <v>37</v>
      </c>
      <c r="F1562" s="1">
        <v>44907</v>
      </c>
      <c r="G1562" s="1">
        <v>45187</v>
      </c>
      <c r="H1562">
        <v>401</v>
      </c>
      <c r="I1562">
        <v>7846</v>
      </c>
      <c r="J1562">
        <v>-7445</v>
      </c>
      <c r="K1562" t="s">
        <v>54</v>
      </c>
      <c r="L1562">
        <v>9</v>
      </c>
      <c r="M1562" t="str">
        <f t="shared" si="24"/>
        <v>6-12 Months</v>
      </c>
      <c r="N1562" s="1">
        <v>45187</v>
      </c>
      <c r="O1562">
        <v>1</v>
      </c>
      <c r="P1562">
        <v>1561</v>
      </c>
      <c r="Q1562" s="2">
        <v>-18.57</v>
      </c>
      <c r="R1562" t="s">
        <v>22</v>
      </c>
      <c r="S1562">
        <v>2023</v>
      </c>
      <c r="T1562" t="s">
        <v>30</v>
      </c>
    </row>
    <row r="1563" spans="1:20" hidden="1" x14ac:dyDescent="0.3">
      <c r="A1563">
        <v>2635</v>
      </c>
      <c r="B1563">
        <v>114</v>
      </c>
      <c r="C1563" t="s">
        <v>53</v>
      </c>
      <c r="D1563" t="s">
        <v>19</v>
      </c>
      <c r="E1563" t="s">
        <v>26</v>
      </c>
      <c r="F1563" s="1">
        <v>44811</v>
      </c>
      <c r="G1563" s="1">
        <v>44944</v>
      </c>
      <c r="H1563">
        <v>1034</v>
      </c>
      <c r="I1563">
        <v>89</v>
      </c>
      <c r="J1563">
        <v>945</v>
      </c>
      <c r="K1563" t="s">
        <v>54</v>
      </c>
      <c r="L1563">
        <v>4</v>
      </c>
      <c r="M1563" t="str">
        <f t="shared" si="24"/>
        <v>0-6 Months</v>
      </c>
      <c r="N1563" s="1">
        <v>44944</v>
      </c>
      <c r="O1563">
        <v>1</v>
      </c>
      <c r="P1563">
        <v>1562</v>
      </c>
      <c r="Q1563" s="2">
        <v>0.91</v>
      </c>
      <c r="R1563" t="s">
        <v>27</v>
      </c>
      <c r="S1563">
        <v>2023</v>
      </c>
      <c r="T1563" t="s">
        <v>23</v>
      </c>
    </row>
    <row r="1564" spans="1:20" hidden="1" x14ac:dyDescent="0.3">
      <c r="A1564">
        <v>2636</v>
      </c>
      <c r="B1564">
        <v>136</v>
      </c>
      <c r="C1564" t="s">
        <v>53</v>
      </c>
      <c r="D1564" t="s">
        <v>25</v>
      </c>
      <c r="E1564" t="s">
        <v>20</v>
      </c>
      <c r="F1564" s="1">
        <v>44836</v>
      </c>
      <c r="G1564" s="1">
        <v>45317</v>
      </c>
      <c r="H1564">
        <v>1527</v>
      </c>
      <c r="I1564">
        <v>4012.75</v>
      </c>
      <c r="J1564">
        <v>2202</v>
      </c>
      <c r="K1564" t="s">
        <v>21</v>
      </c>
      <c r="L1564">
        <v>15</v>
      </c>
      <c r="M1564" t="str">
        <f t="shared" si="24"/>
        <v>6-12 Months</v>
      </c>
      <c r="N1564" s="1">
        <v>45317</v>
      </c>
      <c r="O1564">
        <v>0</v>
      </c>
      <c r="P1564">
        <v>1563</v>
      </c>
      <c r="Q1564" s="2">
        <v>1.44</v>
      </c>
      <c r="R1564" t="s">
        <v>22</v>
      </c>
      <c r="S1564">
        <v>2024</v>
      </c>
      <c r="T1564" t="s">
        <v>23</v>
      </c>
    </row>
    <row r="1565" spans="1:20" hidden="1" x14ac:dyDescent="0.3">
      <c r="A1565">
        <v>2637</v>
      </c>
      <c r="B1565">
        <v>394</v>
      </c>
      <c r="C1565" t="s">
        <v>53</v>
      </c>
      <c r="D1565" t="s">
        <v>19</v>
      </c>
      <c r="E1565" t="s">
        <v>37</v>
      </c>
      <c r="F1565" s="1">
        <v>44669</v>
      </c>
      <c r="G1565" s="1">
        <v>44930</v>
      </c>
      <c r="H1565">
        <v>9155</v>
      </c>
      <c r="I1565">
        <v>4012.75</v>
      </c>
      <c r="J1565">
        <v>9197</v>
      </c>
      <c r="K1565" t="s">
        <v>54</v>
      </c>
      <c r="L1565">
        <v>8</v>
      </c>
      <c r="M1565" t="str">
        <f t="shared" si="24"/>
        <v>6-12 Months</v>
      </c>
      <c r="N1565" s="1">
        <v>44930</v>
      </c>
      <c r="O1565">
        <v>1</v>
      </c>
      <c r="P1565">
        <v>1564</v>
      </c>
      <c r="Q1565" s="2">
        <v>1</v>
      </c>
      <c r="R1565" t="s">
        <v>22</v>
      </c>
      <c r="S1565">
        <v>2023</v>
      </c>
      <c r="T1565" t="s">
        <v>23</v>
      </c>
    </row>
    <row r="1566" spans="1:20" hidden="1" x14ac:dyDescent="0.3">
      <c r="A1566">
        <v>2638</v>
      </c>
      <c r="B1566">
        <v>193</v>
      </c>
      <c r="C1566" t="s">
        <v>45</v>
      </c>
      <c r="D1566" t="s">
        <v>25</v>
      </c>
      <c r="E1566" t="s">
        <v>20</v>
      </c>
      <c r="F1566" s="1">
        <v>44725</v>
      </c>
      <c r="G1566" s="1">
        <v>44863</v>
      </c>
      <c r="H1566">
        <v>4496</v>
      </c>
      <c r="I1566">
        <v>5509</v>
      </c>
      <c r="J1566">
        <v>-1013</v>
      </c>
      <c r="K1566" t="s">
        <v>21</v>
      </c>
      <c r="L1566">
        <v>4</v>
      </c>
      <c r="M1566" t="str">
        <f t="shared" si="24"/>
        <v>0-6 Months</v>
      </c>
      <c r="N1566" s="1">
        <v>44863</v>
      </c>
      <c r="O1566">
        <v>1</v>
      </c>
      <c r="P1566">
        <v>1565</v>
      </c>
      <c r="Q1566" s="2">
        <v>-0.23</v>
      </c>
      <c r="R1566" t="s">
        <v>27</v>
      </c>
      <c r="S1566">
        <v>2022</v>
      </c>
      <c r="T1566" t="s">
        <v>33</v>
      </c>
    </row>
    <row r="1567" spans="1:20" x14ac:dyDescent="0.3">
      <c r="A1567">
        <v>2639</v>
      </c>
      <c r="B1567">
        <v>432</v>
      </c>
      <c r="C1567" t="s">
        <v>39</v>
      </c>
      <c r="D1567" t="s">
        <v>25</v>
      </c>
      <c r="E1567" t="s">
        <v>37</v>
      </c>
      <c r="F1567" s="1">
        <v>44746</v>
      </c>
      <c r="G1567" s="1">
        <v>44945</v>
      </c>
      <c r="H1567">
        <v>3801</v>
      </c>
      <c r="I1567">
        <v>5506</v>
      </c>
      <c r="J1567">
        <v>-1705</v>
      </c>
      <c r="K1567" t="s">
        <v>35</v>
      </c>
      <c r="L1567">
        <v>6</v>
      </c>
      <c r="M1567" t="str">
        <f t="shared" si="24"/>
        <v>12+ Months</v>
      </c>
      <c r="N1567" s="1">
        <v>44945</v>
      </c>
      <c r="O1567">
        <v>1</v>
      </c>
      <c r="P1567">
        <v>1566</v>
      </c>
      <c r="Q1567" s="2">
        <v>-0.45</v>
      </c>
      <c r="R1567" t="s">
        <v>27</v>
      </c>
      <c r="S1567">
        <v>2023</v>
      </c>
      <c r="T1567" t="s">
        <v>23</v>
      </c>
    </row>
    <row r="1568" spans="1:20" x14ac:dyDescent="0.3">
      <c r="A1568">
        <v>2640</v>
      </c>
      <c r="B1568">
        <v>100</v>
      </c>
      <c r="C1568" t="s">
        <v>24</v>
      </c>
      <c r="D1568" t="s">
        <v>29</v>
      </c>
      <c r="E1568" t="s">
        <v>26</v>
      </c>
      <c r="F1568" s="1">
        <v>44743</v>
      </c>
      <c r="G1568" s="1">
        <v>44973</v>
      </c>
      <c r="H1568">
        <v>2138</v>
      </c>
      <c r="I1568">
        <v>3536</v>
      </c>
      <c r="J1568">
        <v>-1398</v>
      </c>
      <c r="K1568" t="s">
        <v>35</v>
      </c>
      <c r="L1568">
        <v>7</v>
      </c>
      <c r="M1568" t="str">
        <f t="shared" si="24"/>
        <v>6-12 Months</v>
      </c>
      <c r="N1568" s="1">
        <v>44973</v>
      </c>
      <c r="O1568">
        <v>1</v>
      </c>
      <c r="P1568">
        <v>1567</v>
      </c>
      <c r="Q1568" s="2">
        <v>-0.65</v>
      </c>
      <c r="R1568" t="s">
        <v>27</v>
      </c>
      <c r="S1568">
        <v>2023</v>
      </c>
      <c r="T1568" t="s">
        <v>43</v>
      </c>
    </row>
    <row r="1569" spans="1:20" x14ac:dyDescent="0.3">
      <c r="A1569">
        <v>2641</v>
      </c>
      <c r="B1569">
        <v>163</v>
      </c>
      <c r="C1569" t="s">
        <v>40</v>
      </c>
      <c r="D1569" t="s">
        <v>19</v>
      </c>
      <c r="E1569" t="s">
        <v>26</v>
      </c>
      <c r="F1569" s="1">
        <v>44717</v>
      </c>
      <c r="G1569" s="1">
        <v>45069</v>
      </c>
      <c r="H1569">
        <v>3673</v>
      </c>
      <c r="I1569">
        <v>4012.75</v>
      </c>
      <c r="J1569">
        <v>4348</v>
      </c>
      <c r="K1569" t="s">
        <v>35</v>
      </c>
      <c r="L1569">
        <v>11</v>
      </c>
      <c r="M1569" t="str">
        <f t="shared" si="24"/>
        <v>6-12 Months</v>
      </c>
      <c r="N1569" s="1">
        <v>45069</v>
      </c>
      <c r="O1569">
        <v>0</v>
      </c>
      <c r="P1569">
        <v>1568</v>
      </c>
      <c r="Q1569" s="2">
        <v>1.18</v>
      </c>
      <c r="R1569" t="s">
        <v>22</v>
      </c>
      <c r="S1569">
        <v>2023</v>
      </c>
      <c r="T1569" t="s">
        <v>28</v>
      </c>
    </row>
    <row r="1570" spans="1:20" hidden="1" x14ac:dyDescent="0.3">
      <c r="A1570">
        <v>2643</v>
      </c>
      <c r="B1570">
        <v>493</v>
      </c>
      <c r="C1570" t="s">
        <v>53</v>
      </c>
      <c r="D1570" t="s">
        <v>25</v>
      </c>
      <c r="E1570" t="s">
        <v>26</v>
      </c>
      <c r="F1570" s="1">
        <v>44712</v>
      </c>
      <c r="G1570" s="1">
        <v>44747</v>
      </c>
      <c r="H1570">
        <v>5549</v>
      </c>
      <c r="I1570">
        <v>4012.75</v>
      </c>
      <c r="J1570">
        <v>577.01</v>
      </c>
      <c r="K1570" t="s">
        <v>54</v>
      </c>
      <c r="L1570">
        <v>1</v>
      </c>
      <c r="M1570" t="str">
        <f t="shared" si="24"/>
        <v>0-6 Months</v>
      </c>
      <c r="N1570" s="1">
        <v>44747</v>
      </c>
      <c r="O1570">
        <v>1</v>
      </c>
      <c r="P1570">
        <v>1569</v>
      </c>
      <c r="Q1570" s="2">
        <v>0.1</v>
      </c>
      <c r="R1570" t="s">
        <v>27</v>
      </c>
      <c r="S1570">
        <v>2022</v>
      </c>
      <c r="T1570" t="s">
        <v>44</v>
      </c>
    </row>
    <row r="1571" spans="1:20" hidden="1" x14ac:dyDescent="0.3">
      <c r="A1571">
        <v>2645</v>
      </c>
      <c r="B1571">
        <v>295</v>
      </c>
      <c r="C1571" t="s">
        <v>24</v>
      </c>
      <c r="D1571" t="s">
        <v>19</v>
      </c>
      <c r="E1571" t="s">
        <v>26</v>
      </c>
      <c r="F1571" s="1">
        <v>44789</v>
      </c>
      <c r="G1571" s="1">
        <v>45312</v>
      </c>
      <c r="H1571">
        <v>4668</v>
      </c>
      <c r="I1571">
        <v>4423</v>
      </c>
      <c r="J1571">
        <v>245</v>
      </c>
      <c r="K1571" t="s">
        <v>54</v>
      </c>
      <c r="L1571">
        <v>17</v>
      </c>
      <c r="M1571" t="str">
        <f t="shared" si="24"/>
        <v>6-12 Months</v>
      </c>
      <c r="N1571" s="1">
        <v>45312</v>
      </c>
      <c r="O1571">
        <v>1</v>
      </c>
      <c r="P1571">
        <v>1570</v>
      </c>
      <c r="Q1571" s="2">
        <v>0.05</v>
      </c>
      <c r="R1571" t="s">
        <v>27</v>
      </c>
      <c r="S1571">
        <v>2024</v>
      </c>
      <c r="T1571" t="s">
        <v>23</v>
      </c>
    </row>
    <row r="1572" spans="1:20" hidden="1" x14ac:dyDescent="0.3">
      <c r="A1572">
        <v>2647</v>
      </c>
      <c r="B1572">
        <v>273</v>
      </c>
      <c r="C1572" t="s">
        <v>24</v>
      </c>
      <c r="D1572" t="s">
        <v>25</v>
      </c>
      <c r="E1572" t="s">
        <v>37</v>
      </c>
      <c r="F1572" s="1">
        <v>44868</v>
      </c>
      <c r="G1572" s="1">
        <v>45211</v>
      </c>
      <c r="H1572">
        <v>5439</v>
      </c>
      <c r="I1572">
        <v>5406</v>
      </c>
      <c r="J1572">
        <v>33</v>
      </c>
      <c r="K1572" t="s">
        <v>54</v>
      </c>
      <c r="L1572">
        <v>11</v>
      </c>
      <c r="M1572" t="str">
        <f t="shared" si="24"/>
        <v>6-12 Months</v>
      </c>
      <c r="N1572" s="1">
        <v>45211</v>
      </c>
      <c r="O1572">
        <v>1</v>
      </c>
      <c r="P1572">
        <v>1571</v>
      </c>
      <c r="Q1572" s="2">
        <v>0.01</v>
      </c>
      <c r="R1572" t="s">
        <v>27</v>
      </c>
      <c r="S1572">
        <v>2023</v>
      </c>
      <c r="T1572" t="s">
        <v>33</v>
      </c>
    </row>
    <row r="1573" spans="1:20" hidden="1" x14ac:dyDescent="0.3">
      <c r="A1573">
        <v>2648</v>
      </c>
      <c r="B1573">
        <v>392</v>
      </c>
      <c r="C1573" t="s">
        <v>53</v>
      </c>
      <c r="D1573" t="s">
        <v>25</v>
      </c>
      <c r="E1573" t="s">
        <v>20</v>
      </c>
      <c r="F1573" s="1">
        <v>44819</v>
      </c>
      <c r="G1573" s="1">
        <v>45014</v>
      </c>
      <c r="H1573">
        <v>1854</v>
      </c>
      <c r="I1573">
        <v>6144</v>
      </c>
      <c r="J1573">
        <v>-4290</v>
      </c>
      <c r="K1573" t="s">
        <v>21</v>
      </c>
      <c r="L1573">
        <v>6</v>
      </c>
      <c r="M1573" t="str">
        <f t="shared" si="24"/>
        <v>12+ Months</v>
      </c>
      <c r="N1573" s="1">
        <v>45014</v>
      </c>
      <c r="O1573">
        <v>0</v>
      </c>
      <c r="P1573">
        <v>1572</v>
      </c>
      <c r="Q1573" s="2">
        <v>-2.31</v>
      </c>
      <c r="R1573" t="s">
        <v>22</v>
      </c>
      <c r="S1573">
        <v>2023</v>
      </c>
      <c r="T1573" t="s">
        <v>38</v>
      </c>
    </row>
    <row r="1574" spans="1:20" hidden="1" x14ac:dyDescent="0.3">
      <c r="A1574">
        <v>2650</v>
      </c>
      <c r="B1574">
        <v>260</v>
      </c>
      <c r="C1574" t="s">
        <v>40</v>
      </c>
      <c r="D1574" t="s">
        <v>25</v>
      </c>
      <c r="E1574" t="s">
        <v>26</v>
      </c>
      <c r="F1574" s="1">
        <v>44627</v>
      </c>
      <c r="G1574" s="1">
        <v>44917</v>
      </c>
      <c r="H1574">
        <v>3499</v>
      </c>
      <c r="I1574">
        <v>1605</v>
      </c>
      <c r="J1574">
        <v>1894</v>
      </c>
      <c r="K1574" t="s">
        <v>54</v>
      </c>
      <c r="L1574">
        <v>9</v>
      </c>
      <c r="M1574" t="str">
        <f t="shared" si="24"/>
        <v>6-12 Months</v>
      </c>
      <c r="N1574" s="1">
        <v>44917</v>
      </c>
      <c r="O1574">
        <v>0</v>
      </c>
      <c r="P1574">
        <v>1573</v>
      </c>
      <c r="Q1574" s="2">
        <v>0.54</v>
      </c>
      <c r="R1574" t="s">
        <v>27</v>
      </c>
      <c r="S1574">
        <v>2022</v>
      </c>
      <c r="T1574" t="s">
        <v>31</v>
      </c>
    </row>
    <row r="1575" spans="1:20" hidden="1" x14ac:dyDescent="0.3">
      <c r="A1575">
        <v>2651</v>
      </c>
      <c r="B1575">
        <v>464</v>
      </c>
      <c r="C1575" t="s">
        <v>39</v>
      </c>
      <c r="D1575" t="s">
        <v>29</v>
      </c>
      <c r="E1575" t="s">
        <v>26</v>
      </c>
      <c r="F1575" s="1">
        <v>44744</v>
      </c>
      <c r="G1575" s="1">
        <v>44907</v>
      </c>
      <c r="H1575">
        <v>2463</v>
      </c>
      <c r="I1575">
        <v>3430</v>
      </c>
      <c r="J1575">
        <v>-967</v>
      </c>
      <c r="K1575" t="s">
        <v>54</v>
      </c>
      <c r="L1575">
        <v>5</v>
      </c>
      <c r="M1575" t="str">
        <f t="shared" si="24"/>
        <v>0-6 Months</v>
      </c>
      <c r="N1575" s="1">
        <v>44907</v>
      </c>
      <c r="O1575">
        <v>0</v>
      </c>
      <c r="P1575">
        <v>1574</v>
      </c>
      <c r="Q1575" s="2">
        <v>-0.39</v>
      </c>
      <c r="R1575" t="s">
        <v>27</v>
      </c>
      <c r="S1575">
        <v>2022</v>
      </c>
      <c r="T1575" t="s">
        <v>31</v>
      </c>
    </row>
    <row r="1576" spans="1:20" x14ac:dyDescent="0.3">
      <c r="A1576">
        <v>2656</v>
      </c>
      <c r="B1576">
        <v>403</v>
      </c>
      <c r="C1576" t="s">
        <v>53</v>
      </c>
      <c r="D1576" t="s">
        <v>19</v>
      </c>
      <c r="E1576" t="s">
        <v>37</v>
      </c>
      <c r="F1576" s="1">
        <v>44693</v>
      </c>
      <c r="G1576" s="1">
        <v>44954</v>
      </c>
      <c r="H1576">
        <v>9341</v>
      </c>
      <c r="I1576">
        <v>915</v>
      </c>
      <c r="J1576">
        <v>8426</v>
      </c>
      <c r="K1576" t="s">
        <v>35</v>
      </c>
      <c r="L1576">
        <v>8</v>
      </c>
      <c r="M1576" t="str">
        <f t="shared" si="24"/>
        <v>6-12 Months</v>
      </c>
      <c r="N1576" s="1">
        <v>44954</v>
      </c>
      <c r="O1576">
        <v>1</v>
      </c>
      <c r="P1576">
        <v>1575</v>
      </c>
      <c r="Q1576" s="2">
        <v>0.9</v>
      </c>
      <c r="R1576" t="s">
        <v>27</v>
      </c>
      <c r="S1576">
        <v>2023</v>
      </c>
      <c r="T1576" t="s">
        <v>23</v>
      </c>
    </row>
    <row r="1577" spans="1:20" hidden="1" x14ac:dyDescent="0.3">
      <c r="A1577">
        <v>2657</v>
      </c>
      <c r="B1577">
        <v>293</v>
      </c>
      <c r="C1577" t="s">
        <v>24</v>
      </c>
      <c r="D1577" t="s">
        <v>34</v>
      </c>
      <c r="E1577" t="s">
        <v>26</v>
      </c>
      <c r="F1577" s="1">
        <v>44638</v>
      </c>
      <c r="G1577" s="1">
        <v>44970</v>
      </c>
      <c r="H1577">
        <v>9755</v>
      </c>
      <c r="I1577">
        <v>2176</v>
      </c>
      <c r="J1577">
        <v>7579</v>
      </c>
      <c r="K1577" t="s">
        <v>21</v>
      </c>
      <c r="L1577">
        <v>10</v>
      </c>
      <c r="M1577" t="str">
        <f t="shared" si="24"/>
        <v>6-12 Months</v>
      </c>
      <c r="N1577" s="1">
        <v>44970</v>
      </c>
      <c r="O1577">
        <v>1</v>
      </c>
      <c r="P1577">
        <v>1576</v>
      </c>
      <c r="Q1577" s="2">
        <v>0.78</v>
      </c>
      <c r="R1577" t="s">
        <v>27</v>
      </c>
      <c r="S1577">
        <v>2023</v>
      </c>
      <c r="T1577" t="s">
        <v>43</v>
      </c>
    </row>
    <row r="1578" spans="1:20" hidden="1" x14ac:dyDescent="0.3">
      <c r="A1578">
        <v>2658</v>
      </c>
      <c r="B1578">
        <v>295</v>
      </c>
      <c r="C1578" t="s">
        <v>24</v>
      </c>
      <c r="D1578" t="s">
        <v>29</v>
      </c>
      <c r="E1578" t="s">
        <v>20</v>
      </c>
      <c r="F1578" s="1">
        <v>44923</v>
      </c>
      <c r="G1578" s="1">
        <v>45144</v>
      </c>
      <c r="H1578">
        <v>114</v>
      </c>
      <c r="I1578">
        <v>4335</v>
      </c>
      <c r="J1578">
        <v>-4221</v>
      </c>
      <c r="K1578" t="s">
        <v>21</v>
      </c>
      <c r="L1578">
        <v>7</v>
      </c>
      <c r="M1578" t="str">
        <f t="shared" si="24"/>
        <v>6-12 Months</v>
      </c>
      <c r="N1578" s="1">
        <v>45144</v>
      </c>
      <c r="O1578">
        <v>0</v>
      </c>
      <c r="P1578">
        <v>1577</v>
      </c>
      <c r="Q1578" s="2">
        <v>-37.03</v>
      </c>
      <c r="R1578" t="s">
        <v>22</v>
      </c>
      <c r="S1578">
        <v>2023</v>
      </c>
      <c r="T1578" t="s">
        <v>36</v>
      </c>
    </row>
    <row r="1579" spans="1:20" hidden="1" x14ac:dyDescent="0.3">
      <c r="A1579">
        <v>2659</v>
      </c>
      <c r="B1579">
        <v>325</v>
      </c>
      <c r="C1579" t="s">
        <v>24</v>
      </c>
      <c r="D1579" t="s">
        <v>19</v>
      </c>
      <c r="E1579" t="s">
        <v>26</v>
      </c>
      <c r="F1579" s="1">
        <v>44608</v>
      </c>
      <c r="G1579" s="1">
        <v>44699</v>
      </c>
      <c r="H1579">
        <v>392</v>
      </c>
      <c r="I1579">
        <v>2382</v>
      </c>
      <c r="J1579">
        <v>-1990</v>
      </c>
      <c r="K1579" t="s">
        <v>21</v>
      </c>
      <c r="L1579">
        <v>3</v>
      </c>
      <c r="M1579" t="str">
        <f t="shared" si="24"/>
        <v>0-6 Months</v>
      </c>
      <c r="N1579" s="1">
        <v>44699</v>
      </c>
      <c r="O1579">
        <v>1</v>
      </c>
      <c r="P1579">
        <v>1578</v>
      </c>
      <c r="Q1579" s="2">
        <v>-5.08</v>
      </c>
      <c r="R1579" t="s">
        <v>22</v>
      </c>
      <c r="S1579">
        <v>2022</v>
      </c>
      <c r="T1579" t="s">
        <v>28</v>
      </c>
    </row>
    <row r="1580" spans="1:20" hidden="1" x14ac:dyDescent="0.3">
      <c r="A1580">
        <v>2661</v>
      </c>
      <c r="B1580">
        <v>358</v>
      </c>
      <c r="C1580" t="s">
        <v>45</v>
      </c>
      <c r="D1580" t="s">
        <v>29</v>
      </c>
      <c r="E1580" t="s">
        <v>26</v>
      </c>
      <c r="F1580" s="1">
        <v>44632</v>
      </c>
      <c r="G1580" s="1">
        <v>44798</v>
      </c>
      <c r="H1580">
        <v>6726</v>
      </c>
      <c r="I1580">
        <v>632</v>
      </c>
      <c r="J1580">
        <v>6094</v>
      </c>
      <c r="K1580" t="s">
        <v>21</v>
      </c>
      <c r="L1580">
        <v>5</v>
      </c>
      <c r="M1580" t="str">
        <f t="shared" si="24"/>
        <v>0-6 Months</v>
      </c>
      <c r="N1580" s="1">
        <v>44798</v>
      </c>
      <c r="O1580">
        <v>0</v>
      </c>
      <c r="P1580">
        <v>1579</v>
      </c>
      <c r="Q1580" s="2">
        <v>0.91</v>
      </c>
      <c r="R1580" t="s">
        <v>27</v>
      </c>
      <c r="S1580">
        <v>2022</v>
      </c>
      <c r="T1580" t="s">
        <v>36</v>
      </c>
    </row>
    <row r="1581" spans="1:20" x14ac:dyDescent="0.3">
      <c r="A1581">
        <v>2662</v>
      </c>
      <c r="B1581">
        <v>228</v>
      </c>
      <c r="C1581" t="s">
        <v>24</v>
      </c>
      <c r="D1581" t="s">
        <v>25</v>
      </c>
      <c r="E1581" t="s">
        <v>37</v>
      </c>
      <c r="F1581" s="1">
        <v>44905</v>
      </c>
      <c r="G1581" s="1">
        <v>45228</v>
      </c>
      <c r="H1581">
        <v>2747</v>
      </c>
      <c r="I1581">
        <v>224</v>
      </c>
      <c r="J1581">
        <v>2523</v>
      </c>
      <c r="K1581" t="s">
        <v>35</v>
      </c>
      <c r="L1581">
        <v>10</v>
      </c>
      <c r="M1581" t="str">
        <f t="shared" si="24"/>
        <v>6-12 Months</v>
      </c>
      <c r="N1581" s="1">
        <v>45228</v>
      </c>
      <c r="O1581">
        <v>1</v>
      </c>
      <c r="P1581">
        <v>1580</v>
      </c>
      <c r="Q1581" s="2">
        <v>0.92</v>
      </c>
      <c r="R1581" t="s">
        <v>27</v>
      </c>
      <c r="S1581">
        <v>2023</v>
      </c>
      <c r="T1581" t="s">
        <v>33</v>
      </c>
    </row>
    <row r="1582" spans="1:20" hidden="1" x14ac:dyDescent="0.3">
      <c r="A1582">
        <v>2663</v>
      </c>
      <c r="B1582">
        <v>149</v>
      </c>
      <c r="C1582" t="s">
        <v>45</v>
      </c>
      <c r="D1582" t="s">
        <v>29</v>
      </c>
      <c r="E1582" t="s">
        <v>20</v>
      </c>
      <c r="F1582" s="1">
        <v>44777</v>
      </c>
      <c r="G1582" s="1">
        <v>45167</v>
      </c>
      <c r="H1582">
        <v>1105</v>
      </c>
      <c r="I1582">
        <v>2053</v>
      </c>
      <c r="J1582">
        <v>-948</v>
      </c>
      <c r="K1582" t="s">
        <v>54</v>
      </c>
      <c r="L1582">
        <v>12</v>
      </c>
      <c r="M1582" t="str">
        <f t="shared" si="24"/>
        <v>6-12 Months</v>
      </c>
      <c r="N1582" s="1">
        <v>45167</v>
      </c>
      <c r="O1582">
        <v>0</v>
      </c>
      <c r="P1582">
        <v>1581</v>
      </c>
      <c r="Q1582" s="2">
        <v>-0.86</v>
      </c>
      <c r="R1582" t="s">
        <v>27</v>
      </c>
      <c r="S1582">
        <v>2023</v>
      </c>
      <c r="T1582" t="s">
        <v>36</v>
      </c>
    </row>
    <row r="1583" spans="1:20" hidden="1" x14ac:dyDescent="0.3">
      <c r="A1583">
        <v>2665</v>
      </c>
      <c r="B1583">
        <v>475</v>
      </c>
      <c r="C1583" t="s">
        <v>24</v>
      </c>
      <c r="D1583" t="s">
        <v>29</v>
      </c>
      <c r="E1583" t="s">
        <v>37</v>
      </c>
      <c r="F1583" s="1">
        <v>44876</v>
      </c>
      <c r="G1583" s="1">
        <v>44973</v>
      </c>
      <c r="H1583">
        <v>4967.93</v>
      </c>
      <c r="I1583">
        <v>1927</v>
      </c>
      <c r="J1583">
        <v>-2212</v>
      </c>
      <c r="K1583" t="s">
        <v>54</v>
      </c>
      <c r="L1583">
        <v>3</v>
      </c>
      <c r="M1583" t="str">
        <f t="shared" si="24"/>
        <v>0-6 Months</v>
      </c>
      <c r="N1583" s="1">
        <v>44973</v>
      </c>
      <c r="O1583">
        <v>0</v>
      </c>
      <c r="P1583">
        <v>1582</v>
      </c>
      <c r="Q1583" s="2">
        <v>-0.45</v>
      </c>
      <c r="R1583" t="s">
        <v>27</v>
      </c>
      <c r="S1583">
        <v>2023</v>
      </c>
      <c r="T1583" t="s">
        <v>43</v>
      </c>
    </row>
    <row r="1584" spans="1:20" hidden="1" x14ac:dyDescent="0.3">
      <c r="A1584">
        <v>2666</v>
      </c>
      <c r="B1584">
        <v>464</v>
      </c>
      <c r="C1584" t="s">
        <v>45</v>
      </c>
      <c r="D1584" t="s">
        <v>19</v>
      </c>
      <c r="E1584" t="s">
        <v>26</v>
      </c>
      <c r="F1584" s="1">
        <v>44614</v>
      </c>
      <c r="G1584" s="1">
        <v>45069</v>
      </c>
      <c r="H1584">
        <v>47</v>
      </c>
      <c r="I1584">
        <v>5458</v>
      </c>
      <c r="J1584">
        <v>-5411</v>
      </c>
      <c r="K1584" t="s">
        <v>54</v>
      </c>
      <c r="L1584">
        <v>15</v>
      </c>
      <c r="M1584" t="str">
        <f t="shared" si="24"/>
        <v>6-12 Months</v>
      </c>
      <c r="N1584" s="1">
        <v>45069</v>
      </c>
      <c r="O1584">
        <v>1</v>
      </c>
      <c r="P1584">
        <v>1583</v>
      </c>
      <c r="Q1584" s="2">
        <v>-115.13</v>
      </c>
      <c r="R1584" t="s">
        <v>22</v>
      </c>
      <c r="S1584">
        <v>2023</v>
      </c>
      <c r="T1584" t="s">
        <v>28</v>
      </c>
    </row>
    <row r="1585" spans="1:20" hidden="1" x14ac:dyDescent="0.3">
      <c r="A1585">
        <v>2668</v>
      </c>
      <c r="B1585">
        <v>330</v>
      </c>
      <c r="C1585" t="s">
        <v>24</v>
      </c>
      <c r="D1585" t="s">
        <v>34</v>
      </c>
      <c r="E1585" t="s">
        <v>37</v>
      </c>
      <c r="F1585" s="1">
        <v>44673</v>
      </c>
      <c r="G1585" s="1">
        <v>45213</v>
      </c>
      <c r="H1585">
        <v>7803</v>
      </c>
      <c r="I1585">
        <v>3316</v>
      </c>
      <c r="J1585">
        <v>4487</v>
      </c>
      <c r="K1585" t="s">
        <v>21</v>
      </c>
      <c r="L1585">
        <v>17</v>
      </c>
      <c r="M1585" t="str">
        <f t="shared" si="24"/>
        <v>6-12 Months</v>
      </c>
      <c r="N1585" s="1">
        <v>45213</v>
      </c>
      <c r="O1585">
        <v>0</v>
      </c>
      <c r="P1585">
        <v>1584</v>
      </c>
      <c r="Q1585" s="2">
        <v>0.57999999999999996</v>
      </c>
      <c r="R1585" t="s">
        <v>27</v>
      </c>
      <c r="S1585">
        <v>2023</v>
      </c>
      <c r="T1585" t="s">
        <v>33</v>
      </c>
    </row>
    <row r="1586" spans="1:20" x14ac:dyDescent="0.3">
      <c r="A1586">
        <v>2673</v>
      </c>
      <c r="B1586">
        <v>432</v>
      </c>
      <c r="C1586" t="s">
        <v>45</v>
      </c>
      <c r="D1586" t="s">
        <v>19</v>
      </c>
      <c r="E1586" t="s">
        <v>20</v>
      </c>
      <c r="F1586" s="1">
        <v>44590</v>
      </c>
      <c r="G1586" s="1">
        <v>44840</v>
      </c>
      <c r="H1586">
        <v>3157</v>
      </c>
      <c r="I1586">
        <v>3310</v>
      </c>
      <c r="J1586">
        <v>-153</v>
      </c>
      <c r="K1586" t="s">
        <v>35</v>
      </c>
      <c r="L1586">
        <v>8</v>
      </c>
      <c r="M1586" t="str">
        <f t="shared" si="24"/>
        <v>6-12 Months</v>
      </c>
      <c r="N1586" s="1">
        <v>44840</v>
      </c>
      <c r="O1586">
        <v>1</v>
      </c>
      <c r="P1586">
        <v>1585</v>
      </c>
      <c r="Q1586" s="2">
        <v>-0.05</v>
      </c>
      <c r="R1586" t="s">
        <v>27</v>
      </c>
      <c r="S1586">
        <v>2022</v>
      </c>
      <c r="T1586" t="s">
        <v>33</v>
      </c>
    </row>
    <row r="1587" spans="1:20" x14ac:dyDescent="0.3">
      <c r="A1587">
        <v>2674</v>
      </c>
      <c r="B1587">
        <v>167</v>
      </c>
      <c r="C1587" t="s">
        <v>53</v>
      </c>
      <c r="D1587" t="s">
        <v>34</v>
      </c>
      <c r="E1587" t="s">
        <v>26</v>
      </c>
      <c r="F1587" s="1">
        <v>44792</v>
      </c>
      <c r="G1587" s="1">
        <v>45322</v>
      </c>
      <c r="H1587">
        <v>6857</v>
      </c>
      <c r="I1587">
        <v>5854</v>
      </c>
      <c r="J1587">
        <v>1003</v>
      </c>
      <c r="K1587" t="s">
        <v>35</v>
      </c>
      <c r="L1587">
        <v>17</v>
      </c>
      <c r="M1587" t="str">
        <f t="shared" si="24"/>
        <v>6-12 Months</v>
      </c>
      <c r="N1587" s="1">
        <v>45322</v>
      </c>
      <c r="O1587">
        <v>0</v>
      </c>
      <c r="P1587">
        <v>1586</v>
      </c>
      <c r="Q1587" s="2">
        <v>0.15</v>
      </c>
      <c r="R1587" t="s">
        <v>27</v>
      </c>
      <c r="S1587">
        <v>2024</v>
      </c>
      <c r="T1587" t="s">
        <v>23</v>
      </c>
    </row>
    <row r="1588" spans="1:20" x14ac:dyDescent="0.3">
      <c r="A1588">
        <v>2675</v>
      </c>
      <c r="B1588">
        <v>145</v>
      </c>
      <c r="C1588" t="s">
        <v>40</v>
      </c>
      <c r="D1588" t="s">
        <v>25</v>
      </c>
      <c r="E1588" t="s">
        <v>20</v>
      </c>
      <c r="F1588" s="1">
        <v>44899</v>
      </c>
      <c r="G1588" s="1">
        <v>45179</v>
      </c>
      <c r="H1588">
        <v>9901</v>
      </c>
      <c r="I1588">
        <v>573</v>
      </c>
      <c r="J1588">
        <v>9328</v>
      </c>
      <c r="K1588" t="s">
        <v>35</v>
      </c>
      <c r="L1588">
        <v>9</v>
      </c>
      <c r="M1588" t="str">
        <f t="shared" si="24"/>
        <v>6-12 Months</v>
      </c>
      <c r="N1588" s="1">
        <v>45179</v>
      </c>
      <c r="O1588">
        <v>0</v>
      </c>
      <c r="P1588">
        <v>1587</v>
      </c>
      <c r="Q1588" s="2">
        <v>0.94</v>
      </c>
      <c r="R1588" t="s">
        <v>27</v>
      </c>
      <c r="S1588">
        <v>2023</v>
      </c>
      <c r="T1588" t="s">
        <v>30</v>
      </c>
    </row>
    <row r="1589" spans="1:20" x14ac:dyDescent="0.3">
      <c r="A1589">
        <v>2676</v>
      </c>
      <c r="B1589">
        <v>272</v>
      </c>
      <c r="C1589" t="s">
        <v>53</v>
      </c>
      <c r="D1589" t="s">
        <v>19</v>
      </c>
      <c r="E1589" t="s">
        <v>20</v>
      </c>
      <c r="F1589" s="1">
        <v>44907</v>
      </c>
      <c r="G1589" s="1">
        <v>45134</v>
      </c>
      <c r="H1589">
        <v>9212</v>
      </c>
      <c r="I1589">
        <v>4012.75</v>
      </c>
      <c r="J1589">
        <v>9854</v>
      </c>
      <c r="K1589" t="s">
        <v>35</v>
      </c>
      <c r="L1589">
        <v>7</v>
      </c>
      <c r="M1589" t="str">
        <f t="shared" si="24"/>
        <v>6-12 Months</v>
      </c>
      <c r="N1589" s="1">
        <v>45134</v>
      </c>
      <c r="O1589">
        <v>0</v>
      </c>
      <c r="P1589">
        <v>1588</v>
      </c>
      <c r="Q1589" s="2">
        <v>1.07</v>
      </c>
      <c r="R1589" t="s">
        <v>22</v>
      </c>
      <c r="S1589">
        <v>2023</v>
      </c>
      <c r="T1589" t="s">
        <v>44</v>
      </c>
    </row>
    <row r="1590" spans="1:20" hidden="1" x14ac:dyDescent="0.3">
      <c r="A1590">
        <v>2677</v>
      </c>
      <c r="B1590">
        <v>331</v>
      </c>
      <c r="C1590" t="s">
        <v>53</v>
      </c>
      <c r="D1590" t="s">
        <v>29</v>
      </c>
      <c r="E1590" t="s">
        <v>37</v>
      </c>
      <c r="F1590" s="1">
        <v>44682</v>
      </c>
      <c r="G1590" s="1">
        <v>45253</v>
      </c>
      <c r="H1590">
        <v>6395</v>
      </c>
      <c r="I1590">
        <v>227</v>
      </c>
      <c r="J1590">
        <v>6168</v>
      </c>
      <c r="K1590" t="s">
        <v>54</v>
      </c>
      <c r="L1590">
        <v>18</v>
      </c>
      <c r="M1590" t="str">
        <f t="shared" si="24"/>
        <v>6-12 Months</v>
      </c>
      <c r="N1590" s="1">
        <v>45253</v>
      </c>
      <c r="O1590">
        <v>0</v>
      </c>
      <c r="P1590">
        <v>1589</v>
      </c>
      <c r="Q1590" s="2">
        <v>0.96</v>
      </c>
      <c r="R1590" t="s">
        <v>27</v>
      </c>
      <c r="S1590">
        <v>2023</v>
      </c>
      <c r="T1590" t="s">
        <v>42</v>
      </c>
    </row>
    <row r="1591" spans="1:20" hidden="1" x14ac:dyDescent="0.3">
      <c r="A1591">
        <v>2679</v>
      </c>
      <c r="B1591">
        <v>280</v>
      </c>
      <c r="C1591" t="s">
        <v>40</v>
      </c>
      <c r="D1591" t="s">
        <v>34</v>
      </c>
      <c r="E1591" t="s">
        <v>37</v>
      </c>
      <c r="F1591" s="1">
        <v>44864</v>
      </c>
      <c r="G1591" s="1">
        <v>45219</v>
      </c>
      <c r="H1591">
        <v>4967.93</v>
      </c>
      <c r="I1591">
        <v>3234</v>
      </c>
      <c r="J1591">
        <v>-4416</v>
      </c>
      <c r="K1591" t="s">
        <v>54</v>
      </c>
      <c r="L1591">
        <v>11</v>
      </c>
      <c r="M1591" t="str">
        <f t="shared" si="24"/>
        <v>6-12 Months</v>
      </c>
      <c r="N1591" s="1">
        <v>45219</v>
      </c>
      <c r="O1591">
        <v>0</v>
      </c>
      <c r="P1591">
        <v>1590</v>
      </c>
      <c r="Q1591" s="2">
        <v>-0.89</v>
      </c>
      <c r="R1591" t="s">
        <v>27</v>
      </c>
      <c r="S1591">
        <v>2023</v>
      </c>
      <c r="T1591" t="s">
        <v>33</v>
      </c>
    </row>
    <row r="1592" spans="1:20" hidden="1" x14ac:dyDescent="0.3">
      <c r="A1592">
        <v>2680</v>
      </c>
      <c r="B1592">
        <v>373</v>
      </c>
      <c r="C1592" t="s">
        <v>40</v>
      </c>
      <c r="D1592" t="s">
        <v>25</v>
      </c>
      <c r="E1592" t="s">
        <v>37</v>
      </c>
      <c r="F1592" s="1">
        <v>44643</v>
      </c>
      <c r="G1592" s="1">
        <v>44884</v>
      </c>
      <c r="H1592">
        <v>4020</v>
      </c>
      <c r="I1592">
        <v>6635</v>
      </c>
      <c r="J1592">
        <v>-2615</v>
      </c>
      <c r="K1592" t="s">
        <v>21</v>
      </c>
      <c r="L1592">
        <v>7</v>
      </c>
      <c r="M1592" t="str">
        <f t="shared" si="24"/>
        <v>6-12 Months</v>
      </c>
      <c r="N1592" s="1">
        <v>44884</v>
      </c>
      <c r="O1592">
        <v>1</v>
      </c>
      <c r="P1592">
        <v>1591</v>
      </c>
      <c r="Q1592" s="2">
        <v>-0.65</v>
      </c>
      <c r="R1592" t="s">
        <v>27</v>
      </c>
      <c r="S1592">
        <v>2022</v>
      </c>
      <c r="T1592" t="s">
        <v>42</v>
      </c>
    </row>
    <row r="1593" spans="1:20" x14ac:dyDescent="0.3">
      <c r="A1593">
        <v>2683</v>
      </c>
      <c r="B1593">
        <v>132</v>
      </c>
      <c r="C1593" t="s">
        <v>39</v>
      </c>
      <c r="D1593" t="s">
        <v>19</v>
      </c>
      <c r="E1593" t="s">
        <v>26</v>
      </c>
      <c r="F1593" s="1">
        <v>44808</v>
      </c>
      <c r="G1593" s="1">
        <v>44843</v>
      </c>
      <c r="H1593">
        <v>3627</v>
      </c>
      <c r="I1593">
        <v>988</v>
      </c>
      <c r="J1593">
        <v>2639</v>
      </c>
      <c r="K1593" t="s">
        <v>35</v>
      </c>
      <c r="L1593">
        <v>1</v>
      </c>
      <c r="M1593" t="str">
        <f t="shared" si="24"/>
        <v>0-6 Months</v>
      </c>
      <c r="N1593" s="1">
        <v>44843</v>
      </c>
      <c r="O1593">
        <v>1</v>
      </c>
      <c r="P1593">
        <v>1592</v>
      </c>
      <c r="Q1593" s="2">
        <v>0.73</v>
      </c>
      <c r="R1593" t="s">
        <v>27</v>
      </c>
      <c r="S1593">
        <v>2022</v>
      </c>
      <c r="T1593" t="s">
        <v>33</v>
      </c>
    </row>
    <row r="1594" spans="1:20" hidden="1" x14ac:dyDescent="0.3">
      <c r="A1594">
        <v>2684</v>
      </c>
      <c r="B1594">
        <v>174</v>
      </c>
      <c r="C1594" t="s">
        <v>53</v>
      </c>
      <c r="D1594" t="s">
        <v>19</v>
      </c>
      <c r="E1594" t="s">
        <v>26</v>
      </c>
      <c r="F1594" s="1">
        <v>44908</v>
      </c>
      <c r="G1594" s="1">
        <v>45127</v>
      </c>
      <c r="H1594">
        <v>6863</v>
      </c>
      <c r="I1594">
        <v>6855</v>
      </c>
      <c r="J1594">
        <v>8</v>
      </c>
      <c r="K1594" t="s">
        <v>54</v>
      </c>
      <c r="L1594">
        <v>7</v>
      </c>
      <c r="M1594" t="str">
        <f t="shared" si="24"/>
        <v>6-12 Months</v>
      </c>
      <c r="N1594" s="1">
        <v>45127</v>
      </c>
      <c r="O1594">
        <v>1</v>
      </c>
      <c r="P1594">
        <v>1593</v>
      </c>
      <c r="Q1594" s="2">
        <v>0</v>
      </c>
      <c r="R1594" t="s">
        <v>27</v>
      </c>
      <c r="S1594">
        <v>2023</v>
      </c>
      <c r="T1594" t="s">
        <v>44</v>
      </c>
    </row>
    <row r="1595" spans="1:20" x14ac:dyDescent="0.3">
      <c r="A1595">
        <v>2686</v>
      </c>
      <c r="B1595">
        <v>414</v>
      </c>
      <c r="C1595" t="s">
        <v>40</v>
      </c>
      <c r="D1595" t="s">
        <v>19</v>
      </c>
      <c r="E1595" t="s">
        <v>37</v>
      </c>
      <c r="F1595" s="1">
        <v>44642</v>
      </c>
      <c r="G1595" s="1">
        <v>44809</v>
      </c>
      <c r="H1595">
        <v>8416</v>
      </c>
      <c r="I1595">
        <v>7148</v>
      </c>
      <c r="J1595">
        <v>577.01</v>
      </c>
      <c r="K1595" t="s">
        <v>35</v>
      </c>
      <c r="L1595">
        <v>5</v>
      </c>
      <c r="M1595" t="str">
        <f t="shared" si="24"/>
        <v>0-6 Months</v>
      </c>
      <c r="N1595" s="1">
        <v>44809</v>
      </c>
      <c r="O1595">
        <v>0</v>
      </c>
      <c r="P1595">
        <v>1594</v>
      </c>
      <c r="Q1595" s="2">
        <v>7.0000000000000007E-2</v>
      </c>
      <c r="R1595" t="s">
        <v>27</v>
      </c>
      <c r="S1595">
        <v>2022</v>
      </c>
      <c r="T1595" t="s">
        <v>30</v>
      </c>
    </row>
    <row r="1596" spans="1:20" hidden="1" x14ac:dyDescent="0.3">
      <c r="A1596">
        <v>2687</v>
      </c>
      <c r="B1596">
        <v>220</v>
      </c>
      <c r="C1596" t="s">
        <v>53</v>
      </c>
      <c r="D1596" t="s">
        <v>25</v>
      </c>
      <c r="E1596" t="s">
        <v>20</v>
      </c>
      <c r="F1596" s="1">
        <v>44854</v>
      </c>
      <c r="G1596" s="1">
        <v>44938</v>
      </c>
      <c r="H1596">
        <v>466</v>
      </c>
      <c r="I1596">
        <v>7390</v>
      </c>
      <c r="J1596">
        <v>-6924</v>
      </c>
      <c r="K1596" t="s">
        <v>54</v>
      </c>
      <c r="L1596">
        <v>2</v>
      </c>
      <c r="M1596" t="str">
        <f t="shared" si="24"/>
        <v>0-6 Months</v>
      </c>
      <c r="N1596" s="1">
        <v>44938</v>
      </c>
      <c r="O1596">
        <v>0</v>
      </c>
      <c r="P1596">
        <v>1595</v>
      </c>
      <c r="Q1596" s="2">
        <v>-14.86</v>
      </c>
      <c r="R1596" t="s">
        <v>22</v>
      </c>
      <c r="S1596">
        <v>2023</v>
      </c>
      <c r="T1596" t="s">
        <v>23</v>
      </c>
    </row>
    <row r="1597" spans="1:20" hidden="1" x14ac:dyDescent="0.3">
      <c r="A1597">
        <v>2689</v>
      </c>
      <c r="B1597">
        <v>168</v>
      </c>
      <c r="C1597" t="s">
        <v>24</v>
      </c>
      <c r="D1597" t="s">
        <v>25</v>
      </c>
      <c r="E1597" t="s">
        <v>37</v>
      </c>
      <c r="F1597" s="1">
        <v>44921</v>
      </c>
      <c r="G1597" s="1">
        <v>45467</v>
      </c>
      <c r="H1597">
        <v>974</v>
      </c>
      <c r="I1597">
        <v>3578</v>
      </c>
      <c r="J1597">
        <v>-2604</v>
      </c>
      <c r="K1597" t="s">
        <v>54</v>
      </c>
      <c r="L1597">
        <v>17</v>
      </c>
      <c r="M1597" t="str">
        <f t="shared" si="24"/>
        <v>6-12 Months</v>
      </c>
      <c r="N1597" s="1">
        <v>45467</v>
      </c>
      <c r="O1597">
        <v>0</v>
      </c>
      <c r="P1597">
        <v>1596</v>
      </c>
      <c r="Q1597" s="2">
        <v>-2.67</v>
      </c>
      <c r="R1597" t="s">
        <v>22</v>
      </c>
      <c r="S1597">
        <v>2024</v>
      </c>
      <c r="T1597" t="s">
        <v>41</v>
      </c>
    </row>
    <row r="1598" spans="1:20" hidden="1" x14ac:dyDescent="0.3">
      <c r="A1598">
        <v>2691</v>
      </c>
      <c r="B1598">
        <v>344</v>
      </c>
      <c r="C1598" t="s">
        <v>53</v>
      </c>
      <c r="D1598" t="s">
        <v>19</v>
      </c>
      <c r="E1598" t="s">
        <v>37</v>
      </c>
      <c r="F1598" s="1">
        <v>44829</v>
      </c>
      <c r="G1598" s="1">
        <v>44902</v>
      </c>
      <c r="H1598">
        <v>2616</v>
      </c>
      <c r="I1598">
        <v>4012.75</v>
      </c>
      <c r="J1598">
        <v>3518</v>
      </c>
      <c r="K1598" t="s">
        <v>21</v>
      </c>
      <c r="L1598">
        <v>2</v>
      </c>
      <c r="M1598" t="str">
        <f t="shared" si="24"/>
        <v>0-6 Months</v>
      </c>
      <c r="N1598" s="1">
        <v>44902</v>
      </c>
      <c r="O1598">
        <v>0</v>
      </c>
      <c r="P1598">
        <v>1597</v>
      </c>
      <c r="Q1598" s="2">
        <v>1.34</v>
      </c>
      <c r="R1598" t="s">
        <v>22</v>
      </c>
      <c r="S1598">
        <v>2022</v>
      </c>
      <c r="T1598" t="s">
        <v>31</v>
      </c>
    </row>
    <row r="1599" spans="1:20" hidden="1" x14ac:dyDescent="0.3">
      <c r="A1599">
        <v>2694</v>
      </c>
      <c r="B1599">
        <v>149</v>
      </c>
      <c r="C1599" t="s">
        <v>40</v>
      </c>
      <c r="D1599" t="s">
        <v>34</v>
      </c>
      <c r="E1599" t="s">
        <v>26</v>
      </c>
      <c r="F1599" s="1">
        <v>44819</v>
      </c>
      <c r="G1599" s="1">
        <v>45245</v>
      </c>
      <c r="H1599">
        <v>4385</v>
      </c>
      <c r="I1599">
        <v>4012.75</v>
      </c>
      <c r="J1599">
        <v>4877</v>
      </c>
      <c r="K1599" t="s">
        <v>21</v>
      </c>
      <c r="L1599">
        <v>14</v>
      </c>
      <c r="M1599" t="str">
        <f t="shared" si="24"/>
        <v>6-12 Months</v>
      </c>
      <c r="N1599" s="1">
        <v>45245</v>
      </c>
      <c r="O1599">
        <v>0</v>
      </c>
      <c r="P1599">
        <v>1598</v>
      </c>
      <c r="Q1599" s="2">
        <v>1.1100000000000001</v>
      </c>
      <c r="R1599" t="s">
        <v>22</v>
      </c>
      <c r="S1599">
        <v>2023</v>
      </c>
      <c r="T1599" t="s">
        <v>42</v>
      </c>
    </row>
    <row r="1600" spans="1:20" hidden="1" x14ac:dyDescent="0.3">
      <c r="A1600">
        <v>2695</v>
      </c>
      <c r="B1600">
        <v>409</v>
      </c>
      <c r="C1600" t="s">
        <v>24</v>
      </c>
      <c r="D1600" t="s">
        <v>25</v>
      </c>
      <c r="E1600" t="s">
        <v>20</v>
      </c>
      <c r="F1600" s="1">
        <v>44768</v>
      </c>
      <c r="G1600" s="1">
        <v>45230</v>
      </c>
      <c r="H1600">
        <v>4967.93</v>
      </c>
      <c r="I1600">
        <v>390</v>
      </c>
      <c r="J1600">
        <v>-1741</v>
      </c>
      <c r="K1600" t="s">
        <v>54</v>
      </c>
      <c r="L1600">
        <v>15</v>
      </c>
      <c r="M1600" t="str">
        <f t="shared" si="24"/>
        <v>6-12 Months</v>
      </c>
      <c r="N1600" s="1">
        <v>45230</v>
      </c>
      <c r="O1600">
        <v>0</v>
      </c>
      <c r="P1600">
        <v>1599</v>
      </c>
      <c r="Q1600" s="2">
        <v>-0.35</v>
      </c>
      <c r="R1600" t="s">
        <v>27</v>
      </c>
      <c r="S1600">
        <v>2023</v>
      </c>
      <c r="T1600" t="s">
        <v>33</v>
      </c>
    </row>
    <row r="1601" spans="1:20" x14ac:dyDescent="0.3">
      <c r="A1601">
        <v>2696</v>
      </c>
      <c r="B1601">
        <v>453</v>
      </c>
      <c r="C1601" t="s">
        <v>53</v>
      </c>
      <c r="D1601" t="s">
        <v>29</v>
      </c>
      <c r="E1601" t="s">
        <v>20</v>
      </c>
      <c r="F1601" s="1">
        <v>44692</v>
      </c>
      <c r="G1601" s="1">
        <v>45120</v>
      </c>
      <c r="H1601">
        <v>9460</v>
      </c>
      <c r="I1601">
        <v>2975</v>
      </c>
      <c r="J1601">
        <v>6485</v>
      </c>
      <c r="K1601" t="s">
        <v>35</v>
      </c>
      <c r="L1601">
        <v>14</v>
      </c>
      <c r="M1601" t="str">
        <f t="shared" si="24"/>
        <v>6-12 Months</v>
      </c>
      <c r="N1601" s="1">
        <v>45120</v>
      </c>
      <c r="O1601">
        <v>1</v>
      </c>
      <c r="P1601">
        <v>1600</v>
      </c>
      <c r="Q1601" s="2">
        <v>0.69</v>
      </c>
      <c r="R1601" t="s">
        <v>27</v>
      </c>
      <c r="S1601">
        <v>2023</v>
      </c>
      <c r="T1601" t="s">
        <v>44</v>
      </c>
    </row>
    <row r="1602" spans="1:20" x14ac:dyDescent="0.3">
      <c r="A1602">
        <v>2698</v>
      </c>
      <c r="B1602">
        <v>199</v>
      </c>
      <c r="C1602" t="s">
        <v>24</v>
      </c>
      <c r="D1602" t="s">
        <v>34</v>
      </c>
      <c r="E1602" t="s">
        <v>37</v>
      </c>
      <c r="F1602" s="1">
        <v>44851</v>
      </c>
      <c r="G1602" s="1">
        <v>44932</v>
      </c>
      <c r="H1602">
        <v>3858</v>
      </c>
      <c r="I1602">
        <v>6149</v>
      </c>
      <c r="J1602">
        <v>-2291</v>
      </c>
      <c r="K1602" t="s">
        <v>35</v>
      </c>
      <c r="L1602">
        <v>2</v>
      </c>
      <c r="M1602" t="str">
        <f t="shared" ref="M1602:M1665" si="25">IF(L1602&lt;6,"0-6 Months",IF(L1602&gt;6,"6-12 Months","12+ Months"))</f>
        <v>0-6 Months</v>
      </c>
      <c r="N1602" s="1">
        <v>44932</v>
      </c>
      <c r="O1602">
        <v>1</v>
      </c>
      <c r="P1602">
        <v>1601</v>
      </c>
      <c r="Q1602" s="2">
        <v>-0.59</v>
      </c>
      <c r="R1602" t="s">
        <v>27</v>
      </c>
      <c r="S1602">
        <v>2023</v>
      </c>
      <c r="T1602" t="s">
        <v>23</v>
      </c>
    </row>
    <row r="1603" spans="1:20" hidden="1" x14ac:dyDescent="0.3">
      <c r="A1603">
        <v>2700</v>
      </c>
      <c r="B1603">
        <v>413</v>
      </c>
      <c r="C1603" t="s">
        <v>40</v>
      </c>
      <c r="D1603" t="s">
        <v>25</v>
      </c>
      <c r="E1603" t="s">
        <v>20</v>
      </c>
      <c r="F1603" s="1">
        <v>44605</v>
      </c>
      <c r="G1603" s="1">
        <v>44981</v>
      </c>
      <c r="H1603">
        <v>5935</v>
      </c>
      <c r="I1603">
        <v>4872</v>
      </c>
      <c r="J1603">
        <v>1063</v>
      </c>
      <c r="K1603" t="s">
        <v>54</v>
      </c>
      <c r="L1603">
        <v>12</v>
      </c>
      <c r="M1603" t="str">
        <f t="shared" si="25"/>
        <v>6-12 Months</v>
      </c>
      <c r="N1603" s="1">
        <v>44981</v>
      </c>
      <c r="O1603">
        <v>0</v>
      </c>
      <c r="P1603">
        <v>1602</v>
      </c>
      <c r="Q1603" s="2">
        <v>0.18</v>
      </c>
      <c r="R1603" t="s">
        <v>27</v>
      </c>
      <c r="S1603">
        <v>2023</v>
      </c>
      <c r="T1603" t="s">
        <v>43</v>
      </c>
    </row>
    <row r="1604" spans="1:20" hidden="1" x14ac:dyDescent="0.3">
      <c r="A1604">
        <v>2701</v>
      </c>
      <c r="B1604">
        <v>114</v>
      </c>
      <c r="C1604" t="s">
        <v>45</v>
      </c>
      <c r="D1604" t="s">
        <v>34</v>
      </c>
      <c r="E1604" t="s">
        <v>26</v>
      </c>
      <c r="F1604" s="1">
        <v>44605</v>
      </c>
      <c r="G1604" s="1">
        <v>45135</v>
      </c>
      <c r="H1604">
        <v>8396</v>
      </c>
      <c r="I1604">
        <v>2983</v>
      </c>
      <c r="J1604">
        <v>5413</v>
      </c>
      <c r="K1604" t="s">
        <v>21</v>
      </c>
      <c r="L1604">
        <v>17</v>
      </c>
      <c r="M1604" t="str">
        <f t="shared" si="25"/>
        <v>6-12 Months</v>
      </c>
      <c r="N1604" s="1">
        <v>45135</v>
      </c>
      <c r="O1604">
        <v>1</v>
      </c>
      <c r="P1604">
        <v>1603</v>
      </c>
      <c r="Q1604" s="2">
        <v>0.64</v>
      </c>
      <c r="R1604" t="s">
        <v>27</v>
      </c>
      <c r="S1604">
        <v>2023</v>
      </c>
      <c r="T1604" t="s">
        <v>44</v>
      </c>
    </row>
    <row r="1605" spans="1:20" x14ac:dyDescent="0.3">
      <c r="A1605">
        <v>2702</v>
      </c>
      <c r="B1605">
        <v>471</v>
      </c>
      <c r="C1605" t="s">
        <v>24</v>
      </c>
      <c r="D1605" t="s">
        <v>19</v>
      </c>
      <c r="E1605" t="s">
        <v>37</v>
      </c>
      <c r="F1605" s="1">
        <v>44699</v>
      </c>
      <c r="G1605" s="1">
        <v>45011</v>
      </c>
      <c r="H1605">
        <v>6033</v>
      </c>
      <c r="I1605">
        <v>541</v>
      </c>
      <c r="J1605">
        <v>5492</v>
      </c>
      <c r="K1605" t="s">
        <v>35</v>
      </c>
      <c r="L1605">
        <v>10</v>
      </c>
      <c r="M1605" t="str">
        <f t="shared" si="25"/>
        <v>6-12 Months</v>
      </c>
      <c r="N1605" s="1">
        <v>45011</v>
      </c>
      <c r="O1605">
        <v>1</v>
      </c>
      <c r="P1605">
        <v>1604</v>
      </c>
      <c r="Q1605" s="2">
        <v>0.91</v>
      </c>
      <c r="R1605" t="s">
        <v>27</v>
      </c>
      <c r="S1605">
        <v>2023</v>
      </c>
      <c r="T1605" t="s">
        <v>38</v>
      </c>
    </row>
    <row r="1606" spans="1:20" x14ac:dyDescent="0.3">
      <c r="A1606">
        <v>2703</v>
      </c>
      <c r="B1606">
        <v>404</v>
      </c>
      <c r="C1606" t="s">
        <v>40</v>
      </c>
      <c r="D1606" t="s">
        <v>29</v>
      </c>
      <c r="E1606" t="s">
        <v>37</v>
      </c>
      <c r="F1606" s="1">
        <v>44749</v>
      </c>
      <c r="G1606" s="1">
        <v>45192</v>
      </c>
      <c r="H1606">
        <v>9648</v>
      </c>
      <c r="I1606">
        <v>6519</v>
      </c>
      <c r="J1606">
        <v>3129</v>
      </c>
      <c r="K1606" t="s">
        <v>35</v>
      </c>
      <c r="L1606">
        <v>14</v>
      </c>
      <c r="M1606" t="str">
        <f t="shared" si="25"/>
        <v>6-12 Months</v>
      </c>
      <c r="N1606" s="1">
        <v>45192</v>
      </c>
      <c r="O1606">
        <v>1</v>
      </c>
      <c r="P1606">
        <v>1605</v>
      </c>
      <c r="Q1606" s="2">
        <v>0.32</v>
      </c>
      <c r="R1606" t="s">
        <v>27</v>
      </c>
      <c r="S1606">
        <v>2023</v>
      </c>
      <c r="T1606" t="s">
        <v>30</v>
      </c>
    </row>
    <row r="1607" spans="1:20" hidden="1" x14ac:dyDescent="0.3">
      <c r="A1607">
        <v>2704</v>
      </c>
      <c r="B1607">
        <v>176</v>
      </c>
      <c r="C1607" t="s">
        <v>24</v>
      </c>
      <c r="D1607" t="s">
        <v>19</v>
      </c>
      <c r="E1607" t="s">
        <v>20</v>
      </c>
      <c r="F1607" s="1">
        <v>44706</v>
      </c>
      <c r="G1607" s="1">
        <v>44999</v>
      </c>
      <c r="H1607">
        <v>1720</v>
      </c>
      <c r="I1607">
        <v>4012.75</v>
      </c>
      <c r="J1607">
        <v>2681</v>
      </c>
      <c r="K1607" t="s">
        <v>54</v>
      </c>
      <c r="L1607">
        <v>9</v>
      </c>
      <c r="M1607" t="str">
        <f t="shared" si="25"/>
        <v>6-12 Months</v>
      </c>
      <c r="N1607" s="1">
        <v>44999</v>
      </c>
      <c r="O1607">
        <v>0</v>
      </c>
      <c r="P1607">
        <v>1606</v>
      </c>
      <c r="Q1607" s="2">
        <v>1.56</v>
      </c>
      <c r="R1607" t="s">
        <v>22</v>
      </c>
      <c r="S1607">
        <v>2023</v>
      </c>
      <c r="T1607" t="s">
        <v>38</v>
      </c>
    </row>
    <row r="1608" spans="1:20" hidden="1" x14ac:dyDescent="0.3">
      <c r="A1608">
        <v>2706</v>
      </c>
      <c r="B1608">
        <v>100</v>
      </c>
      <c r="C1608" t="s">
        <v>45</v>
      </c>
      <c r="D1608" t="s">
        <v>25</v>
      </c>
      <c r="E1608" t="s">
        <v>26</v>
      </c>
      <c r="F1608" s="1">
        <v>44776</v>
      </c>
      <c r="G1608" s="1">
        <v>44831</v>
      </c>
      <c r="H1608">
        <v>1082</v>
      </c>
      <c r="I1608">
        <v>107</v>
      </c>
      <c r="J1608">
        <v>975</v>
      </c>
      <c r="K1608" t="s">
        <v>54</v>
      </c>
      <c r="L1608">
        <v>1</v>
      </c>
      <c r="M1608" t="str">
        <f t="shared" si="25"/>
        <v>0-6 Months</v>
      </c>
      <c r="N1608" s="1">
        <v>44831</v>
      </c>
      <c r="O1608">
        <v>1</v>
      </c>
      <c r="P1608">
        <v>1607</v>
      </c>
      <c r="Q1608" s="2">
        <v>0.9</v>
      </c>
      <c r="R1608" t="s">
        <v>27</v>
      </c>
      <c r="S1608">
        <v>2022</v>
      </c>
      <c r="T1608" t="s">
        <v>30</v>
      </c>
    </row>
    <row r="1609" spans="1:20" hidden="1" x14ac:dyDescent="0.3">
      <c r="A1609">
        <v>2707</v>
      </c>
      <c r="B1609">
        <v>218</v>
      </c>
      <c r="C1609" t="s">
        <v>53</v>
      </c>
      <c r="D1609" t="s">
        <v>19</v>
      </c>
      <c r="E1609" t="s">
        <v>20</v>
      </c>
      <c r="F1609" s="1">
        <v>44913</v>
      </c>
      <c r="G1609" s="1">
        <v>45363</v>
      </c>
      <c r="H1609">
        <v>4967.93</v>
      </c>
      <c r="I1609">
        <v>6612</v>
      </c>
      <c r="J1609">
        <v>-6900</v>
      </c>
      <c r="K1609" t="s">
        <v>54</v>
      </c>
      <c r="L1609">
        <v>14</v>
      </c>
      <c r="M1609" t="str">
        <f t="shared" si="25"/>
        <v>6-12 Months</v>
      </c>
      <c r="N1609" s="1">
        <v>45363</v>
      </c>
      <c r="O1609">
        <v>0</v>
      </c>
      <c r="P1609">
        <v>1608</v>
      </c>
      <c r="Q1609" s="2">
        <v>-1.39</v>
      </c>
      <c r="R1609" t="s">
        <v>22</v>
      </c>
      <c r="S1609">
        <v>2024</v>
      </c>
      <c r="T1609" t="s">
        <v>38</v>
      </c>
    </row>
    <row r="1610" spans="1:20" hidden="1" x14ac:dyDescent="0.3">
      <c r="A1610">
        <v>2709</v>
      </c>
      <c r="B1610">
        <v>454</v>
      </c>
      <c r="C1610" t="s">
        <v>24</v>
      </c>
      <c r="D1610" t="s">
        <v>34</v>
      </c>
      <c r="E1610" t="s">
        <v>20</v>
      </c>
      <c r="F1610" s="1">
        <v>44890</v>
      </c>
      <c r="G1610" s="1">
        <v>45470</v>
      </c>
      <c r="H1610">
        <v>6514</v>
      </c>
      <c r="I1610">
        <v>2106</v>
      </c>
      <c r="J1610">
        <v>4408</v>
      </c>
      <c r="K1610" t="s">
        <v>54</v>
      </c>
      <c r="L1610">
        <v>19</v>
      </c>
      <c r="M1610" t="str">
        <f t="shared" si="25"/>
        <v>6-12 Months</v>
      </c>
      <c r="N1610" s="1">
        <v>45470</v>
      </c>
      <c r="O1610">
        <v>1</v>
      </c>
      <c r="P1610">
        <v>1609</v>
      </c>
      <c r="Q1610" s="2">
        <v>0.68</v>
      </c>
      <c r="R1610" t="s">
        <v>27</v>
      </c>
      <c r="S1610">
        <v>2024</v>
      </c>
      <c r="T1610" t="s">
        <v>41</v>
      </c>
    </row>
    <row r="1611" spans="1:20" hidden="1" x14ac:dyDescent="0.3">
      <c r="A1611">
        <v>2710</v>
      </c>
      <c r="B1611">
        <v>410</v>
      </c>
      <c r="C1611" t="s">
        <v>24</v>
      </c>
      <c r="D1611" t="s">
        <v>29</v>
      </c>
      <c r="E1611" t="s">
        <v>20</v>
      </c>
      <c r="F1611" s="1">
        <v>44733</v>
      </c>
      <c r="G1611" s="1">
        <v>45214</v>
      </c>
      <c r="H1611">
        <v>4021</v>
      </c>
      <c r="I1611">
        <v>2880</v>
      </c>
      <c r="J1611">
        <v>1141</v>
      </c>
      <c r="K1611" t="s">
        <v>54</v>
      </c>
      <c r="L1611">
        <v>15</v>
      </c>
      <c r="M1611" t="str">
        <f t="shared" si="25"/>
        <v>6-12 Months</v>
      </c>
      <c r="N1611" s="1">
        <v>45214</v>
      </c>
      <c r="O1611">
        <v>1</v>
      </c>
      <c r="P1611">
        <v>1610</v>
      </c>
      <c r="Q1611" s="2">
        <v>0.28000000000000003</v>
      </c>
      <c r="R1611" t="s">
        <v>27</v>
      </c>
      <c r="S1611">
        <v>2023</v>
      </c>
      <c r="T1611" t="s">
        <v>33</v>
      </c>
    </row>
    <row r="1612" spans="1:20" hidden="1" x14ac:dyDescent="0.3">
      <c r="A1612">
        <v>2711</v>
      </c>
      <c r="B1612">
        <v>297</v>
      </c>
      <c r="C1612" t="s">
        <v>53</v>
      </c>
      <c r="D1612" t="s">
        <v>25</v>
      </c>
      <c r="E1612" t="s">
        <v>37</v>
      </c>
      <c r="F1612" s="1">
        <v>44669</v>
      </c>
      <c r="G1612" s="1">
        <v>44854</v>
      </c>
      <c r="H1612">
        <v>4967.93</v>
      </c>
      <c r="I1612">
        <v>4235</v>
      </c>
      <c r="J1612">
        <v>-5424</v>
      </c>
      <c r="K1612" t="s">
        <v>54</v>
      </c>
      <c r="L1612">
        <v>6</v>
      </c>
      <c r="M1612" t="str">
        <f t="shared" si="25"/>
        <v>12+ Months</v>
      </c>
      <c r="N1612" s="1">
        <v>44854</v>
      </c>
      <c r="O1612">
        <v>0</v>
      </c>
      <c r="P1612">
        <v>1611</v>
      </c>
      <c r="Q1612" s="2">
        <v>-1.0900000000000001</v>
      </c>
      <c r="R1612" t="s">
        <v>22</v>
      </c>
      <c r="S1612">
        <v>2022</v>
      </c>
      <c r="T1612" t="s">
        <v>33</v>
      </c>
    </row>
    <row r="1613" spans="1:20" hidden="1" x14ac:dyDescent="0.3">
      <c r="A1613">
        <v>2717</v>
      </c>
      <c r="B1613">
        <v>366</v>
      </c>
      <c r="C1613" t="s">
        <v>24</v>
      </c>
      <c r="D1613" t="s">
        <v>34</v>
      </c>
      <c r="E1613" t="s">
        <v>37</v>
      </c>
      <c r="F1613" s="1">
        <v>44767</v>
      </c>
      <c r="G1613" s="1">
        <v>45023</v>
      </c>
      <c r="H1613">
        <v>652</v>
      </c>
      <c r="I1613">
        <v>5609</v>
      </c>
      <c r="J1613">
        <v>-4957</v>
      </c>
      <c r="K1613" t="s">
        <v>21</v>
      </c>
      <c r="L1613">
        <v>8</v>
      </c>
      <c r="M1613" t="str">
        <f t="shared" si="25"/>
        <v>6-12 Months</v>
      </c>
      <c r="N1613" s="1">
        <v>45023</v>
      </c>
      <c r="O1613">
        <v>0</v>
      </c>
      <c r="P1613">
        <v>1612</v>
      </c>
      <c r="Q1613" s="2">
        <v>-7.6</v>
      </c>
      <c r="R1613" t="s">
        <v>22</v>
      </c>
      <c r="S1613">
        <v>2023</v>
      </c>
      <c r="T1613" t="s">
        <v>32</v>
      </c>
    </row>
    <row r="1614" spans="1:20" x14ac:dyDescent="0.3">
      <c r="A1614">
        <v>2718</v>
      </c>
      <c r="B1614">
        <v>207</v>
      </c>
      <c r="C1614" t="s">
        <v>39</v>
      </c>
      <c r="D1614" t="s">
        <v>19</v>
      </c>
      <c r="E1614" t="s">
        <v>20</v>
      </c>
      <c r="F1614" s="1">
        <v>44813</v>
      </c>
      <c r="G1614" s="1">
        <v>45138</v>
      </c>
      <c r="H1614">
        <v>2376</v>
      </c>
      <c r="I1614">
        <v>6147</v>
      </c>
      <c r="J1614">
        <v>-3771</v>
      </c>
      <c r="K1614" t="s">
        <v>35</v>
      </c>
      <c r="L1614">
        <v>10</v>
      </c>
      <c r="M1614" t="str">
        <f t="shared" si="25"/>
        <v>6-12 Months</v>
      </c>
      <c r="N1614" s="1">
        <v>45138</v>
      </c>
      <c r="O1614">
        <v>0</v>
      </c>
      <c r="P1614">
        <v>1613</v>
      </c>
      <c r="Q1614" s="2">
        <v>-1.59</v>
      </c>
      <c r="R1614" t="s">
        <v>22</v>
      </c>
      <c r="S1614">
        <v>2023</v>
      </c>
      <c r="T1614" t="s">
        <v>44</v>
      </c>
    </row>
    <row r="1615" spans="1:20" x14ac:dyDescent="0.3">
      <c r="A1615">
        <v>2719</v>
      </c>
      <c r="B1615">
        <v>241</v>
      </c>
      <c r="C1615" t="s">
        <v>39</v>
      </c>
      <c r="D1615" t="s">
        <v>29</v>
      </c>
      <c r="E1615" t="s">
        <v>37</v>
      </c>
      <c r="F1615" s="1">
        <v>44894</v>
      </c>
      <c r="G1615" s="1">
        <v>45289</v>
      </c>
      <c r="H1615">
        <v>6664</v>
      </c>
      <c r="I1615">
        <v>5965</v>
      </c>
      <c r="J1615">
        <v>699</v>
      </c>
      <c r="K1615" t="s">
        <v>35</v>
      </c>
      <c r="L1615">
        <v>13</v>
      </c>
      <c r="M1615" t="str">
        <f t="shared" si="25"/>
        <v>6-12 Months</v>
      </c>
      <c r="N1615" s="1">
        <v>45289</v>
      </c>
      <c r="O1615">
        <v>0</v>
      </c>
      <c r="P1615">
        <v>1614</v>
      </c>
      <c r="Q1615" s="2">
        <v>0.1</v>
      </c>
      <c r="R1615" t="s">
        <v>27</v>
      </c>
      <c r="S1615">
        <v>2023</v>
      </c>
      <c r="T1615" t="s">
        <v>31</v>
      </c>
    </row>
    <row r="1616" spans="1:20" hidden="1" x14ac:dyDescent="0.3">
      <c r="A1616">
        <v>2720</v>
      </c>
      <c r="B1616">
        <v>456</v>
      </c>
      <c r="C1616" t="s">
        <v>40</v>
      </c>
      <c r="D1616" t="s">
        <v>34</v>
      </c>
      <c r="E1616" t="s">
        <v>20</v>
      </c>
      <c r="F1616" s="1">
        <v>44719</v>
      </c>
      <c r="G1616" s="1">
        <v>44938</v>
      </c>
      <c r="H1616">
        <v>3515</v>
      </c>
      <c r="I1616">
        <v>4841</v>
      </c>
      <c r="J1616">
        <v>-1326</v>
      </c>
      <c r="K1616" t="s">
        <v>54</v>
      </c>
      <c r="L1616">
        <v>7</v>
      </c>
      <c r="M1616" t="str">
        <f t="shared" si="25"/>
        <v>6-12 Months</v>
      </c>
      <c r="N1616" s="1">
        <v>44938</v>
      </c>
      <c r="O1616">
        <v>0</v>
      </c>
      <c r="P1616">
        <v>1615</v>
      </c>
      <c r="Q1616" s="2">
        <v>-0.38</v>
      </c>
      <c r="R1616" t="s">
        <v>27</v>
      </c>
      <c r="S1616">
        <v>2023</v>
      </c>
      <c r="T1616" t="s">
        <v>23</v>
      </c>
    </row>
    <row r="1617" spans="1:20" hidden="1" x14ac:dyDescent="0.3">
      <c r="A1617">
        <v>2722</v>
      </c>
      <c r="B1617">
        <v>159</v>
      </c>
      <c r="C1617" t="s">
        <v>40</v>
      </c>
      <c r="D1617" t="s">
        <v>19</v>
      </c>
      <c r="E1617" t="s">
        <v>20</v>
      </c>
      <c r="F1617" s="1">
        <v>44586</v>
      </c>
      <c r="G1617" s="1">
        <v>44997</v>
      </c>
      <c r="H1617">
        <v>4650</v>
      </c>
      <c r="I1617">
        <v>4100</v>
      </c>
      <c r="J1617">
        <v>550</v>
      </c>
      <c r="K1617" t="s">
        <v>54</v>
      </c>
      <c r="L1617">
        <v>13</v>
      </c>
      <c r="M1617" t="str">
        <f t="shared" si="25"/>
        <v>6-12 Months</v>
      </c>
      <c r="N1617" s="1">
        <v>44997</v>
      </c>
      <c r="O1617">
        <v>1</v>
      </c>
      <c r="P1617">
        <v>1616</v>
      </c>
      <c r="Q1617" s="2">
        <v>0.12</v>
      </c>
      <c r="R1617" t="s">
        <v>27</v>
      </c>
      <c r="S1617">
        <v>2023</v>
      </c>
      <c r="T1617" t="s">
        <v>38</v>
      </c>
    </row>
    <row r="1618" spans="1:20" hidden="1" x14ac:dyDescent="0.3">
      <c r="A1618">
        <v>2723</v>
      </c>
      <c r="B1618">
        <v>431</v>
      </c>
      <c r="C1618" t="s">
        <v>40</v>
      </c>
      <c r="D1618" t="s">
        <v>34</v>
      </c>
      <c r="E1618" t="s">
        <v>20</v>
      </c>
      <c r="F1618" s="1">
        <v>44844</v>
      </c>
      <c r="G1618" s="1">
        <v>45210</v>
      </c>
      <c r="H1618">
        <v>6002</v>
      </c>
      <c r="I1618">
        <v>2198</v>
      </c>
      <c r="J1618">
        <v>3804</v>
      </c>
      <c r="K1618" t="s">
        <v>21</v>
      </c>
      <c r="L1618">
        <v>12</v>
      </c>
      <c r="M1618" t="str">
        <f t="shared" si="25"/>
        <v>6-12 Months</v>
      </c>
      <c r="N1618" s="1">
        <v>45210</v>
      </c>
      <c r="O1618">
        <v>0</v>
      </c>
      <c r="P1618">
        <v>1617</v>
      </c>
      <c r="Q1618" s="2">
        <v>0.63</v>
      </c>
      <c r="R1618" t="s">
        <v>27</v>
      </c>
      <c r="S1618">
        <v>2023</v>
      </c>
      <c r="T1618" t="s">
        <v>33</v>
      </c>
    </row>
    <row r="1619" spans="1:20" x14ac:dyDescent="0.3">
      <c r="A1619">
        <v>2725</v>
      </c>
      <c r="B1619">
        <v>306</v>
      </c>
      <c r="C1619" t="s">
        <v>24</v>
      </c>
      <c r="D1619" t="s">
        <v>19</v>
      </c>
      <c r="E1619" t="s">
        <v>20</v>
      </c>
      <c r="F1619" s="1">
        <v>44583</v>
      </c>
      <c r="G1619" s="1">
        <v>45174</v>
      </c>
      <c r="H1619">
        <v>1706</v>
      </c>
      <c r="I1619">
        <v>155</v>
      </c>
      <c r="J1619">
        <v>1551</v>
      </c>
      <c r="K1619" t="s">
        <v>35</v>
      </c>
      <c r="L1619">
        <v>19</v>
      </c>
      <c r="M1619" t="str">
        <f t="shared" si="25"/>
        <v>6-12 Months</v>
      </c>
      <c r="N1619" s="1">
        <v>45174</v>
      </c>
      <c r="O1619">
        <v>1</v>
      </c>
      <c r="P1619">
        <v>1618</v>
      </c>
      <c r="Q1619" s="2">
        <v>0.91</v>
      </c>
      <c r="R1619" t="s">
        <v>27</v>
      </c>
      <c r="S1619">
        <v>2023</v>
      </c>
      <c r="T1619" t="s">
        <v>30</v>
      </c>
    </row>
    <row r="1620" spans="1:20" hidden="1" x14ac:dyDescent="0.3">
      <c r="A1620">
        <v>2726</v>
      </c>
      <c r="B1620">
        <v>224</v>
      </c>
      <c r="C1620" t="s">
        <v>39</v>
      </c>
      <c r="D1620" t="s">
        <v>19</v>
      </c>
      <c r="E1620" t="s">
        <v>26</v>
      </c>
      <c r="F1620" s="1">
        <v>44566</v>
      </c>
      <c r="G1620" s="1">
        <v>44779</v>
      </c>
      <c r="H1620">
        <v>4638</v>
      </c>
      <c r="I1620">
        <v>2534</v>
      </c>
      <c r="J1620">
        <v>2104</v>
      </c>
      <c r="K1620" t="s">
        <v>54</v>
      </c>
      <c r="L1620">
        <v>7</v>
      </c>
      <c r="M1620" t="str">
        <f t="shared" si="25"/>
        <v>6-12 Months</v>
      </c>
      <c r="N1620" s="1">
        <v>44779</v>
      </c>
      <c r="O1620">
        <v>1</v>
      </c>
      <c r="P1620">
        <v>1619</v>
      </c>
      <c r="Q1620" s="2">
        <v>0.45</v>
      </c>
      <c r="R1620" t="s">
        <v>27</v>
      </c>
      <c r="S1620">
        <v>2022</v>
      </c>
      <c r="T1620" t="s">
        <v>36</v>
      </c>
    </row>
    <row r="1621" spans="1:20" hidden="1" x14ac:dyDescent="0.3">
      <c r="A1621">
        <v>2727</v>
      </c>
      <c r="B1621">
        <v>312</v>
      </c>
      <c r="C1621" t="s">
        <v>39</v>
      </c>
      <c r="D1621" t="s">
        <v>29</v>
      </c>
      <c r="E1621" t="s">
        <v>26</v>
      </c>
      <c r="F1621" s="1">
        <v>44916</v>
      </c>
      <c r="G1621" s="1">
        <v>45199</v>
      </c>
      <c r="H1621">
        <v>7976</v>
      </c>
      <c r="I1621">
        <v>7249</v>
      </c>
      <c r="J1621">
        <v>727</v>
      </c>
      <c r="K1621" t="s">
        <v>21</v>
      </c>
      <c r="L1621">
        <v>9</v>
      </c>
      <c r="M1621" t="str">
        <f t="shared" si="25"/>
        <v>6-12 Months</v>
      </c>
      <c r="N1621" s="1">
        <v>45199</v>
      </c>
      <c r="O1621">
        <v>0</v>
      </c>
      <c r="P1621">
        <v>1620</v>
      </c>
      <c r="Q1621" s="2">
        <v>0.09</v>
      </c>
      <c r="R1621" t="s">
        <v>27</v>
      </c>
      <c r="S1621">
        <v>2023</v>
      </c>
      <c r="T1621" t="s">
        <v>30</v>
      </c>
    </row>
    <row r="1622" spans="1:20" hidden="1" x14ac:dyDescent="0.3">
      <c r="A1622">
        <v>2728</v>
      </c>
      <c r="B1622">
        <v>467</v>
      </c>
      <c r="C1622" t="s">
        <v>53</v>
      </c>
      <c r="D1622" t="s">
        <v>29</v>
      </c>
      <c r="E1622" t="s">
        <v>20</v>
      </c>
      <c r="F1622" s="1">
        <v>44631</v>
      </c>
      <c r="G1622" s="1">
        <v>44908</v>
      </c>
      <c r="H1622">
        <v>4690</v>
      </c>
      <c r="I1622">
        <v>504</v>
      </c>
      <c r="J1622">
        <v>4186</v>
      </c>
      <c r="K1622" t="s">
        <v>21</v>
      </c>
      <c r="L1622">
        <v>9</v>
      </c>
      <c r="M1622" t="str">
        <f t="shared" si="25"/>
        <v>6-12 Months</v>
      </c>
      <c r="N1622" s="1">
        <v>44908</v>
      </c>
      <c r="O1622">
        <v>1</v>
      </c>
      <c r="P1622">
        <v>1621</v>
      </c>
      <c r="Q1622" s="2">
        <v>0.89</v>
      </c>
      <c r="R1622" t="s">
        <v>27</v>
      </c>
      <c r="S1622">
        <v>2022</v>
      </c>
      <c r="T1622" t="s">
        <v>31</v>
      </c>
    </row>
    <row r="1623" spans="1:20" hidden="1" x14ac:dyDescent="0.3">
      <c r="A1623">
        <v>2730</v>
      </c>
      <c r="B1623">
        <v>302</v>
      </c>
      <c r="C1623" t="s">
        <v>40</v>
      </c>
      <c r="D1623" t="s">
        <v>19</v>
      </c>
      <c r="E1623" t="s">
        <v>26</v>
      </c>
      <c r="F1623" s="1">
        <v>44686</v>
      </c>
      <c r="G1623" s="1">
        <v>45243</v>
      </c>
      <c r="H1623">
        <v>4967.93</v>
      </c>
      <c r="I1623">
        <v>4012.75</v>
      </c>
      <c r="J1623">
        <v>846</v>
      </c>
      <c r="K1623" t="s">
        <v>21</v>
      </c>
      <c r="L1623">
        <v>18</v>
      </c>
      <c r="M1623" t="str">
        <f t="shared" si="25"/>
        <v>6-12 Months</v>
      </c>
      <c r="N1623" s="1">
        <v>45243</v>
      </c>
      <c r="O1623">
        <v>0</v>
      </c>
      <c r="P1623">
        <v>1622</v>
      </c>
      <c r="Q1623" s="2">
        <v>0.17</v>
      </c>
      <c r="R1623" t="s">
        <v>27</v>
      </c>
      <c r="S1623">
        <v>2023</v>
      </c>
      <c r="T1623" t="s">
        <v>42</v>
      </c>
    </row>
    <row r="1624" spans="1:20" x14ac:dyDescent="0.3">
      <c r="A1624">
        <v>2733</v>
      </c>
      <c r="B1624">
        <v>441</v>
      </c>
      <c r="C1624" t="s">
        <v>45</v>
      </c>
      <c r="D1624" t="s">
        <v>19</v>
      </c>
      <c r="E1624" t="s">
        <v>26</v>
      </c>
      <c r="F1624" s="1">
        <v>44807</v>
      </c>
      <c r="G1624" s="1">
        <v>45325</v>
      </c>
      <c r="H1624">
        <v>4600</v>
      </c>
      <c r="I1624">
        <v>4997</v>
      </c>
      <c r="J1624">
        <v>-397</v>
      </c>
      <c r="K1624" t="s">
        <v>35</v>
      </c>
      <c r="L1624">
        <v>17</v>
      </c>
      <c r="M1624" t="str">
        <f t="shared" si="25"/>
        <v>6-12 Months</v>
      </c>
      <c r="N1624" s="1">
        <v>45325</v>
      </c>
      <c r="O1624">
        <v>1</v>
      </c>
      <c r="P1624">
        <v>1623</v>
      </c>
      <c r="Q1624" s="2">
        <v>-0.09</v>
      </c>
      <c r="R1624" t="s">
        <v>27</v>
      </c>
      <c r="S1624">
        <v>2024</v>
      </c>
      <c r="T1624" t="s">
        <v>43</v>
      </c>
    </row>
    <row r="1625" spans="1:20" x14ac:dyDescent="0.3">
      <c r="A1625">
        <v>2735</v>
      </c>
      <c r="B1625">
        <v>208</v>
      </c>
      <c r="C1625" t="s">
        <v>40</v>
      </c>
      <c r="D1625" t="s">
        <v>29</v>
      </c>
      <c r="E1625" t="s">
        <v>26</v>
      </c>
      <c r="F1625" s="1">
        <v>44903</v>
      </c>
      <c r="G1625" s="1">
        <v>45454</v>
      </c>
      <c r="H1625">
        <v>7445</v>
      </c>
      <c r="I1625">
        <v>467</v>
      </c>
      <c r="J1625">
        <v>6978</v>
      </c>
      <c r="K1625" t="s">
        <v>35</v>
      </c>
      <c r="L1625">
        <v>18</v>
      </c>
      <c r="M1625" t="str">
        <f t="shared" si="25"/>
        <v>6-12 Months</v>
      </c>
      <c r="N1625" s="1">
        <v>45454</v>
      </c>
      <c r="O1625">
        <v>1</v>
      </c>
      <c r="P1625">
        <v>1624</v>
      </c>
      <c r="Q1625" s="2">
        <v>0.94</v>
      </c>
      <c r="R1625" t="s">
        <v>27</v>
      </c>
      <c r="S1625">
        <v>2024</v>
      </c>
      <c r="T1625" t="s">
        <v>41</v>
      </c>
    </row>
    <row r="1626" spans="1:20" x14ac:dyDescent="0.3">
      <c r="A1626">
        <v>2736</v>
      </c>
      <c r="B1626">
        <v>214</v>
      </c>
      <c r="C1626" t="s">
        <v>45</v>
      </c>
      <c r="D1626" t="s">
        <v>25</v>
      </c>
      <c r="E1626" t="s">
        <v>37</v>
      </c>
      <c r="F1626" s="1">
        <v>44837</v>
      </c>
      <c r="G1626" s="1">
        <v>45134</v>
      </c>
      <c r="H1626">
        <v>7705</v>
      </c>
      <c r="I1626">
        <v>7914</v>
      </c>
      <c r="J1626">
        <v>-209</v>
      </c>
      <c r="K1626" t="s">
        <v>35</v>
      </c>
      <c r="L1626">
        <v>9</v>
      </c>
      <c r="M1626" t="str">
        <f t="shared" si="25"/>
        <v>6-12 Months</v>
      </c>
      <c r="N1626" s="1">
        <v>45134</v>
      </c>
      <c r="O1626">
        <v>0</v>
      </c>
      <c r="P1626">
        <v>1625</v>
      </c>
      <c r="Q1626" s="2">
        <v>-0.03</v>
      </c>
      <c r="R1626" t="s">
        <v>27</v>
      </c>
      <c r="S1626">
        <v>2023</v>
      </c>
      <c r="T1626" t="s">
        <v>44</v>
      </c>
    </row>
    <row r="1627" spans="1:20" hidden="1" x14ac:dyDescent="0.3">
      <c r="A1627">
        <v>2738</v>
      </c>
      <c r="B1627">
        <v>422</v>
      </c>
      <c r="C1627" t="s">
        <v>24</v>
      </c>
      <c r="D1627" t="s">
        <v>29</v>
      </c>
      <c r="E1627" t="s">
        <v>20</v>
      </c>
      <c r="F1627" s="1">
        <v>44623</v>
      </c>
      <c r="G1627" s="1">
        <v>45152</v>
      </c>
      <c r="H1627">
        <v>4967.93</v>
      </c>
      <c r="I1627">
        <v>7156</v>
      </c>
      <c r="J1627">
        <v>-7703</v>
      </c>
      <c r="K1627" t="s">
        <v>54</v>
      </c>
      <c r="L1627">
        <v>17</v>
      </c>
      <c r="M1627" t="str">
        <f t="shared" si="25"/>
        <v>6-12 Months</v>
      </c>
      <c r="N1627" s="1">
        <v>45152</v>
      </c>
      <c r="O1627">
        <v>0</v>
      </c>
      <c r="P1627">
        <v>1626</v>
      </c>
      <c r="Q1627" s="2">
        <v>-1.55</v>
      </c>
      <c r="R1627" t="s">
        <v>22</v>
      </c>
      <c r="S1627">
        <v>2023</v>
      </c>
      <c r="T1627" t="s">
        <v>36</v>
      </c>
    </row>
    <row r="1628" spans="1:20" hidden="1" x14ac:dyDescent="0.3">
      <c r="A1628">
        <v>2739</v>
      </c>
      <c r="B1628">
        <v>120</v>
      </c>
      <c r="C1628" t="s">
        <v>39</v>
      </c>
      <c r="D1628" t="s">
        <v>34</v>
      </c>
      <c r="E1628" t="s">
        <v>26</v>
      </c>
      <c r="F1628" s="1">
        <v>44685</v>
      </c>
      <c r="G1628" s="1">
        <v>44953</v>
      </c>
      <c r="H1628">
        <v>7539</v>
      </c>
      <c r="I1628">
        <v>3339</v>
      </c>
      <c r="J1628">
        <v>4200</v>
      </c>
      <c r="K1628" t="s">
        <v>54</v>
      </c>
      <c r="L1628">
        <v>8</v>
      </c>
      <c r="M1628" t="str">
        <f t="shared" si="25"/>
        <v>6-12 Months</v>
      </c>
      <c r="N1628" s="1">
        <v>44953</v>
      </c>
      <c r="O1628">
        <v>1</v>
      </c>
      <c r="P1628">
        <v>1627</v>
      </c>
      <c r="Q1628" s="2">
        <v>0.56000000000000005</v>
      </c>
      <c r="R1628" t="s">
        <v>27</v>
      </c>
      <c r="S1628">
        <v>2023</v>
      </c>
      <c r="T1628" t="s">
        <v>23</v>
      </c>
    </row>
    <row r="1629" spans="1:20" hidden="1" x14ac:dyDescent="0.3">
      <c r="A1629">
        <v>2740</v>
      </c>
      <c r="B1629">
        <v>334</v>
      </c>
      <c r="C1629" t="s">
        <v>53</v>
      </c>
      <c r="D1629" t="s">
        <v>19</v>
      </c>
      <c r="E1629" t="s">
        <v>26</v>
      </c>
      <c r="F1629" s="1">
        <v>44721</v>
      </c>
      <c r="G1629" s="1">
        <v>45243</v>
      </c>
      <c r="H1629">
        <v>5517</v>
      </c>
      <c r="I1629">
        <v>3338</v>
      </c>
      <c r="J1629">
        <v>2179</v>
      </c>
      <c r="K1629" t="s">
        <v>54</v>
      </c>
      <c r="L1629">
        <v>17</v>
      </c>
      <c r="M1629" t="str">
        <f t="shared" si="25"/>
        <v>6-12 Months</v>
      </c>
      <c r="N1629" s="1">
        <v>45243</v>
      </c>
      <c r="O1629">
        <v>1</v>
      </c>
      <c r="P1629">
        <v>1628</v>
      </c>
      <c r="Q1629" s="2">
        <v>0.39</v>
      </c>
      <c r="R1629" t="s">
        <v>27</v>
      </c>
      <c r="S1629">
        <v>2023</v>
      </c>
      <c r="T1629" t="s">
        <v>42</v>
      </c>
    </row>
    <row r="1630" spans="1:20" hidden="1" x14ac:dyDescent="0.3">
      <c r="A1630">
        <v>2741</v>
      </c>
      <c r="B1630">
        <v>424</v>
      </c>
      <c r="C1630" t="s">
        <v>45</v>
      </c>
      <c r="D1630" t="s">
        <v>25</v>
      </c>
      <c r="E1630" t="s">
        <v>26</v>
      </c>
      <c r="F1630" s="1">
        <v>44759</v>
      </c>
      <c r="G1630" s="1">
        <v>45229</v>
      </c>
      <c r="H1630">
        <v>2452</v>
      </c>
      <c r="I1630">
        <v>7212</v>
      </c>
      <c r="J1630">
        <v>-4760</v>
      </c>
      <c r="K1630" t="s">
        <v>21</v>
      </c>
      <c r="L1630">
        <v>15</v>
      </c>
      <c r="M1630" t="str">
        <f t="shared" si="25"/>
        <v>6-12 Months</v>
      </c>
      <c r="N1630" s="1">
        <v>45229</v>
      </c>
      <c r="O1630">
        <v>0</v>
      </c>
      <c r="P1630">
        <v>1629</v>
      </c>
      <c r="Q1630" s="2">
        <v>-1.94</v>
      </c>
      <c r="R1630" t="s">
        <v>22</v>
      </c>
      <c r="S1630">
        <v>2023</v>
      </c>
      <c r="T1630" t="s">
        <v>33</v>
      </c>
    </row>
    <row r="1631" spans="1:20" hidden="1" x14ac:dyDescent="0.3">
      <c r="A1631">
        <v>2743</v>
      </c>
      <c r="B1631">
        <v>320</v>
      </c>
      <c r="C1631" t="s">
        <v>39</v>
      </c>
      <c r="D1631" t="s">
        <v>34</v>
      </c>
      <c r="E1631" t="s">
        <v>37</v>
      </c>
      <c r="F1631" s="1">
        <v>44787</v>
      </c>
      <c r="G1631" s="1">
        <v>44931</v>
      </c>
      <c r="H1631">
        <v>4324</v>
      </c>
      <c r="I1631">
        <v>175</v>
      </c>
      <c r="J1631">
        <v>4149</v>
      </c>
      <c r="K1631" t="s">
        <v>21</v>
      </c>
      <c r="L1631">
        <v>4</v>
      </c>
      <c r="M1631" t="str">
        <f t="shared" si="25"/>
        <v>0-6 Months</v>
      </c>
      <c r="N1631" s="1">
        <v>44931</v>
      </c>
      <c r="O1631">
        <v>1</v>
      </c>
      <c r="P1631">
        <v>1630</v>
      </c>
      <c r="Q1631" s="2">
        <v>0.96</v>
      </c>
      <c r="R1631" t="s">
        <v>27</v>
      </c>
      <c r="S1631">
        <v>2023</v>
      </c>
      <c r="T1631" t="s">
        <v>23</v>
      </c>
    </row>
    <row r="1632" spans="1:20" x14ac:dyDescent="0.3">
      <c r="A1632">
        <v>2744</v>
      </c>
      <c r="B1632">
        <v>158</v>
      </c>
      <c r="C1632" t="s">
        <v>24</v>
      </c>
      <c r="D1632" t="s">
        <v>19</v>
      </c>
      <c r="E1632" t="s">
        <v>20</v>
      </c>
      <c r="F1632" s="1">
        <v>44773</v>
      </c>
      <c r="G1632" s="1">
        <v>45093</v>
      </c>
      <c r="H1632">
        <v>6133</v>
      </c>
      <c r="I1632">
        <v>4012.75</v>
      </c>
      <c r="J1632">
        <v>577.01</v>
      </c>
      <c r="K1632" t="s">
        <v>35</v>
      </c>
      <c r="L1632">
        <v>10</v>
      </c>
      <c r="M1632" t="str">
        <f t="shared" si="25"/>
        <v>6-12 Months</v>
      </c>
      <c r="N1632" s="1">
        <v>45093</v>
      </c>
      <c r="O1632">
        <v>1</v>
      </c>
      <c r="P1632">
        <v>1631</v>
      </c>
      <c r="Q1632" s="2">
        <v>0.09</v>
      </c>
      <c r="R1632" t="s">
        <v>27</v>
      </c>
      <c r="S1632">
        <v>2023</v>
      </c>
      <c r="T1632" t="s">
        <v>41</v>
      </c>
    </row>
    <row r="1633" spans="1:20" hidden="1" x14ac:dyDescent="0.3">
      <c r="A1633">
        <v>2749</v>
      </c>
      <c r="B1633">
        <v>495</v>
      </c>
      <c r="C1633" t="s">
        <v>53</v>
      </c>
      <c r="D1633" t="s">
        <v>34</v>
      </c>
      <c r="E1633" t="s">
        <v>20</v>
      </c>
      <c r="F1633" s="1">
        <v>44794</v>
      </c>
      <c r="G1633" s="1">
        <v>44959</v>
      </c>
      <c r="H1633">
        <v>4992</v>
      </c>
      <c r="I1633">
        <v>5738</v>
      </c>
      <c r="J1633">
        <v>-746</v>
      </c>
      <c r="K1633" t="s">
        <v>54</v>
      </c>
      <c r="L1633">
        <v>5</v>
      </c>
      <c r="M1633" t="str">
        <f t="shared" si="25"/>
        <v>0-6 Months</v>
      </c>
      <c r="N1633" s="1">
        <v>44959</v>
      </c>
      <c r="O1633">
        <v>0</v>
      </c>
      <c r="P1633">
        <v>1632</v>
      </c>
      <c r="Q1633" s="2">
        <v>-0.15</v>
      </c>
      <c r="R1633" t="s">
        <v>27</v>
      </c>
      <c r="S1633">
        <v>2023</v>
      </c>
      <c r="T1633" t="s">
        <v>43</v>
      </c>
    </row>
    <row r="1634" spans="1:20" hidden="1" x14ac:dyDescent="0.3">
      <c r="A1634">
        <v>2750</v>
      </c>
      <c r="B1634">
        <v>108</v>
      </c>
      <c r="C1634" t="s">
        <v>24</v>
      </c>
      <c r="D1634" t="s">
        <v>19</v>
      </c>
      <c r="E1634" t="s">
        <v>37</v>
      </c>
      <c r="F1634" s="1">
        <v>44869</v>
      </c>
      <c r="G1634" s="1">
        <v>45008</v>
      </c>
      <c r="H1634">
        <v>1233</v>
      </c>
      <c r="I1634">
        <v>1904</v>
      </c>
      <c r="J1634">
        <v>-671</v>
      </c>
      <c r="K1634" t="s">
        <v>54</v>
      </c>
      <c r="L1634">
        <v>4</v>
      </c>
      <c r="M1634" t="str">
        <f t="shared" si="25"/>
        <v>0-6 Months</v>
      </c>
      <c r="N1634" s="1">
        <v>45008</v>
      </c>
      <c r="O1634">
        <v>0</v>
      </c>
      <c r="P1634">
        <v>1633</v>
      </c>
      <c r="Q1634" s="2">
        <v>-0.54</v>
      </c>
      <c r="R1634" t="s">
        <v>27</v>
      </c>
      <c r="S1634">
        <v>2023</v>
      </c>
      <c r="T1634" t="s">
        <v>38</v>
      </c>
    </row>
    <row r="1635" spans="1:20" hidden="1" x14ac:dyDescent="0.3">
      <c r="A1635">
        <v>2752</v>
      </c>
      <c r="B1635">
        <v>443</v>
      </c>
      <c r="C1635" t="s">
        <v>45</v>
      </c>
      <c r="D1635" t="s">
        <v>29</v>
      </c>
      <c r="E1635" t="s">
        <v>37</v>
      </c>
      <c r="F1635" s="1">
        <v>44621</v>
      </c>
      <c r="G1635" s="1">
        <v>44878</v>
      </c>
      <c r="H1635">
        <v>7247</v>
      </c>
      <c r="I1635">
        <v>2627</v>
      </c>
      <c r="J1635">
        <v>4620</v>
      </c>
      <c r="K1635" t="s">
        <v>21</v>
      </c>
      <c r="L1635">
        <v>8</v>
      </c>
      <c r="M1635" t="str">
        <f t="shared" si="25"/>
        <v>6-12 Months</v>
      </c>
      <c r="N1635" s="1">
        <v>44878</v>
      </c>
      <c r="O1635">
        <v>1</v>
      </c>
      <c r="P1635">
        <v>1634</v>
      </c>
      <c r="Q1635" s="2">
        <v>0.64</v>
      </c>
      <c r="R1635" t="s">
        <v>27</v>
      </c>
      <c r="S1635">
        <v>2022</v>
      </c>
      <c r="T1635" t="s">
        <v>42</v>
      </c>
    </row>
    <row r="1636" spans="1:20" x14ac:dyDescent="0.3">
      <c r="A1636">
        <v>2754</v>
      </c>
      <c r="B1636">
        <v>284</v>
      </c>
      <c r="C1636" t="s">
        <v>39</v>
      </c>
      <c r="D1636" t="s">
        <v>29</v>
      </c>
      <c r="E1636" t="s">
        <v>37</v>
      </c>
      <c r="F1636" s="1">
        <v>44888</v>
      </c>
      <c r="G1636" s="1">
        <v>44971</v>
      </c>
      <c r="H1636">
        <v>4330</v>
      </c>
      <c r="I1636">
        <v>4012.75</v>
      </c>
      <c r="J1636">
        <v>4920</v>
      </c>
      <c r="K1636" t="s">
        <v>35</v>
      </c>
      <c r="L1636">
        <v>2</v>
      </c>
      <c r="M1636" t="str">
        <f t="shared" si="25"/>
        <v>0-6 Months</v>
      </c>
      <c r="N1636" s="1">
        <v>44971</v>
      </c>
      <c r="O1636">
        <v>1</v>
      </c>
      <c r="P1636">
        <v>1635</v>
      </c>
      <c r="Q1636" s="2">
        <v>1.1399999999999999</v>
      </c>
      <c r="R1636" t="s">
        <v>22</v>
      </c>
      <c r="S1636">
        <v>2023</v>
      </c>
      <c r="T1636" t="s">
        <v>43</v>
      </c>
    </row>
    <row r="1637" spans="1:20" x14ac:dyDescent="0.3">
      <c r="A1637">
        <v>2755</v>
      </c>
      <c r="B1637">
        <v>458</v>
      </c>
      <c r="C1637" t="s">
        <v>45</v>
      </c>
      <c r="D1637" t="s">
        <v>34</v>
      </c>
      <c r="E1637" t="s">
        <v>26</v>
      </c>
      <c r="F1637" s="1">
        <v>44691</v>
      </c>
      <c r="G1637" s="1">
        <v>44868</v>
      </c>
      <c r="H1637">
        <v>2410</v>
      </c>
      <c r="I1637">
        <v>4012.75</v>
      </c>
      <c r="J1637">
        <v>3127</v>
      </c>
      <c r="K1637" t="s">
        <v>35</v>
      </c>
      <c r="L1637">
        <v>5</v>
      </c>
      <c r="M1637" t="str">
        <f t="shared" si="25"/>
        <v>0-6 Months</v>
      </c>
      <c r="N1637" s="1">
        <v>44868</v>
      </c>
      <c r="O1637">
        <v>1</v>
      </c>
      <c r="P1637">
        <v>1636</v>
      </c>
      <c r="Q1637" s="2">
        <v>1.3</v>
      </c>
      <c r="R1637" t="s">
        <v>22</v>
      </c>
      <c r="S1637">
        <v>2022</v>
      </c>
      <c r="T1637" t="s">
        <v>42</v>
      </c>
    </row>
    <row r="1638" spans="1:20" hidden="1" x14ac:dyDescent="0.3">
      <c r="A1638">
        <v>2756</v>
      </c>
      <c r="B1638">
        <v>246</v>
      </c>
      <c r="C1638" t="s">
        <v>39</v>
      </c>
      <c r="D1638" t="s">
        <v>29</v>
      </c>
      <c r="E1638" t="s">
        <v>26</v>
      </c>
      <c r="F1638" s="1">
        <v>44650</v>
      </c>
      <c r="G1638" s="1">
        <v>44990</v>
      </c>
      <c r="H1638">
        <v>2735</v>
      </c>
      <c r="I1638">
        <v>7379</v>
      </c>
      <c r="J1638">
        <v>-4644</v>
      </c>
      <c r="K1638" t="s">
        <v>54</v>
      </c>
      <c r="L1638">
        <v>11</v>
      </c>
      <c r="M1638" t="str">
        <f t="shared" si="25"/>
        <v>6-12 Months</v>
      </c>
      <c r="N1638" s="1">
        <v>44990</v>
      </c>
      <c r="O1638">
        <v>1</v>
      </c>
      <c r="P1638">
        <v>1637</v>
      </c>
      <c r="Q1638" s="2">
        <v>-1.7</v>
      </c>
      <c r="R1638" t="s">
        <v>22</v>
      </c>
      <c r="S1638">
        <v>2023</v>
      </c>
      <c r="T1638" t="s">
        <v>38</v>
      </c>
    </row>
    <row r="1639" spans="1:20" hidden="1" x14ac:dyDescent="0.3">
      <c r="A1639">
        <v>2757</v>
      </c>
      <c r="B1639">
        <v>249</v>
      </c>
      <c r="C1639" t="s">
        <v>45</v>
      </c>
      <c r="D1639" t="s">
        <v>34</v>
      </c>
      <c r="E1639" t="s">
        <v>20</v>
      </c>
      <c r="F1639" s="1">
        <v>44734</v>
      </c>
      <c r="G1639" s="1">
        <v>44952</v>
      </c>
      <c r="H1639">
        <v>7498</v>
      </c>
      <c r="I1639">
        <v>3755</v>
      </c>
      <c r="J1639">
        <v>3743</v>
      </c>
      <c r="K1639" t="s">
        <v>54</v>
      </c>
      <c r="L1639">
        <v>7</v>
      </c>
      <c r="M1639" t="str">
        <f t="shared" si="25"/>
        <v>6-12 Months</v>
      </c>
      <c r="N1639" s="1">
        <v>44952</v>
      </c>
      <c r="O1639">
        <v>0</v>
      </c>
      <c r="P1639">
        <v>1638</v>
      </c>
      <c r="Q1639" s="2">
        <v>0.5</v>
      </c>
      <c r="R1639" t="s">
        <v>27</v>
      </c>
      <c r="S1639">
        <v>2023</v>
      </c>
      <c r="T1639" t="s">
        <v>23</v>
      </c>
    </row>
    <row r="1640" spans="1:20" x14ac:dyDescent="0.3">
      <c r="A1640">
        <v>2759</v>
      </c>
      <c r="B1640">
        <v>173</v>
      </c>
      <c r="C1640" t="s">
        <v>45</v>
      </c>
      <c r="D1640" t="s">
        <v>29</v>
      </c>
      <c r="E1640" t="s">
        <v>26</v>
      </c>
      <c r="F1640" s="1">
        <v>44762</v>
      </c>
      <c r="G1640" s="1">
        <v>45180</v>
      </c>
      <c r="H1640">
        <v>8433</v>
      </c>
      <c r="I1640">
        <v>4205</v>
      </c>
      <c r="J1640">
        <v>4228</v>
      </c>
      <c r="K1640" t="s">
        <v>35</v>
      </c>
      <c r="L1640">
        <v>13</v>
      </c>
      <c r="M1640" t="str">
        <f t="shared" si="25"/>
        <v>6-12 Months</v>
      </c>
      <c r="N1640" s="1">
        <v>45180</v>
      </c>
      <c r="O1640">
        <v>1</v>
      </c>
      <c r="P1640">
        <v>1639</v>
      </c>
      <c r="Q1640" s="2">
        <v>0.5</v>
      </c>
      <c r="R1640" t="s">
        <v>27</v>
      </c>
      <c r="S1640">
        <v>2023</v>
      </c>
      <c r="T1640" t="s">
        <v>30</v>
      </c>
    </row>
    <row r="1641" spans="1:20" x14ac:dyDescent="0.3">
      <c r="A1641">
        <v>2760</v>
      </c>
      <c r="B1641">
        <v>271</v>
      </c>
      <c r="C1641" t="s">
        <v>53</v>
      </c>
      <c r="D1641" t="s">
        <v>29</v>
      </c>
      <c r="E1641" t="s">
        <v>37</v>
      </c>
      <c r="F1641" s="1">
        <v>44767</v>
      </c>
      <c r="G1641" s="1">
        <v>45112</v>
      </c>
      <c r="H1641">
        <v>4967.93</v>
      </c>
      <c r="I1641">
        <v>7431</v>
      </c>
      <c r="J1641">
        <v>-7875</v>
      </c>
      <c r="K1641" t="s">
        <v>35</v>
      </c>
      <c r="L1641">
        <v>11</v>
      </c>
      <c r="M1641" t="str">
        <f t="shared" si="25"/>
        <v>6-12 Months</v>
      </c>
      <c r="N1641" s="1">
        <v>45112</v>
      </c>
      <c r="O1641">
        <v>1</v>
      </c>
      <c r="P1641">
        <v>1640</v>
      </c>
      <c r="Q1641" s="2">
        <v>-1.59</v>
      </c>
      <c r="R1641" t="s">
        <v>22</v>
      </c>
      <c r="S1641">
        <v>2023</v>
      </c>
      <c r="T1641" t="s">
        <v>44</v>
      </c>
    </row>
    <row r="1642" spans="1:20" hidden="1" x14ac:dyDescent="0.3">
      <c r="A1642">
        <v>2761</v>
      </c>
      <c r="B1642">
        <v>434</v>
      </c>
      <c r="C1642" t="s">
        <v>53</v>
      </c>
      <c r="D1642" t="s">
        <v>34</v>
      </c>
      <c r="E1642" t="s">
        <v>26</v>
      </c>
      <c r="F1642" s="1">
        <v>44662</v>
      </c>
      <c r="G1642" s="1">
        <v>44716</v>
      </c>
      <c r="H1642">
        <v>4967.93</v>
      </c>
      <c r="I1642">
        <v>7504</v>
      </c>
      <c r="J1642">
        <v>-8736</v>
      </c>
      <c r="K1642" t="s">
        <v>54</v>
      </c>
      <c r="L1642">
        <v>1</v>
      </c>
      <c r="M1642" t="str">
        <f t="shared" si="25"/>
        <v>0-6 Months</v>
      </c>
      <c r="N1642" s="1">
        <v>44716</v>
      </c>
      <c r="O1642">
        <v>1</v>
      </c>
      <c r="P1642">
        <v>1641</v>
      </c>
      <c r="Q1642" s="2">
        <v>-1.76</v>
      </c>
      <c r="R1642" t="s">
        <v>22</v>
      </c>
      <c r="S1642">
        <v>2022</v>
      </c>
      <c r="T1642" t="s">
        <v>41</v>
      </c>
    </row>
    <row r="1643" spans="1:20" hidden="1" x14ac:dyDescent="0.3">
      <c r="A1643">
        <v>2762</v>
      </c>
      <c r="B1643">
        <v>444</v>
      </c>
      <c r="C1643" t="s">
        <v>53</v>
      </c>
      <c r="D1643" t="s">
        <v>29</v>
      </c>
      <c r="E1643" t="s">
        <v>26</v>
      </c>
      <c r="F1643" s="1">
        <v>44641</v>
      </c>
      <c r="G1643" s="1">
        <v>44817</v>
      </c>
      <c r="H1643">
        <v>4967.93</v>
      </c>
      <c r="I1643">
        <v>83</v>
      </c>
      <c r="J1643">
        <v>-1746</v>
      </c>
      <c r="K1643" t="s">
        <v>21</v>
      </c>
      <c r="L1643">
        <v>5</v>
      </c>
      <c r="M1643" t="str">
        <f t="shared" si="25"/>
        <v>0-6 Months</v>
      </c>
      <c r="N1643" s="1">
        <v>44817</v>
      </c>
      <c r="O1643">
        <v>0</v>
      </c>
      <c r="P1643">
        <v>1642</v>
      </c>
      <c r="Q1643" s="2">
        <v>-0.35</v>
      </c>
      <c r="R1643" t="s">
        <v>27</v>
      </c>
      <c r="S1643">
        <v>2022</v>
      </c>
      <c r="T1643" t="s">
        <v>30</v>
      </c>
    </row>
    <row r="1644" spans="1:20" hidden="1" x14ac:dyDescent="0.3">
      <c r="A1644">
        <v>2763</v>
      </c>
      <c r="B1644">
        <v>241</v>
      </c>
      <c r="C1644" t="s">
        <v>40</v>
      </c>
      <c r="D1644" t="s">
        <v>19</v>
      </c>
      <c r="E1644" t="s">
        <v>20</v>
      </c>
      <c r="F1644" s="1">
        <v>44739</v>
      </c>
      <c r="G1644" s="1">
        <v>44983</v>
      </c>
      <c r="H1644">
        <v>5696</v>
      </c>
      <c r="I1644">
        <v>4703</v>
      </c>
      <c r="J1644">
        <v>993</v>
      </c>
      <c r="K1644" t="s">
        <v>54</v>
      </c>
      <c r="L1644">
        <v>7</v>
      </c>
      <c r="M1644" t="str">
        <f t="shared" si="25"/>
        <v>6-12 Months</v>
      </c>
      <c r="N1644" s="1">
        <v>44983</v>
      </c>
      <c r="O1644">
        <v>0</v>
      </c>
      <c r="P1644">
        <v>1643</v>
      </c>
      <c r="Q1644" s="2">
        <v>0.17</v>
      </c>
      <c r="R1644" t="s">
        <v>27</v>
      </c>
      <c r="S1644">
        <v>2023</v>
      </c>
      <c r="T1644" t="s">
        <v>43</v>
      </c>
    </row>
    <row r="1645" spans="1:20" hidden="1" x14ac:dyDescent="0.3">
      <c r="A1645">
        <v>2764</v>
      </c>
      <c r="B1645">
        <v>400</v>
      </c>
      <c r="C1645" t="s">
        <v>24</v>
      </c>
      <c r="D1645" t="s">
        <v>29</v>
      </c>
      <c r="E1645" t="s">
        <v>26</v>
      </c>
      <c r="F1645" s="1">
        <v>44910</v>
      </c>
      <c r="G1645" s="1">
        <v>45450</v>
      </c>
      <c r="H1645">
        <v>3687</v>
      </c>
      <c r="I1645">
        <v>4515</v>
      </c>
      <c r="J1645">
        <v>-828</v>
      </c>
      <c r="K1645" t="s">
        <v>21</v>
      </c>
      <c r="L1645">
        <v>17</v>
      </c>
      <c r="M1645" t="str">
        <f t="shared" si="25"/>
        <v>6-12 Months</v>
      </c>
      <c r="N1645" s="1">
        <v>45450</v>
      </c>
      <c r="O1645">
        <v>1</v>
      </c>
      <c r="P1645">
        <v>1644</v>
      </c>
      <c r="Q1645" s="2">
        <v>-0.22</v>
      </c>
      <c r="R1645" t="s">
        <v>27</v>
      </c>
      <c r="S1645">
        <v>2024</v>
      </c>
      <c r="T1645" t="s">
        <v>41</v>
      </c>
    </row>
    <row r="1646" spans="1:20" hidden="1" x14ac:dyDescent="0.3">
      <c r="A1646">
        <v>2769</v>
      </c>
      <c r="B1646">
        <v>308</v>
      </c>
      <c r="C1646" t="s">
        <v>40</v>
      </c>
      <c r="D1646" t="s">
        <v>19</v>
      </c>
      <c r="E1646" t="s">
        <v>20</v>
      </c>
      <c r="F1646" s="1">
        <v>44891</v>
      </c>
      <c r="G1646" s="1">
        <v>45472</v>
      </c>
      <c r="H1646">
        <v>2998</v>
      </c>
      <c r="I1646">
        <v>7045</v>
      </c>
      <c r="J1646">
        <v>-4047</v>
      </c>
      <c r="K1646" t="s">
        <v>54</v>
      </c>
      <c r="L1646">
        <v>19</v>
      </c>
      <c r="M1646" t="str">
        <f t="shared" si="25"/>
        <v>6-12 Months</v>
      </c>
      <c r="N1646" s="1">
        <v>45472</v>
      </c>
      <c r="O1646">
        <v>1</v>
      </c>
      <c r="P1646">
        <v>1645</v>
      </c>
      <c r="Q1646" s="2">
        <v>-1.35</v>
      </c>
      <c r="R1646" t="s">
        <v>22</v>
      </c>
      <c r="S1646">
        <v>2024</v>
      </c>
      <c r="T1646" t="s">
        <v>41</v>
      </c>
    </row>
    <row r="1647" spans="1:20" x14ac:dyDescent="0.3">
      <c r="A1647">
        <v>2770</v>
      </c>
      <c r="B1647">
        <v>220</v>
      </c>
      <c r="C1647" t="s">
        <v>24</v>
      </c>
      <c r="D1647" t="s">
        <v>19</v>
      </c>
      <c r="E1647" t="s">
        <v>26</v>
      </c>
      <c r="F1647" s="1">
        <v>44603</v>
      </c>
      <c r="G1647" s="1">
        <v>45023</v>
      </c>
      <c r="H1647">
        <v>2903</v>
      </c>
      <c r="I1647">
        <v>6178</v>
      </c>
      <c r="J1647">
        <v>-3275</v>
      </c>
      <c r="K1647" t="s">
        <v>35</v>
      </c>
      <c r="L1647">
        <v>13</v>
      </c>
      <c r="M1647" t="str">
        <f t="shared" si="25"/>
        <v>6-12 Months</v>
      </c>
      <c r="N1647" s="1">
        <v>45023</v>
      </c>
      <c r="O1647">
        <v>0</v>
      </c>
      <c r="P1647">
        <v>1646</v>
      </c>
      <c r="Q1647" s="2">
        <v>-1.1299999999999999</v>
      </c>
      <c r="R1647" t="s">
        <v>22</v>
      </c>
      <c r="S1647">
        <v>2023</v>
      </c>
      <c r="T1647" t="s">
        <v>32</v>
      </c>
    </row>
    <row r="1648" spans="1:20" hidden="1" x14ac:dyDescent="0.3">
      <c r="A1648">
        <v>2771</v>
      </c>
      <c r="B1648">
        <v>188</v>
      </c>
      <c r="C1648" t="s">
        <v>24</v>
      </c>
      <c r="D1648" t="s">
        <v>34</v>
      </c>
      <c r="E1648" t="s">
        <v>37</v>
      </c>
      <c r="F1648" s="1">
        <v>44660</v>
      </c>
      <c r="G1648" s="1">
        <v>44905</v>
      </c>
      <c r="H1648">
        <v>1765</v>
      </c>
      <c r="I1648">
        <v>2321</v>
      </c>
      <c r="J1648">
        <v>-556</v>
      </c>
      <c r="K1648" t="s">
        <v>54</v>
      </c>
      <c r="L1648">
        <v>8</v>
      </c>
      <c r="M1648" t="str">
        <f t="shared" si="25"/>
        <v>6-12 Months</v>
      </c>
      <c r="N1648" s="1">
        <v>44905</v>
      </c>
      <c r="O1648">
        <v>1</v>
      </c>
      <c r="P1648">
        <v>1647</v>
      </c>
      <c r="Q1648" s="2">
        <v>-0.32</v>
      </c>
      <c r="R1648" t="s">
        <v>27</v>
      </c>
      <c r="S1648">
        <v>2022</v>
      </c>
      <c r="T1648" t="s">
        <v>31</v>
      </c>
    </row>
    <row r="1649" spans="1:20" x14ac:dyDescent="0.3">
      <c r="A1649">
        <v>2773</v>
      </c>
      <c r="B1649">
        <v>340</v>
      </c>
      <c r="C1649" t="s">
        <v>39</v>
      </c>
      <c r="D1649" t="s">
        <v>19</v>
      </c>
      <c r="E1649" t="s">
        <v>26</v>
      </c>
      <c r="F1649" s="1">
        <v>44706</v>
      </c>
      <c r="G1649" s="1">
        <v>44994</v>
      </c>
      <c r="H1649">
        <v>4967.93</v>
      </c>
      <c r="I1649">
        <v>580</v>
      </c>
      <c r="J1649">
        <v>-2258</v>
      </c>
      <c r="K1649" t="s">
        <v>35</v>
      </c>
      <c r="L1649">
        <v>9</v>
      </c>
      <c r="M1649" t="str">
        <f t="shared" si="25"/>
        <v>6-12 Months</v>
      </c>
      <c r="N1649" s="1">
        <v>44994</v>
      </c>
      <c r="O1649">
        <v>1</v>
      </c>
      <c r="P1649">
        <v>1648</v>
      </c>
      <c r="Q1649" s="2">
        <v>-0.45</v>
      </c>
      <c r="R1649" t="s">
        <v>27</v>
      </c>
      <c r="S1649">
        <v>2023</v>
      </c>
      <c r="T1649" t="s">
        <v>38</v>
      </c>
    </row>
    <row r="1650" spans="1:20" x14ac:dyDescent="0.3">
      <c r="A1650">
        <v>2775</v>
      </c>
      <c r="B1650">
        <v>319</v>
      </c>
      <c r="C1650" t="s">
        <v>40</v>
      </c>
      <c r="D1650" t="s">
        <v>25</v>
      </c>
      <c r="E1650" t="s">
        <v>20</v>
      </c>
      <c r="F1650" s="1">
        <v>44799</v>
      </c>
      <c r="G1650" s="1">
        <v>44884</v>
      </c>
      <c r="H1650">
        <v>7061</v>
      </c>
      <c r="I1650">
        <v>4012.75</v>
      </c>
      <c r="J1650">
        <v>7186</v>
      </c>
      <c r="K1650" t="s">
        <v>35</v>
      </c>
      <c r="L1650">
        <v>2</v>
      </c>
      <c r="M1650" t="str">
        <f t="shared" si="25"/>
        <v>0-6 Months</v>
      </c>
      <c r="N1650" s="1">
        <v>44884</v>
      </c>
      <c r="O1650">
        <v>0</v>
      </c>
      <c r="P1650">
        <v>1649</v>
      </c>
      <c r="Q1650" s="2">
        <v>1.02</v>
      </c>
      <c r="R1650" t="s">
        <v>22</v>
      </c>
      <c r="S1650">
        <v>2022</v>
      </c>
      <c r="T1650" t="s">
        <v>42</v>
      </c>
    </row>
    <row r="1651" spans="1:20" hidden="1" x14ac:dyDescent="0.3">
      <c r="A1651">
        <v>2776</v>
      </c>
      <c r="B1651">
        <v>362</v>
      </c>
      <c r="C1651" t="s">
        <v>39</v>
      </c>
      <c r="D1651" t="s">
        <v>25</v>
      </c>
      <c r="E1651" t="s">
        <v>26</v>
      </c>
      <c r="F1651" s="1">
        <v>44600</v>
      </c>
      <c r="G1651" s="1">
        <v>44717</v>
      </c>
      <c r="H1651">
        <v>4463</v>
      </c>
      <c r="I1651">
        <v>1883</v>
      </c>
      <c r="J1651">
        <v>2580</v>
      </c>
      <c r="K1651" t="s">
        <v>54</v>
      </c>
      <c r="L1651">
        <v>3</v>
      </c>
      <c r="M1651" t="str">
        <f t="shared" si="25"/>
        <v>0-6 Months</v>
      </c>
      <c r="N1651" s="1">
        <v>44717</v>
      </c>
      <c r="O1651">
        <v>0</v>
      </c>
      <c r="P1651">
        <v>1650</v>
      </c>
      <c r="Q1651" s="2">
        <v>0.57999999999999996</v>
      </c>
      <c r="R1651" t="s">
        <v>27</v>
      </c>
      <c r="S1651">
        <v>2022</v>
      </c>
      <c r="T1651" t="s">
        <v>41</v>
      </c>
    </row>
    <row r="1652" spans="1:20" x14ac:dyDescent="0.3">
      <c r="A1652">
        <v>2779</v>
      </c>
      <c r="B1652">
        <v>425</v>
      </c>
      <c r="C1652" t="s">
        <v>53</v>
      </c>
      <c r="D1652" t="s">
        <v>25</v>
      </c>
      <c r="E1652" t="s">
        <v>37</v>
      </c>
      <c r="F1652" s="1">
        <v>44865</v>
      </c>
      <c r="G1652" s="1">
        <v>45457</v>
      </c>
      <c r="H1652">
        <v>4967.93</v>
      </c>
      <c r="I1652">
        <v>7397</v>
      </c>
      <c r="J1652">
        <v>-8463</v>
      </c>
      <c r="K1652" t="s">
        <v>35</v>
      </c>
      <c r="L1652">
        <v>19</v>
      </c>
      <c r="M1652" t="str">
        <f t="shared" si="25"/>
        <v>6-12 Months</v>
      </c>
      <c r="N1652" s="1">
        <v>45457</v>
      </c>
      <c r="O1652">
        <v>1</v>
      </c>
      <c r="P1652">
        <v>1651</v>
      </c>
      <c r="Q1652" s="2">
        <v>-1.7</v>
      </c>
      <c r="R1652" t="s">
        <v>22</v>
      </c>
      <c r="S1652">
        <v>2024</v>
      </c>
      <c r="T1652" t="s">
        <v>41</v>
      </c>
    </row>
    <row r="1653" spans="1:20" x14ac:dyDescent="0.3">
      <c r="A1653">
        <v>2781</v>
      </c>
      <c r="B1653">
        <v>264</v>
      </c>
      <c r="C1653" t="s">
        <v>40</v>
      </c>
      <c r="D1653" t="s">
        <v>25</v>
      </c>
      <c r="E1653" t="s">
        <v>26</v>
      </c>
      <c r="F1653" s="1">
        <v>44563</v>
      </c>
      <c r="G1653" s="1">
        <v>44756</v>
      </c>
      <c r="H1653">
        <v>4967.93</v>
      </c>
      <c r="I1653">
        <v>7996</v>
      </c>
      <c r="J1653">
        <v>-8351</v>
      </c>
      <c r="K1653" t="s">
        <v>35</v>
      </c>
      <c r="L1653">
        <v>6</v>
      </c>
      <c r="M1653" t="str">
        <f t="shared" si="25"/>
        <v>12+ Months</v>
      </c>
      <c r="N1653" s="1">
        <v>44756</v>
      </c>
      <c r="O1653">
        <v>1</v>
      </c>
      <c r="P1653">
        <v>1652</v>
      </c>
      <c r="Q1653" s="2">
        <v>-1.68</v>
      </c>
      <c r="R1653" t="s">
        <v>22</v>
      </c>
      <c r="S1653">
        <v>2022</v>
      </c>
      <c r="T1653" t="s">
        <v>44</v>
      </c>
    </row>
    <row r="1654" spans="1:20" x14ac:dyDescent="0.3">
      <c r="A1654">
        <v>2782</v>
      </c>
      <c r="B1654">
        <v>419</v>
      </c>
      <c r="C1654" t="s">
        <v>40</v>
      </c>
      <c r="D1654" t="s">
        <v>34</v>
      </c>
      <c r="E1654" t="s">
        <v>26</v>
      </c>
      <c r="F1654" s="1">
        <v>44830</v>
      </c>
      <c r="G1654" s="1">
        <v>45156</v>
      </c>
      <c r="H1654">
        <v>2925</v>
      </c>
      <c r="I1654">
        <v>4131</v>
      </c>
      <c r="J1654">
        <v>-1206</v>
      </c>
      <c r="K1654" t="s">
        <v>35</v>
      </c>
      <c r="L1654">
        <v>10</v>
      </c>
      <c r="M1654" t="str">
        <f t="shared" si="25"/>
        <v>6-12 Months</v>
      </c>
      <c r="N1654" s="1">
        <v>45156</v>
      </c>
      <c r="O1654">
        <v>1</v>
      </c>
      <c r="P1654">
        <v>1653</v>
      </c>
      <c r="Q1654" s="2">
        <v>-0.41</v>
      </c>
      <c r="R1654" t="s">
        <v>27</v>
      </c>
      <c r="S1654">
        <v>2023</v>
      </c>
      <c r="T1654" t="s">
        <v>36</v>
      </c>
    </row>
    <row r="1655" spans="1:20" x14ac:dyDescent="0.3">
      <c r="A1655">
        <v>2784</v>
      </c>
      <c r="B1655">
        <v>242</v>
      </c>
      <c r="C1655" t="s">
        <v>24</v>
      </c>
      <c r="D1655" t="s">
        <v>19</v>
      </c>
      <c r="E1655" t="s">
        <v>37</v>
      </c>
      <c r="F1655" s="1">
        <v>44881</v>
      </c>
      <c r="G1655" s="1">
        <v>44934</v>
      </c>
      <c r="H1655">
        <v>6983</v>
      </c>
      <c r="I1655">
        <v>907</v>
      </c>
      <c r="J1655">
        <v>6076</v>
      </c>
      <c r="K1655" t="s">
        <v>35</v>
      </c>
      <c r="L1655">
        <v>1</v>
      </c>
      <c r="M1655" t="str">
        <f t="shared" si="25"/>
        <v>0-6 Months</v>
      </c>
      <c r="N1655" s="1">
        <v>44934</v>
      </c>
      <c r="O1655">
        <v>0</v>
      </c>
      <c r="P1655">
        <v>1654</v>
      </c>
      <c r="Q1655" s="2">
        <v>0.87</v>
      </c>
      <c r="R1655" t="s">
        <v>27</v>
      </c>
      <c r="S1655">
        <v>2023</v>
      </c>
      <c r="T1655" t="s">
        <v>23</v>
      </c>
    </row>
    <row r="1656" spans="1:20" hidden="1" x14ac:dyDescent="0.3">
      <c r="A1656">
        <v>2789</v>
      </c>
      <c r="B1656">
        <v>128</v>
      </c>
      <c r="C1656" t="s">
        <v>45</v>
      </c>
      <c r="D1656" t="s">
        <v>29</v>
      </c>
      <c r="E1656" t="s">
        <v>37</v>
      </c>
      <c r="F1656" s="1">
        <v>44835</v>
      </c>
      <c r="G1656" s="1">
        <v>45385</v>
      </c>
      <c r="H1656">
        <v>2179</v>
      </c>
      <c r="I1656">
        <v>2336</v>
      </c>
      <c r="J1656">
        <v>-157</v>
      </c>
      <c r="K1656" t="s">
        <v>54</v>
      </c>
      <c r="L1656">
        <v>18</v>
      </c>
      <c r="M1656" t="str">
        <f t="shared" si="25"/>
        <v>6-12 Months</v>
      </c>
      <c r="N1656" s="1">
        <v>45385</v>
      </c>
      <c r="O1656">
        <v>1</v>
      </c>
      <c r="P1656">
        <v>1655</v>
      </c>
      <c r="Q1656" s="2">
        <v>-7.0000000000000007E-2</v>
      </c>
      <c r="R1656" t="s">
        <v>27</v>
      </c>
      <c r="S1656">
        <v>2024</v>
      </c>
      <c r="T1656" t="s">
        <v>32</v>
      </c>
    </row>
    <row r="1657" spans="1:20" hidden="1" x14ac:dyDescent="0.3">
      <c r="A1657">
        <v>2790</v>
      </c>
      <c r="B1657">
        <v>342</v>
      </c>
      <c r="C1657" t="s">
        <v>45</v>
      </c>
      <c r="D1657" t="s">
        <v>34</v>
      </c>
      <c r="E1657" t="s">
        <v>20</v>
      </c>
      <c r="F1657" s="1">
        <v>44640</v>
      </c>
      <c r="G1657" s="1">
        <v>44967</v>
      </c>
      <c r="H1657">
        <v>8638</v>
      </c>
      <c r="I1657">
        <v>2142</v>
      </c>
      <c r="J1657">
        <v>6496</v>
      </c>
      <c r="K1657" t="s">
        <v>21</v>
      </c>
      <c r="L1657">
        <v>10</v>
      </c>
      <c r="M1657" t="str">
        <f t="shared" si="25"/>
        <v>6-12 Months</v>
      </c>
      <c r="N1657" s="1">
        <v>44967</v>
      </c>
      <c r="O1657">
        <v>1</v>
      </c>
      <c r="P1657">
        <v>1656</v>
      </c>
      <c r="Q1657" s="2">
        <v>0.75</v>
      </c>
      <c r="R1657" t="s">
        <v>27</v>
      </c>
      <c r="S1657">
        <v>2023</v>
      </c>
      <c r="T1657" t="s">
        <v>43</v>
      </c>
    </row>
    <row r="1658" spans="1:20" x14ac:dyDescent="0.3">
      <c r="A1658">
        <v>2792</v>
      </c>
      <c r="B1658">
        <v>262</v>
      </c>
      <c r="C1658" t="s">
        <v>24</v>
      </c>
      <c r="D1658" t="s">
        <v>29</v>
      </c>
      <c r="E1658" t="s">
        <v>37</v>
      </c>
      <c r="F1658" s="1">
        <v>44628</v>
      </c>
      <c r="G1658" s="1">
        <v>44867</v>
      </c>
      <c r="H1658">
        <v>2450</v>
      </c>
      <c r="I1658">
        <v>5424</v>
      </c>
      <c r="J1658">
        <v>577.01</v>
      </c>
      <c r="K1658" t="s">
        <v>35</v>
      </c>
      <c r="L1658">
        <v>7</v>
      </c>
      <c r="M1658" t="str">
        <f t="shared" si="25"/>
        <v>6-12 Months</v>
      </c>
      <c r="N1658" s="1">
        <v>44867</v>
      </c>
      <c r="O1658">
        <v>1</v>
      </c>
      <c r="P1658">
        <v>1657</v>
      </c>
      <c r="Q1658" s="2">
        <v>0.24</v>
      </c>
      <c r="R1658" t="s">
        <v>27</v>
      </c>
      <c r="S1658">
        <v>2022</v>
      </c>
      <c r="T1658" t="s">
        <v>42</v>
      </c>
    </row>
    <row r="1659" spans="1:20" hidden="1" x14ac:dyDescent="0.3">
      <c r="A1659">
        <v>2793</v>
      </c>
      <c r="B1659">
        <v>209</v>
      </c>
      <c r="C1659" t="s">
        <v>39</v>
      </c>
      <c r="D1659" t="s">
        <v>34</v>
      </c>
      <c r="E1659" t="s">
        <v>37</v>
      </c>
      <c r="F1659" s="1">
        <v>44782</v>
      </c>
      <c r="G1659" s="1">
        <v>45305</v>
      </c>
      <c r="H1659">
        <v>4967.93</v>
      </c>
      <c r="I1659">
        <v>4012.75</v>
      </c>
      <c r="J1659">
        <v>-483</v>
      </c>
      <c r="K1659" t="s">
        <v>54</v>
      </c>
      <c r="L1659">
        <v>17</v>
      </c>
      <c r="M1659" t="str">
        <f t="shared" si="25"/>
        <v>6-12 Months</v>
      </c>
      <c r="N1659" s="1">
        <v>45305</v>
      </c>
      <c r="O1659">
        <v>0</v>
      </c>
      <c r="P1659">
        <v>1658</v>
      </c>
      <c r="Q1659" s="2">
        <v>-0.1</v>
      </c>
      <c r="R1659" t="s">
        <v>27</v>
      </c>
      <c r="S1659">
        <v>2024</v>
      </c>
      <c r="T1659" t="s">
        <v>23</v>
      </c>
    </row>
    <row r="1660" spans="1:20" x14ac:dyDescent="0.3">
      <c r="A1660">
        <v>2795</v>
      </c>
      <c r="B1660">
        <v>169</v>
      </c>
      <c r="C1660" t="s">
        <v>45</v>
      </c>
      <c r="D1660" t="s">
        <v>34</v>
      </c>
      <c r="E1660" t="s">
        <v>37</v>
      </c>
      <c r="F1660" s="1">
        <v>44730</v>
      </c>
      <c r="G1660" s="1">
        <v>45302</v>
      </c>
      <c r="H1660">
        <v>8382</v>
      </c>
      <c r="I1660">
        <v>5401</v>
      </c>
      <c r="J1660">
        <v>2981</v>
      </c>
      <c r="K1660" t="s">
        <v>35</v>
      </c>
      <c r="L1660">
        <v>18</v>
      </c>
      <c r="M1660" t="str">
        <f t="shared" si="25"/>
        <v>6-12 Months</v>
      </c>
      <c r="N1660" s="1">
        <v>45302</v>
      </c>
      <c r="O1660">
        <v>1</v>
      </c>
      <c r="P1660">
        <v>1659</v>
      </c>
      <c r="Q1660" s="2">
        <v>0.36</v>
      </c>
      <c r="R1660" t="s">
        <v>27</v>
      </c>
      <c r="S1660">
        <v>2024</v>
      </c>
      <c r="T1660" t="s">
        <v>23</v>
      </c>
    </row>
    <row r="1661" spans="1:20" hidden="1" x14ac:dyDescent="0.3">
      <c r="A1661">
        <v>2796</v>
      </c>
      <c r="B1661">
        <v>297</v>
      </c>
      <c r="C1661" t="s">
        <v>40</v>
      </c>
      <c r="D1661" t="s">
        <v>29</v>
      </c>
      <c r="E1661" t="s">
        <v>20</v>
      </c>
      <c r="F1661" s="1">
        <v>44575</v>
      </c>
      <c r="G1661" s="1">
        <v>44678</v>
      </c>
      <c r="H1661">
        <v>5899</v>
      </c>
      <c r="I1661">
        <v>4012.75</v>
      </c>
      <c r="J1661">
        <v>6293</v>
      </c>
      <c r="K1661" t="s">
        <v>21</v>
      </c>
      <c r="L1661">
        <v>3</v>
      </c>
      <c r="M1661" t="str">
        <f t="shared" si="25"/>
        <v>0-6 Months</v>
      </c>
      <c r="N1661" s="1">
        <v>44678</v>
      </c>
      <c r="O1661">
        <v>0</v>
      </c>
      <c r="P1661">
        <v>1660</v>
      </c>
      <c r="Q1661" s="2">
        <v>1.07</v>
      </c>
      <c r="R1661" t="s">
        <v>22</v>
      </c>
      <c r="S1661">
        <v>2022</v>
      </c>
      <c r="T1661" t="s">
        <v>32</v>
      </c>
    </row>
    <row r="1662" spans="1:20" x14ac:dyDescent="0.3">
      <c r="A1662">
        <v>2798</v>
      </c>
      <c r="B1662">
        <v>490</v>
      </c>
      <c r="C1662" t="s">
        <v>45</v>
      </c>
      <c r="D1662" t="s">
        <v>25</v>
      </c>
      <c r="E1662" t="s">
        <v>20</v>
      </c>
      <c r="F1662" s="1">
        <v>44592</v>
      </c>
      <c r="G1662" s="1">
        <v>44769</v>
      </c>
      <c r="H1662">
        <v>3582</v>
      </c>
      <c r="I1662">
        <v>1348</v>
      </c>
      <c r="J1662">
        <v>2234</v>
      </c>
      <c r="K1662" t="s">
        <v>35</v>
      </c>
      <c r="L1662">
        <v>5</v>
      </c>
      <c r="M1662" t="str">
        <f t="shared" si="25"/>
        <v>0-6 Months</v>
      </c>
      <c r="N1662" s="1">
        <v>44769</v>
      </c>
      <c r="O1662">
        <v>1</v>
      </c>
      <c r="P1662">
        <v>1661</v>
      </c>
      <c r="Q1662" s="2">
        <v>0.62</v>
      </c>
      <c r="R1662" t="s">
        <v>27</v>
      </c>
      <c r="S1662">
        <v>2022</v>
      </c>
      <c r="T1662" t="s">
        <v>44</v>
      </c>
    </row>
    <row r="1663" spans="1:20" hidden="1" x14ac:dyDescent="0.3">
      <c r="A1663">
        <v>2799</v>
      </c>
      <c r="B1663">
        <v>269</v>
      </c>
      <c r="C1663" t="s">
        <v>39</v>
      </c>
      <c r="D1663" t="s">
        <v>19</v>
      </c>
      <c r="E1663" t="s">
        <v>20</v>
      </c>
      <c r="F1663" s="1">
        <v>44683</v>
      </c>
      <c r="G1663" s="1">
        <v>45233</v>
      </c>
      <c r="H1663">
        <v>8399</v>
      </c>
      <c r="I1663">
        <v>291</v>
      </c>
      <c r="J1663">
        <v>8108</v>
      </c>
      <c r="K1663" t="s">
        <v>21</v>
      </c>
      <c r="L1663">
        <v>18</v>
      </c>
      <c r="M1663" t="str">
        <f t="shared" si="25"/>
        <v>6-12 Months</v>
      </c>
      <c r="N1663" s="1">
        <v>45233</v>
      </c>
      <c r="O1663">
        <v>0</v>
      </c>
      <c r="P1663">
        <v>1662</v>
      </c>
      <c r="Q1663" s="2">
        <v>0.97</v>
      </c>
      <c r="R1663" t="s">
        <v>27</v>
      </c>
      <c r="S1663">
        <v>2023</v>
      </c>
      <c r="T1663" t="s">
        <v>42</v>
      </c>
    </row>
    <row r="1664" spans="1:20" hidden="1" x14ac:dyDescent="0.3">
      <c r="A1664">
        <v>2800</v>
      </c>
      <c r="B1664">
        <v>262</v>
      </c>
      <c r="C1664" t="s">
        <v>39</v>
      </c>
      <c r="D1664" t="s">
        <v>25</v>
      </c>
      <c r="E1664" t="s">
        <v>26</v>
      </c>
      <c r="F1664" s="1">
        <v>44705</v>
      </c>
      <c r="G1664" s="1">
        <v>44948</v>
      </c>
      <c r="H1664">
        <v>2830</v>
      </c>
      <c r="I1664">
        <v>5391</v>
      </c>
      <c r="J1664">
        <v>-2561</v>
      </c>
      <c r="K1664" t="s">
        <v>21</v>
      </c>
      <c r="L1664">
        <v>7</v>
      </c>
      <c r="M1664" t="str">
        <f t="shared" si="25"/>
        <v>6-12 Months</v>
      </c>
      <c r="N1664" s="1">
        <v>44948</v>
      </c>
      <c r="O1664">
        <v>0</v>
      </c>
      <c r="P1664">
        <v>1663</v>
      </c>
      <c r="Q1664" s="2">
        <v>-0.9</v>
      </c>
      <c r="R1664" t="s">
        <v>27</v>
      </c>
      <c r="S1664">
        <v>2023</v>
      </c>
      <c r="T1664" t="s">
        <v>23</v>
      </c>
    </row>
    <row r="1665" spans="1:20" hidden="1" x14ac:dyDescent="0.3">
      <c r="A1665">
        <v>2803</v>
      </c>
      <c r="B1665">
        <v>324</v>
      </c>
      <c r="C1665" t="s">
        <v>45</v>
      </c>
      <c r="D1665" t="s">
        <v>34</v>
      </c>
      <c r="E1665" t="s">
        <v>26</v>
      </c>
      <c r="F1665" s="1">
        <v>44649</v>
      </c>
      <c r="G1665" s="1">
        <v>45168</v>
      </c>
      <c r="H1665">
        <v>5689</v>
      </c>
      <c r="I1665">
        <v>1264</v>
      </c>
      <c r="J1665">
        <v>4425</v>
      </c>
      <c r="K1665" t="s">
        <v>54</v>
      </c>
      <c r="L1665">
        <v>17</v>
      </c>
      <c r="M1665" t="str">
        <f t="shared" si="25"/>
        <v>6-12 Months</v>
      </c>
      <c r="N1665" s="1">
        <v>45168</v>
      </c>
      <c r="O1665">
        <v>0</v>
      </c>
      <c r="P1665">
        <v>1664</v>
      </c>
      <c r="Q1665" s="2">
        <v>0.78</v>
      </c>
      <c r="R1665" t="s">
        <v>27</v>
      </c>
      <c r="S1665">
        <v>2023</v>
      </c>
      <c r="T1665" t="s">
        <v>36</v>
      </c>
    </row>
    <row r="1666" spans="1:20" hidden="1" x14ac:dyDescent="0.3">
      <c r="A1666">
        <v>2804</v>
      </c>
      <c r="B1666">
        <v>402</v>
      </c>
      <c r="C1666" t="s">
        <v>40</v>
      </c>
      <c r="D1666" t="s">
        <v>19</v>
      </c>
      <c r="E1666" t="s">
        <v>20</v>
      </c>
      <c r="F1666" s="1">
        <v>44802</v>
      </c>
      <c r="G1666" s="1">
        <v>45338</v>
      </c>
      <c r="H1666">
        <v>3445</v>
      </c>
      <c r="I1666">
        <v>2559</v>
      </c>
      <c r="J1666">
        <v>886</v>
      </c>
      <c r="K1666" t="s">
        <v>54</v>
      </c>
      <c r="L1666">
        <v>17</v>
      </c>
      <c r="M1666" t="str">
        <f t="shared" ref="M1666:M1729" si="26">IF(L1666&lt;6,"0-6 Months",IF(L1666&gt;6,"6-12 Months","12+ Months"))</f>
        <v>6-12 Months</v>
      </c>
      <c r="N1666" s="1">
        <v>45338</v>
      </c>
      <c r="O1666">
        <v>1</v>
      </c>
      <c r="P1666">
        <v>1665</v>
      </c>
      <c r="Q1666" s="2">
        <v>0.26</v>
      </c>
      <c r="R1666" t="s">
        <v>27</v>
      </c>
      <c r="S1666">
        <v>2024</v>
      </c>
      <c r="T1666" t="s">
        <v>43</v>
      </c>
    </row>
    <row r="1667" spans="1:20" x14ac:dyDescent="0.3">
      <c r="A1667">
        <v>2805</v>
      </c>
      <c r="B1667">
        <v>484</v>
      </c>
      <c r="C1667" t="s">
        <v>53</v>
      </c>
      <c r="D1667" t="s">
        <v>29</v>
      </c>
      <c r="E1667" t="s">
        <v>37</v>
      </c>
      <c r="F1667" s="1">
        <v>44910</v>
      </c>
      <c r="G1667" s="1">
        <v>44956</v>
      </c>
      <c r="H1667">
        <v>4967.93</v>
      </c>
      <c r="I1667">
        <v>690</v>
      </c>
      <c r="J1667">
        <v>-1742</v>
      </c>
      <c r="K1667" t="s">
        <v>35</v>
      </c>
      <c r="L1667">
        <v>1</v>
      </c>
      <c r="M1667" t="str">
        <f t="shared" si="26"/>
        <v>0-6 Months</v>
      </c>
      <c r="N1667" s="1">
        <v>44956</v>
      </c>
      <c r="O1667">
        <v>1</v>
      </c>
      <c r="P1667">
        <v>1666</v>
      </c>
      <c r="Q1667" s="2">
        <v>-0.35</v>
      </c>
      <c r="R1667" t="s">
        <v>27</v>
      </c>
      <c r="S1667">
        <v>2023</v>
      </c>
      <c r="T1667" t="s">
        <v>23</v>
      </c>
    </row>
    <row r="1668" spans="1:20" hidden="1" x14ac:dyDescent="0.3">
      <c r="A1668">
        <v>2806</v>
      </c>
      <c r="B1668">
        <v>450</v>
      </c>
      <c r="C1668" t="s">
        <v>45</v>
      </c>
      <c r="D1668" t="s">
        <v>19</v>
      </c>
      <c r="E1668" t="s">
        <v>20</v>
      </c>
      <c r="F1668" s="1">
        <v>44879</v>
      </c>
      <c r="G1668" s="1">
        <v>45381</v>
      </c>
      <c r="H1668">
        <v>4751</v>
      </c>
      <c r="I1668">
        <v>4261</v>
      </c>
      <c r="J1668">
        <v>490</v>
      </c>
      <c r="K1668" t="s">
        <v>54</v>
      </c>
      <c r="L1668">
        <v>16</v>
      </c>
      <c r="M1668" t="str">
        <f t="shared" si="26"/>
        <v>6-12 Months</v>
      </c>
      <c r="N1668" s="1">
        <v>45381</v>
      </c>
      <c r="O1668">
        <v>0</v>
      </c>
      <c r="P1668">
        <v>1667</v>
      </c>
      <c r="Q1668" s="2">
        <v>0.1</v>
      </c>
      <c r="R1668" t="s">
        <v>27</v>
      </c>
      <c r="S1668">
        <v>2024</v>
      </c>
      <c r="T1668" t="s">
        <v>38</v>
      </c>
    </row>
    <row r="1669" spans="1:20" hidden="1" x14ac:dyDescent="0.3">
      <c r="A1669">
        <v>2807</v>
      </c>
      <c r="B1669">
        <v>266</v>
      </c>
      <c r="C1669" t="s">
        <v>24</v>
      </c>
      <c r="D1669" t="s">
        <v>25</v>
      </c>
      <c r="E1669" t="s">
        <v>37</v>
      </c>
      <c r="F1669" s="1">
        <v>44662</v>
      </c>
      <c r="G1669" s="1">
        <v>45147</v>
      </c>
      <c r="H1669">
        <v>9222</v>
      </c>
      <c r="I1669">
        <v>4917</v>
      </c>
      <c r="J1669">
        <v>4305</v>
      </c>
      <c r="K1669" t="s">
        <v>21</v>
      </c>
      <c r="L1669">
        <v>15</v>
      </c>
      <c r="M1669" t="str">
        <f t="shared" si="26"/>
        <v>6-12 Months</v>
      </c>
      <c r="N1669" s="1">
        <v>45147</v>
      </c>
      <c r="O1669">
        <v>0</v>
      </c>
      <c r="P1669">
        <v>1668</v>
      </c>
      <c r="Q1669" s="2">
        <v>0.47</v>
      </c>
      <c r="R1669" t="s">
        <v>27</v>
      </c>
      <c r="S1669">
        <v>2023</v>
      </c>
      <c r="T1669" t="s">
        <v>36</v>
      </c>
    </row>
    <row r="1670" spans="1:20" x14ac:dyDescent="0.3">
      <c r="A1670">
        <v>2809</v>
      </c>
      <c r="B1670">
        <v>404</v>
      </c>
      <c r="C1670" t="s">
        <v>39</v>
      </c>
      <c r="D1670" t="s">
        <v>29</v>
      </c>
      <c r="E1670" t="s">
        <v>37</v>
      </c>
      <c r="F1670" s="1">
        <v>44917</v>
      </c>
      <c r="G1670" s="1">
        <v>45492</v>
      </c>
      <c r="H1670">
        <v>7486</v>
      </c>
      <c r="I1670">
        <v>319</v>
      </c>
      <c r="J1670">
        <v>577.01</v>
      </c>
      <c r="K1670" t="s">
        <v>35</v>
      </c>
      <c r="L1670">
        <v>18</v>
      </c>
      <c r="M1670" t="str">
        <f t="shared" si="26"/>
        <v>6-12 Months</v>
      </c>
      <c r="N1670" s="1">
        <v>45492</v>
      </c>
      <c r="O1670">
        <v>1</v>
      </c>
      <c r="P1670">
        <v>1669</v>
      </c>
      <c r="Q1670" s="2">
        <v>0.08</v>
      </c>
      <c r="R1670" t="s">
        <v>27</v>
      </c>
      <c r="S1670">
        <v>2024</v>
      </c>
      <c r="T1670" t="s">
        <v>44</v>
      </c>
    </row>
    <row r="1671" spans="1:20" hidden="1" x14ac:dyDescent="0.3">
      <c r="A1671">
        <v>2810</v>
      </c>
      <c r="B1671">
        <v>214</v>
      </c>
      <c r="C1671" t="s">
        <v>39</v>
      </c>
      <c r="D1671" t="s">
        <v>19</v>
      </c>
      <c r="E1671" t="s">
        <v>20</v>
      </c>
      <c r="F1671" s="1">
        <v>44801</v>
      </c>
      <c r="G1671" s="1">
        <v>45243</v>
      </c>
      <c r="H1671">
        <v>3597</v>
      </c>
      <c r="I1671">
        <v>3440</v>
      </c>
      <c r="J1671">
        <v>157</v>
      </c>
      <c r="K1671" t="s">
        <v>54</v>
      </c>
      <c r="L1671">
        <v>14</v>
      </c>
      <c r="M1671" t="str">
        <f t="shared" si="26"/>
        <v>6-12 Months</v>
      </c>
      <c r="N1671" s="1">
        <v>45243</v>
      </c>
      <c r="O1671">
        <v>1</v>
      </c>
      <c r="P1671">
        <v>1670</v>
      </c>
      <c r="Q1671" s="2">
        <v>0.04</v>
      </c>
      <c r="R1671" t="s">
        <v>27</v>
      </c>
      <c r="S1671">
        <v>2023</v>
      </c>
      <c r="T1671" t="s">
        <v>42</v>
      </c>
    </row>
    <row r="1672" spans="1:20" hidden="1" x14ac:dyDescent="0.3">
      <c r="A1672">
        <v>2811</v>
      </c>
      <c r="B1672">
        <v>449</v>
      </c>
      <c r="C1672" t="s">
        <v>40</v>
      </c>
      <c r="D1672" t="s">
        <v>29</v>
      </c>
      <c r="E1672" t="s">
        <v>37</v>
      </c>
      <c r="F1672" s="1">
        <v>44665</v>
      </c>
      <c r="G1672" s="1">
        <v>45115</v>
      </c>
      <c r="H1672">
        <v>6471</v>
      </c>
      <c r="I1672">
        <v>5088</v>
      </c>
      <c r="J1672">
        <v>1383</v>
      </c>
      <c r="K1672" t="s">
        <v>21</v>
      </c>
      <c r="L1672">
        <v>14</v>
      </c>
      <c r="M1672" t="str">
        <f t="shared" si="26"/>
        <v>6-12 Months</v>
      </c>
      <c r="N1672" s="1">
        <v>45115</v>
      </c>
      <c r="O1672">
        <v>1</v>
      </c>
      <c r="P1672">
        <v>1671</v>
      </c>
      <c r="Q1672" s="2">
        <v>0.21</v>
      </c>
      <c r="R1672" t="s">
        <v>27</v>
      </c>
      <c r="S1672">
        <v>2023</v>
      </c>
      <c r="T1672" t="s">
        <v>44</v>
      </c>
    </row>
    <row r="1673" spans="1:20" hidden="1" x14ac:dyDescent="0.3">
      <c r="A1673">
        <v>2812</v>
      </c>
      <c r="B1673">
        <v>435</v>
      </c>
      <c r="C1673" t="s">
        <v>39</v>
      </c>
      <c r="D1673" t="s">
        <v>34</v>
      </c>
      <c r="E1673" t="s">
        <v>20</v>
      </c>
      <c r="F1673" s="1">
        <v>44687</v>
      </c>
      <c r="G1673" s="1">
        <v>45153</v>
      </c>
      <c r="H1673">
        <v>9385</v>
      </c>
      <c r="I1673">
        <v>1433</v>
      </c>
      <c r="J1673">
        <v>7952</v>
      </c>
      <c r="K1673" t="s">
        <v>54</v>
      </c>
      <c r="L1673">
        <v>15</v>
      </c>
      <c r="M1673" t="str">
        <f t="shared" si="26"/>
        <v>6-12 Months</v>
      </c>
      <c r="N1673" s="1">
        <v>45153</v>
      </c>
      <c r="O1673">
        <v>0</v>
      </c>
      <c r="P1673">
        <v>1672</v>
      </c>
      <c r="Q1673" s="2">
        <v>0.85</v>
      </c>
      <c r="R1673" t="s">
        <v>27</v>
      </c>
      <c r="S1673">
        <v>2023</v>
      </c>
      <c r="T1673" t="s">
        <v>36</v>
      </c>
    </row>
    <row r="1674" spans="1:20" hidden="1" x14ac:dyDescent="0.3">
      <c r="A1674">
        <v>2816</v>
      </c>
      <c r="B1674">
        <v>163</v>
      </c>
      <c r="C1674" t="s">
        <v>45</v>
      </c>
      <c r="D1674" t="s">
        <v>34</v>
      </c>
      <c r="E1674" t="s">
        <v>20</v>
      </c>
      <c r="F1674" s="1">
        <v>44780</v>
      </c>
      <c r="G1674" s="1">
        <v>45278</v>
      </c>
      <c r="H1674">
        <v>583</v>
      </c>
      <c r="I1674">
        <v>4012.75</v>
      </c>
      <c r="J1674">
        <v>1022</v>
      </c>
      <c r="K1674" t="s">
        <v>21</v>
      </c>
      <c r="L1674">
        <v>16</v>
      </c>
      <c r="M1674" t="str">
        <f t="shared" si="26"/>
        <v>6-12 Months</v>
      </c>
      <c r="N1674" s="1">
        <v>45278</v>
      </c>
      <c r="O1674">
        <v>0</v>
      </c>
      <c r="P1674">
        <v>1673</v>
      </c>
      <c r="Q1674" s="2">
        <v>1.75</v>
      </c>
      <c r="R1674" t="s">
        <v>22</v>
      </c>
      <c r="S1674">
        <v>2023</v>
      </c>
      <c r="T1674" t="s">
        <v>31</v>
      </c>
    </row>
    <row r="1675" spans="1:20" hidden="1" x14ac:dyDescent="0.3">
      <c r="A1675">
        <v>2820</v>
      </c>
      <c r="B1675">
        <v>429</v>
      </c>
      <c r="C1675" t="s">
        <v>39</v>
      </c>
      <c r="D1675" t="s">
        <v>29</v>
      </c>
      <c r="E1675" t="s">
        <v>26</v>
      </c>
      <c r="F1675" s="1">
        <v>44833</v>
      </c>
      <c r="G1675" s="1">
        <v>45411</v>
      </c>
      <c r="H1675">
        <v>4967.93</v>
      </c>
      <c r="I1675">
        <v>6989</v>
      </c>
      <c r="J1675">
        <v>-7376</v>
      </c>
      <c r="K1675" t="s">
        <v>54</v>
      </c>
      <c r="L1675">
        <v>19</v>
      </c>
      <c r="M1675" t="str">
        <f t="shared" si="26"/>
        <v>6-12 Months</v>
      </c>
      <c r="N1675" s="1">
        <v>45411</v>
      </c>
      <c r="O1675">
        <v>1</v>
      </c>
      <c r="P1675">
        <v>1674</v>
      </c>
      <c r="Q1675" s="2">
        <v>-1.48</v>
      </c>
      <c r="R1675" t="s">
        <v>22</v>
      </c>
      <c r="S1675">
        <v>2024</v>
      </c>
      <c r="T1675" t="s">
        <v>32</v>
      </c>
    </row>
    <row r="1676" spans="1:20" hidden="1" x14ac:dyDescent="0.3">
      <c r="A1676">
        <v>2821</v>
      </c>
      <c r="B1676">
        <v>386</v>
      </c>
      <c r="C1676" t="s">
        <v>53</v>
      </c>
      <c r="D1676" t="s">
        <v>25</v>
      </c>
      <c r="E1676" t="s">
        <v>20</v>
      </c>
      <c r="F1676" s="1">
        <v>44623</v>
      </c>
      <c r="G1676" s="1">
        <v>44874</v>
      </c>
      <c r="H1676">
        <v>5031</v>
      </c>
      <c r="I1676">
        <v>6233</v>
      </c>
      <c r="J1676">
        <v>-1202</v>
      </c>
      <c r="K1676" t="s">
        <v>54</v>
      </c>
      <c r="L1676">
        <v>8</v>
      </c>
      <c r="M1676" t="str">
        <f t="shared" si="26"/>
        <v>6-12 Months</v>
      </c>
      <c r="N1676" s="1">
        <v>44874</v>
      </c>
      <c r="O1676">
        <v>0</v>
      </c>
      <c r="P1676">
        <v>1675</v>
      </c>
      <c r="Q1676" s="2">
        <v>-0.24</v>
      </c>
      <c r="R1676" t="s">
        <v>27</v>
      </c>
      <c r="S1676">
        <v>2022</v>
      </c>
      <c r="T1676" t="s">
        <v>42</v>
      </c>
    </row>
    <row r="1677" spans="1:20" hidden="1" x14ac:dyDescent="0.3">
      <c r="A1677">
        <v>2822</v>
      </c>
      <c r="B1677">
        <v>284</v>
      </c>
      <c r="C1677" t="s">
        <v>39</v>
      </c>
      <c r="D1677" t="s">
        <v>29</v>
      </c>
      <c r="E1677" t="s">
        <v>37</v>
      </c>
      <c r="F1677" s="1">
        <v>44630</v>
      </c>
      <c r="G1677" s="1">
        <v>45083</v>
      </c>
      <c r="H1677">
        <v>1683</v>
      </c>
      <c r="I1677">
        <v>1280</v>
      </c>
      <c r="J1677">
        <v>403</v>
      </c>
      <c r="K1677" t="s">
        <v>54</v>
      </c>
      <c r="L1677">
        <v>14</v>
      </c>
      <c r="M1677" t="str">
        <f t="shared" si="26"/>
        <v>6-12 Months</v>
      </c>
      <c r="N1677" s="1">
        <v>45083</v>
      </c>
      <c r="O1677">
        <v>0</v>
      </c>
      <c r="P1677">
        <v>1676</v>
      </c>
      <c r="Q1677" s="2">
        <v>0.24</v>
      </c>
      <c r="R1677" t="s">
        <v>27</v>
      </c>
      <c r="S1677">
        <v>2023</v>
      </c>
      <c r="T1677" t="s">
        <v>41</v>
      </c>
    </row>
    <row r="1678" spans="1:20" hidden="1" x14ac:dyDescent="0.3">
      <c r="A1678">
        <v>2823</v>
      </c>
      <c r="B1678">
        <v>279</v>
      </c>
      <c r="C1678" t="s">
        <v>39</v>
      </c>
      <c r="D1678" t="s">
        <v>29</v>
      </c>
      <c r="E1678" t="s">
        <v>37</v>
      </c>
      <c r="F1678" s="1">
        <v>44841</v>
      </c>
      <c r="G1678" s="1">
        <v>45394</v>
      </c>
      <c r="H1678">
        <v>1011</v>
      </c>
      <c r="I1678">
        <v>6090</v>
      </c>
      <c r="J1678">
        <v>-5079</v>
      </c>
      <c r="K1678" t="s">
        <v>54</v>
      </c>
      <c r="L1678">
        <v>18</v>
      </c>
      <c r="M1678" t="str">
        <f t="shared" si="26"/>
        <v>6-12 Months</v>
      </c>
      <c r="N1678" s="1">
        <v>45394</v>
      </c>
      <c r="O1678">
        <v>1</v>
      </c>
      <c r="P1678">
        <v>1677</v>
      </c>
      <c r="Q1678" s="2">
        <v>-5.0199999999999996</v>
      </c>
      <c r="R1678" t="s">
        <v>22</v>
      </c>
      <c r="S1678">
        <v>2024</v>
      </c>
      <c r="T1678" t="s">
        <v>32</v>
      </c>
    </row>
    <row r="1679" spans="1:20" hidden="1" x14ac:dyDescent="0.3">
      <c r="A1679">
        <v>2824</v>
      </c>
      <c r="B1679">
        <v>107</v>
      </c>
      <c r="C1679" t="s">
        <v>24</v>
      </c>
      <c r="D1679" t="s">
        <v>34</v>
      </c>
      <c r="E1679" t="s">
        <v>20</v>
      </c>
      <c r="F1679" s="1">
        <v>44926</v>
      </c>
      <c r="G1679" s="1">
        <v>45087</v>
      </c>
      <c r="H1679">
        <v>1722</v>
      </c>
      <c r="I1679">
        <v>711</v>
      </c>
      <c r="J1679">
        <v>1011</v>
      </c>
      <c r="K1679" t="s">
        <v>54</v>
      </c>
      <c r="L1679">
        <v>5</v>
      </c>
      <c r="M1679" t="str">
        <f t="shared" si="26"/>
        <v>0-6 Months</v>
      </c>
      <c r="N1679" s="1">
        <v>45087</v>
      </c>
      <c r="O1679">
        <v>1</v>
      </c>
      <c r="P1679">
        <v>1678</v>
      </c>
      <c r="Q1679" s="2">
        <v>0.59</v>
      </c>
      <c r="R1679" t="s">
        <v>27</v>
      </c>
      <c r="S1679">
        <v>2023</v>
      </c>
      <c r="T1679" t="s">
        <v>41</v>
      </c>
    </row>
    <row r="1680" spans="1:20" hidden="1" x14ac:dyDescent="0.3">
      <c r="A1680">
        <v>2825</v>
      </c>
      <c r="B1680">
        <v>408</v>
      </c>
      <c r="C1680" t="s">
        <v>40</v>
      </c>
      <c r="D1680" t="s">
        <v>34</v>
      </c>
      <c r="E1680" t="s">
        <v>20</v>
      </c>
      <c r="F1680" s="1">
        <v>44639</v>
      </c>
      <c r="G1680" s="1">
        <v>45180</v>
      </c>
      <c r="H1680">
        <v>5378</v>
      </c>
      <c r="I1680">
        <v>6363</v>
      </c>
      <c r="J1680">
        <v>-985</v>
      </c>
      <c r="K1680" t="s">
        <v>54</v>
      </c>
      <c r="L1680">
        <v>17</v>
      </c>
      <c r="M1680" t="str">
        <f t="shared" si="26"/>
        <v>6-12 Months</v>
      </c>
      <c r="N1680" s="1">
        <v>45180</v>
      </c>
      <c r="O1680">
        <v>1</v>
      </c>
      <c r="P1680">
        <v>1679</v>
      </c>
      <c r="Q1680" s="2">
        <v>-0.18</v>
      </c>
      <c r="R1680" t="s">
        <v>27</v>
      </c>
      <c r="S1680">
        <v>2023</v>
      </c>
      <c r="T1680" t="s">
        <v>30</v>
      </c>
    </row>
    <row r="1681" spans="1:20" hidden="1" x14ac:dyDescent="0.3">
      <c r="A1681">
        <v>2827</v>
      </c>
      <c r="B1681">
        <v>467</v>
      </c>
      <c r="C1681" t="s">
        <v>40</v>
      </c>
      <c r="D1681" t="s">
        <v>19</v>
      </c>
      <c r="E1681" t="s">
        <v>37</v>
      </c>
      <c r="F1681" s="1">
        <v>44918</v>
      </c>
      <c r="G1681" s="1">
        <v>44952</v>
      </c>
      <c r="H1681">
        <v>4967.93</v>
      </c>
      <c r="I1681">
        <v>7949</v>
      </c>
      <c r="J1681">
        <v>-8071</v>
      </c>
      <c r="K1681" t="s">
        <v>21</v>
      </c>
      <c r="L1681">
        <v>1</v>
      </c>
      <c r="M1681" t="str">
        <f t="shared" si="26"/>
        <v>0-6 Months</v>
      </c>
      <c r="N1681" s="1">
        <v>44952</v>
      </c>
      <c r="O1681">
        <v>1</v>
      </c>
      <c r="P1681">
        <v>1680</v>
      </c>
      <c r="Q1681" s="2">
        <v>-1.62</v>
      </c>
      <c r="R1681" t="s">
        <v>22</v>
      </c>
      <c r="S1681">
        <v>2023</v>
      </c>
      <c r="T1681" t="s">
        <v>23</v>
      </c>
    </row>
    <row r="1682" spans="1:20" hidden="1" x14ac:dyDescent="0.3">
      <c r="A1682">
        <v>2829</v>
      </c>
      <c r="B1682">
        <v>215</v>
      </c>
      <c r="C1682" t="s">
        <v>45</v>
      </c>
      <c r="D1682" t="s">
        <v>19</v>
      </c>
      <c r="E1682" t="s">
        <v>37</v>
      </c>
      <c r="F1682" s="1">
        <v>44918</v>
      </c>
      <c r="G1682" s="1">
        <v>44971</v>
      </c>
      <c r="H1682">
        <v>2579</v>
      </c>
      <c r="I1682">
        <v>6990</v>
      </c>
      <c r="J1682">
        <v>-4411</v>
      </c>
      <c r="K1682" t="s">
        <v>54</v>
      </c>
      <c r="L1682">
        <v>1</v>
      </c>
      <c r="M1682" t="str">
        <f t="shared" si="26"/>
        <v>0-6 Months</v>
      </c>
      <c r="N1682" s="1">
        <v>44971</v>
      </c>
      <c r="O1682">
        <v>0</v>
      </c>
      <c r="P1682">
        <v>1681</v>
      </c>
      <c r="Q1682" s="2">
        <v>-1.71</v>
      </c>
      <c r="R1682" t="s">
        <v>22</v>
      </c>
      <c r="S1682">
        <v>2023</v>
      </c>
      <c r="T1682" t="s">
        <v>43</v>
      </c>
    </row>
    <row r="1683" spans="1:20" hidden="1" x14ac:dyDescent="0.3">
      <c r="A1683">
        <v>2832</v>
      </c>
      <c r="B1683">
        <v>106</v>
      </c>
      <c r="C1683" t="s">
        <v>45</v>
      </c>
      <c r="D1683" t="s">
        <v>34</v>
      </c>
      <c r="E1683" t="s">
        <v>20</v>
      </c>
      <c r="F1683" s="1">
        <v>44618</v>
      </c>
      <c r="G1683" s="1">
        <v>44688</v>
      </c>
      <c r="H1683">
        <v>2627</v>
      </c>
      <c r="I1683">
        <v>3149</v>
      </c>
      <c r="J1683">
        <v>-522</v>
      </c>
      <c r="K1683" t="s">
        <v>21</v>
      </c>
      <c r="L1683">
        <v>2</v>
      </c>
      <c r="M1683" t="str">
        <f t="shared" si="26"/>
        <v>0-6 Months</v>
      </c>
      <c r="N1683" s="1">
        <v>44688</v>
      </c>
      <c r="O1683">
        <v>1</v>
      </c>
      <c r="P1683">
        <v>1682</v>
      </c>
      <c r="Q1683" s="2">
        <v>-0.2</v>
      </c>
      <c r="R1683" t="s">
        <v>27</v>
      </c>
      <c r="S1683">
        <v>2022</v>
      </c>
      <c r="T1683" t="s">
        <v>28</v>
      </c>
    </row>
    <row r="1684" spans="1:20" hidden="1" x14ac:dyDescent="0.3">
      <c r="A1684">
        <v>2835</v>
      </c>
      <c r="B1684">
        <v>179</v>
      </c>
      <c r="C1684" t="s">
        <v>45</v>
      </c>
      <c r="D1684" t="s">
        <v>34</v>
      </c>
      <c r="E1684" t="s">
        <v>20</v>
      </c>
      <c r="F1684" s="1">
        <v>44571</v>
      </c>
      <c r="G1684" s="1">
        <v>44783</v>
      </c>
      <c r="H1684">
        <v>1300</v>
      </c>
      <c r="I1684">
        <v>900</v>
      </c>
      <c r="J1684">
        <v>400</v>
      </c>
      <c r="K1684" t="s">
        <v>54</v>
      </c>
      <c r="L1684">
        <v>7</v>
      </c>
      <c r="M1684" t="str">
        <f t="shared" si="26"/>
        <v>6-12 Months</v>
      </c>
      <c r="N1684" s="1">
        <v>44783</v>
      </c>
      <c r="O1684">
        <v>0</v>
      </c>
      <c r="P1684">
        <v>1683</v>
      </c>
      <c r="Q1684" s="2">
        <v>0.31</v>
      </c>
      <c r="R1684" t="s">
        <v>27</v>
      </c>
      <c r="S1684">
        <v>2022</v>
      </c>
      <c r="T1684" t="s">
        <v>36</v>
      </c>
    </row>
    <row r="1685" spans="1:20" hidden="1" x14ac:dyDescent="0.3">
      <c r="A1685">
        <v>2837</v>
      </c>
      <c r="B1685">
        <v>323</v>
      </c>
      <c r="C1685" t="s">
        <v>53</v>
      </c>
      <c r="D1685" t="s">
        <v>34</v>
      </c>
      <c r="E1685" t="s">
        <v>26</v>
      </c>
      <c r="F1685" s="1">
        <v>44638</v>
      </c>
      <c r="G1685" s="1">
        <v>44911</v>
      </c>
      <c r="H1685">
        <v>7887</v>
      </c>
      <c r="I1685">
        <v>4012.75</v>
      </c>
      <c r="J1685">
        <v>8728</v>
      </c>
      <c r="K1685" t="s">
        <v>21</v>
      </c>
      <c r="L1685">
        <v>8</v>
      </c>
      <c r="M1685" t="str">
        <f t="shared" si="26"/>
        <v>6-12 Months</v>
      </c>
      <c r="N1685" s="1">
        <v>44911</v>
      </c>
      <c r="O1685">
        <v>1</v>
      </c>
      <c r="P1685">
        <v>1684</v>
      </c>
      <c r="Q1685" s="2">
        <v>1.1100000000000001</v>
      </c>
      <c r="R1685" t="s">
        <v>22</v>
      </c>
      <c r="S1685">
        <v>2022</v>
      </c>
      <c r="T1685" t="s">
        <v>31</v>
      </c>
    </row>
    <row r="1686" spans="1:20" x14ac:dyDescent="0.3">
      <c r="A1686">
        <v>2839</v>
      </c>
      <c r="B1686">
        <v>232</v>
      </c>
      <c r="C1686" t="s">
        <v>45</v>
      </c>
      <c r="D1686" t="s">
        <v>19</v>
      </c>
      <c r="E1686" t="s">
        <v>20</v>
      </c>
      <c r="F1686" s="1">
        <v>44596</v>
      </c>
      <c r="G1686" s="1">
        <v>45093</v>
      </c>
      <c r="H1686">
        <v>4443</v>
      </c>
      <c r="I1686">
        <v>4288</v>
      </c>
      <c r="J1686">
        <v>155</v>
      </c>
      <c r="K1686" t="s">
        <v>35</v>
      </c>
      <c r="L1686">
        <v>16</v>
      </c>
      <c r="M1686" t="str">
        <f t="shared" si="26"/>
        <v>6-12 Months</v>
      </c>
      <c r="N1686" s="1">
        <v>45093</v>
      </c>
      <c r="O1686">
        <v>0</v>
      </c>
      <c r="P1686">
        <v>1685</v>
      </c>
      <c r="Q1686" s="2">
        <v>0.03</v>
      </c>
      <c r="R1686" t="s">
        <v>27</v>
      </c>
      <c r="S1686">
        <v>2023</v>
      </c>
      <c r="T1686" t="s">
        <v>41</v>
      </c>
    </row>
    <row r="1687" spans="1:20" hidden="1" x14ac:dyDescent="0.3">
      <c r="A1687">
        <v>2840</v>
      </c>
      <c r="B1687">
        <v>428</v>
      </c>
      <c r="C1687" t="s">
        <v>45</v>
      </c>
      <c r="D1687" t="s">
        <v>29</v>
      </c>
      <c r="E1687" t="s">
        <v>26</v>
      </c>
      <c r="F1687" s="1">
        <v>44568</v>
      </c>
      <c r="G1687" s="1">
        <v>44907</v>
      </c>
      <c r="H1687">
        <v>7326</v>
      </c>
      <c r="I1687">
        <v>4012.75</v>
      </c>
      <c r="J1687">
        <v>7823</v>
      </c>
      <c r="K1687" t="s">
        <v>54</v>
      </c>
      <c r="L1687">
        <v>11</v>
      </c>
      <c r="M1687" t="str">
        <f t="shared" si="26"/>
        <v>6-12 Months</v>
      </c>
      <c r="N1687" s="1">
        <v>44907</v>
      </c>
      <c r="O1687">
        <v>0</v>
      </c>
      <c r="P1687">
        <v>1686</v>
      </c>
      <c r="Q1687" s="2">
        <v>1.07</v>
      </c>
      <c r="R1687" t="s">
        <v>22</v>
      </c>
      <c r="S1687">
        <v>2022</v>
      </c>
      <c r="T1687" t="s">
        <v>31</v>
      </c>
    </row>
    <row r="1688" spans="1:20" hidden="1" x14ac:dyDescent="0.3">
      <c r="A1688">
        <v>2841</v>
      </c>
      <c r="B1688">
        <v>350</v>
      </c>
      <c r="C1688" t="s">
        <v>40</v>
      </c>
      <c r="D1688" t="s">
        <v>25</v>
      </c>
      <c r="E1688" t="s">
        <v>20</v>
      </c>
      <c r="F1688" s="1">
        <v>44922</v>
      </c>
      <c r="G1688" s="1">
        <v>45425</v>
      </c>
      <c r="H1688">
        <v>9904</v>
      </c>
      <c r="I1688">
        <v>4269</v>
      </c>
      <c r="J1688">
        <v>5635</v>
      </c>
      <c r="K1688" t="s">
        <v>54</v>
      </c>
      <c r="L1688">
        <v>16</v>
      </c>
      <c r="M1688" t="str">
        <f t="shared" si="26"/>
        <v>6-12 Months</v>
      </c>
      <c r="N1688" s="1">
        <v>45425</v>
      </c>
      <c r="O1688">
        <v>1</v>
      </c>
      <c r="P1688">
        <v>1687</v>
      </c>
      <c r="Q1688" s="2">
        <v>0.56999999999999995</v>
      </c>
      <c r="R1688" t="s">
        <v>27</v>
      </c>
      <c r="S1688">
        <v>2024</v>
      </c>
      <c r="T1688" t="s">
        <v>28</v>
      </c>
    </row>
    <row r="1689" spans="1:20" hidden="1" x14ac:dyDescent="0.3">
      <c r="A1689">
        <v>2843</v>
      </c>
      <c r="B1689">
        <v>128</v>
      </c>
      <c r="C1689" t="s">
        <v>39</v>
      </c>
      <c r="D1689" t="s">
        <v>25</v>
      </c>
      <c r="E1689" t="s">
        <v>20</v>
      </c>
      <c r="F1689" s="1">
        <v>44870</v>
      </c>
      <c r="G1689" s="1">
        <v>44978</v>
      </c>
      <c r="H1689">
        <v>1269</v>
      </c>
      <c r="I1689">
        <v>2780</v>
      </c>
      <c r="J1689">
        <v>-1511</v>
      </c>
      <c r="K1689" t="s">
        <v>54</v>
      </c>
      <c r="L1689">
        <v>3</v>
      </c>
      <c r="M1689" t="str">
        <f t="shared" si="26"/>
        <v>0-6 Months</v>
      </c>
      <c r="N1689" s="1">
        <v>44978</v>
      </c>
      <c r="O1689">
        <v>0</v>
      </c>
      <c r="P1689">
        <v>1688</v>
      </c>
      <c r="Q1689" s="2">
        <v>-1.19</v>
      </c>
      <c r="R1689" t="s">
        <v>22</v>
      </c>
      <c r="S1689">
        <v>2023</v>
      </c>
      <c r="T1689" t="s">
        <v>43</v>
      </c>
    </row>
    <row r="1690" spans="1:20" hidden="1" x14ac:dyDescent="0.3">
      <c r="A1690">
        <v>2844</v>
      </c>
      <c r="B1690">
        <v>119</v>
      </c>
      <c r="C1690" t="s">
        <v>24</v>
      </c>
      <c r="D1690" t="s">
        <v>19</v>
      </c>
      <c r="E1690" t="s">
        <v>20</v>
      </c>
      <c r="F1690" s="1">
        <v>44637</v>
      </c>
      <c r="G1690" s="1">
        <v>44900</v>
      </c>
      <c r="H1690">
        <v>4967.93</v>
      </c>
      <c r="I1690">
        <v>3954</v>
      </c>
      <c r="J1690">
        <v>-5950</v>
      </c>
      <c r="K1690" t="s">
        <v>54</v>
      </c>
      <c r="L1690">
        <v>8</v>
      </c>
      <c r="M1690" t="str">
        <f t="shared" si="26"/>
        <v>6-12 Months</v>
      </c>
      <c r="N1690" s="1">
        <v>44900</v>
      </c>
      <c r="O1690">
        <v>1</v>
      </c>
      <c r="P1690">
        <v>1689</v>
      </c>
      <c r="Q1690" s="2">
        <v>-1.2</v>
      </c>
      <c r="R1690" t="s">
        <v>22</v>
      </c>
      <c r="S1690">
        <v>2022</v>
      </c>
      <c r="T1690" t="s">
        <v>31</v>
      </c>
    </row>
    <row r="1691" spans="1:20" hidden="1" x14ac:dyDescent="0.3">
      <c r="A1691">
        <v>2845</v>
      </c>
      <c r="B1691">
        <v>406</v>
      </c>
      <c r="C1691" t="s">
        <v>39</v>
      </c>
      <c r="D1691" t="s">
        <v>34</v>
      </c>
      <c r="E1691" t="s">
        <v>20</v>
      </c>
      <c r="F1691" s="1">
        <v>44576</v>
      </c>
      <c r="G1691" s="1">
        <v>44949</v>
      </c>
      <c r="H1691">
        <v>480</v>
      </c>
      <c r="I1691">
        <v>4857</v>
      </c>
      <c r="J1691">
        <v>577.01</v>
      </c>
      <c r="K1691" t="s">
        <v>21</v>
      </c>
      <c r="L1691">
        <v>12</v>
      </c>
      <c r="M1691" t="str">
        <f t="shared" si="26"/>
        <v>6-12 Months</v>
      </c>
      <c r="N1691" s="1">
        <v>44949</v>
      </c>
      <c r="O1691">
        <v>0</v>
      </c>
      <c r="P1691">
        <v>1690</v>
      </c>
      <c r="Q1691" s="2">
        <v>1.2</v>
      </c>
      <c r="R1691" t="s">
        <v>22</v>
      </c>
      <c r="S1691">
        <v>2023</v>
      </c>
      <c r="T1691" t="s">
        <v>23</v>
      </c>
    </row>
    <row r="1692" spans="1:20" hidden="1" x14ac:dyDescent="0.3">
      <c r="A1692">
        <v>2846</v>
      </c>
      <c r="B1692">
        <v>333</v>
      </c>
      <c r="C1692" t="s">
        <v>45</v>
      </c>
      <c r="D1692" t="s">
        <v>34</v>
      </c>
      <c r="E1692" t="s">
        <v>26</v>
      </c>
      <c r="F1692" s="1">
        <v>44877</v>
      </c>
      <c r="G1692" s="1">
        <v>45335</v>
      </c>
      <c r="H1692">
        <v>2685</v>
      </c>
      <c r="I1692">
        <v>4942</v>
      </c>
      <c r="J1692">
        <v>-2257</v>
      </c>
      <c r="K1692" t="s">
        <v>54</v>
      </c>
      <c r="L1692">
        <v>15</v>
      </c>
      <c r="M1692" t="str">
        <f t="shared" si="26"/>
        <v>6-12 Months</v>
      </c>
      <c r="N1692" s="1">
        <v>45335</v>
      </c>
      <c r="O1692">
        <v>1</v>
      </c>
      <c r="P1692">
        <v>1691</v>
      </c>
      <c r="Q1692" s="2">
        <v>-0.84</v>
      </c>
      <c r="R1692" t="s">
        <v>27</v>
      </c>
      <c r="S1692">
        <v>2024</v>
      </c>
      <c r="T1692" t="s">
        <v>43</v>
      </c>
    </row>
    <row r="1693" spans="1:20" x14ac:dyDescent="0.3">
      <c r="A1693">
        <v>2847</v>
      </c>
      <c r="B1693">
        <v>103</v>
      </c>
      <c r="C1693" t="s">
        <v>53</v>
      </c>
      <c r="D1693" t="s">
        <v>29</v>
      </c>
      <c r="E1693" t="s">
        <v>26</v>
      </c>
      <c r="F1693" s="1">
        <v>44631</v>
      </c>
      <c r="G1693" s="1">
        <v>44663</v>
      </c>
      <c r="H1693">
        <v>5676</v>
      </c>
      <c r="I1693">
        <v>3168</v>
      </c>
      <c r="J1693">
        <v>2508</v>
      </c>
      <c r="K1693" t="s">
        <v>35</v>
      </c>
      <c r="L1693">
        <v>1</v>
      </c>
      <c r="M1693" t="str">
        <f t="shared" si="26"/>
        <v>0-6 Months</v>
      </c>
      <c r="N1693" s="1">
        <v>44663</v>
      </c>
      <c r="O1693">
        <v>1</v>
      </c>
      <c r="P1693">
        <v>1692</v>
      </c>
      <c r="Q1693" s="2">
        <v>0.44</v>
      </c>
      <c r="R1693" t="s">
        <v>27</v>
      </c>
      <c r="S1693">
        <v>2022</v>
      </c>
      <c r="T1693" t="s">
        <v>32</v>
      </c>
    </row>
    <row r="1694" spans="1:20" hidden="1" x14ac:dyDescent="0.3">
      <c r="A1694">
        <v>2848</v>
      </c>
      <c r="B1694">
        <v>281</v>
      </c>
      <c r="C1694" t="s">
        <v>45</v>
      </c>
      <c r="D1694" t="s">
        <v>19</v>
      </c>
      <c r="E1694" t="s">
        <v>37</v>
      </c>
      <c r="F1694" s="1">
        <v>44884</v>
      </c>
      <c r="G1694" s="1">
        <v>44942</v>
      </c>
      <c r="H1694">
        <v>2483</v>
      </c>
      <c r="I1694">
        <v>7108</v>
      </c>
      <c r="J1694">
        <v>-4625</v>
      </c>
      <c r="K1694" t="s">
        <v>54</v>
      </c>
      <c r="L1694">
        <v>1</v>
      </c>
      <c r="M1694" t="str">
        <f t="shared" si="26"/>
        <v>0-6 Months</v>
      </c>
      <c r="N1694" s="1">
        <v>44942</v>
      </c>
      <c r="O1694">
        <v>1</v>
      </c>
      <c r="P1694">
        <v>1693</v>
      </c>
      <c r="Q1694" s="2">
        <v>-1.86</v>
      </c>
      <c r="R1694" t="s">
        <v>22</v>
      </c>
      <c r="S1694">
        <v>2023</v>
      </c>
      <c r="T1694" t="s">
        <v>23</v>
      </c>
    </row>
    <row r="1695" spans="1:20" hidden="1" x14ac:dyDescent="0.3">
      <c r="A1695">
        <v>2849</v>
      </c>
      <c r="B1695">
        <v>374</v>
      </c>
      <c r="C1695" t="s">
        <v>45</v>
      </c>
      <c r="D1695" t="s">
        <v>29</v>
      </c>
      <c r="E1695" t="s">
        <v>20</v>
      </c>
      <c r="F1695" s="1">
        <v>44743</v>
      </c>
      <c r="G1695" s="1">
        <v>44807</v>
      </c>
      <c r="H1695">
        <v>9087</v>
      </c>
      <c r="I1695">
        <v>7904</v>
      </c>
      <c r="J1695">
        <v>1183</v>
      </c>
      <c r="K1695" t="s">
        <v>54</v>
      </c>
      <c r="L1695">
        <v>2</v>
      </c>
      <c r="M1695" t="str">
        <f t="shared" si="26"/>
        <v>0-6 Months</v>
      </c>
      <c r="N1695" s="1">
        <v>44807</v>
      </c>
      <c r="O1695">
        <v>0</v>
      </c>
      <c r="P1695">
        <v>1694</v>
      </c>
      <c r="Q1695" s="2">
        <v>0.13</v>
      </c>
      <c r="R1695" t="s">
        <v>27</v>
      </c>
      <c r="S1695">
        <v>2022</v>
      </c>
      <c r="T1695" t="s">
        <v>30</v>
      </c>
    </row>
    <row r="1696" spans="1:20" x14ac:dyDescent="0.3">
      <c r="A1696">
        <v>2850</v>
      </c>
      <c r="B1696">
        <v>428</v>
      </c>
      <c r="C1696" t="s">
        <v>24</v>
      </c>
      <c r="D1696" t="s">
        <v>25</v>
      </c>
      <c r="E1696" t="s">
        <v>20</v>
      </c>
      <c r="F1696" s="1">
        <v>44603</v>
      </c>
      <c r="G1696" s="1">
        <v>44905</v>
      </c>
      <c r="H1696">
        <v>1262</v>
      </c>
      <c r="I1696">
        <v>6120</v>
      </c>
      <c r="J1696">
        <v>-4858</v>
      </c>
      <c r="K1696" t="s">
        <v>35</v>
      </c>
      <c r="L1696">
        <v>9</v>
      </c>
      <c r="M1696" t="str">
        <f t="shared" si="26"/>
        <v>6-12 Months</v>
      </c>
      <c r="N1696" s="1">
        <v>44905</v>
      </c>
      <c r="O1696">
        <v>1</v>
      </c>
      <c r="P1696">
        <v>1695</v>
      </c>
      <c r="Q1696" s="2">
        <v>-3.85</v>
      </c>
      <c r="R1696" t="s">
        <v>22</v>
      </c>
      <c r="S1696">
        <v>2022</v>
      </c>
      <c r="T1696" t="s">
        <v>31</v>
      </c>
    </row>
    <row r="1697" spans="1:20" hidden="1" x14ac:dyDescent="0.3">
      <c r="A1697">
        <v>2852</v>
      </c>
      <c r="B1697">
        <v>105</v>
      </c>
      <c r="C1697" t="s">
        <v>45</v>
      </c>
      <c r="D1697" t="s">
        <v>19</v>
      </c>
      <c r="E1697" t="s">
        <v>37</v>
      </c>
      <c r="F1697" s="1">
        <v>44790</v>
      </c>
      <c r="G1697" s="1">
        <v>44865</v>
      </c>
      <c r="H1697">
        <v>7494</v>
      </c>
      <c r="I1697">
        <v>4954</v>
      </c>
      <c r="J1697">
        <v>2540</v>
      </c>
      <c r="K1697" t="s">
        <v>54</v>
      </c>
      <c r="L1697">
        <v>2</v>
      </c>
      <c r="M1697" t="str">
        <f t="shared" si="26"/>
        <v>0-6 Months</v>
      </c>
      <c r="N1697" s="1">
        <v>44865</v>
      </c>
      <c r="O1697">
        <v>1</v>
      </c>
      <c r="P1697">
        <v>1696</v>
      </c>
      <c r="Q1697" s="2">
        <v>0.34</v>
      </c>
      <c r="R1697" t="s">
        <v>27</v>
      </c>
      <c r="S1697">
        <v>2022</v>
      </c>
      <c r="T1697" t="s">
        <v>33</v>
      </c>
    </row>
    <row r="1698" spans="1:20" hidden="1" x14ac:dyDescent="0.3">
      <c r="A1698">
        <v>2853</v>
      </c>
      <c r="B1698">
        <v>112</v>
      </c>
      <c r="C1698" t="s">
        <v>40</v>
      </c>
      <c r="D1698" t="s">
        <v>34</v>
      </c>
      <c r="E1698" t="s">
        <v>37</v>
      </c>
      <c r="F1698" s="1">
        <v>44917</v>
      </c>
      <c r="G1698" s="1">
        <v>45383</v>
      </c>
      <c r="H1698">
        <v>5087</v>
      </c>
      <c r="I1698">
        <v>3326</v>
      </c>
      <c r="J1698">
        <v>1761</v>
      </c>
      <c r="K1698" t="s">
        <v>21</v>
      </c>
      <c r="L1698">
        <v>15</v>
      </c>
      <c r="M1698" t="str">
        <f t="shared" si="26"/>
        <v>6-12 Months</v>
      </c>
      <c r="N1698" s="1">
        <v>45383</v>
      </c>
      <c r="O1698">
        <v>0</v>
      </c>
      <c r="P1698">
        <v>1697</v>
      </c>
      <c r="Q1698" s="2">
        <v>0.35</v>
      </c>
      <c r="R1698" t="s">
        <v>27</v>
      </c>
      <c r="S1698">
        <v>2024</v>
      </c>
      <c r="T1698" t="s">
        <v>32</v>
      </c>
    </row>
    <row r="1699" spans="1:20" hidden="1" x14ac:dyDescent="0.3">
      <c r="A1699">
        <v>2854</v>
      </c>
      <c r="B1699">
        <v>492</v>
      </c>
      <c r="C1699" t="s">
        <v>24</v>
      </c>
      <c r="D1699" t="s">
        <v>29</v>
      </c>
      <c r="E1699" t="s">
        <v>20</v>
      </c>
      <c r="F1699" s="1">
        <v>44864</v>
      </c>
      <c r="G1699" s="1">
        <v>44965</v>
      </c>
      <c r="H1699">
        <v>4878</v>
      </c>
      <c r="I1699">
        <v>4012.75</v>
      </c>
      <c r="J1699">
        <v>5476</v>
      </c>
      <c r="K1699" t="s">
        <v>54</v>
      </c>
      <c r="L1699">
        <v>3</v>
      </c>
      <c r="M1699" t="str">
        <f t="shared" si="26"/>
        <v>0-6 Months</v>
      </c>
      <c r="N1699" s="1">
        <v>44965</v>
      </c>
      <c r="O1699">
        <v>1</v>
      </c>
      <c r="P1699">
        <v>1698</v>
      </c>
      <c r="Q1699" s="2">
        <v>1.1200000000000001</v>
      </c>
      <c r="R1699" t="s">
        <v>22</v>
      </c>
      <c r="S1699">
        <v>2023</v>
      </c>
      <c r="T1699" t="s">
        <v>43</v>
      </c>
    </row>
    <row r="1700" spans="1:20" x14ac:dyDescent="0.3">
      <c r="A1700">
        <v>2856</v>
      </c>
      <c r="B1700">
        <v>202</v>
      </c>
      <c r="C1700" t="s">
        <v>40</v>
      </c>
      <c r="D1700" t="s">
        <v>25</v>
      </c>
      <c r="E1700" t="s">
        <v>20</v>
      </c>
      <c r="F1700" s="1">
        <v>44906</v>
      </c>
      <c r="G1700" s="1">
        <v>45287</v>
      </c>
      <c r="H1700">
        <v>3460</v>
      </c>
      <c r="I1700">
        <v>1798</v>
      </c>
      <c r="J1700">
        <v>1662</v>
      </c>
      <c r="K1700" t="s">
        <v>35</v>
      </c>
      <c r="L1700">
        <v>12</v>
      </c>
      <c r="M1700" t="str">
        <f t="shared" si="26"/>
        <v>6-12 Months</v>
      </c>
      <c r="N1700" s="1">
        <v>45287</v>
      </c>
      <c r="O1700">
        <v>1</v>
      </c>
      <c r="P1700">
        <v>1699</v>
      </c>
      <c r="Q1700" s="2">
        <v>0.48</v>
      </c>
      <c r="R1700" t="s">
        <v>27</v>
      </c>
      <c r="S1700">
        <v>2023</v>
      </c>
      <c r="T1700" t="s">
        <v>31</v>
      </c>
    </row>
    <row r="1701" spans="1:20" hidden="1" x14ac:dyDescent="0.3">
      <c r="A1701">
        <v>2858</v>
      </c>
      <c r="B1701">
        <v>182</v>
      </c>
      <c r="C1701" t="s">
        <v>45</v>
      </c>
      <c r="D1701" t="s">
        <v>19</v>
      </c>
      <c r="E1701" t="s">
        <v>26</v>
      </c>
      <c r="F1701" s="1">
        <v>44654</v>
      </c>
      <c r="G1701" s="1">
        <v>45081</v>
      </c>
      <c r="H1701">
        <v>4968</v>
      </c>
      <c r="I1701">
        <v>1222</v>
      </c>
      <c r="J1701">
        <v>3746</v>
      </c>
      <c r="K1701" t="s">
        <v>21</v>
      </c>
      <c r="L1701">
        <v>14</v>
      </c>
      <c r="M1701" t="str">
        <f t="shared" si="26"/>
        <v>6-12 Months</v>
      </c>
      <c r="N1701" s="1">
        <v>45081</v>
      </c>
      <c r="O1701">
        <v>0</v>
      </c>
      <c r="P1701">
        <v>1700</v>
      </c>
      <c r="Q1701" s="2">
        <v>0.75</v>
      </c>
      <c r="R1701" t="s">
        <v>27</v>
      </c>
      <c r="S1701">
        <v>2023</v>
      </c>
      <c r="T1701" t="s">
        <v>41</v>
      </c>
    </row>
    <row r="1702" spans="1:20" x14ac:dyDescent="0.3">
      <c r="A1702">
        <v>2861</v>
      </c>
      <c r="B1702">
        <v>172</v>
      </c>
      <c r="C1702" t="s">
        <v>39</v>
      </c>
      <c r="D1702" t="s">
        <v>25</v>
      </c>
      <c r="E1702" t="s">
        <v>26</v>
      </c>
      <c r="F1702" s="1">
        <v>44693</v>
      </c>
      <c r="G1702" s="1">
        <v>45095</v>
      </c>
      <c r="H1702">
        <v>5808</v>
      </c>
      <c r="I1702">
        <v>7709</v>
      </c>
      <c r="J1702">
        <v>577.01</v>
      </c>
      <c r="K1702" t="s">
        <v>35</v>
      </c>
      <c r="L1702">
        <v>13</v>
      </c>
      <c r="M1702" t="str">
        <f t="shared" si="26"/>
        <v>6-12 Months</v>
      </c>
      <c r="N1702" s="1">
        <v>45095</v>
      </c>
      <c r="O1702">
        <v>1</v>
      </c>
      <c r="P1702">
        <v>1701</v>
      </c>
      <c r="Q1702" s="2">
        <v>0.1</v>
      </c>
      <c r="R1702" t="s">
        <v>27</v>
      </c>
      <c r="S1702">
        <v>2023</v>
      </c>
      <c r="T1702" t="s">
        <v>41</v>
      </c>
    </row>
    <row r="1703" spans="1:20" hidden="1" x14ac:dyDescent="0.3">
      <c r="A1703">
        <v>2862</v>
      </c>
      <c r="B1703">
        <v>125</v>
      </c>
      <c r="C1703" t="s">
        <v>53</v>
      </c>
      <c r="D1703" t="s">
        <v>34</v>
      </c>
      <c r="E1703" t="s">
        <v>26</v>
      </c>
      <c r="F1703" s="1">
        <v>44692</v>
      </c>
      <c r="G1703" s="1">
        <v>45019</v>
      </c>
      <c r="H1703">
        <v>4967.93</v>
      </c>
      <c r="I1703">
        <v>4903</v>
      </c>
      <c r="J1703">
        <v>-6216</v>
      </c>
      <c r="K1703" t="s">
        <v>54</v>
      </c>
      <c r="L1703">
        <v>10</v>
      </c>
      <c r="M1703" t="str">
        <f t="shared" si="26"/>
        <v>6-12 Months</v>
      </c>
      <c r="N1703" s="1">
        <v>45019</v>
      </c>
      <c r="O1703">
        <v>1</v>
      </c>
      <c r="P1703">
        <v>1702</v>
      </c>
      <c r="Q1703" s="2">
        <v>-1.25</v>
      </c>
      <c r="R1703" t="s">
        <v>22</v>
      </c>
      <c r="S1703">
        <v>2023</v>
      </c>
      <c r="T1703" t="s">
        <v>32</v>
      </c>
    </row>
    <row r="1704" spans="1:20" hidden="1" x14ac:dyDescent="0.3">
      <c r="A1704">
        <v>2863</v>
      </c>
      <c r="B1704">
        <v>479</v>
      </c>
      <c r="C1704" t="s">
        <v>45</v>
      </c>
      <c r="D1704" t="s">
        <v>25</v>
      </c>
      <c r="E1704" t="s">
        <v>37</v>
      </c>
      <c r="F1704" s="1">
        <v>44923</v>
      </c>
      <c r="G1704" s="1">
        <v>45493</v>
      </c>
      <c r="H1704">
        <v>5133</v>
      </c>
      <c r="I1704">
        <v>573</v>
      </c>
      <c r="J1704">
        <v>4560</v>
      </c>
      <c r="K1704" t="s">
        <v>54</v>
      </c>
      <c r="L1704">
        <v>18</v>
      </c>
      <c r="M1704" t="str">
        <f t="shared" si="26"/>
        <v>6-12 Months</v>
      </c>
      <c r="N1704" s="1">
        <v>45493</v>
      </c>
      <c r="O1704">
        <v>0</v>
      </c>
      <c r="P1704">
        <v>1703</v>
      </c>
      <c r="Q1704" s="2">
        <v>0.89</v>
      </c>
      <c r="R1704" t="s">
        <v>27</v>
      </c>
      <c r="S1704">
        <v>2024</v>
      </c>
      <c r="T1704" t="s">
        <v>44</v>
      </c>
    </row>
    <row r="1705" spans="1:20" hidden="1" x14ac:dyDescent="0.3">
      <c r="A1705">
        <v>2865</v>
      </c>
      <c r="B1705">
        <v>411</v>
      </c>
      <c r="C1705" t="s">
        <v>45</v>
      </c>
      <c r="D1705" t="s">
        <v>34</v>
      </c>
      <c r="E1705" t="s">
        <v>37</v>
      </c>
      <c r="F1705" s="1">
        <v>44610</v>
      </c>
      <c r="G1705" s="1">
        <v>45195</v>
      </c>
      <c r="H1705">
        <v>2798</v>
      </c>
      <c r="I1705">
        <v>4012.75</v>
      </c>
      <c r="J1705">
        <v>577.01</v>
      </c>
      <c r="K1705" t="s">
        <v>54</v>
      </c>
      <c r="L1705">
        <v>19</v>
      </c>
      <c r="M1705" t="str">
        <f t="shared" si="26"/>
        <v>6-12 Months</v>
      </c>
      <c r="N1705" s="1">
        <v>45195</v>
      </c>
      <c r="O1705">
        <v>1</v>
      </c>
      <c r="P1705">
        <v>1704</v>
      </c>
      <c r="Q1705" s="2">
        <v>0.21</v>
      </c>
      <c r="R1705" t="s">
        <v>27</v>
      </c>
      <c r="S1705">
        <v>2023</v>
      </c>
      <c r="T1705" t="s">
        <v>30</v>
      </c>
    </row>
    <row r="1706" spans="1:20" hidden="1" x14ac:dyDescent="0.3">
      <c r="A1706">
        <v>2866</v>
      </c>
      <c r="B1706">
        <v>236</v>
      </c>
      <c r="C1706" t="s">
        <v>45</v>
      </c>
      <c r="D1706" t="s">
        <v>25</v>
      </c>
      <c r="E1706" t="s">
        <v>26</v>
      </c>
      <c r="F1706" s="1">
        <v>44919</v>
      </c>
      <c r="G1706" s="1">
        <v>45467</v>
      </c>
      <c r="H1706">
        <v>9948</v>
      </c>
      <c r="I1706">
        <v>4012</v>
      </c>
      <c r="J1706">
        <v>5936</v>
      </c>
      <c r="K1706" t="s">
        <v>21</v>
      </c>
      <c r="L1706">
        <v>18</v>
      </c>
      <c r="M1706" t="str">
        <f t="shared" si="26"/>
        <v>6-12 Months</v>
      </c>
      <c r="N1706" s="1">
        <v>45467</v>
      </c>
      <c r="O1706">
        <v>1</v>
      </c>
      <c r="P1706">
        <v>1705</v>
      </c>
      <c r="Q1706" s="2">
        <v>0.6</v>
      </c>
      <c r="R1706" t="s">
        <v>27</v>
      </c>
      <c r="S1706">
        <v>2024</v>
      </c>
      <c r="T1706" t="s">
        <v>41</v>
      </c>
    </row>
    <row r="1707" spans="1:20" hidden="1" x14ac:dyDescent="0.3">
      <c r="A1707">
        <v>2867</v>
      </c>
      <c r="B1707">
        <v>444</v>
      </c>
      <c r="C1707" t="s">
        <v>45</v>
      </c>
      <c r="D1707" t="s">
        <v>29</v>
      </c>
      <c r="E1707" t="s">
        <v>37</v>
      </c>
      <c r="F1707" s="1">
        <v>44848</v>
      </c>
      <c r="G1707" s="1">
        <v>44919</v>
      </c>
      <c r="H1707">
        <v>4100</v>
      </c>
      <c r="I1707">
        <v>1290</v>
      </c>
      <c r="J1707">
        <v>2810</v>
      </c>
      <c r="K1707" t="s">
        <v>21</v>
      </c>
      <c r="L1707">
        <v>2</v>
      </c>
      <c r="M1707" t="str">
        <f t="shared" si="26"/>
        <v>0-6 Months</v>
      </c>
      <c r="N1707" s="1">
        <v>44919</v>
      </c>
      <c r="O1707">
        <v>0</v>
      </c>
      <c r="P1707">
        <v>1706</v>
      </c>
      <c r="Q1707" s="2">
        <v>0.69</v>
      </c>
      <c r="R1707" t="s">
        <v>27</v>
      </c>
      <c r="S1707">
        <v>2022</v>
      </c>
      <c r="T1707" t="s">
        <v>31</v>
      </c>
    </row>
    <row r="1708" spans="1:20" hidden="1" x14ac:dyDescent="0.3">
      <c r="A1708">
        <v>2868</v>
      </c>
      <c r="B1708">
        <v>396</v>
      </c>
      <c r="C1708" t="s">
        <v>24</v>
      </c>
      <c r="D1708" t="s">
        <v>25</v>
      </c>
      <c r="E1708" t="s">
        <v>37</v>
      </c>
      <c r="F1708" s="1">
        <v>44683</v>
      </c>
      <c r="G1708" s="1">
        <v>45038</v>
      </c>
      <c r="H1708">
        <v>8005</v>
      </c>
      <c r="I1708">
        <v>5230</v>
      </c>
      <c r="J1708">
        <v>2775</v>
      </c>
      <c r="K1708" t="s">
        <v>21</v>
      </c>
      <c r="L1708">
        <v>11</v>
      </c>
      <c r="M1708" t="str">
        <f t="shared" si="26"/>
        <v>6-12 Months</v>
      </c>
      <c r="N1708" s="1">
        <v>45038</v>
      </c>
      <c r="O1708">
        <v>1</v>
      </c>
      <c r="P1708">
        <v>1707</v>
      </c>
      <c r="Q1708" s="2">
        <v>0.35</v>
      </c>
      <c r="R1708" t="s">
        <v>27</v>
      </c>
      <c r="S1708">
        <v>2023</v>
      </c>
      <c r="T1708" t="s">
        <v>32</v>
      </c>
    </row>
    <row r="1709" spans="1:20" hidden="1" x14ac:dyDescent="0.3">
      <c r="A1709">
        <v>2869</v>
      </c>
      <c r="B1709">
        <v>394</v>
      </c>
      <c r="C1709" t="s">
        <v>24</v>
      </c>
      <c r="D1709" t="s">
        <v>29</v>
      </c>
      <c r="E1709" t="s">
        <v>20</v>
      </c>
      <c r="F1709" s="1">
        <v>44735</v>
      </c>
      <c r="G1709" s="1">
        <v>45318</v>
      </c>
      <c r="H1709">
        <v>4967.93</v>
      </c>
      <c r="I1709">
        <v>2716</v>
      </c>
      <c r="J1709">
        <v>-3600</v>
      </c>
      <c r="K1709" t="s">
        <v>21</v>
      </c>
      <c r="L1709">
        <v>19</v>
      </c>
      <c r="M1709" t="str">
        <f t="shared" si="26"/>
        <v>6-12 Months</v>
      </c>
      <c r="N1709" s="1">
        <v>45318</v>
      </c>
      <c r="O1709">
        <v>1</v>
      </c>
      <c r="P1709">
        <v>1708</v>
      </c>
      <c r="Q1709" s="2">
        <v>-0.72</v>
      </c>
      <c r="R1709" t="s">
        <v>27</v>
      </c>
      <c r="S1709">
        <v>2024</v>
      </c>
      <c r="T1709" t="s">
        <v>23</v>
      </c>
    </row>
    <row r="1710" spans="1:20" hidden="1" x14ac:dyDescent="0.3">
      <c r="A1710">
        <v>2870</v>
      </c>
      <c r="B1710">
        <v>328</v>
      </c>
      <c r="C1710" t="s">
        <v>39</v>
      </c>
      <c r="D1710" t="s">
        <v>34</v>
      </c>
      <c r="E1710" t="s">
        <v>26</v>
      </c>
      <c r="F1710" s="1">
        <v>44879</v>
      </c>
      <c r="G1710" s="1">
        <v>45212</v>
      </c>
      <c r="H1710">
        <v>8557</v>
      </c>
      <c r="I1710">
        <v>7254</v>
      </c>
      <c r="J1710">
        <v>1303</v>
      </c>
      <c r="K1710" t="s">
        <v>21</v>
      </c>
      <c r="L1710">
        <v>10</v>
      </c>
      <c r="M1710" t="str">
        <f t="shared" si="26"/>
        <v>6-12 Months</v>
      </c>
      <c r="N1710" s="1">
        <v>45212</v>
      </c>
      <c r="O1710">
        <v>1</v>
      </c>
      <c r="P1710">
        <v>1709</v>
      </c>
      <c r="Q1710" s="2">
        <v>0.15</v>
      </c>
      <c r="R1710" t="s">
        <v>27</v>
      </c>
      <c r="S1710">
        <v>2023</v>
      </c>
      <c r="T1710" t="s">
        <v>33</v>
      </c>
    </row>
    <row r="1711" spans="1:20" hidden="1" x14ac:dyDescent="0.3">
      <c r="A1711">
        <v>2872</v>
      </c>
      <c r="B1711">
        <v>163</v>
      </c>
      <c r="C1711" t="s">
        <v>39</v>
      </c>
      <c r="D1711" t="s">
        <v>29</v>
      </c>
      <c r="E1711" t="s">
        <v>20</v>
      </c>
      <c r="F1711" s="1">
        <v>44713</v>
      </c>
      <c r="G1711" s="1">
        <v>45161</v>
      </c>
      <c r="H1711">
        <v>4533</v>
      </c>
      <c r="I1711">
        <v>4012.75</v>
      </c>
      <c r="J1711">
        <v>4945</v>
      </c>
      <c r="K1711" t="s">
        <v>21</v>
      </c>
      <c r="L1711">
        <v>14</v>
      </c>
      <c r="M1711" t="str">
        <f t="shared" si="26"/>
        <v>6-12 Months</v>
      </c>
      <c r="N1711" s="1">
        <v>45161</v>
      </c>
      <c r="O1711">
        <v>1</v>
      </c>
      <c r="P1711">
        <v>1710</v>
      </c>
      <c r="Q1711" s="2">
        <v>1.0900000000000001</v>
      </c>
      <c r="R1711" t="s">
        <v>22</v>
      </c>
      <c r="S1711">
        <v>2023</v>
      </c>
      <c r="T1711" t="s">
        <v>36</v>
      </c>
    </row>
    <row r="1712" spans="1:20" hidden="1" x14ac:dyDescent="0.3">
      <c r="A1712">
        <v>2873</v>
      </c>
      <c r="B1712">
        <v>342</v>
      </c>
      <c r="C1712" t="s">
        <v>40</v>
      </c>
      <c r="D1712" t="s">
        <v>34</v>
      </c>
      <c r="E1712" t="s">
        <v>37</v>
      </c>
      <c r="F1712" s="1">
        <v>44842</v>
      </c>
      <c r="G1712" s="1">
        <v>45248</v>
      </c>
      <c r="H1712">
        <v>3708</v>
      </c>
      <c r="I1712">
        <v>1703</v>
      </c>
      <c r="J1712">
        <v>577.01</v>
      </c>
      <c r="K1712" t="s">
        <v>54</v>
      </c>
      <c r="L1712">
        <v>13</v>
      </c>
      <c r="M1712" t="str">
        <f t="shared" si="26"/>
        <v>6-12 Months</v>
      </c>
      <c r="N1712" s="1">
        <v>45248</v>
      </c>
      <c r="O1712">
        <v>0</v>
      </c>
      <c r="P1712">
        <v>1711</v>
      </c>
      <c r="Q1712" s="2">
        <v>0.16</v>
      </c>
      <c r="R1712" t="s">
        <v>27</v>
      </c>
      <c r="S1712">
        <v>2023</v>
      </c>
      <c r="T1712" t="s">
        <v>42</v>
      </c>
    </row>
    <row r="1713" spans="1:20" hidden="1" x14ac:dyDescent="0.3">
      <c r="A1713">
        <v>2874</v>
      </c>
      <c r="B1713">
        <v>450</v>
      </c>
      <c r="C1713" t="s">
        <v>39</v>
      </c>
      <c r="D1713" t="s">
        <v>34</v>
      </c>
      <c r="E1713" t="s">
        <v>37</v>
      </c>
      <c r="F1713" s="1">
        <v>44676</v>
      </c>
      <c r="G1713" s="1">
        <v>45140</v>
      </c>
      <c r="H1713">
        <v>5559</v>
      </c>
      <c r="I1713">
        <v>7412</v>
      </c>
      <c r="J1713">
        <v>-1853</v>
      </c>
      <c r="K1713" t="s">
        <v>54</v>
      </c>
      <c r="L1713">
        <v>15</v>
      </c>
      <c r="M1713" t="str">
        <f t="shared" si="26"/>
        <v>6-12 Months</v>
      </c>
      <c r="N1713" s="1">
        <v>45140</v>
      </c>
      <c r="O1713">
        <v>1</v>
      </c>
      <c r="P1713">
        <v>1712</v>
      </c>
      <c r="Q1713" s="2">
        <v>-0.33</v>
      </c>
      <c r="R1713" t="s">
        <v>27</v>
      </c>
      <c r="S1713">
        <v>2023</v>
      </c>
      <c r="T1713" t="s">
        <v>36</v>
      </c>
    </row>
    <row r="1714" spans="1:20" hidden="1" x14ac:dyDescent="0.3">
      <c r="A1714">
        <v>2875</v>
      </c>
      <c r="B1714">
        <v>348</v>
      </c>
      <c r="C1714" t="s">
        <v>24</v>
      </c>
      <c r="D1714" t="s">
        <v>34</v>
      </c>
      <c r="E1714" t="s">
        <v>26</v>
      </c>
      <c r="F1714" s="1">
        <v>44802</v>
      </c>
      <c r="G1714" s="1">
        <v>44859</v>
      </c>
      <c r="H1714">
        <v>6284</v>
      </c>
      <c r="I1714">
        <v>3191</v>
      </c>
      <c r="J1714">
        <v>3093</v>
      </c>
      <c r="K1714" t="s">
        <v>54</v>
      </c>
      <c r="L1714">
        <v>1</v>
      </c>
      <c r="M1714" t="str">
        <f t="shared" si="26"/>
        <v>0-6 Months</v>
      </c>
      <c r="N1714" s="1">
        <v>44859</v>
      </c>
      <c r="O1714">
        <v>0</v>
      </c>
      <c r="P1714">
        <v>1713</v>
      </c>
      <c r="Q1714" s="2">
        <v>0.49</v>
      </c>
      <c r="R1714" t="s">
        <v>27</v>
      </c>
      <c r="S1714">
        <v>2022</v>
      </c>
      <c r="T1714" t="s">
        <v>33</v>
      </c>
    </row>
    <row r="1715" spans="1:20" hidden="1" x14ac:dyDescent="0.3">
      <c r="A1715">
        <v>2877</v>
      </c>
      <c r="B1715">
        <v>347</v>
      </c>
      <c r="C1715" t="s">
        <v>53</v>
      </c>
      <c r="D1715" t="s">
        <v>34</v>
      </c>
      <c r="E1715" t="s">
        <v>26</v>
      </c>
      <c r="F1715" s="1">
        <v>44637</v>
      </c>
      <c r="G1715" s="1">
        <v>44851</v>
      </c>
      <c r="H1715">
        <v>2857</v>
      </c>
      <c r="I1715">
        <v>1208</v>
      </c>
      <c r="J1715">
        <v>1649</v>
      </c>
      <c r="K1715" t="s">
        <v>54</v>
      </c>
      <c r="L1715">
        <v>7</v>
      </c>
      <c r="M1715" t="str">
        <f t="shared" si="26"/>
        <v>6-12 Months</v>
      </c>
      <c r="N1715" s="1">
        <v>44851</v>
      </c>
      <c r="O1715">
        <v>0</v>
      </c>
      <c r="P1715">
        <v>1714</v>
      </c>
      <c r="Q1715" s="2">
        <v>0.57999999999999996</v>
      </c>
      <c r="R1715" t="s">
        <v>27</v>
      </c>
      <c r="S1715">
        <v>2022</v>
      </c>
      <c r="T1715" t="s">
        <v>33</v>
      </c>
    </row>
    <row r="1716" spans="1:20" hidden="1" x14ac:dyDescent="0.3">
      <c r="A1716">
        <v>2878</v>
      </c>
      <c r="B1716">
        <v>103</v>
      </c>
      <c r="C1716" t="s">
        <v>40</v>
      </c>
      <c r="D1716" t="s">
        <v>29</v>
      </c>
      <c r="E1716" t="s">
        <v>20</v>
      </c>
      <c r="F1716" s="1">
        <v>44745</v>
      </c>
      <c r="G1716" s="1">
        <v>45188</v>
      </c>
      <c r="H1716">
        <v>8136</v>
      </c>
      <c r="I1716">
        <v>590</v>
      </c>
      <c r="J1716">
        <v>7546</v>
      </c>
      <c r="K1716" t="s">
        <v>54</v>
      </c>
      <c r="L1716">
        <v>14</v>
      </c>
      <c r="M1716" t="str">
        <f t="shared" si="26"/>
        <v>6-12 Months</v>
      </c>
      <c r="N1716" s="1">
        <v>45188</v>
      </c>
      <c r="O1716">
        <v>1</v>
      </c>
      <c r="P1716">
        <v>1715</v>
      </c>
      <c r="Q1716" s="2">
        <v>0.93</v>
      </c>
      <c r="R1716" t="s">
        <v>27</v>
      </c>
      <c r="S1716">
        <v>2023</v>
      </c>
      <c r="T1716" t="s">
        <v>30</v>
      </c>
    </row>
    <row r="1717" spans="1:20" hidden="1" x14ac:dyDescent="0.3">
      <c r="A1717">
        <v>2880</v>
      </c>
      <c r="B1717">
        <v>117</v>
      </c>
      <c r="C1717" t="s">
        <v>24</v>
      </c>
      <c r="D1717" t="s">
        <v>34</v>
      </c>
      <c r="E1717" t="s">
        <v>20</v>
      </c>
      <c r="F1717" s="1">
        <v>44742</v>
      </c>
      <c r="G1717" s="1">
        <v>45181</v>
      </c>
      <c r="H1717">
        <v>8790</v>
      </c>
      <c r="I1717">
        <v>2547</v>
      </c>
      <c r="J1717">
        <v>6243</v>
      </c>
      <c r="K1717" t="s">
        <v>21</v>
      </c>
      <c r="L1717">
        <v>14</v>
      </c>
      <c r="M1717" t="str">
        <f t="shared" si="26"/>
        <v>6-12 Months</v>
      </c>
      <c r="N1717" s="1">
        <v>45181</v>
      </c>
      <c r="O1717">
        <v>0</v>
      </c>
      <c r="P1717">
        <v>1716</v>
      </c>
      <c r="Q1717" s="2">
        <v>0.71</v>
      </c>
      <c r="R1717" t="s">
        <v>27</v>
      </c>
      <c r="S1717">
        <v>2023</v>
      </c>
      <c r="T1717" t="s">
        <v>30</v>
      </c>
    </row>
    <row r="1718" spans="1:20" x14ac:dyDescent="0.3">
      <c r="A1718">
        <v>2883</v>
      </c>
      <c r="B1718">
        <v>289</v>
      </c>
      <c r="C1718" t="s">
        <v>40</v>
      </c>
      <c r="D1718" t="s">
        <v>19</v>
      </c>
      <c r="E1718" t="s">
        <v>37</v>
      </c>
      <c r="F1718" s="1">
        <v>44590</v>
      </c>
      <c r="G1718" s="1">
        <v>45156</v>
      </c>
      <c r="H1718">
        <v>8640</v>
      </c>
      <c r="I1718">
        <v>1515</v>
      </c>
      <c r="J1718">
        <v>7125</v>
      </c>
      <c r="K1718" t="s">
        <v>35</v>
      </c>
      <c r="L1718">
        <v>18</v>
      </c>
      <c r="M1718" t="str">
        <f t="shared" si="26"/>
        <v>6-12 Months</v>
      </c>
      <c r="N1718" s="1">
        <v>45156</v>
      </c>
      <c r="O1718">
        <v>0</v>
      </c>
      <c r="P1718">
        <v>1717</v>
      </c>
      <c r="Q1718" s="2">
        <v>0.82</v>
      </c>
      <c r="R1718" t="s">
        <v>27</v>
      </c>
      <c r="S1718">
        <v>2023</v>
      </c>
      <c r="T1718" t="s">
        <v>36</v>
      </c>
    </row>
    <row r="1719" spans="1:20" hidden="1" x14ac:dyDescent="0.3">
      <c r="A1719">
        <v>2884</v>
      </c>
      <c r="B1719">
        <v>287</v>
      </c>
      <c r="C1719" t="s">
        <v>40</v>
      </c>
      <c r="D1719" t="s">
        <v>19</v>
      </c>
      <c r="E1719" t="s">
        <v>26</v>
      </c>
      <c r="F1719" s="1">
        <v>44855</v>
      </c>
      <c r="G1719" s="1">
        <v>45334</v>
      </c>
      <c r="H1719">
        <v>8522</v>
      </c>
      <c r="I1719">
        <v>5601</v>
      </c>
      <c r="J1719">
        <v>2921</v>
      </c>
      <c r="K1719" t="s">
        <v>54</v>
      </c>
      <c r="L1719">
        <v>15</v>
      </c>
      <c r="M1719" t="str">
        <f t="shared" si="26"/>
        <v>6-12 Months</v>
      </c>
      <c r="N1719" s="1">
        <v>45334</v>
      </c>
      <c r="O1719">
        <v>0</v>
      </c>
      <c r="P1719">
        <v>1718</v>
      </c>
      <c r="Q1719" s="2">
        <v>0.34</v>
      </c>
      <c r="R1719" t="s">
        <v>27</v>
      </c>
      <c r="S1719">
        <v>2024</v>
      </c>
      <c r="T1719" t="s">
        <v>43</v>
      </c>
    </row>
    <row r="1720" spans="1:20" x14ac:dyDescent="0.3">
      <c r="A1720">
        <v>2885</v>
      </c>
      <c r="B1720">
        <v>454</v>
      </c>
      <c r="C1720" t="s">
        <v>40</v>
      </c>
      <c r="D1720" t="s">
        <v>34</v>
      </c>
      <c r="E1720" t="s">
        <v>26</v>
      </c>
      <c r="F1720" s="1">
        <v>44709</v>
      </c>
      <c r="G1720" s="1">
        <v>45114</v>
      </c>
      <c r="H1720">
        <v>3363</v>
      </c>
      <c r="I1720">
        <v>4678</v>
      </c>
      <c r="J1720">
        <v>-1315</v>
      </c>
      <c r="K1720" t="s">
        <v>35</v>
      </c>
      <c r="L1720">
        <v>13</v>
      </c>
      <c r="M1720" t="str">
        <f t="shared" si="26"/>
        <v>6-12 Months</v>
      </c>
      <c r="N1720" s="1">
        <v>45114</v>
      </c>
      <c r="O1720">
        <v>0</v>
      </c>
      <c r="P1720">
        <v>1719</v>
      </c>
      <c r="Q1720" s="2">
        <v>-0.39</v>
      </c>
      <c r="R1720" t="s">
        <v>27</v>
      </c>
      <c r="S1720">
        <v>2023</v>
      </c>
      <c r="T1720" t="s">
        <v>44</v>
      </c>
    </row>
    <row r="1721" spans="1:20" x14ac:dyDescent="0.3">
      <c r="A1721">
        <v>2886</v>
      </c>
      <c r="B1721">
        <v>133</v>
      </c>
      <c r="C1721" t="s">
        <v>24</v>
      </c>
      <c r="D1721" t="s">
        <v>34</v>
      </c>
      <c r="E1721" t="s">
        <v>26</v>
      </c>
      <c r="F1721" s="1">
        <v>44880</v>
      </c>
      <c r="G1721" s="1">
        <v>45399</v>
      </c>
      <c r="H1721">
        <v>1622</v>
      </c>
      <c r="I1721">
        <v>4785</v>
      </c>
      <c r="J1721">
        <v>577.01</v>
      </c>
      <c r="K1721" t="s">
        <v>35</v>
      </c>
      <c r="L1721">
        <v>17</v>
      </c>
      <c r="M1721" t="str">
        <f t="shared" si="26"/>
        <v>6-12 Months</v>
      </c>
      <c r="N1721" s="1">
        <v>45399</v>
      </c>
      <c r="O1721">
        <v>1</v>
      </c>
      <c r="P1721">
        <v>1720</v>
      </c>
      <c r="Q1721" s="2">
        <v>0.36</v>
      </c>
      <c r="R1721" t="s">
        <v>27</v>
      </c>
      <c r="S1721">
        <v>2024</v>
      </c>
      <c r="T1721" t="s">
        <v>32</v>
      </c>
    </row>
    <row r="1722" spans="1:20" hidden="1" x14ac:dyDescent="0.3">
      <c r="A1722">
        <v>2887</v>
      </c>
      <c r="B1722">
        <v>211</v>
      </c>
      <c r="C1722" t="s">
        <v>39</v>
      </c>
      <c r="D1722" t="s">
        <v>19</v>
      </c>
      <c r="E1722" t="s">
        <v>26</v>
      </c>
      <c r="F1722" s="1">
        <v>44839</v>
      </c>
      <c r="G1722" s="1">
        <v>45342</v>
      </c>
      <c r="H1722">
        <v>9586</v>
      </c>
      <c r="I1722">
        <v>1178</v>
      </c>
      <c r="J1722">
        <v>8408</v>
      </c>
      <c r="K1722" t="s">
        <v>21</v>
      </c>
      <c r="L1722">
        <v>16</v>
      </c>
      <c r="M1722" t="str">
        <f t="shared" si="26"/>
        <v>6-12 Months</v>
      </c>
      <c r="N1722" s="1">
        <v>45342</v>
      </c>
      <c r="O1722">
        <v>1</v>
      </c>
      <c r="P1722">
        <v>1721</v>
      </c>
      <c r="Q1722" s="2">
        <v>0.88</v>
      </c>
      <c r="R1722" t="s">
        <v>27</v>
      </c>
      <c r="S1722">
        <v>2024</v>
      </c>
      <c r="T1722" t="s">
        <v>43</v>
      </c>
    </row>
    <row r="1723" spans="1:20" hidden="1" x14ac:dyDescent="0.3">
      <c r="A1723">
        <v>2889</v>
      </c>
      <c r="B1723">
        <v>172</v>
      </c>
      <c r="C1723" t="s">
        <v>24</v>
      </c>
      <c r="D1723" t="s">
        <v>25</v>
      </c>
      <c r="E1723" t="s">
        <v>26</v>
      </c>
      <c r="F1723" s="1">
        <v>44627</v>
      </c>
      <c r="G1723" s="1">
        <v>44682</v>
      </c>
      <c r="H1723">
        <v>7898</v>
      </c>
      <c r="I1723">
        <v>1158</v>
      </c>
      <c r="J1723">
        <v>6740</v>
      </c>
      <c r="K1723" t="s">
        <v>54</v>
      </c>
      <c r="L1723">
        <v>1</v>
      </c>
      <c r="M1723" t="str">
        <f t="shared" si="26"/>
        <v>0-6 Months</v>
      </c>
      <c r="N1723" s="1">
        <v>44682</v>
      </c>
      <c r="O1723">
        <v>1</v>
      </c>
      <c r="P1723">
        <v>1722</v>
      </c>
      <c r="Q1723" s="2">
        <v>0.85</v>
      </c>
      <c r="R1723" t="s">
        <v>27</v>
      </c>
      <c r="S1723">
        <v>2022</v>
      </c>
      <c r="T1723" t="s">
        <v>28</v>
      </c>
    </row>
    <row r="1724" spans="1:20" hidden="1" x14ac:dyDescent="0.3">
      <c r="A1724">
        <v>2891</v>
      </c>
      <c r="B1724">
        <v>370</v>
      </c>
      <c r="C1724" t="s">
        <v>45</v>
      </c>
      <c r="D1724" t="s">
        <v>25</v>
      </c>
      <c r="E1724" t="s">
        <v>37</v>
      </c>
      <c r="F1724" s="1">
        <v>44907</v>
      </c>
      <c r="G1724" s="1">
        <v>45251</v>
      </c>
      <c r="H1724">
        <v>4967.93</v>
      </c>
      <c r="I1724">
        <v>4276</v>
      </c>
      <c r="J1724">
        <v>-5486</v>
      </c>
      <c r="K1724" t="s">
        <v>54</v>
      </c>
      <c r="L1724">
        <v>11</v>
      </c>
      <c r="M1724" t="str">
        <f t="shared" si="26"/>
        <v>6-12 Months</v>
      </c>
      <c r="N1724" s="1">
        <v>45251</v>
      </c>
      <c r="O1724">
        <v>0</v>
      </c>
      <c r="P1724">
        <v>1723</v>
      </c>
      <c r="Q1724" s="2">
        <v>-1.1000000000000001</v>
      </c>
      <c r="R1724" t="s">
        <v>22</v>
      </c>
      <c r="S1724">
        <v>2023</v>
      </c>
      <c r="T1724" t="s">
        <v>42</v>
      </c>
    </row>
    <row r="1725" spans="1:20" hidden="1" x14ac:dyDescent="0.3">
      <c r="A1725">
        <v>2897</v>
      </c>
      <c r="B1725">
        <v>373</v>
      </c>
      <c r="C1725" t="s">
        <v>53</v>
      </c>
      <c r="D1725" t="s">
        <v>29</v>
      </c>
      <c r="E1725" t="s">
        <v>26</v>
      </c>
      <c r="F1725" s="1">
        <v>44732</v>
      </c>
      <c r="G1725" s="1">
        <v>45114</v>
      </c>
      <c r="H1725">
        <v>4857</v>
      </c>
      <c r="I1725">
        <v>5352</v>
      </c>
      <c r="J1725">
        <v>-495</v>
      </c>
      <c r="K1725" t="s">
        <v>54</v>
      </c>
      <c r="L1725">
        <v>12</v>
      </c>
      <c r="M1725" t="str">
        <f t="shared" si="26"/>
        <v>6-12 Months</v>
      </c>
      <c r="N1725" s="1">
        <v>45114</v>
      </c>
      <c r="O1725">
        <v>1</v>
      </c>
      <c r="P1725">
        <v>1724</v>
      </c>
      <c r="Q1725" s="2">
        <v>-0.1</v>
      </c>
      <c r="R1725" t="s">
        <v>27</v>
      </c>
      <c r="S1725">
        <v>2023</v>
      </c>
      <c r="T1725" t="s">
        <v>44</v>
      </c>
    </row>
    <row r="1726" spans="1:20" hidden="1" x14ac:dyDescent="0.3">
      <c r="A1726">
        <v>2901</v>
      </c>
      <c r="B1726">
        <v>452</v>
      </c>
      <c r="C1726" t="s">
        <v>45</v>
      </c>
      <c r="D1726" t="s">
        <v>25</v>
      </c>
      <c r="E1726" t="s">
        <v>26</v>
      </c>
      <c r="F1726" s="1">
        <v>44698</v>
      </c>
      <c r="G1726" s="1">
        <v>45213</v>
      </c>
      <c r="H1726">
        <v>6124</v>
      </c>
      <c r="I1726">
        <v>5743</v>
      </c>
      <c r="J1726">
        <v>381</v>
      </c>
      <c r="K1726" t="s">
        <v>54</v>
      </c>
      <c r="L1726">
        <v>16</v>
      </c>
      <c r="M1726" t="str">
        <f t="shared" si="26"/>
        <v>6-12 Months</v>
      </c>
      <c r="N1726" s="1">
        <v>45213</v>
      </c>
      <c r="O1726">
        <v>0</v>
      </c>
      <c r="P1726">
        <v>1725</v>
      </c>
      <c r="Q1726" s="2">
        <v>0.06</v>
      </c>
      <c r="R1726" t="s">
        <v>27</v>
      </c>
      <c r="S1726">
        <v>2023</v>
      </c>
      <c r="T1726" t="s">
        <v>33</v>
      </c>
    </row>
    <row r="1727" spans="1:20" hidden="1" x14ac:dyDescent="0.3">
      <c r="A1727">
        <v>2903</v>
      </c>
      <c r="B1727">
        <v>489</v>
      </c>
      <c r="C1727" t="s">
        <v>40</v>
      </c>
      <c r="D1727" t="s">
        <v>29</v>
      </c>
      <c r="E1727" t="s">
        <v>26</v>
      </c>
      <c r="F1727" s="1">
        <v>44854</v>
      </c>
      <c r="G1727" s="1">
        <v>45269</v>
      </c>
      <c r="H1727">
        <v>3501</v>
      </c>
      <c r="I1727">
        <v>3862</v>
      </c>
      <c r="J1727">
        <v>-361</v>
      </c>
      <c r="K1727" t="s">
        <v>21</v>
      </c>
      <c r="L1727">
        <v>13</v>
      </c>
      <c r="M1727" t="str">
        <f t="shared" si="26"/>
        <v>6-12 Months</v>
      </c>
      <c r="N1727" s="1">
        <v>45269</v>
      </c>
      <c r="O1727">
        <v>0</v>
      </c>
      <c r="P1727">
        <v>1726</v>
      </c>
      <c r="Q1727" s="2">
        <v>-0.1</v>
      </c>
      <c r="R1727" t="s">
        <v>27</v>
      </c>
      <c r="S1727">
        <v>2023</v>
      </c>
      <c r="T1727" t="s">
        <v>31</v>
      </c>
    </row>
    <row r="1728" spans="1:20" x14ac:dyDescent="0.3">
      <c r="A1728">
        <v>2905</v>
      </c>
      <c r="B1728">
        <v>380</v>
      </c>
      <c r="C1728" t="s">
        <v>53</v>
      </c>
      <c r="D1728" t="s">
        <v>29</v>
      </c>
      <c r="E1728" t="s">
        <v>37</v>
      </c>
      <c r="F1728" s="1">
        <v>44863</v>
      </c>
      <c r="G1728" s="1">
        <v>45035</v>
      </c>
      <c r="H1728">
        <v>2759</v>
      </c>
      <c r="I1728">
        <v>6754</v>
      </c>
      <c r="J1728">
        <v>577.01</v>
      </c>
      <c r="K1728" t="s">
        <v>35</v>
      </c>
      <c r="L1728">
        <v>5</v>
      </c>
      <c r="M1728" t="str">
        <f t="shared" si="26"/>
        <v>0-6 Months</v>
      </c>
      <c r="N1728" s="1">
        <v>45035</v>
      </c>
      <c r="O1728">
        <v>0</v>
      </c>
      <c r="P1728">
        <v>1727</v>
      </c>
      <c r="Q1728" s="2">
        <v>0.21</v>
      </c>
      <c r="R1728" t="s">
        <v>27</v>
      </c>
      <c r="S1728">
        <v>2023</v>
      </c>
      <c r="T1728" t="s">
        <v>32</v>
      </c>
    </row>
    <row r="1729" spans="1:20" hidden="1" x14ac:dyDescent="0.3">
      <c r="A1729">
        <v>2907</v>
      </c>
      <c r="B1729">
        <v>196</v>
      </c>
      <c r="C1729" t="s">
        <v>24</v>
      </c>
      <c r="D1729" t="s">
        <v>34</v>
      </c>
      <c r="E1729" t="s">
        <v>20</v>
      </c>
      <c r="F1729" s="1">
        <v>44643</v>
      </c>
      <c r="G1729" s="1">
        <v>44932</v>
      </c>
      <c r="H1729">
        <v>9464</v>
      </c>
      <c r="I1729">
        <v>4823</v>
      </c>
      <c r="J1729">
        <v>4641</v>
      </c>
      <c r="K1729" t="s">
        <v>54</v>
      </c>
      <c r="L1729">
        <v>9</v>
      </c>
      <c r="M1729" t="str">
        <f t="shared" si="26"/>
        <v>6-12 Months</v>
      </c>
      <c r="N1729" s="1">
        <v>44932</v>
      </c>
      <c r="O1729">
        <v>1</v>
      </c>
      <c r="P1729">
        <v>1728</v>
      </c>
      <c r="Q1729" s="2">
        <v>0.49</v>
      </c>
      <c r="R1729" t="s">
        <v>27</v>
      </c>
      <c r="S1729">
        <v>2023</v>
      </c>
      <c r="T1729" t="s">
        <v>23</v>
      </c>
    </row>
    <row r="1730" spans="1:20" x14ac:dyDescent="0.3">
      <c r="A1730">
        <v>2910</v>
      </c>
      <c r="B1730">
        <v>433</v>
      </c>
      <c r="C1730" t="s">
        <v>24</v>
      </c>
      <c r="D1730" t="s">
        <v>19</v>
      </c>
      <c r="E1730" t="s">
        <v>20</v>
      </c>
      <c r="F1730" s="1">
        <v>44912</v>
      </c>
      <c r="G1730" s="1">
        <v>45460</v>
      </c>
      <c r="H1730">
        <v>4967.93</v>
      </c>
      <c r="I1730">
        <v>2062</v>
      </c>
      <c r="J1730">
        <v>-3074</v>
      </c>
      <c r="K1730" t="s">
        <v>35</v>
      </c>
      <c r="L1730">
        <v>18</v>
      </c>
      <c r="M1730" t="str">
        <f t="shared" ref="M1730:M1793" si="27">IF(L1730&lt;6,"0-6 Months",IF(L1730&gt;6,"6-12 Months","12+ Months"))</f>
        <v>6-12 Months</v>
      </c>
      <c r="N1730" s="1">
        <v>45460</v>
      </c>
      <c r="O1730">
        <v>1</v>
      </c>
      <c r="P1730">
        <v>1729</v>
      </c>
      <c r="Q1730" s="2">
        <v>-0.62</v>
      </c>
      <c r="R1730" t="s">
        <v>27</v>
      </c>
      <c r="S1730">
        <v>2024</v>
      </c>
      <c r="T1730" t="s">
        <v>41</v>
      </c>
    </row>
    <row r="1731" spans="1:20" hidden="1" x14ac:dyDescent="0.3">
      <c r="A1731">
        <v>2911</v>
      </c>
      <c r="B1731">
        <v>219</v>
      </c>
      <c r="C1731" t="s">
        <v>53</v>
      </c>
      <c r="D1731" t="s">
        <v>34</v>
      </c>
      <c r="E1731" t="s">
        <v>37</v>
      </c>
      <c r="F1731" s="1">
        <v>44805</v>
      </c>
      <c r="G1731" s="1">
        <v>45149</v>
      </c>
      <c r="H1731">
        <v>7531</v>
      </c>
      <c r="I1731">
        <v>4012.75</v>
      </c>
      <c r="J1731">
        <v>7859</v>
      </c>
      <c r="K1731" t="s">
        <v>54</v>
      </c>
      <c r="L1731">
        <v>11</v>
      </c>
      <c r="M1731" t="str">
        <f t="shared" si="27"/>
        <v>6-12 Months</v>
      </c>
      <c r="N1731" s="1">
        <v>45149</v>
      </c>
      <c r="O1731">
        <v>1</v>
      </c>
      <c r="P1731">
        <v>1730</v>
      </c>
      <c r="Q1731" s="2">
        <v>1.04</v>
      </c>
      <c r="R1731" t="s">
        <v>22</v>
      </c>
      <c r="S1731">
        <v>2023</v>
      </c>
      <c r="T1731" t="s">
        <v>36</v>
      </c>
    </row>
    <row r="1732" spans="1:20" hidden="1" x14ac:dyDescent="0.3">
      <c r="A1732">
        <v>2912</v>
      </c>
      <c r="B1732">
        <v>347</v>
      </c>
      <c r="C1732" t="s">
        <v>24</v>
      </c>
      <c r="D1732" t="s">
        <v>25</v>
      </c>
      <c r="E1732" t="s">
        <v>26</v>
      </c>
      <c r="F1732" s="1">
        <v>44810</v>
      </c>
      <c r="G1732" s="1">
        <v>44956</v>
      </c>
      <c r="H1732">
        <v>9488</v>
      </c>
      <c r="I1732">
        <v>1759</v>
      </c>
      <c r="J1732">
        <v>7729</v>
      </c>
      <c r="K1732" t="s">
        <v>54</v>
      </c>
      <c r="L1732">
        <v>4</v>
      </c>
      <c r="M1732" t="str">
        <f t="shared" si="27"/>
        <v>0-6 Months</v>
      </c>
      <c r="N1732" s="1">
        <v>44956</v>
      </c>
      <c r="O1732">
        <v>0</v>
      </c>
      <c r="P1732">
        <v>1731</v>
      </c>
      <c r="Q1732" s="2">
        <v>0.81</v>
      </c>
      <c r="R1732" t="s">
        <v>27</v>
      </c>
      <c r="S1732">
        <v>2023</v>
      </c>
      <c r="T1732" t="s">
        <v>23</v>
      </c>
    </row>
    <row r="1733" spans="1:20" hidden="1" x14ac:dyDescent="0.3">
      <c r="A1733">
        <v>2913</v>
      </c>
      <c r="B1733">
        <v>441</v>
      </c>
      <c r="C1733" t="s">
        <v>24</v>
      </c>
      <c r="D1733" t="s">
        <v>25</v>
      </c>
      <c r="E1733" t="s">
        <v>26</v>
      </c>
      <c r="F1733" s="1">
        <v>44740</v>
      </c>
      <c r="G1733" s="1">
        <v>45020</v>
      </c>
      <c r="H1733">
        <v>8517</v>
      </c>
      <c r="I1733">
        <v>5901</v>
      </c>
      <c r="J1733">
        <v>2616</v>
      </c>
      <c r="K1733" t="s">
        <v>54</v>
      </c>
      <c r="L1733">
        <v>9</v>
      </c>
      <c r="M1733" t="str">
        <f t="shared" si="27"/>
        <v>6-12 Months</v>
      </c>
      <c r="N1733" s="1">
        <v>45020</v>
      </c>
      <c r="O1733">
        <v>1</v>
      </c>
      <c r="P1733">
        <v>1732</v>
      </c>
      <c r="Q1733" s="2">
        <v>0.31</v>
      </c>
      <c r="R1733" t="s">
        <v>27</v>
      </c>
      <c r="S1733">
        <v>2023</v>
      </c>
      <c r="T1733" t="s">
        <v>32</v>
      </c>
    </row>
    <row r="1734" spans="1:20" x14ac:dyDescent="0.3">
      <c r="A1734">
        <v>2916</v>
      </c>
      <c r="B1734">
        <v>431</v>
      </c>
      <c r="C1734" t="s">
        <v>40</v>
      </c>
      <c r="D1734" t="s">
        <v>19</v>
      </c>
      <c r="E1734" t="s">
        <v>37</v>
      </c>
      <c r="F1734" s="1">
        <v>44868</v>
      </c>
      <c r="G1734" s="1">
        <v>45358</v>
      </c>
      <c r="H1734">
        <v>8345</v>
      </c>
      <c r="I1734">
        <v>4639</v>
      </c>
      <c r="J1734">
        <v>3706</v>
      </c>
      <c r="K1734" t="s">
        <v>35</v>
      </c>
      <c r="L1734">
        <v>16</v>
      </c>
      <c r="M1734" t="str">
        <f t="shared" si="27"/>
        <v>6-12 Months</v>
      </c>
      <c r="N1734" s="1">
        <v>45358</v>
      </c>
      <c r="O1734">
        <v>0</v>
      </c>
      <c r="P1734">
        <v>1733</v>
      </c>
      <c r="Q1734" s="2">
        <v>0.44</v>
      </c>
      <c r="R1734" t="s">
        <v>27</v>
      </c>
      <c r="S1734">
        <v>2024</v>
      </c>
      <c r="T1734" t="s">
        <v>38</v>
      </c>
    </row>
    <row r="1735" spans="1:20" x14ac:dyDescent="0.3">
      <c r="A1735">
        <v>2918</v>
      </c>
      <c r="B1735">
        <v>485</v>
      </c>
      <c r="C1735" t="s">
        <v>45</v>
      </c>
      <c r="D1735" t="s">
        <v>34</v>
      </c>
      <c r="E1735" t="s">
        <v>37</v>
      </c>
      <c r="F1735" s="1">
        <v>44872</v>
      </c>
      <c r="G1735" s="1">
        <v>45208</v>
      </c>
      <c r="H1735">
        <v>1369</v>
      </c>
      <c r="I1735">
        <v>7848</v>
      </c>
      <c r="J1735">
        <v>577.01</v>
      </c>
      <c r="K1735" t="s">
        <v>35</v>
      </c>
      <c r="L1735">
        <v>11</v>
      </c>
      <c r="M1735" t="str">
        <f t="shared" si="27"/>
        <v>6-12 Months</v>
      </c>
      <c r="N1735" s="1">
        <v>45208</v>
      </c>
      <c r="O1735">
        <v>0</v>
      </c>
      <c r="P1735">
        <v>1734</v>
      </c>
      <c r="Q1735" s="2">
        <v>0.42</v>
      </c>
      <c r="R1735" t="s">
        <v>27</v>
      </c>
      <c r="S1735">
        <v>2023</v>
      </c>
      <c r="T1735" t="s">
        <v>33</v>
      </c>
    </row>
    <row r="1736" spans="1:20" hidden="1" x14ac:dyDescent="0.3">
      <c r="A1736">
        <v>2919</v>
      </c>
      <c r="B1736">
        <v>281</v>
      </c>
      <c r="C1736" t="s">
        <v>40</v>
      </c>
      <c r="D1736" t="s">
        <v>19</v>
      </c>
      <c r="E1736" t="s">
        <v>26</v>
      </c>
      <c r="F1736" s="1">
        <v>44894</v>
      </c>
      <c r="G1736" s="1">
        <v>45363</v>
      </c>
      <c r="H1736">
        <v>3604</v>
      </c>
      <c r="I1736">
        <v>423</v>
      </c>
      <c r="J1736">
        <v>3181</v>
      </c>
      <c r="K1736" t="s">
        <v>54</v>
      </c>
      <c r="L1736">
        <v>15</v>
      </c>
      <c r="M1736" t="str">
        <f t="shared" si="27"/>
        <v>6-12 Months</v>
      </c>
      <c r="N1736" s="1">
        <v>45363</v>
      </c>
      <c r="O1736">
        <v>0</v>
      </c>
      <c r="P1736">
        <v>1735</v>
      </c>
      <c r="Q1736" s="2">
        <v>0.88</v>
      </c>
      <c r="R1736" t="s">
        <v>27</v>
      </c>
      <c r="S1736">
        <v>2024</v>
      </c>
      <c r="T1736" t="s">
        <v>38</v>
      </c>
    </row>
    <row r="1737" spans="1:20" hidden="1" x14ac:dyDescent="0.3">
      <c r="A1737">
        <v>2920</v>
      </c>
      <c r="B1737">
        <v>248</v>
      </c>
      <c r="C1737" t="s">
        <v>45</v>
      </c>
      <c r="D1737" t="s">
        <v>25</v>
      </c>
      <c r="E1737" t="s">
        <v>26</v>
      </c>
      <c r="F1737" s="1">
        <v>44919</v>
      </c>
      <c r="G1737" s="1">
        <v>44972</v>
      </c>
      <c r="H1737">
        <v>4967.93</v>
      </c>
      <c r="I1737">
        <v>6245</v>
      </c>
      <c r="J1737">
        <v>-7137</v>
      </c>
      <c r="K1737" t="s">
        <v>54</v>
      </c>
      <c r="L1737">
        <v>1</v>
      </c>
      <c r="M1737" t="str">
        <f t="shared" si="27"/>
        <v>0-6 Months</v>
      </c>
      <c r="N1737" s="1">
        <v>44972</v>
      </c>
      <c r="O1737">
        <v>1</v>
      </c>
      <c r="P1737">
        <v>1736</v>
      </c>
      <c r="Q1737" s="2">
        <v>-1.44</v>
      </c>
      <c r="R1737" t="s">
        <v>22</v>
      </c>
      <c r="S1737">
        <v>2023</v>
      </c>
      <c r="T1737" t="s">
        <v>43</v>
      </c>
    </row>
    <row r="1738" spans="1:20" hidden="1" x14ac:dyDescent="0.3">
      <c r="A1738">
        <v>2922</v>
      </c>
      <c r="B1738">
        <v>477</v>
      </c>
      <c r="C1738" t="s">
        <v>53</v>
      </c>
      <c r="D1738" t="s">
        <v>25</v>
      </c>
      <c r="E1738" t="s">
        <v>37</v>
      </c>
      <c r="F1738" s="1">
        <v>44923</v>
      </c>
      <c r="G1738" s="1">
        <v>44988</v>
      </c>
      <c r="H1738">
        <v>1009</v>
      </c>
      <c r="I1738">
        <v>4737</v>
      </c>
      <c r="J1738">
        <v>577.01</v>
      </c>
      <c r="K1738" t="s">
        <v>21</v>
      </c>
      <c r="L1738">
        <v>2</v>
      </c>
      <c r="M1738" t="str">
        <f t="shared" si="27"/>
        <v>0-6 Months</v>
      </c>
      <c r="N1738" s="1">
        <v>44988</v>
      </c>
      <c r="O1738">
        <v>1</v>
      </c>
      <c r="P1738">
        <v>1737</v>
      </c>
      <c r="Q1738" s="2">
        <v>0.56999999999999995</v>
      </c>
      <c r="R1738" t="s">
        <v>27</v>
      </c>
      <c r="S1738">
        <v>2023</v>
      </c>
      <c r="T1738" t="s">
        <v>38</v>
      </c>
    </row>
    <row r="1739" spans="1:20" x14ac:dyDescent="0.3">
      <c r="A1739">
        <v>2923</v>
      </c>
      <c r="B1739">
        <v>368</v>
      </c>
      <c r="C1739" t="s">
        <v>45</v>
      </c>
      <c r="D1739" t="s">
        <v>34</v>
      </c>
      <c r="E1739" t="s">
        <v>37</v>
      </c>
      <c r="F1739" s="1">
        <v>44683</v>
      </c>
      <c r="G1739" s="1">
        <v>44908</v>
      </c>
      <c r="H1739">
        <v>2859</v>
      </c>
      <c r="I1739">
        <v>552</v>
      </c>
      <c r="J1739">
        <v>2307</v>
      </c>
      <c r="K1739" t="s">
        <v>35</v>
      </c>
      <c r="L1739">
        <v>7</v>
      </c>
      <c r="M1739" t="str">
        <f t="shared" si="27"/>
        <v>6-12 Months</v>
      </c>
      <c r="N1739" s="1">
        <v>44908</v>
      </c>
      <c r="O1739">
        <v>0</v>
      </c>
      <c r="P1739">
        <v>1738</v>
      </c>
      <c r="Q1739" s="2">
        <v>0.81</v>
      </c>
      <c r="R1739" t="s">
        <v>27</v>
      </c>
      <c r="S1739">
        <v>2022</v>
      </c>
      <c r="T1739" t="s">
        <v>31</v>
      </c>
    </row>
    <row r="1740" spans="1:20" x14ac:dyDescent="0.3">
      <c r="A1740">
        <v>2925</v>
      </c>
      <c r="B1740">
        <v>489</v>
      </c>
      <c r="C1740" t="s">
        <v>40</v>
      </c>
      <c r="D1740" t="s">
        <v>34</v>
      </c>
      <c r="E1740" t="s">
        <v>26</v>
      </c>
      <c r="F1740" s="1">
        <v>44825</v>
      </c>
      <c r="G1740" s="1">
        <v>45268</v>
      </c>
      <c r="H1740">
        <v>4967.93</v>
      </c>
      <c r="I1740">
        <v>7084</v>
      </c>
      <c r="J1740">
        <v>-9018</v>
      </c>
      <c r="K1740" t="s">
        <v>35</v>
      </c>
      <c r="L1740">
        <v>14</v>
      </c>
      <c r="M1740" t="str">
        <f t="shared" si="27"/>
        <v>6-12 Months</v>
      </c>
      <c r="N1740" s="1">
        <v>45268</v>
      </c>
      <c r="O1740">
        <v>0</v>
      </c>
      <c r="P1740">
        <v>1739</v>
      </c>
      <c r="Q1740" s="2">
        <v>-1.82</v>
      </c>
      <c r="R1740" t="s">
        <v>22</v>
      </c>
      <c r="S1740">
        <v>2023</v>
      </c>
      <c r="T1740" t="s">
        <v>31</v>
      </c>
    </row>
    <row r="1741" spans="1:20" hidden="1" x14ac:dyDescent="0.3">
      <c r="A1741">
        <v>2927</v>
      </c>
      <c r="B1741">
        <v>343</v>
      </c>
      <c r="C1741" t="s">
        <v>45</v>
      </c>
      <c r="D1741" t="s">
        <v>19</v>
      </c>
      <c r="E1741" t="s">
        <v>37</v>
      </c>
      <c r="F1741" s="1">
        <v>44713</v>
      </c>
      <c r="G1741" s="1">
        <v>44751</v>
      </c>
      <c r="H1741">
        <v>5001</v>
      </c>
      <c r="I1741">
        <v>4446</v>
      </c>
      <c r="J1741">
        <v>555</v>
      </c>
      <c r="K1741" t="s">
        <v>54</v>
      </c>
      <c r="L1741">
        <v>1</v>
      </c>
      <c r="M1741" t="str">
        <f t="shared" si="27"/>
        <v>0-6 Months</v>
      </c>
      <c r="N1741" s="1">
        <v>44751</v>
      </c>
      <c r="O1741">
        <v>0</v>
      </c>
      <c r="P1741">
        <v>1740</v>
      </c>
      <c r="Q1741" s="2">
        <v>0.11</v>
      </c>
      <c r="R1741" t="s">
        <v>27</v>
      </c>
      <c r="S1741">
        <v>2022</v>
      </c>
      <c r="T1741" t="s">
        <v>44</v>
      </c>
    </row>
    <row r="1742" spans="1:20" hidden="1" x14ac:dyDescent="0.3">
      <c r="A1742">
        <v>2928</v>
      </c>
      <c r="B1742">
        <v>359</v>
      </c>
      <c r="C1742" t="s">
        <v>45</v>
      </c>
      <c r="D1742" t="s">
        <v>19</v>
      </c>
      <c r="E1742" t="s">
        <v>26</v>
      </c>
      <c r="F1742" s="1">
        <v>44721</v>
      </c>
      <c r="G1742" s="1">
        <v>45183</v>
      </c>
      <c r="H1742">
        <v>2278</v>
      </c>
      <c r="I1742">
        <v>7179</v>
      </c>
      <c r="J1742">
        <v>-4901</v>
      </c>
      <c r="K1742" t="s">
        <v>54</v>
      </c>
      <c r="L1742">
        <v>15</v>
      </c>
      <c r="M1742" t="str">
        <f t="shared" si="27"/>
        <v>6-12 Months</v>
      </c>
      <c r="N1742" s="1">
        <v>45183</v>
      </c>
      <c r="O1742">
        <v>1</v>
      </c>
      <c r="P1742">
        <v>1741</v>
      </c>
      <c r="Q1742" s="2">
        <v>-2.15</v>
      </c>
      <c r="R1742" t="s">
        <v>22</v>
      </c>
      <c r="S1742">
        <v>2023</v>
      </c>
      <c r="T1742" t="s">
        <v>30</v>
      </c>
    </row>
    <row r="1743" spans="1:20" hidden="1" x14ac:dyDescent="0.3">
      <c r="A1743">
        <v>2929</v>
      </c>
      <c r="B1743">
        <v>151</v>
      </c>
      <c r="C1743" t="s">
        <v>45</v>
      </c>
      <c r="D1743" t="s">
        <v>19</v>
      </c>
      <c r="E1743" t="s">
        <v>26</v>
      </c>
      <c r="F1743" s="1">
        <v>44632</v>
      </c>
      <c r="G1743" s="1">
        <v>44989</v>
      </c>
      <c r="H1743">
        <v>4967.93</v>
      </c>
      <c r="I1743">
        <v>1915</v>
      </c>
      <c r="J1743">
        <v>-3361</v>
      </c>
      <c r="K1743" t="s">
        <v>54</v>
      </c>
      <c r="L1743">
        <v>11</v>
      </c>
      <c r="M1743" t="str">
        <f t="shared" si="27"/>
        <v>6-12 Months</v>
      </c>
      <c r="N1743" s="1">
        <v>44989</v>
      </c>
      <c r="O1743">
        <v>1</v>
      </c>
      <c r="P1743">
        <v>1742</v>
      </c>
      <c r="Q1743" s="2">
        <v>-0.68</v>
      </c>
      <c r="R1743" t="s">
        <v>27</v>
      </c>
      <c r="S1743">
        <v>2023</v>
      </c>
      <c r="T1743" t="s">
        <v>38</v>
      </c>
    </row>
    <row r="1744" spans="1:20" hidden="1" x14ac:dyDescent="0.3">
      <c r="A1744">
        <v>2931</v>
      </c>
      <c r="B1744">
        <v>349</v>
      </c>
      <c r="C1744" t="s">
        <v>40</v>
      </c>
      <c r="D1744" t="s">
        <v>19</v>
      </c>
      <c r="E1744" t="s">
        <v>37</v>
      </c>
      <c r="F1744" s="1">
        <v>44741</v>
      </c>
      <c r="G1744" s="1">
        <v>44857</v>
      </c>
      <c r="H1744">
        <v>9082</v>
      </c>
      <c r="I1744">
        <v>7460</v>
      </c>
      <c r="J1744">
        <v>1622</v>
      </c>
      <c r="K1744" t="s">
        <v>54</v>
      </c>
      <c r="L1744">
        <v>3</v>
      </c>
      <c r="M1744" t="str">
        <f t="shared" si="27"/>
        <v>0-6 Months</v>
      </c>
      <c r="N1744" s="1">
        <v>44857</v>
      </c>
      <c r="O1744">
        <v>1</v>
      </c>
      <c r="P1744">
        <v>1743</v>
      </c>
      <c r="Q1744" s="2">
        <v>0.18</v>
      </c>
      <c r="R1744" t="s">
        <v>27</v>
      </c>
      <c r="S1744">
        <v>2022</v>
      </c>
      <c r="T1744" t="s">
        <v>33</v>
      </c>
    </row>
    <row r="1745" spans="1:20" hidden="1" x14ac:dyDescent="0.3">
      <c r="A1745">
        <v>2932</v>
      </c>
      <c r="B1745">
        <v>293</v>
      </c>
      <c r="C1745" t="s">
        <v>24</v>
      </c>
      <c r="D1745" t="s">
        <v>25</v>
      </c>
      <c r="E1745" t="s">
        <v>26</v>
      </c>
      <c r="F1745" s="1">
        <v>44793</v>
      </c>
      <c r="G1745" s="1">
        <v>44854</v>
      </c>
      <c r="H1745">
        <v>4967.93</v>
      </c>
      <c r="I1745">
        <v>1440</v>
      </c>
      <c r="J1745">
        <v>-1459</v>
      </c>
      <c r="K1745" t="s">
        <v>54</v>
      </c>
      <c r="L1745">
        <v>2</v>
      </c>
      <c r="M1745" t="str">
        <f t="shared" si="27"/>
        <v>0-6 Months</v>
      </c>
      <c r="N1745" s="1">
        <v>44854</v>
      </c>
      <c r="O1745">
        <v>0</v>
      </c>
      <c r="P1745">
        <v>1744</v>
      </c>
      <c r="Q1745" s="2">
        <v>-0.28999999999999998</v>
      </c>
      <c r="R1745" t="s">
        <v>27</v>
      </c>
      <c r="S1745">
        <v>2022</v>
      </c>
      <c r="T1745" t="s">
        <v>33</v>
      </c>
    </row>
    <row r="1746" spans="1:20" hidden="1" x14ac:dyDescent="0.3">
      <c r="A1746">
        <v>2935</v>
      </c>
      <c r="B1746">
        <v>369</v>
      </c>
      <c r="C1746" t="s">
        <v>39</v>
      </c>
      <c r="D1746" t="s">
        <v>34</v>
      </c>
      <c r="E1746" t="s">
        <v>26</v>
      </c>
      <c r="F1746" s="1">
        <v>44638</v>
      </c>
      <c r="G1746" s="1">
        <v>44881</v>
      </c>
      <c r="H1746">
        <v>2743</v>
      </c>
      <c r="I1746">
        <v>4012.75</v>
      </c>
      <c r="J1746">
        <v>3552</v>
      </c>
      <c r="K1746" t="s">
        <v>54</v>
      </c>
      <c r="L1746">
        <v>7</v>
      </c>
      <c r="M1746" t="str">
        <f t="shared" si="27"/>
        <v>6-12 Months</v>
      </c>
      <c r="N1746" s="1">
        <v>44881</v>
      </c>
      <c r="O1746">
        <v>1</v>
      </c>
      <c r="P1746">
        <v>1745</v>
      </c>
      <c r="Q1746" s="2">
        <v>1.29</v>
      </c>
      <c r="R1746" t="s">
        <v>22</v>
      </c>
      <c r="S1746">
        <v>2022</v>
      </c>
      <c r="T1746" t="s">
        <v>42</v>
      </c>
    </row>
    <row r="1747" spans="1:20" hidden="1" x14ac:dyDescent="0.3">
      <c r="A1747">
        <v>2936</v>
      </c>
      <c r="B1747">
        <v>129</v>
      </c>
      <c r="C1747" t="s">
        <v>45</v>
      </c>
      <c r="D1747" t="s">
        <v>34</v>
      </c>
      <c r="E1747" t="s">
        <v>26</v>
      </c>
      <c r="F1747" s="1">
        <v>44616</v>
      </c>
      <c r="G1747" s="1">
        <v>44823</v>
      </c>
      <c r="H1747">
        <v>921</v>
      </c>
      <c r="I1747">
        <v>760</v>
      </c>
      <c r="J1747">
        <v>161</v>
      </c>
      <c r="K1747" t="s">
        <v>21</v>
      </c>
      <c r="L1747">
        <v>6</v>
      </c>
      <c r="M1747" t="str">
        <f t="shared" si="27"/>
        <v>12+ Months</v>
      </c>
      <c r="N1747" s="1">
        <v>44823</v>
      </c>
      <c r="O1747">
        <v>1</v>
      </c>
      <c r="P1747">
        <v>1746</v>
      </c>
      <c r="Q1747" s="2">
        <v>0.17</v>
      </c>
      <c r="R1747" t="s">
        <v>27</v>
      </c>
      <c r="S1747">
        <v>2022</v>
      </c>
      <c r="T1747" t="s">
        <v>30</v>
      </c>
    </row>
    <row r="1748" spans="1:20" hidden="1" x14ac:dyDescent="0.3">
      <c r="A1748">
        <v>2937</v>
      </c>
      <c r="B1748">
        <v>255</v>
      </c>
      <c r="C1748" t="s">
        <v>39</v>
      </c>
      <c r="D1748" t="s">
        <v>29</v>
      </c>
      <c r="E1748" t="s">
        <v>20</v>
      </c>
      <c r="F1748" s="1">
        <v>44813</v>
      </c>
      <c r="G1748" s="1">
        <v>45294</v>
      </c>
      <c r="H1748">
        <v>4967.93</v>
      </c>
      <c r="I1748">
        <v>3685</v>
      </c>
      <c r="J1748">
        <v>577.01</v>
      </c>
      <c r="K1748" t="s">
        <v>21</v>
      </c>
      <c r="L1748">
        <v>15</v>
      </c>
      <c r="M1748" t="str">
        <f t="shared" si="27"/>
        <v>6-12 Months</v>
      </c>
      <c r="N1748" s="1">
        <v>45294</v>
      </c>
      <c r="O1748">
        <v>0</v>
      </c>
      <c r="P1748">
        <v>1747</v>
      </c>
      <c r="Q1748" s="2">
        <v>0.12</v>
      </c>
      <c r="R1748" t="s">
        <v>27</v>
      </c>
      <c r="S1748">
        <v>2024</v>
      </c>
      <c r="T1748" t="s">
        <v>23</v>
      </c>
    </row>
    <row r="1749" spans="1:20" hidden="1" x14ac:dyDescent="0.3">
      <c r="A1749">
        <v>2939</v>
      </c>
      <c r="B1749">
        <v>446</v>
      </c>
      <c r="C1749" t="s">
        <v>40</v>
      </c>
      <c r="D1749" t="s">
        <v>19</v>
      </c>
      <c r="E1749" t="s">
        <v>26</v>
      </c>
      <c r="F1749" s="1">
        <v>44752</v>
      </c>
      <c r="G1749" s="1">
        <v>45172</v>
      </c>
      <c r="H1749">
        <v>6613</v>
      </c>
      <c r="I1749">
        <v>3596</v>
      </c>
      <c r="J1749">
        <v>3017</v>
      </c>
      <c r="K1749" t="s">
        <v>21</v>
      </c>
      <c r="L1749">
        <v>13</v>
      </c>
      <c r="M1749" t="str">
        <f t="shared" si="27"/>
        <v>6-12 Months</v>
      </c>
      <c r="N1749" s="1">
        <v>45172</v>
      </c>
      <c r="O1749">
        <v>1</v>
      </c>
      <c r="P1749">
        <v>1748</v>
      </c>
      <c r="Q1749" s="2">
        <v>0.46</v>
      </c>
      <c r="R1749" t="s">
        <v>27</v>
      </c>
      <c r="S1749">
        <v>2023</v>
      </c>
      <c r="T1749" t="s">
        <v>30</v>
      </c>
    </row>
    <row r="1750" spans="1:20" x14ac:dyDescent="0.3">
      <c r="A1750">
        <v>2941</v>
      </c>
      <c r="B1750">
        <v>151</v>
      </c>
      <c r="C1750" t="s">
        <v>53</v>
      </c>
      <c r="D1750" t="s">
        <v>29</v>
      </c>
      <c r="E1750" t="s">
        <v>20</v>
      </c>
      <c r="F1750" s="1">
        <v>44704</v>
      </c>
      <c r="G1750" s="1">
        <v>45203</v>
      </c>
      <c r="H1750">
        <v>4967.93</v>
      </c>
      <c r="I1750">
        <v>4012.75</v>
      </c>
      <c r="J1750">
        <v>-300</v>
      </c>
      <c r="K1750" t="s">
        <v>35</v>
      </c>
      <c r="L1750">
        <v>16</v>
      </c>
      <c r="M1750" t="str">
        <f t="shared" si="27"/>
        <v>6-12 Months</v>
      </c>
      <c r="N1750" s="1">
        <v>45203</v>
      </c>
      <c r="O1750">
        <v>0</v>
      </c>
      <c r="P1750">
        <v>1749</v>
      </c>
      <c r="Q1750" s="2">
        <v>-0.06</v>
      </c>
      <c r="R1750" t="s">
        <v>27</v>
      </c>
      <c r="S1750">
        <v>2023</v>
      </c>
      <c r="T1750" t="s">
        <v>33</v>
      </c>
    </row>
    <row r="1751" spans="1:20" hidden="1" x14ac:dyDescent="0.3">
      <c r="A1751">
        <v>2943</v>
      </c>
      <c r="B1751">
        <v>309</v>
      </c>
      <c r="C1751" t="s">
        <v>39</v>
      </c>
      <c r="D1751" t="s">
        <v>34</v>
      </c>
      <c r="E1751" t="s">
        <v>37</v>
      </c>
      <c r="F1751" s="1">
        <v>44810</v>
      </c>
      <c r="G1751" s="1">
        <v>44872</v>
      </c>
      <c r="H1751">
        <v>5859</v>
      </c>
      <c r="I1751">
        <v>6077</v>
      </c>
      <c r="J1751">
        <v>-218</v>
      </c>
      <c r="K1751" t="s">
        <v>54</v>
      </c>
      <c r="L1751">
        <v>2</v>
      </c>
      <c r="M1751" t="str">
        <f t="shared" si="27"/>
        <v>0-6 Months</v>
      </c>
      <c r="N1751" s="1">
        <v>44872</v>
      </c>
      <c r="O1751">
        <v>1</v>
      </c>
      <c r="P1751">
        <v>1750</v>
      </c>
      <c r="Q1751" s="2">
        <v>-0.04</v>
      </c>
      <c r="R1751" t="s">
        <v>27</v>
      </c>
      <c r="S1751">
        <v>2022</v>
      </c>
      <c r="T1751" t="s">
        <v>42</v>
      </c>
    </row>
    <row r="1752" spans="1:20" x14ac:dyDescent="0.3">
      <c r="A1752">
        <v>2944</v>
      </c>
      <c r="B1752">
        <v>363</v>
      </c>
      <c r="C1752" t="s">
        <v>40</v>
      </c>
      <c r="D1752" t="s">
        <v>34</v>
      </c>
      <c r="E1752" t="s">
        <v>37</v>
      </c>
      <c r="F1752" s="1">
        <v>44617</v>
      </c>
      <c r="G1752" s="1">
        <v>44692</v>
      </c>
      <c r="H1752">
        <v>1395</v>
      </c>
      <c r="I1752">
        <v>7652</v>
      </c>
      <c r="J1752">
        <v>-6257</v>
      </c>
      <c r="K1752" t="s">
        <v>35</v>
      </c>
      <c r="L1752">
        <v>2</v>
      </c>
      <c r="M1752" t="str">
        <f t="shared" si="27"/>
        <v>0-6 Months</v>
      </c>
      <c r="N1752" s="1">
        <v>44692</v>
      </c>
      <c r="O1752">
        <v>1</v>
      </c>
      <c r="P1752">
        <v>1751</v>
      </c>
      <c r="Q1752" s="2">
        <v>-4.49</v>
      </c>
      <c r="R1752" t="s">
        <v>22</v>
      </c>
      <c r="S1752">
        <v>2022</v>
      </c>
      <c r="T1752" t="s">
        <v>28</v>
      </c>
    </row>
    <row r="1753" spans="1:20" x14ac:dyDescent="0.3">
      <c r="A1753">
        <v>2948</v>
      </c>
      <c r="B1753">
        <v>347</v>
      </c>
      <c r="C1753" t="s">
        <v>39</v>
      </c>
      <c r="D1753" t="s">
        <v>34</v>
      </c>
      <c r="E1753" t="s">
        <v>20</v>
      </c>
      <c r="F1753" s="1">
        <v>44821</v>
      </c>
      <c r="G1753" s="1">
        <v>45322</v>
      </c>
      <c r="H1753">
        <v>4967.93</v>
      </c>
      <c r="I1753">
        <v>4012.75</v>
      </c>
      <c r="J1753">
        <v>368</v>
      </c>
      <c r="K1753" t="s">
        <v>35</v>
      </c>
      <c r="L1753">
        <v>16</v>
      </c>
      <c r="M1753" t="str">
        <f t="shared" si="27"/>
        <v>6-12 Months</v>
      </c>
      <c r="N1753" s="1">
        <v>45322</v>
      </c>
      <c r="O1753">
        <v>1</v>
      </c>
      <c r="P1753">
        <v>1752</v>
      </c>
      <c r="Q1753" s="2">
        <v>7.0000000000000007E-2</v>
      </c>
      <c r="R1753" t="s">
        <v>27</v>
      </c>
      <c r="S1753">
        <v>2024</v>
      </c>
      <c r="T1753" t="s">
        <v>23</v>
      </c>
    </row>
    <row r="1754" spans="1:20" hidden="1" x14ac:dyDescent="0.3">
      <c r="A1754">
        <v>2949</v>
      </c>
      <c r="B1754">
        <v>452</v>
      </c>
      <c r="C1754" t="s">
        <v>40</v>
      </c>
      <c r="D1754" t="s">
        <v>34</v>
      </c>
      <c r="E1754" t="s">
        <v>20</v>
      </c>
      <c r="F1754" s="1">
        <v>44731</v>
      </c>
      <c r="G1754" s="1">
        <v>45118</v>
      </c>
      <c r="H1754">
        <v>7476</v>
      </c>
      <c r="I1754">
        <v>4012.75</v>
      </c>
      <c r="J1754">
        <v>8158</v>
      </c>
      <c r="K1754" t="s">
        <v>54</v>
      </c>
      <c r="L1754">
        <v>12</v>
      </c>
      <c r="M1754" t="str">
        <f t="shared" si="27"/>
        <v>6-12 Months</v>
      </c>
      <c r="N1754" s="1">
        <v>45118</v>
      </c>
      <c r="O1754">
        <v>1</v>
      </c>
      <c r="P1754">
        <v>1753</v>
      </c>
      <c r="Q1754" s="2">
        <v>1.0900000000000001</v>
      </c>
      <c r="R1754" t="s">
        <v>22</v>
      </c>
      <c r="S1754">
        <v>2023</v>
      </c>
      <c r="T1754" t="s">
        <v>44</v>
      </c>
    </row>
    <row r="1755" spans="1:20" hidden="1" x14ac:dyDescent="0.3">
      <c r="A1755">
        <v>2951</v>
      </c>
      <c r="B1755">
        <v>281</v>
      </c>
      <c r="C1755" t="s">
        <v>24</v>
      </c>
      <c r="D1755" t="s">
        <v>29</v>
      </c>
      <c r="E1755" t="s">
        <v>26</v>
      </c>
      <c r="F1755" s="1">
        <v>44770</v>
      </c>
      <c r="G1755" s="1">
        <v>45301</v>
      </c>
      <c r="H1755">
        <v>2842</v>
      </c>
      <c r="I1755">
        <v>4012</v>
      </c>
      <c r="J1755">
        <v>-1170</v>
      </c>
      <c r="K1755" t="s">
        <v>54</v>
      </c>
      <c r="L1755">
        <v>17</v>
      </c>
      <c r="M1755" t="str">
        <f t="shared" si="27"/>
        <v>6-12 Months</v>
      </c>
      <c r="N1755" s="1">
        <v>45301</v>
      </c>
      <c r="O1755">
        <v>1</v>
      </c>
      <c r="P1755">
        <v>1754</v>
      </c>
      <c r="Q1755" s="2">
        <v>-0.41</v>
      </c>
      <c r="R1755" t="s">
        <v>27</v>
      </c>
      <c r="S1755">
        <v>2024</v>
      </c>
      <c r="T1755" t="s">
        <v>23</v>
      </c>
    </row>
    <row r="1756" spans="1:20" hidden="1" x14ac:dyDescent="0.3">
      <c r="A1756">
        <v>2953</v>
      </c>
      <c r="B1756">
        <v>447</v>
      </c>
      <c r="C1756" t="s">
        <v>45</v>
      </c>
      <c r="D1756" t="s">
        <v>29</v>
      </c>
      <c r="E1756" t="s">
        <v>26</v>
      </c>
      <c r="F1756" s="1">
        <v>44736</v>
      </c>
      <c r="G1756" s="1">
        <v>45058</v>
      </c>
      <c r="H1756">
        <v>9539</v>
      </c>
      <c r="I1756">
        <v>354</v>
      </c>
      <c r="J1756">
        <v>9185</v>
      </c>
      <c r="K1756" t="s">
        <v>54</v>
      </c>
      <c r="L1756">
        <v>10</v>
      </c>
      <c r="M1756" t="str">
        <f t="shared" si="27"/>
        <v>6-12 Months</v>
      </c>
      <c r="N1756" s="1">
        <v>45058</v>
      </c>
      <c r="O1756">
        <v>0</v>
      </c>
      <c r="P1756">
        <v>1755</v>
      </c>
      <c r="Q1756" s="2">
        <v>0.96</v>
      </c>
      <c r="R1756" t="s">
        <v>27</v>
      </c>
      <c r="S1756">
        <v>2023</v>
      </c>
      <c r="T1756" t="s">
        <v>28</v>
      </c>
    </row>
    <row r="1757" spans="1:20" hidden="1" x14ac:dyDescent="0.3">
      <c r="A1757">
        <v>2955</v>
      </c>
      <c r="B1757">
        <v>411</v>
      </c>
      <c r="C1757" t="s">
        <v>40</v>
      </c>
      <c r="D1757" t="s">
        <v>29</v>
      </c>
      <c r="E1757" t="s">
        <v>37</v>
      </c>
      <c r="F1757" s="1">
        <v>44571</v>
      </c>
      <c r="G1757" s="1">
        <v>44980</v>
      </c>
      <c r="H1757">
        <v>4967.93</v>
      </c>
      <c r="I1757">
        <v>7037</v>
      </c>
      <c r="J1757">
        <v>-7550</v>
      </c>
      <c r="K1757" t="s">
        <v>54</v>
      </c>
      <c r="L1757">
        <v>13</v>
      </c>
      <c r="M1757" t="str">
        <f t="shared" si="27"/>
        <v>6-12 Months</v>
      </c>
      <c r="N1757" s="1">
        <v>44980</v>
      </c>
      <c r="O1757">
        <v>1</v>
      </c>
      <c r="P1757">
        <v>1756</v>
      </c>
      <c r="Q1757" s="2">
        <v>-1.52</v>
      </c>
      <c r="R1757" t="s">
        <v>22</v>
      </c>
      <c r="S1757">
        <v>2023</v>
      </c>
      <c r="T1757" t="s">
        <v>43</v>
      </c>
    </row>
    <row r="1758" spans="1:20" hidden="1" x14ac:dyDescent="0.3">
      <c r="A1758">
        <v>2956</v>
      </c>
      <c r="B1758">
        <v>347</v>
      </c>
      <c r="C1758" t="s">
        <v>45</v>
      </c>
      <c r="D1758" t="s">
        <v>19</v>
      </c>
      <c r="E1758" t="s">
        <v>26</v>
      </c>
      <c r="F1758" s="1">
        <v>44807</v>
      </c>
      <c r="G1758" s="1">
        <v>45049</v>
      </c>
      <c r="H1758">
        <v>1989</v>
      </c>
      <c r="I1758">
        <v>7459</v>
      </c>
      <c r="J1758">
        <v>577.01</v>
      </c>
      <c r="K1758" t="s">
        <v>54</v>
      </c>
      <c r="L1758">
        <v>8</v>
      </c>
      <c r="M1758" t="str">
        <f t="shared" si="27"/>
        <v>6-12 Months</v>
      </c>
      <c r="N1758" s="1">
        <v>45049</v>
      </c>
      <c r="O1758">
        <v>0</v>
      </c>
      <c r="P1758">
        <v>1757</v>
      </c>
      <c r="Q1758" s="2">
        <v>0.28999999999999998</v>
      </c>
      <c r="R1758" t="s">
        <v>27</v>
      </c>
      <c r="S1758">
        <v>2023</v>
      </c>
      <c r="T1758" t="s">
        <v>28</v>
      </c>
    </row>
    <row r="1759" spans="1:20" hidden="1" x14ac:dyDescent="0.3">
      <c r="A1759">
        <v>2958</v>
      </c>
      <c r="B1759">
        <v>306</v>
      </c>
      <c r="C1759" t="s">
        <v>40</v>
      </c>
      <c r="D1759" t="s">
        <v>19</v>
      </c>
      <c r="E1759" t="s">
        <v>37</v>
      </c>
      <c r="F1759" s="1">
        <v>44808</v>
      </c>
      <c r="G1759" s="1">
        <v>44920</v>
      </c>
      <c r="H1759">
        <v>2766</v>
      </c>
      <c r="I1759">
        <v>4012.75</v>
      </c>
      <c r="J1759">
        <v>3078</v>
      </c>
      <c r="K1759" t="s">
        <v>54</v>
      </c>
      <c r="L1759">
        <v>3</v>
      </c>
      <c r="M1759" t="str">
        <f t="shared" si="27"/>
        <v>0-6 Months</v>
      </c>
      <c r="N1759" s="1">
        <v>44920</v>
      </c>
      <c r="O1759">
        <v>1</v>
      </c>
      <c r="P1759">
        <v>1758</v>
      </c>
      <c r="Q1759" s="2">
        <v>1.1100000000000001</v>
      </c>
      <c r="R1759" t="s">
        <v>22</v>
      </c>
      <c r="S1759">
        <v>2022</v>
      </c>
      <c r="T1759" t="s">
        <v>31</v>
      </c>
    </row>
    <row r="1760" spans="1:20" hidden="1" x14ac:dyDescent="0.3">
      <c r="A1760">
        <v>2960</v>
      </c>
      <c r="B1760">
        <v>364</v>
      </c>
      <c r="C1760" t="s">
        <v>45</v>
      </c>
      <c r="D1760" t="s">
        <v>25</v>
      </c>
      <c r="E1760" t="s">
        <v>37</v>
      </c>
      <c r="F1760" s="1">
        <v>44911</v>
      </c>
      <c r="G1760" s="1">
        <v>45470</v>
      </c>
      <c r="H1760">
        <v>9230</v>
      </c>
      <c r="I1760">
        <v>3591</v>
      </c>
      <c r="J1760">
        <v>5639</v>
      </c>
      <c r="K1760" t="s">
        <v>54</v>
      </c>
      <c r="L1760">
        <v>18</v>
      </c>
      <c r="M1760" t="str">
        <f t="shared" si="27"/>
        <v>6-12 Months</v>
      </c>
      <c r="N1760" s="1">
        <v>45470</v>
      </c>
      <c r="O1760">
        <v>1</v>
      </c>
      <c r="P1760">
        <v>1759</v>
      </c>
      <c r="Q1760" s="2">
        <v>0.61</v>
      </c>
      <c r="R1760" t="s">
        <v>27</v>
      </c>
      <c r="S1760">
        <v>2024</v>
      </c>
      <c r="T1760" t="s">
        <v>41</v>
      </c>
    </row>
    <row r="1761" spans="1:20" hidden="1" x14ac:dyDescent="0.3">
      <c r="A1761">
        <v>2961</v>
      </c>
      <c r="B1761">
        <v>315</v>
      </c>
      <c r="C1761" t="s">
        <v>53</v>
      </c>
      <c r="D1761" t="s">
        <v>34</v>
      </c>
      <c r="E1761" t="s">
        <v>20</v>
      </c>
      <c r="F1761" s="1">
        <v>44617</v>
      </c>
      <c r="G1761" s="1">
        <v>44772</v>
      </c>
      <c r="H1761">
        <v>3668</v>
      </c>
      <c r="I1761">
        <v>3468</v>
      </c>
      <c r="J1761">
        <v>200</v>
      </c>
      <c r="K1761" t="s">
        <v>54</v>
      </c>
      <c r="L1761">
        <v>5</v>
      </c>
      <c r="M1761" t="str">
        <f t="shared" si="27"/>
        <v>0-6 Months</v>
      </c>
      <c r="N1761" s="1">
        <v>44772</v>
      </c>
      <c r="O1761">
        <v>0</v>
      </c>
      <c r="P1761">
        <v>1760</v>
      </c>
      <c r="Q1761" s="2">
        <v>0.05</v>
      </c>
      <c r="R1761" t="s">
        <v>27</v>
      </c>
      <c r="S1761">
        <v>2022</v>
      </c>
      <c r="T1761" t="s">
        <v>44</v>
      </c>
    </row>
    <row r="1762" spans="1:20" hidden="1" x14ac:dyDescent="0.3">
      <c r="A1762">
        <v>2963</v>
      </c>
      <c r="B1762">
        <v>414</v>
      </c>
      <c r="C1762" t="s">
        <v>40</v>
      </c>
      <c r="D1762" t="s">
        <v>25</v>
      </c>
      <c r="E1762" t="s">
        <v>20</v>
      </c>
      <c r="F1762" s="1">
        <v>44601</v>
      </c>
      <c r="G1762" s="1">
        <v>44845</v>
      </c>
      <c r="H1762">
        <v>5672</v>
      </c>
      <c r="I1762">
        <v>6170</v>
      </c>
      <c r="J1762">
        <v>-498</v>
      </c>
      <c r="K1762" t="s">
        <v>54</v>
      </c>
      <c r="L1762">
        <v>8</v>
      </c>
      <c r="M1762" t="str">
        <f t="shared" si="27"/>
        <v>6-12 Months</v>
      </c>
      <c r="N1762" s="1">
        <v>44845</v>
      </c>
      <c r="O1762">
        <v>1</v>
      </c>
      <c r="P1762">
        <v>1761</v>
      </c>
      <c r="Q1762" s="2">
        <v>-0.09</v>
      </c>
      <c r="R1762" t="s">
        <v>27</v>
      </c>
      <c r="S1762">
        <v>2022</v>
      </c>
      <c r="T1762" t="s">
        <v>33</v>
      </c>
    </row>
    <row r="1763" spans="1:20" hidden="1" x14ac:dyDescent="0.3">
      <c r="A1763">
        <v>2964</v>
      </c>
      <c r="B1763">
        <v>422</v>
      </c>
      <c r="C1763" t="s">
        <v>39</v>
      </c>
      <c r="D1763" t="s">
        <v>34</v>
      </c>
      <c r="E1763" t="s">
        <v>37</v>
      </c>
      <c r="F1763" s="1">
        <v>44782</v>
      </c>
      <c r="G1763" s="1">
        <v>45318</v>
      </c>
      <c r="H1763">
        <v>5114</v>
      </c>
      <c r="I1763">
        <v>3372</v>
      </c>
      <c r="J1763">
        <v>1742</v>
      </c>
      <c r="K1763" t="s">
        <v>54</v>
      </c>
      <c r="L1763">
        <v>17</v>
      </c>
      <c r="M1763" t="str">
        <f t="shared" si="27"/>
        <v>6-12 Months</v>
      </c>
      <c r="N1763" s="1">
        <v>45318</v>
      </c>
      <c r="O1763">
        <v>1</v>
      </c>
      <c r="P1763">
        <v>1762</v>
      </c>
      <c r="Q1763" s="2">
        <v>0.34</v>
      </c>
      <c r="R1763" t="s">
        <v>27</v>
      </c>
      <c r="S1763">
        <v>2024</v>
      </c>
      <c r="T1763" t="s">
        <v>23</v>
      </c>
    </row>
    <row r="1764" spans="1:20" hidden="1" x14ac:dyDescent="0.3">
      <c r="A1764">
        <v>2969</v>
      </c>
      <c r="B1764">
        <v>217</v>
      </c>
      <c r="C1764" t="s">
        <v>45</v>
      </c>
      <c r="D1764" t="s">
        <v>19</v>
      </c>
      <c r="E1764" t="s">
        <v>26</v>
      </c>
      <c r="F1764" s="1">
        <v>44652</v>
      </c>
      <c r="G1764" s="1">
        <v>44850</v>
      </c>
      <c r="H1764">
        <v>3560</v>
      </c>
      <c r="I1764">
        <v>4054</v>
      </c>
      <c r="J1764">
        <v>-494</v>
      </c>
      <c r="K1764" t="s">
        <v>21</v>
      </c>
      <c r="L1764">
        <v>6</v>
      </c>
      <c r="M1764" t="str">
        <f t="shared" si="27"/>
        <v>12+ Months</v>
      </c>
      <c r="N1764" s="1">
        <v>44850</v>
      </c>
      <c r="O1764">
        <v>0</v>
      </c>
      <c r="P1764">
        <v>1763</v>
      </c>
      <c r="Q1764" s="2">
        <v>-0.14000000000000001</v>
      </c>
      <c r="R1764" t="s">
        <v>27</v>
      </c>
      <c r="S1764">
        <v>2022</v>
      </c>
      <c r="T1764" t="s">
        <v>33</v>
      </c>
    </row>
    <row r="1765" spans="1:20" hidden="1" x14ac:dyDescent="0.3">
      <c r="A1765">
        <v>2972</v>
      </c>
      <c r="B1765">
        <v>120</v>
      </c>
      <c r="C1765" t="s">
        <v>53</v>
      </c>
      <c r="D1765" t="s">
        <v>25</v>
      </c>
      <c r="E1765" t="s">
        <v>37</v>
      </c>
      <c r="F1765" s="1">
        <v>44735</v>
      </c>
      <c r="G1765" s="1">
        <v>45300</v>
      </c>
      <c r="H1765">
        <v>2760</v>
      </c>
      <c r="I1765">
        <v>4778</v>
      </c>
      <c r="J1765">
        <v>-2018</v>
      </c>
      <c r="K1765" t="s">
        <v>54</v>
      </c>
      <c r="L1765">
        <v>18</v>
      </c>
      <c r="M1765" t="str">
        <f t="shared" si="27"/>
        <v>6-12 Months</v>
      </c>
      <c r="N1765" s="1">
        <v>45300</v>
      </c>
      <c r="O1765">
        <v>1</v>
      </c>
      <c r="P1765">
        <v>1764</v>
      </c>
      <c r="Q1765" s="2">
        <v>-0.73</v>
      </c>
      <c r="R1765" t="s">
        <v>27</v>
      </c>
      <c r="S1765">
        <v>2024</v>
      </c>
      <c r="T1765" t="s">
        <v>23</v>
      </c>
    </row>
    <row r="1766" spans="1:20" x14ac:dyDescent="0.3">
      <c r="A1766">
        <v>2973</v>
      </c>
      <c r="B1766">
        <v>104</v>
      </c>
      <c r="C1766" t="s">
        <v>45</v>
      </c>
      <c r="D1766" t="s">
        <v>34</v>
      </c>
      <c r="E1766" t="s">
        <v>20</v>
      </c>
      <c r="F1766" s="1">
        <v>44679</v>
      </c>
      <c r="G1766" s="1">
        <v>44854</v>
      </c>
      <c r="H1766">
        <v>4967.93</v>
      </c>
      <c r="I1766">
        <v>6238</v>
      </c>
      <c r="J1766">
        <v>-6902</v>
      </c>
      <c r="K1766" t="s">
        <v>35</v>
      </c>
      <c r="L1766">
        <v>5</v>
      </c>
      <c r="M1766" t="str">
        <f t="shared" si="27"/>
        <v>0-6 Months</v>
      </c>
      <c r="N1766" s="1">
        <v>44854</v>
      </c>
      <c r="O1766">
        <v>1</v>
      </c>
      <c r="P1766">
        <v>1765</v>
      </c>
      <c r="Q1766" s="2">
        <v>-1.39</v>
      </c>
      <c r="R1766" t="s">
        <v>22</v>
      </c>
      <c r="S1766">
        <v>2022</v>
      </c>
      <c r="T1766" t="s">
        <v>33</v>
      </c>
    </row>
    <row r="1767" spans="1:20" hidden="1" x14ac:dyDescent="0.3">
      <c r="A1767">
        <v>2974</v>
      </c>
      <c r="B1767">
        <v>452</v>
      </c>
      <c r="C1767" t="s">
        <v>39</v>
      </c>
      <c r="D1767" t="s">
        <v>29</v>
      </c>
      <c r="E1767" t="s">
        <v>20</v>
      </c>
      <c r="F1767" s="1">
        <v>44720</v>
      </c>
      <c r="G1767" s="1">
        <v>44883</v>
      </c>
      <c r="H1767">
        <v>2482</v>
      </c>
      <c r="I1767">
        <v>2153</v>
      </c>
      <c r="J1767">
        <v>329</v>
      </c>
      <c r="K1767" t="s">
        <v>54</v>
      </c>
      <c r="L1767">
        <v>5</v>
      </c>
      <c r="M1767" t="str">
        <f t="shared" si="27"/>
        <v>0-6 Months</v>
      </c>
      <c r="N1767" s="1">
        <v>44883</v>
      </c>
      <c r="O1767">
        <v>0</v>
      </c>
      <c r="P1767">
        <v>1766</v>
      </c>
      <c r="Q1767" s="2">
        <v>0.13</v>
      </c>
      <c r="R1767" t="s">
        <v>27</v>
      </c>
      <c r="S1767">
        <v>2022</v>
      </c>
      <c r="T1767" t="s">
        <v>42</v>
      </c>
    </row>
    <row r="1768" spans="1:20" hidden="1" x14ac:dyDescent="0.3">
      <c r="A1768">
        <v>2977</v>
      </c>
      <c r="B1768">
        <v>191</v>
      </c>
      <c r="C1768" t="s">
        <v>45</v>
      </c>
      <c r="D1768" t="s">
        <v>29</v>
      </c>
      <c r="E1768" t="s">
        <v>37</v>
      </c>
      <c r="F1768" s="1">
        <v>44875</v>
      </c>
      <c r="G1768" s="1">
        <v>45239</v>
      </c>
      <c r="H1768">
        <v>6581</v>
      </c>
      <c r="I1768">
        <v>97</v>
      </c>
      <c r="J1768">
        <v>6484</v>
      </c>
      <c r="K1768" t="s">
        <v>54</v>
      </c>
      <c r="L1768">
        <v>11</v>
      </c>
      <c r="M1768" t="str">
        <f t="shared" si="27"/>
        <v>6-12 Months</v>
      </c>
      <c r="N1768" s="1">
        <v>45239</v>
      </c>
      <c r="O1768">
        <v>1</v>
      </c>
      <c r="P1768">
        <v>1767</v>
      </c>
      <c r="Q1768" s="2">
        <v>0.99</v>
      </c>
      <c r="R1768" t="s">
        <v>27</v>
      </c>
      <c r="S1768">
        <v>2023</v>
      </c>
      <c r="T1768" t="s">
        <v>42</v>
      </c>
    </row>
    <row r="1769" spans="1:20" hidden="1" x14ac:dyDescent="0.3">
      <c r="A1769">
        <v>2978</v>
      </c>
      <c r="B1769">
        <v>313</v>
      </c>
      <c r="C1769" t="s">
        <v>40</v>
      </c>
      <c r="D1769" t="s">
        <v>34</v>
      </c>
      <c r="E1769" t="s">
        <v>20</v>
      </c>
      <c r="F1769" s="1">
        <v>44884</v>
      </c>
      <c r="G1769" s="1">
        <v>45229</v>
      </c>
      <c r="H1769">
        <v>8045</v>
      </c>
      <c r="I1769">
        <v>4366</v>
      </c>
      <c r="J1769">
        <v>577.01</v>
      </c>
      <c r="K1769" t="s">
        <v>54</v>
      </c>
      <c r="L1769">
        <v>11</v>
      </c>
      <c r="M1769" t="str">
        <f t="shared" si="27"/>
        <v>6-12 Months</v>
      </c>
      <c r="N1769" s="1">
        <v>45229</v>
      </c>
      <c r="O1769">
        <v>0</v>
      </c>
      <c r="P1769">
        <v>1768</v>
      </c>
      <c r="Q1769" s="2">
        <v>7.0000000000000007E-2</v>
      </c>
      <c r="R1769" t="s">
        <v>27</v>
      </c>
      <c r="S1769">
        <v>2023</v>
      </c>
      <c r="T1769" t="s">
        <v>33</v>
      </c>
    </row>
    <row r="1770" spans="1:20" hidden="1" x14ac:dyDescent="0.3">
      <c r="A1770">
        <v>2979</v>
      </c>
      <c r="B1770">
        <v>388</v>
      </c>
      <c r="C1770" t="s">
        <v>24</v>
      </c>
      <c r="D1770" t="s">
        <v>25</v>
      </c>
      <c r="E1770" t="s">
        <v>37</v>
      </c>
      <c r="F1770" s="1">
        <v>44792</v>
      </c>
      <c r="G1770" s="1">
        <v>44938</v>
      </c>
      <c r="H1770">
        <v>7996</v>
      </c>
      <c r="I1770">
        <v>4012.75</v>
      </c>
      <c r="J1770">
        <v>8761</v>
      </c>
      <c r="K1770" t="s">
        <v>54</v>
      </c>
      <c r="L1770">
        <v>4</v>
      </c>
      <c r="M1770" t="str">
        <f t="shared" si="27"/>
        <v>0-6 Months</v>
      </c>
      <c r="N1770" s="1">
        <v>44938</v>
      </c>
      <c r="O1770">
        <v>1</v>
      </c>
      <c r="P1770">
        <v>1769</v>
      </c>
      <c r="Q1770" s="2">
        <v>1.1000000000000001</v>
      </c>
      <c r="R1770" t="s">
        <v>22</v>
      </c>
      <c r="S1770">
        <v>2023</v>
      </c>
      <c r="T1770" t="s">
        <v>23</v>
      </c>
    </row>
    <row r="1771" spans="1:20" hidden="1" x14ac:dyDescent="0.3">
      <c r="A1771">
        <v>2983</v>
      </c>
      <c r="B1771">
        <v>261</v>
      </c>
      <c r="C1771" t="s">
        <v>53</v>
      </c>
      <c r="D1771" t="s">
        <v>29</v>
      </c>
      <c r="E1771" t="s">
        <v>37</v>
      </c>
      <c r="F1771" s="1">
        <v>44649</v>
      </c>
      <c r="G1771" s="1">
        <v>45246</v>
      </c>
      <c r="H1771">
        <v>3159</v>
      </c>
      <c r="I1771">
        <v>7597</v>
      </c>
      <c r="J1771">
        <v>-4438</v>
      </c>
      <c r="K1771" t="s">
        <v>54</v>
      </c>
      <c r="L1771">
        <v>19</v>
      </c>
      <c r="M1771" t="str">
        <f t="shared" si="27"/>
        <v>6-12 Months</v>
      </c>
      <c r="N1771" s="1">
        <v>45246</v>
      </c>
      <c r="O1771">
        <v>0</v>
      </c>
      <c r="P1771">
        <v>1770</v>
      </c>
      <c r="Q1771" s="2">
        <v>-1.4</v>
      </c>
      <c r="R1771" t="s">
        <v>22</v>
      </c>
      <c r="S1771">
        <v>2023</v>
      </c>
      <c r="T1771" t="s">
        <v>42</v>
      </c>
    </row>
    <row r="1772" spans="1:20" x14ac:dyDescent="0.3">
      <c r="A1772">
        <v>2985</v>
      </c>
      <c r="B1772">
        <v>194</v>
      </c>
      <c r="C1772" t="s">
        <v>39</v>
      </c>
      <c r="D1772" t="s">
        <v>19</v>
      </c>
      <c r="E1772" t="s">
        <v>37</v>
      </c>
      <c r="F1772" s="1">
        <v>44825</v>
      </c>
      <c r="G1772" s="1">
        <v>45014</v>
      </c>
      <c r="H1772">
        <v>4967.93</v>
      </c>
      <c r="I1772">
        <v>884</v>
      </c>
      <c r="J1772">
        <v>-1463</v>
      </c>
      <c r="K1772" t="s">
        <v>35</v>
      </c>
      <c r="L1772">
        <v>6</v>
      </c>
      <c r="M1772" t="str">
        <f t="shared" si="27"/>
        <v>12+ Months</v>
      </c>
      <c r="N1772" s="1">
        <v>45014</v>
      </c>
      <c r="O1772">
        <v>0</v>
      </c>
      <c r="P1772">
        <v>1771</v>
      </c>
      <c r="Q1772" s="2">
        <v>-0.28999999999999998</v>
      </c>
      <c r="R1772" t="s">
        <v>27</v>
      </c>
      <c r="S1772">
        <v>2023</v>
      </c>
      <c r="T1772" t="s">
        <v>38</v>
      </c>
    </row>
    <row r="1773" spans="1:20" hidden="1" x14ac:dyDescent="0.3">
      <c r="A1773">
        <v>2986</v>
      </c>
      <c r="B1773">
        <v>376</v>
      </c>
      <c r="C1773" t="s">
        <v>39</v>
      </c>
      <c r="D1773" t="s">
        <v>34</v>
      </c>
      <c r="E1773" t="s">
        <v>26</v>
      </c>
      <c r="F1773" s="1">
        <v>44718</v>
      </c>
      <c r="G1773" s="1">
        <v>44748</v>
      </c>
      <c r="H1773">
        <v>3227</v>
      </c>
      <c r="I1773">
        <v>7267</v>
      </c>
      <c r="J1773">
        <v>-4040</v>
      </c>
      <c r="K1773" t="s">
        <v>21</v>
      </c>
      <c r="L1773">
        <v>1</v>
      </c>
      <c r="M1773" t="str">
        <f t="shared" si="27"/>
        <v>0-6 Months</v>
      </c>
      <c r="N1773" s="1">
        <v>44748</v>
      </c>
      <c r="O1773">
        <v>0</v>
      </c>
      <c r="P1773">
        <v>1772</v>
      </c>
      <c r="Q1773" s="2">
        <v>-1.25</v>
      </c>
      <c r="R1773" t="s">
        <v>22</v>
      </c>
      <c r="S1773">
        <v>2022</v>
      </c>
      <c r="T1773" t="s">
        <v>44</v>
      </c>
    </row>
    <row r="1774" spans="1:20" hidden="1" x14ac:dyDescent="0.3">
      <c r="A1774">
        <v>2987</v>
      </c>
      <c r="B1774">
        <v>461</v>
      </c>
      <c r="C1774" t="s">
        <v>39</v>
      </c>
      <c r="D1774" t="s">
        <v>19</v>
      </c>
      <c r="E1774" t="s">
        <v>37</v>
      </c>
      <c r="F1774" s="1">
        <v>44865</v>
      </c>
      <c r="G1774" s="1">
        <v>45464</v>
      </c>
      <c r="H1774">
        <v>3063</v>
      </c>
      <c r="I1774">
        <v>7726</v>
      </c>
      <c r="J1774">
        <v>-4663</v>
      </c>
      <c r="K1774" t="s">
        <v>21</v>
      </c>
      <c r="L1774">
        <v>19</v>
      </c>
      <c r="M1774" t="str">
        <f t="shared" si="27"/>
        <v>6-12 Months</v>
      </c>
      <c r="N1774" s="1">
        <v>45464</v>
      </c>
      <c r="O1774">
        <v>0</v>
      </c>
      <c r="P1774">
        <v>1773</v>
      </c>
      <c r="Q1774" s="2">
        <v>-1.52</v>
      </c>
      <c r="R1774" t="s">
        <v>22</v>
      </c>
      <c r="S1774">
        <v>2024</v>
      </c>
      <c r="T1774" t="s">
        <v>41</v>
      </c>
    </row>
    <row r="1775" spans="1:20" hidden="1" x14ac:dyDescent="0.3">
      <c r="A1775">
        <v>2988</v>
      </c>
      <c r="B1775">
        <v>125</v>
      </c>
      <c r="C1775" t="s">
        <v>39</v>
      </c>
      <c r="D1775" t="s">
        <v>25</v>
      </c>
      <c r="E1775" t="s">
        <v>37</v>
      </c>
      <c r="F1775" s="1">
        <v>44716</v>
      </c>
      <c r="G1775" s="1">
        <v>44890</v>
      </c>
      <c r="H1775">
        <v>1004</v>
      </c>
      <c r="I1775">
        <v>3352</v>
      </c>
      <c r="J1775">
        <v>-2348</v>
      </c>
      <c r="K1775" t="s">
        <v>54</v>
      </c>
      <c r="L1775">
        <v>5</v>
      </c>
      <c r="M1775" t="str">
        <f t="shared" si="27"/>
        <v>0-6 Months</v>
      </c>
      <c r="N1775" s="1">
        <v>44890</v>
      </c>
      <c r="O1775">
        <v>1</v>
      </c>
      <c r="P1775">
        <v>1774</v>
      </c>
      <c r="Q1775" s="2">
        <v>-2.34</v>
      </c>
      <c r="R1775" t="s">
        <v>22</v>
      </c>
      <c r="S1775">
        <v>2022</v>
      </c>
      <c r="T1775" t="s">
        <v>42</v>
      </c>
    </row>
    <row r="1776" spans="1:20" hidden="1" x14ac:dyDescent="0.3">
      <c r="A1776">
        <v>2989</v>
      </c>
      <c r="B1776">
        <v>116</v>
      </c>
      <c r="C1776" t="s">
        <v>40</v>
      </c>
      <c r="D1776" t="s">
        <v>25</v>
      </c>
      <c r="E1776" t="s">
        <v>26</v>
      </c>
      <c r="F1776" s="1">
        <v>44731</v>
      </c>
      <c r="G1776" s="1">
        <v>44804</v>
      </c>
      <c r="H1776">
        <v>152</v>
      </c>
      <c r="I1776">
        <v>736</v>
      </c>
      <c r="J1776">
        <v>-584</v>
      </c>
      <c r="K1776" t="s">
        <v>54</v>
      </c>
      <c r="L1776">
        <v>2</v>
      </c>
      <c r="M1776" t="str">
        <f t="shared" si="27"/>
        <v>0-6 Months</v>
      </c>
      <c r="N1776" s="1">
        <v>44804</v>
      </c>
      <c r="O1776">
        <v>0</v>
      </c>
      <c r="P1776">
        <v>1775</v>
      </c>
      <c r="Q1776" s="2">
        <v>-3.84</v>
      </c>
      <c r="R1776" t="s">
        <v>22</v>
      </c>
      <c r="S1776">
        <v>2022</v>
      </c>
      <c r="T1776" t="s">
        <v>36</v>
      </c>
    </row>
    <row r="1777" spans="1:20" hidden="1" x14ac:dyDescent="0.3">
      <c r="A1777">
        <v>2990</v>
      </c>
      <c r="B1777">
        <v>436</v>
      </c>
      <c r="C1777" t="s">
        <v>39</v>
      </c>
      <c r="D1777" t="s">
        <v>34</v>
      </c>
      <c r="E1777" t="s">
        <v>37</v>
      </c>
      <c r="F1777" s="1">
        <v>44595</v>
      </c>
      <c r="G1777" s="1">
        <v>44671</v>
      </c>
      <c r="H1777">
        <v>4967.93</v>
      </c>
      <c r="I1777">
        <v>4012.75</v>
      </c>
      <c r="J1777">
        <v>-106</v>
      </c>
      <c r="K1777" t="s">
        <v>54</v>
      </c>
      <c r="L1777">
        <v>2</v>
      </c>
      <c r="M1777" t="str">
        <f t="shared" si="27"/>
        <v>0-6 Months</v>
      </c>
      <c r="N1777" s="1">
        <v>44671</v>
      </c>
      <c r="O1777">
        <v>1</v>
      </c>
      <c r="P1777">
        <v>1776</v>
      </c>
      <c r="Q1777" s="2">
        <v>-0.02</v>
      </c>
      <c r="R1777" t="s">
        <v>27</v>
      </c>
      <c r="S1777">
        <v>2022</v>
      </c>
      <c r="T1777" t="s">
        <v>32</v>
      </c>
    </row>
    <row r="1778" spans="1:20" hidden="1" x14ac:dyDescent="0.3">
      <c r="A1778">
        <v>2991</v>
      </c>
      <c r="B1778">
        <v>459</v>
      </c>
      <c r="C1778" t="s">
        <v>53</v>
      </c>
      <c r="D1778" t="s">
        <v>34</v>
      </c>
      <c r="E1778" t="s">
        <v>20</v>
      </c>
      <c r="F1778" s="1">
        <v>44881</v>
      </c>
      <c r="G1778" s="1">
        <v>45260</v>
      </c>
      <c r="H1778">
        <v>7831</v>
      </c>
      <c r="I1778">
        <v>4477</v>
      </c>
      <c r="J1778">
        <v>3354</v>
      </c>
      <c r="K1778" t="s">
        <v>54</v>
      </c>
      <c r="L1778">
        <v>12</v>
      </c>
      <c r="M1778" t="str">
        <f t="shared" si="27"/>
        <v>6-12 Months</v>
      </c>
      <c r="N1778" s="1">
        <v>45260</v>
      </c>
      <c r="O1778">
        <v>0</v>
      </c>
      <c r="P1778">
        <v>1777</v>
      </c>
      <c r="Q1778" s="2">
        <v>0.43</v>
      </c>
      <c r="R1778" t="s">
        <v>27</v>
      </c>
      <c r="S1778">
        <v>2023</v>
      </c>
      <c r="T1778" t="s">
        <v>42</v>
      </c>
    </row>
    <row r="1779" spans="1:20" hidden="1" x14ac:dyDescent="0.3">
      <c r="A1779">
        <v>2992</v>
      </c>
      <c r="B1779">
        <v>379</v>
      </c>
      <c r="C1779" t="s">
        <v>53</v>
      </c>
      <c r="D1779" t="s">
        <v>25</v>
      </c>
      <c r="E1779" t="s">
        <v>26</v>
      </c>
      <c r="F1779" s="1">
        <v>44722</v>
      </c>
      <c r="G1779" s="1">
        <v>45320</v>
      </c>
      <c r="H1779">
        <v>6644</v>
      </c>
      <c r="I1779">
        <v>7479</v>
      </c>
      <c r="J1779">
        <v>577.01</v>
      </c>
      <c r="K1779" t="s">
        <v>54</v>
      </c>
      <c r="L1779">
        <v>19</v>
      </c>
      <c r="M1779" t="str">
        <f t="shared" si="27"/>
        <v>6-12 Months</v>
      </c>
      <c r="N1779" s="1">
        <v>45320</v>
      </c>
      <c r="O1779">
        <v>0</v>
      </c>
      <c r="P1779">
        <v>1778</v>
      </c>
      <c r="Q1779" s="2">
        <v>0.09</v>
      </c>
      <c r="R1779" t="s">
        <v>27</v>
      </c>
      <c r="S1779">
        <v>2024</v>
      </c>
      <c r="T1779" t="s">
        <v>23</v>
      </c>
    </row>
    <row r="1780" spans="1:20" hidden="1" x14ac:dyDescent="0.3">
      <c r="A1780">
        <v>2996</v>
      </c>
      <c r="B1780">
        <v>465</v>
      </c>
      <c r="C1780" t="s">
        <v>53</v>
      </c>
      <c r="D1780" t="s">
        <v>19</v>
      </c>
      <c r="E1780" t="s">
        <v>37</v>
      </c>
      <c r="F1780" s="1">
        <v>44863</v>
      </c>
      <c r="G1780" s="1">
        <v>45372</v>
      </c>
      <c r="H1780">
        <v>5944</v>
      </c>
      <c r="I1780">
        <v>6046</v>
      </c>
      <c r="J1780">
        <v>-102</v>
      </c>
      <c r="K1780" t="s">
        <v>21</v>
      </c>
      <c r="L1780">
        <v>16</v>
      </c>
      <c r="M1780" t="str">
        <f t="shared" si="27"/>
        <v>6-12 Months</v>
      </c>
      <c r="N1780" s="1">
        <v>45372</v>
      </c>
      <c r="O1780">
        <v>1</v>
      </c>
      <c r="P1780">
        <v>1779</v>
      </c>
      <c r="Q1780" s="2">
        <v>-0.02</v>
      </c>
      <c r="R1780" t="s">
        <v>27</v>
      </c>
      <c r="S1780">
        <v>2024</v>
      </c>
      <c r="T1780" t="s">
        <v>38</v>
      </c>
    </row>
    <row r="1781" spans="1:20" hidden="1" x14ac:dyDescent="0.3">
      <c r="A1781">
        <v>2997</v>
      </c>
      <c r="B1781">
        <v>481</v>
      </c>
      <c r="C1781" t="s">
        <v>45</v>
      </c>
      <c r="D1781" t="s">
        <v>29</v>
      </c>
      <c r="E1781" t="s">
        <v>26</v>
      </c>
      <c r="F1781" s="1">
        <v>44848</v>
      </c>
      <c r="G1781" s="1">
        <v>45118</v>
      </c>
      <c r="H1781">
        <v>4121</v>
      </c>
      <c r="I1781">
        <v>6185</v>
      </c>
      <c r="J1781">
        <v>-2064</v>
      </c>
      <c r="K1781" t="s">
        <v>21</v>
      </c>
      <c r="L1781">
        <v>8</v>
      </c>
      <c r="M1781" t="str">
        <f t="shared" si="27"/>
        <v>6-12 Months</v>
      </c>
      <c r="N1781" s="1">
        <v>45118</v>
      </c>
      <c r="O1781">
        <v>1</v>
      </c>
      <c r="P1781">
        <v>1780</v>
      </c>
      <c r="Q1781" s="2">
        <v>-0.5</v>
      </c>
      <c r="R1781" t="s">
        <v>27</v>
      </c>
      <c r="S1781">
        <v>2023</v>
      </c>
      <c r="T1781" t="s">
        <v>44</v>
      </c>
    </row>
    <row r="1782" spans="1:20" hidden="1" x14ac:dyDescent="0.3">
      <c r="A1782">
        <v>2998</v>
      </c>
      <c r="B1782">
        <v>370</v>
      </c>
      <c r="C1782" t="s">
        <v>53</v>
      </c>
      <c r="D1782" t="s">
        <v>29</v>
      </c>
      <c r="E1782" t="s">
        <v>37</v>
      </c>
      <c r="F1782" s="1">
        <v>44706</v>
      </c>
      <c r="G1782" s="1">
        <v>44785</v>
      </c>
      <c r="H1782">
        <v>2422</v>
      </c>
      <c r="I1782">
        <v>5372</v>
      </c>
      <c r="J1782">
        <v>-2950</v>
      </c>
      <c r="K1782" t="s">
        <v>54</v>
      </c>
      <c r="L1782">
        <v>2</v>
      </c>
      <c r="M1782" t="str">
        <f t="shared" si="27"/>
        <v>0-6 Months</v>
      </c>
      <c r="N1782" s="1">
        <v>44785</v>
      </c>
      <c r="O1782">
        <v>0</v>
      </c>
      <c r="P1782">
        <v>1781</v>
      </c>
      <c r="Q1782" s="2">
        <v>-1.22</v>
      </c>
      <c r="R1782" t="s">
        <v>22</v>
      </c>
      <c r="S1782">
        <v>2022</v>
      </c>
      <c r="T1782" t="s">
        <v>36</v>
      </c>
    </row>
    <row r="1783" spans="1:20" hidden="1" x14ac:dyDescent="0.3">
      <c r="A1783">
        <v>3001</v>
      </c>
      <c r="B1783">
        <v>366</v>
      </c>
      <c r="C1783" t="s">
        <v>40</v>
      </c>
      <c r="D1783" t="s">
        <v>25</v>
      </c>
      <c r="E1783" t="s">
        <v>20</v>
      </c>
      <c r="F1783" s="1">
        <v>44733</v>
      </c>
      <c r="G1783" s="1">
        <v>45149</v>
      </c>
      <c r="H1783">
        <v>4967.93</v>
      </c>
      <c r="I1783">
        <v>7492</v>
      </c>
      <c r="J1783">
        <v>-9161</v>
      </c>
      <c r="K1783" t="s">
        <v>54</v>
      </c>
      <c r="L1783">
        <v>13</v>
      </c>
      <c r="M1783" t="str">
        <f t="shared" si="27"/>
        <v>6-12 Months</v>
      </c>
      <c r="N1783" s="1">
        <v>45149</v>
      </c>
      <c r="O1783">
        <v>1</v>
      </c>
      <c r="P1783">
        <v>1782</v>
      </c>
      <c r="Q1783" s="2">
        <v>-1.84</v>
      </c>
      <c r="R1783" t="s">
        <v>22</v>
      </c>
      <c r="S1783">
        <v>2023</v>
      </c>
      <c r="T1783" t="s">
        <v>36</v>
      </c>
    </row>
    <row r="1784" spans="1:20" x14ac:dyDescent="0.3">
      <c r="A1784">
        <v>3005</v>
      </c>
      <c r="B1784">
        <v>367</v>
      </c>
      <c r="C1784" t="s">
        <v>24</v>
      </c>
      <c r="D1784" t="s">
        <v>34</v>
      </c>
      <c r="E1784" t="s">
        <v>26</v>
      </c>
      <c r="F1784" s="1">
        <v>44718</v>
      </c>
      <c r="G1784" s="1">
        <v>44851</v>
      </c>
      <c r="H1784">
        <v>2459</v>
      </c>
      <c r="I1784">
        <v>5335</v>
      </c>
      <c r="J1784">
        <v>-2876</v>
      </c>
      <c r="K1784" t="s">
        <v>35</v>
      </c>
      <c r="L1784">
        <v>4</v>
      </c>
      <c r="M1784" t="str">
        <f t="shared" si="27"/>
        <v>0-6 Months</v>
      </c>
      <c r="N1784" s="1">
        <v>44851</v>
      </c>
      <c r="O1784">
        <v>1</v>
      </c>
      <c r="P1784">
        <v>1783</v>
      </c>
      <c r="Q1784" s="2">
        <v>-1.17</v>
      </c>
      <c r="R1784" t="s">
        <v>22</v>
      </c>
      <c r="S1784">
        <v>2022</v>
      </c>
      <c r="T1784" t="s">
        <v>33</v>
      </c>
    </row>
    <row r="1785" spans="1:20" hidden="1" x14ac:dyDescent="0.3">
      <c r="A1785">
        <v>3007</v>
      </c>
      <c r="B1785">
        <v>121</v>
      </c>
      <c r="C1785" t="s">
        <v>45</v>
      </c>
      <c r="D1785" t="s">
        <v>29</v>
      </c>
      <c r="E1785" t="s">
        <v>37</v>
      </c>
      <c r="F1785" s="1">
        <v>44761</v>
      </c>
      <c r="G1785" s="1">
        <v>44842</v>
      </c>
      <c r="H1785">
        <v>1621</v>
      </c>
      <c r="I1785">
        <v>4931</v>
      </c>
      <c r="J1785">
        <v>-3310</v>
      </c>
      <c r="K1785" t="s">
        <v>54</v>
      </c>
      <c r="L1785">
        <v>2</v>
      </c>
      <c r="M1785" t="str">
        <f t="shared" si="27"/>
        <v>0-6 Months</v>
      </c>
      <c r="N1785" s="1">
        <v>44842</v>
      </c>
      <c r="O1785">
        <v>1</v>
      </c>
      <c r="P1785">
        <v>1784</v>
      </c>
      <c r="Q1785" s="2">
        <v>-2.04</v>
      </c>
      <c r="R1785" t="s">
        <v>22</v>
      </c>
      <c r="S1785">
        <v>2022</v>
      </c>
      <c r="T1785" t="s">
        <v>33</v>
      </c>
    </row>
    <row r="1786" spans="1:20" hidden="1" x14ac:dyDescent="0.3">
      <c r="A1786">
        <v>3008</v>
      </c>
      <c r="B1786">
        <v>248</v>
      </c>
      <c r="C1786" t="s">
        <v>39</v>
      </c>
      <c r="D1786" t="s">
        <v>19</v>
      </c>
      <c r="E1786" t="s">
        <v>37</v>
      </c>
      <c r="F1786" s="1">
        <v>44803</v>
      </c>
      <c r="G1786" s="1">
        <v>44880</v>
      </c>
      <c r="H1786">
        <v>3848</v>
      </c>
      <c r="I1786">
        <v>480</v>
      </c>
      <c r="J1786">
        <v>3368</v>
      </c>
      <c r="K1786" t="s">
        <v>21</v>
      </c>
      <c r="L1786">
        <v>2</v>
      </c>
      <c r="M1786" t="str">
        <f t="shared" si="27"/>
        <v>0-6 Months</v>
      </c>
      <c r="N1786" s="1">
        <v>44880</v>
      </c>
      <c r="O1786">
        <v>1</v>
      </c>
      <c r="P1786">
        <v>1785</v>
      </c>
      <c r="Q1786" s="2">
        <v>0.88</v>
      </c>
      <c r="R1786" t="s">
        <v>27</v>
      </c>
      <c r="S1786">
        <v>2022</v>
      </c>
      <c r="T1786" t="s">
        <v>42</v>
      </c>
    </row>
    <row r="1787" spans="1:20" hidden="1" x14ac:dyDescent="0.3">
      <c r="A1787">
        <v>3009</v>
      </c>
      <c r="B1787">
        <v>405</v>
      </c>
      <c r="C1787" t="s">
        <v>40</v>
      </c>
      <c r="D1787" t="s">
        <v>25</v>
      </c>
      <c r="E1787" t="s">
        <v>20</v>
      </c>
      <c r="F1787" s="1">
        <v>44872</v>
      </c>
      <c r="G1787" s="1">
        <v>45371</v>
      </c>
      <c r="H1787">
        <v>9541</v>
      </c>
      <c r="I1787">
        <v>6216</v>
      </c>
      <c r="J1787">
        <v>3325</v>
      </c>
      <c r="K1787" t="s">
        <v>54</v>
      </c>
      <c r="L1787">
        <v>16</v>
      </c>
      <c r="M1787" t="str">
        <f t="shared" si="27"/>
        <v>6-12 Months</v>
      </c>
      <c r="N1787" s="1">
        <v>45371</v>
      </c>
      <c r="O1787">
        <v>1</v>
      </c>
      <c r="P1787">
        <v>1786</v>
      </c>
      <c r="Q1787" s="2">
        <v>0.35</v>
      </c>
      <c r="R1787" t="s">
        <v>27</v>
      </c>
      <c r="S1787">
        <v>2024</v>
      </c>
      <c r="T1787" t="s">
        <v>38</v>
      </c>
    </row>
    <row r="1788" spans="1:20" hidden="1" x14ac:dyDescent="0.3">
      <c r="A1788">
        <v>3012</v>
      </c>
      <c r="B1788">
        <v>236</v>
      </c>
      <c r="C1788" t="s">
        <v>40</v>
      </c>
      <c r="D1788" t="s">
        <v>29</v>
      </c>
      <c r="E1788" t="s">
        <v>20</v>
      </c>
      <c r="F1788" s="1">
        <v>44924</v>
      </c>
      <c r="G1788" s="1">
        <v>45442</v>
      </c>
      <c r="H1788">
        <v>8182</v>
      </c>
      <c r="I1788">
        <v>173</v>
      </c>
      <c r="J1788">
        <v>8009</v>
      </c>
      <c r="K1788" t="s">
        <v>54</v>
      </c>
      <c r="L1788">
        <v>17</v>
      </c>
      <c r="M1788" t="str">
        <f t="shared" si="27"/>
        <v>6-12 Months</v>
      </c>
      <c r="N1788" s="1">
        <v>45442</v>
      </c>
      <c r="O1788">
        <v>1</v>
      </c>
      <c r="P1788">
        <v>1787</v>
      </c>
      <c r="Q1788" s="2">
        <v>0.98</v>
      </c>
      <c r="R1788" t="s">
        <v>27</v>
      </c>
      <c r="S1788">
        <v>2024</v>
      </c>
      <c r="T1788" t="s">
        <v>28</v>
      </c>
    </row>
    <row r="1789" spans="1:20" x14ac:dyDescent="0.3">
      <c r="A1789">
        <v>3014</v>
      </c>
      <c r="B1789">
        <v>454</v>
      </c>
      <c r="C1789" t="s">
        <v>39</v>
      </c>
      <c r="D1789" t="s">
        <v>19</v>
      </c>
      <c r="E1789" t="s">
        <v>20</v>
      </c>
      <c r="F1789" s="1">
        <v>44836</v>
      </c>
      <c r="G1789" s="1">
        <v>44969</v>
      </c>
      <c r="H1789">
        <v>165</v>
      </c>
      <c r="I1789">
        <v>2081</v>
      </c>
      <c r="J1789">
        <v>-1916</v>
      </c>
      <c r="K1789" t="s">
        <v>35</v>
      </c>
      <c r="L1789">
        <v>4</v>
      </c>
      <c r="M1789" t="str">
        <f t="shared" si="27"/>
        <v>0-6 Months</v>
      </c>
      <c r="N1789" s="1">
        <v>44969</v>
      </c>
      <c r="O1789">
        <v>0</v>
      </c>
      <c r="P1789">
        <v>1788</v>
      </c>
      <c r="Q1789" s="2">
        <v>-11.61</v>
      </c>
      <c r="R1789" t="s">
        <v>22</v>
      </c>
      <c r="S1789">
        <v>2023</v>
      </c>
      <c r="T1789" t="s">
        <v>43</v>
      </c>
    </row>
    <row r="1790" spans="1:20" hidden="1" x14ac:dyDescent="0.3">
      <c r="A1790">
        <v>3015</v>
      </c>
      <c r="B1790">
        <v>240</v>
      </c>
      <c r="C1790" t="s">
        <v>53</v>
      </c>
      <c r="D1790" t="s">
        <v>19</v>
      </c>
      <c r="E1790" t="s">
        <v>20</v>
      </c>
      <c r="F1790" s="1">
        <v>44863</v>
      </c>
      <c r="G1790" s="1">
        <v>45213</v>
      </c>
      <c r="H1790">
        <v>5091</v>
      </c>
      <c r="I1790">
        <v>2352</v>
      </c>
      <c r="J1790">
        <v>577.01</v>
      </c>
      <c r="K1790" t="s">
        <v>54</v>
      </c>
      <c r="L1790">
        <v>11</v>
      </c>
      <c r="M1790" t="str">
        <f t="shared" si="27"/>
        <v>6-12 Months</v>
      </c>
      <c r="N1790" s="1">
        <v>45213</v>
      </c>
      <c r="O1790">
        <v>0</v>
      </c>
      <c r="P1790">
        <v>1789</v>
      </c>
      <c r="Q1790" s="2">
        <v>0.11</v>
      </c>
      <c r="R1790" t="s">
        <v>27</v>
      </c>
      <c r="S1790">
        <v>2023</v>
      </c>
      <c r="T1790" t="s">
        <v>33</v>
      </c>
    </row>
    <row r="1791" spans="1:20" hidden="1" x14ac:dyDescent="0.3">
      <c r="A1791">
        <v>3018</v>
      </c>
      <c r="B1791">
        <v>120</v>
      </c>
      <c r="C1791" t="s">
        <v>24</v>
      </c>
      <c r="D1791" t="s">
        <v>19</v>
      </c>
      <c r="E1791" t="s">
        <v>26</v>
      </c>
      <c r="F1791" s="1">
        <v>44809</v>
      </c>
      <c r="G1791" s="1">
        <v>44876</v>
      </c>
      <c r="H1791">
        <v>1632</v>
      </c>
      <c r="I1791">
        <v>3126</v>
      </c>
      <c r="J1791">
        <v>-1494</v>
      </c>
      <c r="K1791" t="s">
        <v>54</v>
      </c>
      <c r="L1791">
        <v>2</v>
      </c>
      <c r="M1791" t="str">
        <f t="shared" si="27"/>
        <v>0-6 Months</v>
      </c>
      <c r="N1791" s="1">
        <v>44876</v>
      </c>
      <c r="O1791">
        <v>0</v>
      </c>
      <c r="P1791">
        <v>1790</v>
      </c>
      <c r="Q1791" s="2">
        <v>-0.92</v>
      </c>
      <c r="R1791" t="s">
        <v>27</v>
      </c>
      <c r="S1791">
        <v>2022</v>
      </c>
      <c r="T1791" t="s">
        <v>42</v>
      </c>
    </row>
    <row r="1792" spans="1:20" hidden="1" x14ac:dyDescent="0.3">
      <c r="A1792">
        <v>3022</v>
      </c>
      <c r="B1792">
        <v>180</v>
      </c>
      <c r="C1792" t="s">
        <v>24</v>
      </c>
      <c r="D1792" t="s">
        <v>25</v>
      </c>
      <c r="E1792" t="s">
        <v>37</v>
      </c>
      <c r="F1792" s="1">
        <v>44566</v>
      </c>
      <c r="G1792" s="1">
        <v>44820</v>
      </c>
      <c r="H1792">
        <v>6717</v>
      </c>
      <c r="I1792">
        <v>151</v>
      </c>
      <c r="J1792">
        <v>6566</v>
      </c>
      <c r="K1792" t="s">
        <v>54</v>
      </c>
      <c r="L1792">
        <v>8</v>
      </c>
      <c r="M1792" t="str">
        <f t="shared" si="27"/>
        <v>6-12 Months</v>
      </c>
      <c r="N1792" s="1">
        <v>44820</v>
      </c>
      <c r="O1792">
        <v>1</v>
      </c>
      <c r="P1792">
        <v>1791</v>
      </c>
      <c r="Q1792" s="2">
        <v>0.98</v>
      </c>
      <c r="R1792" t="s">
        <v>27</v>
      </c>
      <c r="S1792">
        <v>2022</v>
      </c>
      <c r="T1792" t="s">
        <v>30</v>
      </c>
    </row>
    <row r="1793" spans="1:20" hidden="1" x14ac:dyDescent="0.3">
      <c r="A1793">
        <v>3023</v>
      </c>
      <c r="B1793">
        <v>294</v>
      </c>
      <c r="C1793" t="s">
        <v>45</v>
      </c>
      <c r="D1793" t="s">
        <v>34</v>
      </c>
      <c r="E1793" t="s">
        <v>26</v>
      </c>
      <c r="F1793" s="1">
        <v>44717</v>
      </c>
      <c r="G1793" s="1">
        <v>45175</v>
      </c>
      <c r="H1793">
        <v>9239</v>
      </c>
      <c r="I1793">
        <v>1339</v>
      </c>
      <c r="J1793">
        <v>7900</v>
      </c>
      <c r="K1793" t="s">
        <v>54</v>
      </c>
      <c r="L1793">
        <v>15</v>
      </c>
      <c r="M1793" t="str">
        <f t="shared" si="27"/>
        <v>6-12 Months</v>
      </c>
      <c r="N1793" s="1">
        <v>45175</v>
      </c>
      <c r="O1793">
        <v>0</v>
      </c>
      <c r="P1793">
        <v>1792</v>
      </c>
      <c r="Q1793" s="2">
        <v>0.86</v>
      </c>
      <c r="R1793" t="s">
        <v>27</v>
      </c>
      <c r="S1793">
        <v>2023</v>
      </c>
      <c r="T1793" t="s">
        <v>30</v>
      </c>
    </row>
    <row r="1794" spans="1:20" x14ac:dyDescent="0.3">
      <c r="A1794">
        <v>3026</v>
      </c>
      <c r="B1794">
        <v>390</v>
      </c>
      <c r="C1794" t="s">
        <v>40</v>
      </c>
      <c r="D1794" t="s">
        <v>34</v>
      </c>
      <c r="E1794" t="s">
        <v>20</v>
      </c>
      <c r="F1794" s="1">
        <v>44626</v>
      </c>
      <c r="G1794" s="1">
        <v>45173</v>
      </c>
      <c r="H1794">
        <v>8065</v>
      </c>
      <c r="I1794">
        <v>4012.75</v>
      </c>
      <c r="J1794">
        <v>8438</v>
      </c>
      <c r="K1794" t="s">
        <v>35</v>
      </c>
      <c r="L1794">
        <v>17</v>
      </c>
      <c r="M1794" t="str">
        <f t="shared" ref="M1794:M1857" si="28">IF(L1794&lt;6,"0-6 Months",IF(L1794&gt;6,"6-12 Months","12+ Months"))</f>
        <v>6-12 Months</v>
      </c>
      <c r="N1794" s="1">
        <v>45173</v>
      </c>
      <c r="O1794">
        <v>0</v>
      </c>
      <c r="P1794">
        <v>1793</v>
      </c>
      <c r="Q1794" s="2">
        <v>1.05</v>
      </c>
      <c r="R1794" t="s">
        <v>22</v>
      </c>
      <c r="S1794">
        <v>2023</v>
      </c>
      <c r="T1794" t="s">
        <v>30</v>
      </c>
    </row>
    <row r="1795" spans="1:20" hidden="1" x14ac:dyDescent="0.3">
      <c r="A1795">
        <v>3029</v>
      </c>
      <c r="B1795">
        <v>108</v>
      </c>
      <c r="C1795" t="s">
        <v>45</v>
      </c>
      <c r="D1795" t="s">
        <v>25</v>
      </c>
      <c r="E1795" t="s">
        <v>20</v>
      </c>
      <c r="F1795" s="1">
        <v>44698</v>
      </c>
      <c r="G1795" s="1">
        <v>45174</v>
      </c>
      <c r="H1795">
        <v>9547</v>
      </c>
      <c r="I1795">
        <v>211</v>
      </c>
      <c r="J1795">
        <v>9336</v>
      </c>
      <c r="K1795" t="s">
        <v>54</v>
      </c>
      <c r="L1795">
        <v>15</v>
      </c>
      <c r="M1795" t="str">
        <f t="shared" si="28"/>
        <v>6-12 Months</v>
      </c>
      <c r="N1795" s="1">
        <v>45174</v>
      </c>
      <c r="O1795">
        <v>0</v>
      </c>
      <c r="P1795">
        <v>1794</v>
      </c>
      <c r="Q1795" s="2">
        <v>0.98</v>
      </c>
      <c r="R1795" t="s">
        <v>27</v>
      </c>
      <c r="S1795">
        <v>2023</v>
      </c>
      <c r="T1795" t="s">
        <v>30</v>
      </c>
    </row>
    <row r="1796" spans="1:20" hidden="1" x14ac:dyDescent="0.3">
      <c r="A1796">
        <v>3032</v>
      </c>
      <c r="B1796">
        <v>490</v>
      </c>
      <c r="C1796" t="s">
        <v>40</v>
      </c>
      <c r="D1796" t="s">
        <v>29</v>
      </c>
      <c r="E1796" t="s">
        <v>26</v>
      </c>
      <c r="F1796" s="1">
        <v>44862</v>
      </c>
      <c r="G1796" s="1">
        <v>45263</v>
      </c>
      <c r="H1796">
        <v>5380</v>
      </c>
      <c r="I1796">
        <v>3042</v>
      </c>
      <c r="J1796">
        <v>2338</v>
      </c>
      <c r="K1796" t="s">
        <v>21</v>
      </c>
      <c r="L1796">
        <v>13</v>
      </c>
      <c r="M1796" t="str">
        <f t="shared" si="28"/>
        <v>6-12 Months</v>
      </c>
      <c r="N1796" s="1">
        <v>45263</v>
      </c>
      <c r="O1796">
        <v>1</v>
      </c>
      <c r="P1796">
        <v>1795</v>
      </c>
      <c r="Q1796" s="2">
        <v>0.43</v>
      </c>
      <c r="R1796" t="s">
        <v>27</v>
      </c>
      <c r="S1796">
        <v>2023</v>
      </c>
      <c r="T1796" t="s">
        <v>31</v>
      </c>
    </row>
    <row r="1797" spans="1:20" hidden="1" x14ac:dyDescent="0.3">
      <c r="A1797">
        <v>3033</v>
      </c>
      <c r="B1797">
        <v>450</v>
      </c>
      <c r="C1797" t="s">
        <v>53</v>
      </c>
      <c r="D1797" t="s">
        <v>34</v>
      </c>
      <c r="E1797" t="s">
        <v>20</v>
      </c>
      <c r="F1797" s="1">
        <v>44616</v>
      </c>
      <c r="G1797" s="1">
        <v>44755</v>
      </c>
      <c r="H1797">
        <v>9968</v>
      </c>
      <c r="I1797">
        <v>2487</v>
      </c>
      <c r="J1797">
        <v>7481</v>
      </c>
      <c r="K1797" t="s">
        <v>54</v>
      </c>
      <c r="L1797">
        <v>4</v>
      </c>
      <c r="M1797" t="str">
        <f t="shared" si="28"/>
        <v>0-6 Months</v>
      </c>
      <c r="N1797" s="1">
        <v>44755</v>
      </c>
      <c r="O1797">
        <v>1</v>
      </c>
      <c r="P1797">
        <v>1796</v>
      </c>
      <c r="Q1797" s="2">
        <v>0.75</v>
      </c>
      <c r="R1797" t="s">
        <v>27</v>
      </c>
      <c r="S1797">
        <v>2022</v>
      </c>
      <c r="T1797" t="s">
        <v>44</v>
      </c>
    </row>
    <row r="1798" spans="1:20" hidden="1" x14ac:dyDescent="0.3">
      <c r="A1798">
        <v>3034</v>
      </c>
      <c r="B1798">
        <v>258</v>
      </c>
      <c r="C1798" t="s">
        <v>39</v>
      </c>
      <c r="D1798" t="s">
        <v>19</v>
      </c>
      <c r="E1798" t="s">
        <v>26</v>
      </c>
      <c r="F1798" s="1">
        <v>44813</v>
      </c>
      <c r="G1798" s="1">
        <v>44930</v>
      </c>
      <c r="H1798">
        <v>4969</v>
      </c>
      <c r="I1798">
        <v>1571</v>
      </c>
      <c r="J1798">
        <v>3398</v>
      </c>
      <c r="K1798" t="s">
        <v>54</v>
      </c>
      <c r="L1798">
        <v>3</v>
      </c>
      <c r="M1798" t="str">
        <f t="shared" si="28"/>
        <v>0-6 Months</v>
      </c>
      <c r="N1798" s="1">
        <v>44930</v>
      </c>
      <c r="O1798">
        <v>1</v>
      </c>
      <c r="P1798">
        <v>1797</v>
      </c>
      <c r="Q1798" s="2">
        <v>0.68</v>
      </c>
      <c r="R1798" t="s">
        <v>27</v>
      </c>
      <c r="S1798">
        <v>2023</v>
      </c>
      <c r="T1798" t="s">
        <v>23</v>
      </c>
    </row>
    <row r="1799" spans="1:20" hidden="1" x14ac:dyDescent="0.3">
      <c r="A1799">
        <v>3035</v>
      </c>
      <c r="B1799">
        <v>458</v>
      </c>
      <c r="C1799" t="s">
        <v>45</v>
      </c>
      <c r="D1799" t="s">
        <v>25</v>
      </c>
      <c r="E1799" t="s">
        <v>37</v>
      </c>
      <c r="F1799" s="1">
        <v>44673</v>
      </c>
      <c r="G1799" s="1">
        <v>44845</v>
      </c>
      <c r="H1799">
        <v>5048</v>
      </c>
      <c r="I1799">
        <v>4829</v>
      </c>
      <c r="J1799">
        <v>219</v>
      </c>
      <c r="K1799" t="s">
        <v>21</v>
      </c>
      <c r="L1799">
        <v>5</v>
      </c>
      <c r="M1799" t="str">
        <f t="shared" si="28"/>
        <v>0-6 Months</v>
      </c>
      <c r="N1799" s="1">
        <v>44845</v>
      </c>
      <c r="O1799">
        <v>1</v>
      </c>
      <c r="P1799">
        <v>1798</v>
      </c>
      <c r="Q1799" s="2">
        <v>0.04</v>
      </c>
      <c r="R1799" t="s">
        <v>27</v>
      </c>
      <c r="S1799">
        <v>2022</v>
      </c>
      <c r="T1799" t="s">
        <v>33</v>
      </c>
    </row>
    <row r="1800" spans="1:20" hidden="1" x14ac:dyDescent="0.3">
      <c r="A1800">
        <v>3036</v>
      </c>
      <c r="B1800">
        <v>288</v>
      </c>
      <c r="C1800" t="s">
        <v>24</v>
      </c>
      <c r="D1800" t="s">
        <v>25</v>
      </c>
      <c r="E1800" t="s">
        <v>26</v>
      </c>
      <c r="F1800" s="1">
        <v>44774</v>
      </c>
      <c r="G1800" s="1">
        <v>45320</v>
      </c>
      <c r="H1800">
        <v>3228</v>
      </c>
      <c r="I1800">
        <v>4012.75</v>
      </c>
      <c r="J1800">
        <v>3931</v>
      </c>
      <c r="K1800" t="s">
        <v>54</v>
      </c>
      <c r="L1800">
        <v>17</v>
      </c>
      <c r="M1800" t="str">
        <f t="shared" si="28"/>
        <v>6-12 Months</v>
      </c>
      <c r="N1800" s="1">
        <v>45320</v>
      </c>
      <c r="O1800">
        <v>1</v>
      </c>
      <c r="P1800">
        <v>1799</v>
      </c>
      <c r="Q1800" s="2">
        <v>1.22</v>
      </c>
      <c r="R1800" t="s">
        <v>22</v>
      </c>
      <c r="S1800">
        <v>2024</v>
      </c>
      <c r="T1800" t="s">
        <v>23</v>
      </c>
    </row>
    <row r="1801" spans="1:20" x14ac:dyDescent="0.3">
      <c r="A1801">
        <v>3037</v>
      </c>
      <c r="B1801">
        <v>408</v>
      </c>
      <c r="C1801" t="s">
        <v>53</v>
      </c>
      <c r="D1801" t="s">
        <v>29</v>
      </c>
      <c r="E1801" t="s">
        <v>20</v>
      </c>
      <c r="F1801" s="1">
        <v>44862</v>
      </c>
      <c r="G1801" s="1">
        <v>45353</v>
      </c>
      <c r="H1801">
        <v>7244</v>
      </c>
      <c r="I1801">
        <v>6950</v>
      </c>
      <c r="J1801">
        <v>294</v>
      </c>
      <c r="K1801" t="s">
        <v>35</v>
      </c>
      <c r="L1801">
        <v>16</v>
      </c>
      <c r="M1801" t="str">
        <f t="shared" si="28"/>
        <v>6-12 Months</v>
      </c>
      <c r="N1801" s="1">
        <v>45353</v>
      </c>
      <c r="O1801">
        <v>0</v>
      </c>
      <c r="P1801">
        <v>1800</v>
      </c>
      <c r="Q1801" s="2">
        <v>0.04</v>
      </c>
      <c r="R1801" t="s">
        <v>27</v>
      </c>
      <c r="S1801">
        <v>2024</v>
      </c>
      <c r="T1801" t="s">
        <v>38</v>
      </c>
    </row>
    <row r="1802" spans="1:20" hidden="1" x14ac:dyDescent="0.3">
      <c r="A1802">
        <v>3038</v>
      </c>
      <c r="B1802">
        <v>213</v>
      </c>
      <c r="C1802" t="s">
        <v>39</v>
      </c>
      <c r="D1802" t="s">
        <v>19</v>
      </c>
      <c r="E1802" t="s">
        <v>37</v>
      </c>
      <c r="F1802" s="1">
        <v>44872</v>
      </c>
      <c r="G1802" s="1">
        <v>45134</v>
      </c>
      <c r="H1802">
        <v>4967.93</v>
      </c>
      <c r="I1802">
        <v>7883</v>
      </c>
      <c r="J1802">
        <v>-9639</v>
      </c>
      <c r="K1802" t="s">
        <v>54</v>
      </c>
      <c r="L1802">
        <v>8</v>
      </c>
      <c r="M1802" t="str">
        <f t="shared" si="28"/>
        <v>6-12 Months</v>
      </c>
      <c r="N1802" s="1">
        <v>45134</v>
      </c>
      <c r="O1802">
        <v>0</v>
      </c>
      <c r="P1802">
        <v>1801</v>
      </c>
      <c r="Q1802" s="2">
        <v>-1.94</v>
      </c>
      <c r="R1802" t="s">
        <v>22</v>
      </c>
      <c r="S1802">
        <v>2023</v>
      </c>
      <c r="T1802" t="s">
        <v>44</v>
      </c>
    </row>
    <row r="1803" spans="1:20" hidden="1" x14ac:dyDescent="0.3">
      <c r="A1803">
        <v>3039</v>
      </c>
      <c r="B1803">
        <v>152</v>
      </c>
      <c r="C1803" t="s">
        <v>39</v>
      </c>
      <c r="D1803" t="s">
        <v>29</v>
      </c>
      <c r="E1803" t="s">
        <v>20</v>
      </c>
      <c r="F1803" s="1">
        <v>44819</v>
      </c>
      <c r="G1803" s="1">
        <v>45223</v>
      </c>
      <c r="H1803">
        <v>9500</v>
      </c>
      <c r="I1803">
        <v>2991</v>
      </c>
      <c r="J1803">
        <v>6509</v>
      </c>
      <c r="K1803" t="s">
        <v>54</v>
      </c>
      <c r="L1803">
        <v>13</v>
      </c>
      <c r="M1803" t="str">
        <f t="shared" si="28"/>
        <v>6-12 Months</v>
      </c>
      <c r="N1803" s="1">
        <v>45223</v>
      </c>
      <c r="O1803">
        <v>1</v>
      </c>
      <c r="P1803">
        <v>1802</v>
      </c>
      <c r="Q1803" s="2">
        <v>0.69</v>
      </c>
      <c r="R1803" t="s">
        <v>27</v>
      </c>
      <c r="S1803">
        <v>2023</v>
      </c>
      <c r="T1803" t="s">
        <v>33</v>
      </c>
    </row>
    <row r="1804" spans="1:20" hidden="1" x14ac:dyDescent="0.3">
      <c r="A1804">
        <v>3041</v>
      </c>
      <c r="B1804">
        <v>206</v>
      </c>
      <c r="C1804" t="s">
        <v>40</v>
      </c>
      <c r="D1804" t="s">
        <v>34</v>
      </c>
      <c r="E1804" t="s">
        <v>37</v>
      </c>
      <c r="F1804" s="1">
        <v>44792</v>
      </c>
      <c r="G1804" s="1">
        <v>44867</v>
      </c>
      <c r="H1804">
        <v>1208</v>
      </c>
      <c r="I1804">
        <v>4988</v>
      </c>
      <c r="J1804">
        <v>-3780</v>
      </c>
      <c r="K1804" t="s">
        <v>21</v>
      </c>
      <c r="L1804">
        <v>2</v>
      </c>
      <c r="M1804" t="str">
        <f t="shared" si="28"/>
        <v>0-6 Months</v>
      </c>
      <c r="N1804" s="1">
        <v>44867</v>
      </c>
      <c r="O1804">
        <v>0</v>
      </c>
      <c r="P1804">
        <v>1803</v>
      </c>
      <c r="Q1804" s="2">
        <v>-3.13</v>
      </c>
      <c r="R1804" t="s">
        <v>22</v>
      </c>
      <c r="S1804">
        <v>2022</v>
      </c>
      <c r="T1804" t="s">
        <v>42</v>
      </c>
    </row>
    <row r="1805" spans="1:20" hidden="1" x14ac:dyDescent="0.3">
      <c r="A1805">
        <v>3042</v>
      </c>
      <c r="B1805">
        <v>442</v>
      </c>
      <c r="C1805" t="s">
        <v>45</v>
      </c>
      <c r="D1805" t="s">
        <v>25</v>
      </c>
      <c r="E1805" t="s">
        <v>26</v>
      </c>
      <c r="F1805" s="1">
        <v>44597</v>
      </c>
      <c r="G1805" s="1">
        <v>44737</v>
      </c>
      <c r="H1805">
        <v>9032</v>
      </c>
      <c r="I1805">
        <v>2105</v>
      </c>
      <c r="J1805">
        <v>6927</v>
      </c>
      <c r="K1805" t="s">
        <v>21</v>
      </c>
      <c r="L1805">
        <v>4</v>
      </c>
      <c r="M1805" t="str">
        <f t="shared" si="28"/>
        <v>0-6 Months</v>
      </c>
      <c r="N1805" s="1">
        <v>44737</v>
      </c>
      <c r="O1805">
        <v>0</v>
      </c>
      <c r="P1805">
        <v>1804</v>
      </c>
      <c r="Q1805" s="2">
        <v>0.77</v>
      </c>
      <c r="R1805" t="s">
        <v>27</v>
      </c>
      <c r="S1805">
        <v>2022</v>
      </c>
      <c r="T1805" t="s">
        <v>41</v>
      </c>
    </row>
    <row r="1806" spans="1:20" hidden="1" x14ac:dyDescent="0.3">
      <c r="A1806">
        <v>3046</v>
      </c>
      <c r="B1806">
        <v>460</v>
      </c>
      <c r="C1806" t="s">
        <v>40</v>
      </c>
      <c r="D1806" t="s">
        <v>29</v>
      </c>
      <c r="E1806" t="s">
        <v>26</v>
      </c>
      <c r="F1806" s="1">
        <v>44724</v>
      </c>
      <c r="G1806" s="1">
        <v>45111</v>
      </c>
      <c r="H1806">
        <v>4517</v>
      </c>
      <c r="I1806">
        <v>5873</v>
      </c>
      <c r="J1806">
        <v>-1356</v>
      </c>
      <c r="K1806" t="s">
        <v>54</v>
      </c>
      <c r="L1806">
        <v>12</v>
      </c>
      <c r="M1806" t="str">
        <f t="shared" si="28"/>
        <v>6-12 Months</v>
      </c>
      <c r="N1806" s="1">
        <v>45111</v>
      </c>
      <c r="O1806">
        <v>0</v>
      </c>
      <c r="P1806">
        <v>1805</v>
      </c>
      <c r="Q1806" s="2">
        <v>-0.3</v>
      </c>
      <c r="R1806" t="s">
        <v>27</v>
      </c>
      <c r="S1806">
        <v>2023</v>
      </c>
      <c r="T1806" t="s">
        <v>44</v>
      </c>
    </row>
    <row r="1807" spans="1:20" hidden="1" x14ac:dyDescent="0.3">
      <c r="A1807">
        <v>3050</v>
      </c>
      <c r="B1807">
        <v>265</v>
      </c>
      <c r="C1807" t="s">
        <v>39</v>
      </c>
      <c r="D1807" t="s">
        <v>25</v>
      </c>
      <c r="E1807" t="s">
        <v>26</v>
      </c>
      <c r="F1807" s="1">
        <v>44610</v>
      </c>
      <c r="G1807" s="1">
        <v>45112</v>
      </c>
      <c r="H1807">
        <v>741</v>
      </c>
      <c r="I1807">
        <v>3877</v>
      </c>
      <c r="J1807">
        <v>-3136</v>
      </c>
      <c r="K1807" t="s">
        <v>21</v>
      </c>
      <c r="L1807">
        <v>16</v>
      </c>
      <c r="M1807" t="str">
        <f t="shared" si="28"/>
        <v>6-12 Months</v>
      </c>
      <c r="N1807" s="1">
        <v>45112</v>
      </c>
      <c r="O1807">
        <v>1</v>
      </c>
      <c r="P1807">
        <v>1806</v>
      </c>
      <c r="Q1807" s="2">
        <v>-4.2300000000000004</v>
      </c>
      <c r="R1807" t="s">
        <v>22</v>
      </c>
      <c r="S1807">
        <v>2023</v>
      </c>
      <c r="T1807" t="s">
        <v>44</v>
      </c>
    </row>
    <row r="1808" spans="1:20" hidden="1" x14ac:dyDescent="0.3">
      <c r="A1808">
        <v>3052</v>
      </c>
      <c r="B1808">
        <v>422</v>
      </c>
      <c r="C1808" t="s">
        <v>24</v>
      </c>
      <c r="D1808" t="s">
        <v>34</v>
      </c>
      <c r="E1808" t="s">
        <v>26</v>
      </c>
      <c r="F1808" s="1">
        <v>44865</v>
      </c>
      <c r="G1808" s="1">
        <v>45142</v>
      </c>
      <c r="H1808">
        <v>6250</v>
      </c>
      <c r="I1808">
        <v>1291</v>
      </c>
      <c r="J1808">
        <v>4959</v>
      </c>
      <c r="K1808" t="s">
        <v>21</v>
      </c>
      <c r="L1808">
        <v>9</v>
      </c>
      <c r="M1808" t="str">
        <f t="shared" si="28"/>
        <v>6-12 Months</v>
      </c>
      <c r="N1808" s="1">
        <v>45142</v>
      </c>
      <c r="O1808">
        <v>1</v>
      </c>
      <c r="P1808">
        <v>1807</v>
      </c>
      <c r="Q1808" s="2">
        <v>0.79</v>
      </c>
      <c r="R1808" t="s">
        <v>27</v>
      </c>
      <c r="S1808">
        <v>2023</v>
      </c>
      <c r="T1808" t="s">
        <v>36</v>
      </c>
    </row>
    <row r="1809" spans="1:20" hidden="1" x14ac:dyDescent="0.3">
      <c r="A1809">
        <v>3055</v>
      </c>
      <c r="B1809">
        <v>364</v>
      </c>
      <c r="C1809" t="s">
        <v>40</v>
      </c>
      <c r="D1809" t="s">
        <v>34</v>
      </c>
      <c r="E1809" t="s">
        <v>37</v>
      </c>
      <c r="F1809" s="1">
        <v>44738</v>
      </c>
      <c r="G1809" s="1">
        <v>44833</v>
      </c>
      <c r="H1809">
        <v>4312</v>
      </c>
      <c r="I1809">
        <v>589</v>
      </c>
      <c r="J1809">
        <v>3723</v>
      </c>
      <c r="K1809" t="s">
        <v>54</v>
      </c>
      <c r="L1809">
        <v>3</v>
      </c>
      <c r="M1809" t="str">
        <f t="shared" si="28"/>
        <v>0-6 Months</v>
      </c>
      <c r="N1809" s="1">
        <v>44833</v>
      </c>
      <c r="O1809">
        <v>1</v>
      </c>
      <c r="P1809">
        <v>1808</v>
      </c>
      <c r="Q1809" s="2">
        <v>0.86</v>
      </c>
      <c r="R1809" t="s">
        <v>27</v>
      </c>
      <c r="S1809">
        <v>2022</v>
      </c>
      <c r="T1809" t="s">
        <v>30</v>
      </c>
    </row>
    <row r="1810" spans="1:20" x14ac:dyDescent="0.3">
      <c r="A1810">
        <v>3058</v>
      </c>
      <c r="B1810">
        <v>187</v>
      </c>
      <c r="C1810" t="s">
        <v>39</v>
      </c>
      <c r="D1810" t="s">
        <v>19</v>
      </c>
      <c r="E1810" t="s">
        <v>20</v>
      </c>
      <c r="F1810" s="1">
        <v>44746</v>
      </c>
      <c r="G1810" s="1">
        <v>45212</v>
      </c>
      <c r="H1810">
        <v>6216</v>
      </c>
      <c r="I1810">
        <v>6446</v>
      </c>
      <c r="J1810">
        <v>-230</v>
      </c>
      <c r="K1810" t="s">
        <v>35</v>
      </c>
      <c r="L1810">
        <v>15</v>
      </c>
      <c r="M1810" t="str">
        <f t="shared" si="28"/>
        <v>6-12 Months</v>
      </c>
      <c r="N1810" s="1">
        <v>45212</v>
      </c>
      <c r="O1810">
        <v>0</v>
      </c>
      <c r="P1810">
        <v>1809</v>
      </c>
      <c r="Q1810" s="2">
        <v>-0.04</v>
      </c>
      <c r="R1810" t="s">
        <v>27</v>
      </c>
      <c r="S1810">
        <v>2023</v>
      </c>
      <c r="T1810" t="s">
        <v>33</v>
      </c>
    </row>
    <row r="1811" spans="1:20" hidden="1" x14ac:dyDescent="0.3">
      <c r="A1811">
        <v>3059</v>
      </c>
      <c r="B1811">
        <v>457</v>
      </c>
      <c r="C1811" t="s">
        <v>39</v>
      </c>
      <c r="D1811" t="s">
        <v>34</v>
      </c>
      <c r="E1811" t="s">
        <v>37</v>
      </c>
      <c r="F1811" s="1">
        <v>44659</v>
      </c>
      <c r="G1811" s="1">
        <v>44952</v>
      </c>
      <c r="H1811">
        <v>9893</v>
      </c>
      <c r="I1811">
        <v>3807</v>
      </c>
      <c r="J1811">
        <v>6086</v>
      </c>
      <c r="K1811" t="s">
        <v>54</v>
      </c>
      <c r="L1811">
        <v>9</v>
      </c>
      <c r="M1811" t="str">
        <f t="shared" si="28"/>
        <v>6-12 Months</v>
      </c>
      <c r="N1811" s="1">
        <v>44952</v>
      </c>
      <c r="O1811">
        <v>1</v>
      </c>
      <c r="P1811">
        <v>1810</v>
      </c>
      <c r="Q1811" s="2">
        <v>0.62</v>
      </c>
      <c r="R1811" t="s">
        <v>27</v>
      </c>
      <c r="S1811">
        <v>2023</v>
      </c>
      <c r="T1811" t="s">
        <v>23</v>
      </c>
    </row>
    <row r="1812" spans="1:20" hidden="1" x14ac:dyDescent="0.3">
      <c r="A1812">
        <v>3060</v>
      </c>
      <c r="B1812">
        <v>491</v>
      </c>
      <c r="C1812" t="s">
        <v>24</v>
      </c>
      <c r="D1812" t="s">
        <v>29</v>
      </c>
      <c r="E1812" t="s">
        <v>37</v>
      </c>
      <c r="F1812" s="1">
        <v>44890</v>
      </c>
      <c r="G1812" s="1">
        <v>45435</v>
      </c>
      <c r="H1812">
        <v>9660</v>
      </c>
      <c r="I1812">
        <v>2367</v>
      </c>
      <c r="J1812">
        <v>7293</v>
      </c>
      <c r="K1812" t="s">
        <v>21</v>
      </c>
      <c r="L1812">
        <v>17</v>
      </c>
      <c r="M1812" t="str">
        <f t="shared" si="28"/>
        <v>6-12 Months</v>
      </c>
      <c r="N1812" s="1">
        <v>45435</v>
      </c>
      <c r="O1812">
        <v>0</v>
      </c>
      <c r="P1812">
        <v>1811</v>
      </c>
      <c r="Q1812" s="2">
        <v>0.75</v>
      </c>
      <c r="R1812" t="s">
        <v>27</v>
      </c>
      <c r="S1812">
        <v>2024</v>
      </c>
      <c r="T1812" t="s">
        <v>28</v>
      </c>
    </row>
    <row r="1813" spans="1:20" hidden="1" x14ac:dyDescent="0.3">
      <c r="A1813">
        <v>3061</v>
      </c>
      <c r="B1813">
        <v>451</v>
      </c>
      <c r="C1813" t="s">
        <v>24</v>
      </c>
      <c r="D1813" t="s">
        <v>29</v>
      </c>
      <c r="E1813" t="s">
        <v>26</v>
      </c>
      <c r="F1813" s="1">
        <v>44641</v>
      </c>
      <c r="G1813" s="1">
        <v>45231</v>
      </c>
      <c r="H1813">
        <v>715</v>
      </c>
      <c r="I1813">
        <v>2040</v>
      </c>
      <c r="J1813">
        <v>-1325</v>
      </c>
      <c r="K1813" t="s">
        <v>54</v>
      </c>
      <c r="L1813">
        <v>19</v>
      </c>
      <c r="M1813" t="str">
        <f t="shared" si="28"/>
        <v>6-12 Months</v>
      </c>
      <c r="N1813" s="1">
        <v>45231</v>
      </c>
      <c r="O1813">
        <v>1</v>
      </c>
      <c r="P1813">
        <v>1812</v>
      </c>
      <c r="Q1813" s="2">
        <v>-1.85</v>
      </c>
      <c r="R1813" t="s">
        <v>22</v>
      </c>
      <c r="S1813">
        <v>2023</v>
      </c>
      <c r="T1813" t="s">
        <v>42</v>
      </c>
    </row>
    <row r="1814" spans="1:20" x14ac:dyDescent="0.3">
      <c r="A1814">
        <v>3062</v>
      </c>
      <c r="B1814">
        <v>255</v>
      </c>
      <c r="C1814" t="s">
        <v>45</v>
      </c>
      <c r="D1814" t="s">
        <v>25</v>
      </c>
      <c r="E1814" t="s">
        <v>26</v>
      </c>
      <c r="F1814" s="1">
        <v>44816</v>
      </c>
      <c r="G1814" s="1">
        <v>45271</v>
      </c>
      <c r="H1814">
        <v>2762</v>
      </c>
      <c r="I1814">
        <v>3427</v>
      </c>
      <c r="J1814">
        <v>-665</v>
      </c>
      <c r="K1814" t="s">
        <v>35</v>
      </c>
      <c r="L1814">
        <v>14</v>
      </c>
      <c r="M1814" t="str">
        <f t="shared" si="28"/>
        <v>6-12 Months</v>
      </c>
      <c r="N1814" s="1">
        <v>45271</v>
      </c>
      <c r="O1814">
        <v>1</v>
      </c>
      <c r="P1814">
        <v>1813</v>
      </c>
      <c r="Q1814" s="2">
        <v>-0.24</v>
      </c>
      <c r="R1814" t="s">
        <v>27</v>
      </c>
      <c r="S1814">
        <v>2023</v>
      </c>
      <c r="T1814" t="s">
        <v>31</v>
      </c>
    </row>
    <row r="1815" spans="1:20" hidden="1" x14ac:dyDescent="0.3">
      <c r="A1815">
        <v>3063</v>
      </c>
      <c r="B1815">
        <v>330</v>
      </c>
      <c r="C1815" t="s">
        <v>39</v>
      </c>
      <c r="D1815" t="s">
        <v>34</v>
      </c>
      <c r="E1815" t="s">
        <v>37</v>
      </c>
      <c r="F1815" s="1">
        <v>44624</v>
      </c>
      <c r="G1815" s="1">
        <v>45029</v>
      </c>
      <c r="H1815">
        <v>8699</v>
      </c>
      <c r="I1815">
        <v>2213</v>
      </c>
      <c r="J1815">
        <v>6486</v>
      </c>
      <c r="K1815" t="s">
        <v>54</v>
      </c>
      <c r="L1815">
        <v>13</v>
      </c>
      <c r="M1815" t="str">
        <f t="shared" si="28"/>
        <v>6-12 Months</v>
      </c>
      <c r="N1815" s="1">
        <v>45029</v>
      </c>
      <c r="O1815">
        <v>1</v>
      </c>
      <c r="P1815">
        <v>1814</v>
      </c>
      <c r="Q1815" s="2">
        <v>0.75</v>
      </c>
      <c r="R1815" t="s">
        <v>27</v>
      </c>
      <c r="S1815">
        <v>2023</v>
      </c>
      <c r="T1815" t="s">
        <v>32</v>
      </c>
    </row>
    <row r="1816" spans="1:20" x14ac:dyDescent="0.3">
      <c r="A1816">
        <v>3064</v>
      </c>
      <c r="B1816">
        <v>250</v>
      </c>
      <c r="C1816" t="s">
        <v>24</v>
      </c>
      <c r="D1816" t="s">
        <v>34</v>
      </c>
      <c r="E1816" t="s">
        <v>26</v>
      </c>
      <c r="F1816" s="1">
        <v>44667</v>
      </c>
      <c r="G1816" s="1">
        <v>44852</v>
      </c>
      <c r="H1816">
        <v>4967.93</v>
      </c>
      <c r="I1816">
        <v>7033</v>
      </c>
      <c r="J1816">
        <v>-7736</v>
      </c>
      <c r="K1816" t="s">
        <v>35</v>
      </c>
      <c r="L1816">
        <v>6</v>
      </c>
      <c r="M1816" t="str">
        <f t="shared" si="28"/>
        <v>12+ Months</v>
      </c>
      <c r="N1816" s="1">
        <v>44852</v>
      </c>
      <c r="O1816">
        <v>1</v>
      </c>
      <c r="P1816">
        <v>1815</v>
      </c>
      <c r="Q1816" s="2">
        <v>-1.56</v>
      </c>
      <c r="R1816" t="s">
        <v>22</v>
      </c>
      <c r="S1816">
        <v>2022</v>
      </c>
      <c r="T1816" t="s">
        <v>33</v>
      </c>
    </row>
    <row r="1817" spans="1:20" hidden="1" x14ac:dyDescent="0.3">
      <c r="A1817">
        <v>3066</v>
      </c>
      <c r="B1817">
        <v>399</v>
      </c>
      <c r="C1817" t="s">
        <v>53</v>
      </c>
      <c r="D1817" t="s">
        <v>29</v>
      </c>
      <c r="E1817" t="s">
        <v>26</v>
      </c>
      <c r="F1817" s="1">
        <v>44776</v>
      </c>
      <c r="G1817" s="1">
        <v>44921</v>
      </c>
      <c r="H1817">
        <v>7590</v>
      </c>
      <c r="I1817">
        <v>3943</v>
      </c>
      <c r="J1817">
        <v>3647</v>
      </c>
      <c r="K1817" t="s">
        <v>21</v>
      </c>
      <c r="L1817">
        <v>4</v>
      </c>
      <c r="M1817" t="str">
        <f t="shared" si="28"/>
        <v>0-6 Months</v>
      </c>
      <c r="N1817" s="1">
        <v>44921</v>
      </c>
      <c r="O1817">
        <v>0</v>
      </c>
      <c r="P1817">
        <v>1816</v>
      </c>
      <c r="Q1817" s="2">
        <v>0.48</v>
      </c>
      <c r="R1817" t="s">
        <v>27</v>
      </c>
      <c r="S1817">
        <v>2022</v>
      </c>
      <c r="T1817" t="s">
        <v>31</v>
      </c>
    </row>
    <row r="1818" spans="1:20" hidden="1" x14ac:dyDescent="0.3">
      <c r="A1818">
        <v>3069</v>
      </c>
      <c r="B1818">
        <v>458</v>
      </c>
      <c r="C1818" t="s">
        <v>53</v>
      </c>
      <c r="D1818" t="s">
        <v>25</v>
      </c>
      <c r="E1818" t="s">
        <v>20</v>
      </c>
      <c r="F1818" s="1">
        <v>44894</v>
      </c>
      <c r="G1818" s="1">
        <v>45450</v>
      </c>
      <c r="H1818">
        <v>6533</v>
      </c>
      <c r="I1818">
        <v>4722</v>
      </c>
      <c r="J1818">
        <v>577.01</v>
      </c>
      <c r="K1818" t="s">
        <v>21</v>
      </c>
      <c r="L1818">
        <v>18</v>
      </c>
      <c r="M1818" t="str">
        <f t="shared" si="28"/>
        <v>6-12 Months</v>
      </c>
      <c r="N1818" s="1">
        <v>45450</v>
      </c>
      <c r="O1818">
        <v>0</v>
      </c>
      <c r="P1818">
        <v>1817</v>
      </c>
      <c r="Q1818" s="2">
        <v>0.09</v>
      </c>
      <c r="R1818" t="s">
        <v>27</v>
      </c>
      <c r="S1818">
        <v>2024</v>
      </c>
      <c r="T1818" t="s">
        <v>41</v>
      </c>
    </row>
    <row r="1819" spans="1:20" x14ac:dyDescent="0.3">
      <c r="A1819">
        <v>3070</v>
      </c>
      <c r="B1819">
        <v>432</v>
      </c>
      <c r="C1819" t="s">
        <v>39</v>
      </c>
      <c r="D1819" t="s">
        <v>25</v>
      </c>
      <c r="E1819" t="s">
        <v>20</v>
      </c>
      <c r="F1819" s="1">
        <v>44668</v>
      </c>
      <c r="G1819" s="1">
        <v>45032</v>
      </c>
      <c r="H1819">
        <v>9874</v>
      </c>
      <c r="I1819">
        <v>4012.75</v>
      </c>
      <c r="J1819">
        <v>10215</v>
      </c>
      <c r="K1819" t="s">
        <v>35</v>
      </c>
      <c r="L1819">
        <v>11</v>
      </c>
      <c r="M1819" t="str">
        <f t="shared" si="28"/>
        <v>6-12 Months</v>
      </c>
      <c r="N1819" s="1">
        <v>45032</v>
      </c>
      <c r="O1819">
        <v>1</v>
      </c>
      <c r="P1819">
        <v>1818</v>
      </c>
      <c r="Q1819" s="2">
        <v>1.03</v>
      </c>
      <c r="R1819" t="s">
        <v>22</v>
      </c>
      <c r="S1819">
        <v>2023</v>
      </c>
      <c r="T1819" t="s">
        <v>32</v>
      </c>
    </row>
    <row r="1820" spans="1:20" hidden="1" x14ac:dyDescent="0.3">
      <c r="A1820">
        <v>3071</v>
      </c>
      <c r="B1820">
        <v>123</v>
      </c>
      <c r="C1820" t="s">
        <v>24</v>
      </c>
      <c r="D1820" t="s">
        <v>19</v>
      </c>
      <c r="E1820" t="s">
        <v>37</v>
      </c>
      <c r="F1820" s="1">
        <v>44870</v>
      </c>
      <c r="G1820" s="1">
        <v>45388</v>
      </c>
      <c r="H1820">
        <v>2294</v>
      </c>
      <c r="I1820">
        <v>3424</v>
      </c>
      <c r="J1820">
        <v>577.01</v>
      </c>
      <c r="K1820" t="s">
        <v>54</v>
      </c>
      <c r="L1820">
        <v>17</v>
      </c>
      <c r="M1820" t="str">
        <f t="shared" si="28"/>
        <v>6-12 Months</v>
      </c>
      <c r="N1820" s="1">
        <v>45388</v>
      </c>
      <c r="O1820">
        <v>0</v>
      </c>
      <c r="P1820">
        <v>1819</v>
      </c>
      <c r="Q1820" s="2">
        <v>0.25</v>
      </c>
      <c r="R1820" t="s">
        <v>27</v>
      </c>
      <c r="S1820">
        <v>2024</v>
      </c>
      <c r="T1820" t="s">
        <v>32</v>
      </c>
    </row>
    <row r="1821" spans="1:20" x14ac:dyDescent="0.3">
      <c r="A1821">
        <v>3072</v>
      </c>
      <c r="B1821">
        <v>106</v>
      </c>
      <c r="C1821" t="s">
        <v>45</v>
      </c>
      <c r="D1821" t="s">
        <v>29</v>
      </c>
      <c r="E1821" t="s">
        <v>37</v>
      </c>
      <c r="F1821" s="1">
        <v>44578</v>
      </c>
      <c r="G1821" s="1">
        <v>44798</v>
      </c>
      <c r="H1821">
        <v>278</v>
      </c>
      <c r="I1821">
        <v>524</v>
      </c>
      <c r="J1821">
        <v>-246</v>
      </c>
      <c r="K1821" t="s">
        <v>35</v>
      </c>
      <c r="L1821">
        <v>7</v>
      </c>
      <c r="M1821" t="str">
        <f t="shared" si="28"/>
        <v>6-12 Months</v>
      </c>
      <c r="N1821" s="1">
        <v>44798</v>
      </c>
      <c r="O1821">
        <v>0</v>
      </c>
      <c r="P1821">
        <v>1820</v>
      </c>
      <c r="Q1821" s="2">
        <v>-0.88</v>
      </c>
      <c r="R1821" t="s">
        <v>27</v>
      </c>
      <c r="S1821">
        <v>2022</v>
      </c>
      <c r="T1821" t="s">
        <v>36</v>
      </c>
    </row>
    <row r="1822" spans="1:20" x14ac:dyDescent="0.3">
      <c r="A1822">
        <v>3073</v>
      </c>
      <c r="B1822">
        <v>315</v>
      </c>
      <c r="C1822" t="s">
        <v>24</v>
      </c>
      <c r="D1822" t="s">
        <v>29</v>
      </c>
      <c r="E1822" t="s">
        <v>37</v>
      </c>
      <c r="F1822" s="1">
        <v>44637</v>
      </c>
      <c r="G1822" s="1">
        <v>45159</v>
      </c>
      <c r="H1822">
        <v>4756</v>
      </c>
      <c r="I1822">
        <v>3509</v>
      </c>
      <c r="J1822">
        <v>1247</v>
      </c>
      <c r="K1822" t="s">
        <v>35</v>
      </c>
      <c r="L1822">
        <v>17</v>
      </c>
      <c r="M1822" t="str">
        <f t="shared" si="28"/>
        <v>6-12 Months</v>
      </c>
      <c r="N1822" s="1">
        <v>45159</v>
      </c>
      <c r="O1822">
        <v>0</v>
      </c>
      <c r="P1822">
        <v>1821</v>
      </c>
      <c r="Q1822" s="2">
        <v>0.26</v>
      </c>
      <c r="R1822" t="s">
        <v>27</v>
      </c>
      <c r="S1822">
        <v>2023</v>
      </c>
      <c r="T1822" t="s">
        <v>36</v>
      </c>
    </row>
    <row r="1823" spans="1:20" hidden="1" x14ac:dyDescent="0.3">
      <c r="A1823">
        <v>3076</v>
      </c>
      <c r="B1823">
        <v>357</v>
      </c>
      <c r="C1823" t="s">
        <v>45</v>
      </c>
      <c r="D1823" t="s">
        <v>29</v>
      </c>
      <c r="E1823" t="s">
        <v>37</v>
      </c>
      <c r="F1823" s="1">
        <v>44585</v>
      </c>
      <c r="G1823" s="1">
        <v>44926</v>
      </c>
      <c r="H1823">
        <v>4967.93</v>
      </c>
      <c r="I1823">
        <v>7651</v>
      </c>
      <c r="J1823">
        <v>-9470</v>
      </c>
      <c r="K1823" t="s">
        <v>54</v>
      </c>
      <c r="L1823">
        <v>11</v>
      </c>
      <c r="M1823" t="str">
        <f t="shared" si="28"/>
        <v>6-12 Months</v>
      </c>
      <c r="N1823" s="1">
        <v>44926</v>
      </c>
      <c r="O1823">
        <v>1</v>
      </c>
      <c r="P1823">
        <v>1822</v>
      </c>
      <c r="Q1823" s="2">
        <v>-1.91</v>
      </c>
      <c r="R1823" t="s">
        <v>22</v>
      </c>
      <c r="S1823">
        <v>2022</v>
      </c>
      <c r="T1823" t="s">
        <v>31</v>
      </c>
    </row>
    <row r="1824" spans="1:20" hidden="1" x14ac:dyDescent="0.3">
      <c r="A1824">
        <v>3077</v>
      </c>
      <c r="B1824">
        <v>349</v>
      </c>
      <c r="C1824" t="s">
        <v>24</v>
      </c>
      <c r="D1824" t="s">
        <v>34</v>
      </c>
      <c r="E1824" t="s">
        <v>20</v>
      </c>
      <c r="F1824" s="1">
        <v>44774</v>
      </c>
      <c r="G1824" s="1">
        <v>45274</v>
      </c>
      <c r="H1824">
        <v>1350</v>
      </c>
      <c r="I1824">
        <v>4012.75</v>
      </c>
      <c r="J1824">
        <v>2151</v>
      </c>
      <c r="K1824" t="s">
        <v>54</v>
      </c>
      <c r="L1824">
        <v>16</v>
      </c>
      <c r="M1824" t="str">
        <f t="shared" si="28"/>
        <v>6-12 Months</v>
      </c>
      <c r="N1824" s="1">
        <v>45274</v>
      </c>
      <c r="O1824">
        <v>1</v>
      </c>
      <c r="P1824">
        <v>1823</v>
      </c>
      <c r="Q1824" s="2">
        <v>1.59</v>
      </c>
      <c r="R1824" t="s">
        <v>22</v>
      </c>
      <c r="S1824">
        <v>2023</v>
      </c>
      <c r="T1824" t="s">
        <v>31</v>
      </c>
    </row>
    <row r="1825" spans="1:20" hidden="1" x14ac:dyDescent="0.3">
      <c r="A1825">
        <v>3078</v>
      </c>
      <c r="B1825">
        <v>123</v>
      </c>
      <c r="C1825" t="s">
        <v>24</v>
      </c>
      <c r="D1825" t="s">
        <v>25</v>
      </c>
      <c r="E1825" t="s">
        <v>37</v>
      </c>
      <c r="F1825" s="1">
        <v>44660</v>
      </c>
      <c r="G1825" s="1">
        <v>44921</v>
      </c>
      <c r="H1825">
        <v>7235</v>
      </c>
      <c r="I1825">
        <v>4012.75</v>
      </c>
      <c r="J1825">
        <v>8052</v>
      </c>
      <c r="K1825" t="s">
        <v>54</v>
      </c>
      <c r="L1825">
        <v>8</v>
      </c>
      <c r="M1825" t="str">
        <f t="shared" si="28"/>
        <v>6-12 Months</v>
      </c>
      <c r="N1825" s="1">
        <v>44921</v>
      </c>
      <c r="O1825">
        <v>0</v>
      </c>
      <c r="P1825">
        <v>1824</v>
      </c>
      <c r="Q1825" s="2">
        <v>1.1100000000000001</v>
      </c>
      <c r="R1825" t="s">
        <v>22</v>
      </c>
      <c r="S1825">
        <v>2022</v>
      </c>
      <c r="T1825" t="s">
        <v>31</v>
      </c>
    </row>
    <row r="1826" spans="1:20" hidden="1" x14ac:dyDescent="0.3">
      <c r="A1826">
        <v>3079</v>
      </c>
      <c r="B1826">
        <v>307</v>
      </c>
      <c r="C1826" t="s">
        <v>39</v>
      </c>
      <c r="D1826" t="s">
        <v>25</v>
      </c>
      <c r="E1826" t="s">
        <v>26</v>
      </c>
      <c r="F1826" s="1">
        <v>44673</v>
      </c>
      <c r="G1826" s="1">
        <v>45101</v>
      </c>
      <c r="H1826">
        <v>6636</v>
      </c>
      <c r="I1826">
        <v>5734</v>
      </c>
      <c r="J1826">
        <v>902</v>
      </c>
      <c r="K1826" t="s">
        <v>21</v>
      </c>
      <c r="L1826">
        <v>14</v>
      </c>
      <c r="M1826" t="str">
        <f t="shared" si="28"/>
        <v>6-12 Months</v>
      </c>
      <c r="N1826" s="1">
        <v>45101</v>
      </c>
      <c r="O1826">
        <v>0</v>
      </c>
      <c r="P1826">
        <v>1825</v>
      </c>
      <c r="Q1826" s="2">
        <v>0.14000000000000001</v>
      </c>
      <c r="R1826" t="s">
        <v>27</v>
      </c>
      <c r="S1826">
        <v>2023</v>
      </c>
      <c r="T1826" t="s">
        <v>41</v>
      </c>
    </row>
    <row r="1827" spans="1:20" hidden="1" x14ac:dyDescent="0.3">
      <c r="A1827">
        <v>3080</v>
      </c>
      <c r="B1827">
        <v>496</v>
      </c>
      <c r="C1827" t="s">
        <v>24</v>
      </c>
      <c r="D1827" t="s">
        <v>34</v>
      </c>
      <c r="E1827" t="s">
        <v>26</v>
      </c>
      <c r="F1827" s="1">
        <v>44570</v>
      </c>
      <c r="G1827" s="1">
        <v>44876</v>
      </c>
      <c r="H1827">
        <v>4967.93</v>
      </c>
      <c r="I1827">
        <v>5879</v>
      </c>
      <c r="J1827">
        <v>-7051</v>
      </c>
      <c r="K1827" t="s">
        <v>21</v>
      </c>
      <c r="L1827">
        <v>10</v>
      </c>
      <c r="M1827" t="str">
        <f t="shared" si="28"/>
        <v>6-12 Months</v>
      </c>
      <c r="N1827" s="1">
        <v>44876</v>
      </c>
      <c r="O1827">
        <v>0</v>
      </c>
      <c r="P1827">
        <v>1826</v>
      </c>
      <c r="Q1827" s="2">
        <v>-1.42</v>
      </c>
      <c r="R1827" t="s">
        <v>22</v>
      </c>
      <c r="S1827">
        <v>2022</v>
      </c>
      <c r="T1827" t="s">
        <v>42</v>
      </c>
    </row>
    <row r="1828" spans="1:20" hidden="1" x14ac:dyDescent="0.3">
      <c r="A1828">
        <v>3081</v>
      </c>
      <c r="B1828">
        <v>304</v>
      </c>
      <c r="C1828" t="s">
        <v>39</v>
      </c>
      <c r="D1828" t="s">
        <v>29</v>
      </c>
      <c r="E1828" t="s">
        <v>26</v>
      </c>
      <c r="F1828" s="1">
        <v>44671</v>
      </c>
      <c r="G1828" s="1">
        <v>44846</v>
      </c>
      <c r="H1828">
        <v>7002</v>
      </c>
      <c r="I1828">
        <v>1249</v>
      </c>
      <c r="J1828">
        <v>5753</v>
      </c>
      <c r="K1828" t="s">
        <v>54</v>
      </c>
      <c r="L1828">
        <v>5</v>
      </c>
      <c r="M1828" t="str">
        <f t="shared" si="28"/>
        <v>0-6 Months</v>
      </c>
      <c r="N1828" s="1">
        <v>44846</v>
      </c>
      <c r="O1828">
        <v>1</v>
      </c>
      <c r="P1828">
        <v>1827</v>
      </c>
      <c r="Q1828" s="2">
        <v>0.82</v>
      </c>
      <c r="R1828" t="s">
        <v>27</v>
      </c>
      <c r="S1828">
        <v>2022</v>
      </c>
      <c r="T1828" t="s">
        <v>33</v>
      </c>
    </row>
    <row r="1829" spans="1:20" hidden="1" x14ac:dyDescent="0.3">
      <c r="A1829">
        <v>3082</v>
      </c>
      <c r="B1829">
        <v>365</v>
      </c>
      <c r="C1829" t="s">
        <v>39</v>
      </c>
      <c r="D1829" t="s">
        <v>19</v>
      </c>
      <c r="E1829" t="s">
        <v>26</v>
      </c>
      <c r="F1829" s="1">
        <v>44877</v>
      </c>
      <c r="G1829" s="1">
        <v>45069</v>
      </c>
      <c r="H1829">
        <v>8853</v>
      </c>
      <c r="I1829">
        <v>2120</v>
      </c>
      <c r="J1829">
        <v>6733</v>
      </c>
      <c r="K1829" t="s">
        <v>54</v>
      </c>
      <c r="L1829">
        <v>6</v>
      </c>
      <c r="M1829" t="str">
        <f t="shared" si="28"/>
        <v>12+ Months</v>
      </c>
      <c r="N1829" s="1">
        <v>45069</v>
      </c>
      <c r="O1829">
        <v>1</v>
      </c>
      <c r="P1829">
        <v>1828</v>
      </c>
      <c r="Q1829" s="2">
        <v>0.76</v>
      </c>
      <c r="R1829" t="s">
        <v>27</v>
      </c>
      <c r="S1829">
        <v>2023</v>
      </c>
      <c r="T1829" t="s">
        <v>28</v>
      </c>
    </row>
    <row r="1830" spans="1:20" hidden="1" x14ac:dyDescent="0.3">
      <c r="A1830">
        <v>3085</v>
      </c>
      <c r="B1830">
        <v>404</v>
      </c>
      <c r="C1830" t="s">
        <v>24</v>
      </c>
      <c r="D1830" t="s">
        <v>29</v>
      </c>
      <c r="E1830" t="s">
        <v>26</v>
      </c>
      <c r="F1830" s="1">
        <v>44567</v>
      </c>
      <c r="G1830" s="1">
        <v>44757</v>
      </c>
      <c r="H1830">
        <v>4563</v>
      </c>
      <c r="I1830">
        <v>7612</v>
      </c>
      <c r="J1830">
        <v>-3049</v>
      </c>
      <c r="K1830" t="s">
        <v>54</v>
      </c>
      <c r="L1830">
        <v>6</v>
      </c>
      <c r="M1830" t="str">
        <f t="shared" si="28"/>
        <v>12+ Months</v>
      </c>
      <c r="N1830" s="1">
        <v>44757</v>
      </c>
      <c r="O1830">
        <v>1</v>
      </c>
      <c r="P1830">
        <v>1829</v>
      </c>
      <c r="Q1830" s="2">
        <v>-0.67</v>
      </c>
      <c r="R1830" t="s">
        <v>27</v>
      </c>
      <c r="S1830">
        <v>2022</v>
      </c>
      <c r="T1830" t="s">
        <v>44</v>
      </c>
    </row>
    <row r="1831" spans="1:20" hidden="1" x14ac:dyDescent="0.3">
      <c r="A1831">
        <v>3088</v>
      </c>
      <c r="B1831">
        <v>196</v>
      </c>
      <c r="C1831" t="s">
        <v>53</v>
      </c>
      <c r="D1831" t="s">
        <v>19</v>
      </c>
      <c r="E1831" t="s">
        <v>26</v>
      </c>
      <c r="F1831" s="1">
        <v>44725</v>
      </c>
      <c r="G1831" s="1">
        <v>44993</v>
      </c>
      <c r="H1831">
        <v>4888</v>
      </c>
      <c r="I1831">
        <v>7738</v>
      </c>
      <c r="J1831">
        <v>-2850</v>
      </c>
      <c r="K1831" t="s">
        <v>54</v>
      </c>
      <c r="L1831">
        <v>8</v>
      </c>
      <c r="M1831" t="str">
        <f t="shared" si="28"/>
        <v>6-12 Months</v>
      </c>
      <c r="N1831" s="1">
        <v>44993</v>
      </c>
      <c r="O1831">
        <v>1</v>
      </c>
      <c r="P1831">
        <v>1830</v>
      </c>
      <c r="Q1831" s="2">
        <v>-0.57999999999999996</v>
      </c>
      <c r="R1831" t="s">
        <v>27</v>
      </c>
      <c r="S1831">
        <v>2023</v>
      </c>
      <c r="T1831" t="s">
        <v>38</v>
      </c>
    </row>
    <row r="1832" spans="1:20" hidden="1" x14ac:dyDescent="0.3">
      <c r="A1832">
        <v>3090</v>
      </c>
      <c r="B1832">
        <v>247</v>
      </c>
      <c r="C1832" t="s">
        <v>45</v>
      </c>
      <c r="D1832" t="s">
        <v>34</v>
      </c>
      <c r="E1832" t="s">
        <v>20</v>
      </c>
      <c r="F1832" s="1">
        <v>44834</v>
      </c>
      <c r="G1832" s="1">
        <v>44869</v>
      </c>
      <c r="H1832">
        <v>19</v>
      </c>
      <c r="I1832">
        <v>2813</v>
      </c>
      <c r="J1832">
        <v>-2794</v>
      </c>
      <c r="K1832" t="s">
        <v>21</v>
      </c>
      <c r="L1832">
        <v>1</v>
      </c>
      <c r="M1832" t="str">
        <f t="shared" si="28"/>
        <v>0-6 Months</v>
      </c>
      <c r="N1832" s="1">
        <v>44869</v>
      </c>
      <c r="O1832">
        <v>0</v>
      </c>
      <c r="P1832">
        <v>1831</v>
      </c>
      <c r="Q1832" s="2">
        <v>-147.05000000000001</v>
      </c>
      <c r="R1832" t="s">
        <v>22</v>
      </c>
      <c r="S1832">
        <v>2022</v>
      </c>
      <c r="T1832" t="s">
        <v>42</v>
      </c>
    </row>
    <row r="1833" spans="1:20" x14ac:dyDescent="0.3">
      <c r="A1833">
        <v>3093</v>
      </c>
      <c r="B1833">
        <v>369</v>
      </c>
      <c r="C1833" t="s">
        <v>53</v>
      </c>
      <c r="D1833" t="s">
        <v>19</v>
      </c>
      <c r="E1833" t="s">
        <v>26</v>
      </c>
      <c r="F1833" s="1">
        <v>44589</v>
      </c>
      <c r="G1833" s="1">
        <v>44950</v>
      </c>
      <c r="H1833">
        <v>6294</v>
      </c>
      <c r="I1833">
        <v>7435</v>
      </c>
      <c r="J1833">
        <v>-1141</v>
      </c>
      <c r="K1833" t="s">
        <v>35</v>
      </c>
      <c r="L1833">
        <v>11</v>
      </c>
      <c r="M1833" t="str">
        <f t="shared" si="28"/>
        <v>6-12 Months</v>
      </c>
      <c r="N1833" s="1">
        <v>44950</v>
      </c>
      <c r="O1833">
        <v>0</v>
      </c>
      <c r="P1833">
        <v>1832</v>
      </c>
      <c r="Q1833" s="2">
        <v>-0.18</v>
      </c>
      <c r="R1833" t="s">
        <v>27</v>
      </c>
      <c r="S1833">
        <v>2023</v>
      </c>
      <c r="T1833" t="s">
        <v>23</v>
      </c>
    </row>
    <row r="1834" spans="1:20" hidden="1" x14ac:dyDescent="0.3">
      <c r="A1834">
        <v>3094</v>
      </c>
      <c r="B1834">
        <v>313</v>
      </c>
      <c r="C1834" t="s">
        <v>45</v>
      </c>
      <c r="D1834" t="s">
        <v>25</v>
      </c>
      <c r="E1834" t="s">
        <v>37</v>
      </c>
      <c r="F1834" s="1">
        <v>44754</v>
      </c>
      <c r="G1834" s="1">
        <v>44963</v>
      </c>
      <c r="H1834">
        <v>817</v>
      </c>
      <c r="I1834">
        <v>6507</v>
      </c>
      <c r="J1834">
        <v>577.01</v>
      </c>
      <c r="K1834" t="s">
        <v>54</v>
      </c>
      <c r="L1834">
        <v>6</v>
      </c>
      <c r="M1834" t="str">
        <f t="shared" si="28"/>
        <v>12+ Months</v>
      </c>
      <c r="N1834" s="1">
        <v>44963</v>
      </c>
      <c r="O1834">
        <v>1</v>
      </c>
      <c r="P1834">
        <v>1833</v>
      </c>
      <c r="Q1834" s="2">
        <v>0.71</v>
      </c>
      <c r="R1834" t="s">
        <v>27</v>
      </c>
      <c r="S1834">
        <v>2023</v>
      </c>
      <c r="T1834" t="s">
        <v>43</v>
      </c>
    </row>
    <row r="1835" spans="1:20" hidden="1" x14ac:dyDescent="0.3">
      <c r="A1835">
        <v>3095</v>
      </c>
      <c r="B1835">
        <v>101</v>
      </c>
      <c r="C1835" t="s">
        <v>40</v>
      </c>
      <c r="D1835" t="s">
        <v>29</v>
      </c>
      <c r="E1835" t="s">
        <v>37</v>
      </c>
      <c r="F1835" s="1">
        <v>44728</v>
      </c>
      <c r="G1835" s="1">
        <v>44804</v>
      </c>
      <c r="H1835">
        <v>4927</v>
      </c>
      <c r="I1835">
        <v>4604</v>
      </c>
      <c r="J1835">
        <v>323</v>
      </c>
      <c r="K1835" t="s">
        <v>21</v>
      </c>
      <c r="L1835">
        <v>2</v>
      </c>
      <c r="M1835" t="str">
        <f t="shared" si="28"/>
        <v>0-6 Months</v>
      </c>
      <c r="N1835" s="1">
        <v>44804</v>
      </c>
      <c r="O1835">
        <v>0</v>
      </c>
      <c r="P1835">
        <v>1834</v>
      </c>
      <c r="Q1835" s="2">
        <v>7.0000000000000007E-2</v>
      </c>
      <c r="R1835" t="s">
        <v>27</v>
      </c>
      <c r="S1835">
        <v>2022</v>
      </c>
      <c r="T1835" t="s">
        <v>36</v>
      </c>
    </row>
    <row r="1836" spans="1:20" hidden="1" x14ac:dyDescent="0.3">
      <c r="A1836">
        <v>3096</v>
      </c>
      <c r="B1836">
        <v>334</v>
      </c>
      <c r="C1836" t="s">
        <v>40</v>
      </c>
      <c r="D1836" t="s">
        <v>25</v>
      </c>
      <c r="E1836" t="s">
        <v>20</v>
      </c>
      <c r="F1836" s="1">
        <v>44590</v>
      </c>
      <c r="G1836" s="1">
        <v>44884</v>
      </c>
      <c r="H1836">
        <v>5316</v>
      </c>
      <c r="I1836">
        <v>7084</v>
      </c>
      <c r="J1836">
        <v>-1768</v>
      </c>
      <c r="K1836" t="s">
        <v>54</v>
      </c>
      <c r="L1836">
        <v>9</v>
      </c>
      <c r="M1836" t="str">
        <f t="shared" si="28"/>
        <v>6-12 Months</v>
      </c>
      <c r="N1836" s="1">
        <v>44884</v>
      </c>
      <c r="O1836">
        <v>1</v>
      </c>
      <c r="P1836">
        <v>1835</v>
      </c>
      <c r="Q1836" s="2">
        <v>-0.33</v>
      </c>
      <c r="R1836" t="s">
        <v>27</v>
      </c>
      <c r="S1836">
        <v>2022</v>
      </c>
      <c r="T1836" t="s">
        <v>42</v>
      </c>
    </row>
    <row r="1837" spans="1:20" hidden="1" x14ac:dyDescent="0.3">
      <c r="A1837">
        <v>3097</v>
      </c>
      <c r="B1837">
        <v>472</v>
      </c>
      <c r="C1837" t="s">
        <v>39</v>
      </c>
      <c r="D1837" t="s">
        <v>19</v>
      </c>
      <c r="E1837" t="s">
        <v>26</v>
      </c>
      <c r="F1837" s="1">
        <v>44692</v>
      </c>
      <c r="G1837" s="1">
        <v>44812</v>
      </c>
      <c r="H1837">
        <v>7463</v>
      </c>
      <c r="I1837">
        <v>4012.75</v>
      </c>
      <c r="J1837">
        <v>8074</v>
      </c>
      <c r="K1837" t="s">
        <v>21</v>
      </c>
      <c r="L1837">
        <v>3</v>
      </c>
      <c r="M1837" t="str">
        <f t="shared" si="28"/>
        <v>0-6 Months</v>
      </c>
      <c r="N1837" s="1">
        <v>44812</v>
      </c>
      <c r="O1837">
        <v>0</v>
      </c>
      <c r="P1837">
        <v>1836</v>
      </c>
      <c r="Q1837" s="2">
        <v>1.08</v>
      </c>
      <c r="R1837" t="s">
        <v>22</v>
      </c>
      <c r="S1837">
        <v>2022</v>
      </c>
      <c r="T1837" t="s">
        <v>30</v>
      </c>
    </row>
    <row r="1838" spans="1:20" x14ac:dyDescent="0.3">
      <c r="A1838">
        <v>3099</v>
      </c>
      <c r="B1838">
        <v>167</v>
      </c>
      <c r="C1838" t="s">
        <v>39</v>
      </c>
      <c r="D1838" t="s">
        <v>34</v>
      </c>
      <c r="E1838" t="s">
        <v>37</v>
      </c>
      <c r="F1838" s="1">
        <v>44889</v>
      </c>
      <c r="G1838" s="1">
        <v>45013</v>
      </c>
      <c r="H1838">
        <v>5244</v>
      </c>
      <c r="I1838">
        <v>4012.75</v>
      </c>
      <c r="J1838">
        <v>577.01</v>
      </c>
      <c r="K1838" t="s">
        <v>35</v>
      </c>
      <c r="L1838">
        <v>4</v>
      </c>
      <c r="M1838" t="str">
        <f t="shared" si="28"/>
        <v>0-6 Months</v>
      </c>
      <c r="N1838" s="1">
        <v>45013</v>
      </c>
      <c r="O1838">
        <v>1</v>
      </c>
      <c r="P1838">
        <v>1837</v>
      </c>
      <c r="Q1838" s="2">
        <v>0.11</v>
      </c>
      <c r="R1838" t="s">
        <v>27</v>
      </c>
      <c r="S1838">
        <v>2023</v>
      </c>
      <c r="T1838" t="s">
        <v>38</v>
      </c>
    </row>
    <row r="1839" spans="1:20" hidden="1" x14ac:dyDescent="0.3">
      <c r="A1839">
        <v>3100</v>
      </c>
      <c r="B1839">
        <v>154</v>
      </c>
      <c r="C1839" t="s">
        <v>45</v>
      </c>
      <c r="D1839" t="s">
        <v>34</v>
      </c>
      <c r="E1839" t="s">
        <v>37</v>
      </c>
      <c r="F1839" s="1">
        <v>44743</v>
      </c>
      <c r="G1839" s="1">
        <v>45091</v>
      </c>
      <c r="H1839">
        <v>4967.93</v>
      </c>
      <c r="I1839">
        <v>5163</v>
      </c>
      <c r="J1839">
        <v>-7123</v>
      </c>
      <c r="K1839" t="s">
        <v>21</v>
      </c>
      <c r="L1839">
        <v>11</v>
      </c>
      <c r="M1839" t="str">
        <f t="shared" si="28"/>
        <v>6-12 Months</v>
      </c>
      <c r="N1839" s="1">
        <v>45091</v>
      </c>
      <c r="O1839">
        <v>0</v>
      </c>
      <c r="P1839">
        <v>1838</v>
      </c>
      <c r="Q1839" s="2">
        <v>-1.43</v>
      </c>
      <c r="R1839" t="s">
        <v>22</v>
      </c>
      <c r="S1839">
        <v>2023</v>
      </c>
      <c r="T1839" t="s">
        <v>41</v>
      </c>
    </row>
    <row r="1840" spans="1:20" hidden="1" x14ac:dyDescent="0.3">
      <c r="A1840">
        <v>3101</v>
      </c>
      <c r="B1840">
        <v>327</v>
      </c>
      <c r="C1840" t="s">
        <v>39</v>
      </c>
      <c r="D1840" t="s">
        <v>29</v>
      </c>
      <c r="E1840" t="s">
        <v>26</v>
      </c>
      <c r="F1840" s="1">
        <v>44717</v>
      </c>
      <c r="G1840" s="1">
        <v>44800</v>
      </c>
      <c r="H1840">
        <v>9021</v>
      </c>
      <c r="I1840">
        <v>710</v>
      </c>
      <c r="J1840">
        <v>8311</v>
      </c>
      <c r="K1840" t="s">
        <v>54</v>
      </c>
      <c r="L1840">
        <v>2</v>
      </c>
      <c r="M1840" t="str">
        <f t="shared" si="28"/>
        <v>0-6 Months</v>
      </c>
      <c r="N1840" s="1">
        <v>44800</v>
      </c>
      <c r="O1840">
        <v>0</v>
      </c>
      <c r="P1840">
        <v>1839</v>
      </c>
      <c r="Q1840" s="2">
        <v>0.92</v>
      </c>
      <c r="R1840" t="s">
        <v>27</v>
      </c>
      <c r="S1840">
        <v>2022</v>
      </c>
      <c r="T1840" t="s">
        <v>36</v>
      </c>
    </row>
    <row r="1841" spans="1:20" hidden="1" x14ac:dyDescent="0.3">
      <c r="A1841">
        <v>3102</v>
      </c>
      <c r="B1841">
        <v>250</v>
      </c>
      <c r="C1841" t="s">
        <v>24</v>
      </c>
      <c r="D1841" t="s">
        <v>29</v>
      </c>
      <c r="E1841" t="s">
        <v>26</v>
      </c>
      <c r="F1841" s="1">
        <v>44571</v>
      </c>
      <c r="G1841" s="1">
        <v>44871</v>
      </c>
      <c r="H1841">
        <v>1630</v>
      </c>
      <c r="I1841">
        <v>805</v>
      </c>
      <c r="J1841">
        <v>825</v>
      </c>
      <c r="K1841" t="s">
        <v>54</v>
      </c>
      <c r="L1841">
        <v>9</v>
      </c>
      <c r="M1841" t="str">
        <f t="shared" si="28"/>
        <v>6-12 Months</v>
      </c>
      <c r="N1841" s="1">
        <v>44871</v>
      </c>
      <c r="O1841">
        <v>0</v>
      </c>
      <c r="P1841">
        <v>1840</v>
      </c>
      <c r="Q1841" s="2">
        <v>0.51</v>
      </c>
      <c r="R1841" t="s">
        <v>27</v>
      </c>
      <c r="S1841">
        <v>2022</v>
      </c>
      <c r="T1841" t="s">
        <v>42</v>
      </c>
    </row>
    <row r="1842" spans="1:20" hidden="1" x14ac:dyDescent="0.3">
      <c r="A1842">
        <v>3103</v>
      </c>
      <c r="B1842">
        <v>310</v>
      </c>
      <c r="C1842" t="s">
        <v>40</v>
      </c>
      <c r="D1842" t="s">
        <v>19</v>
      </c>
      <c r="E1842" t="s">
        <v>26</v>
      </c>
      <c r="F1842" s="1">
        <v>44896</v>
      </c>
      <c r="G1842" s="1">
        <v>45329</v>
      </c>
      <c r="H1842">
        <v>2288</v>
      </c>
      <c r="I1842">
        <v>4012.75</v>
      </c>
      <c r="J1842">
        <v>3068</v>
      </c>
      <c r="K1842" t="s">
        <v>54</v>
      </c>
      <c r="L1842">
        <v>14</v>
      </c>
      <c r="M1842" t="str">
        <f t="shared" si="28"/>
        <v>6-12 Months</v>
      </c>
      <c r="N1842" s="1">
        <v>45329</v>
      </c>
      <c r="O1842">
        <v>1</v>
      </c>
      <c r="P1842">
        <v>1841</v>
      </c>
      <c r="Q1842" s="2">
        <v>1.34</v>
      </c>
      <c r="R1842" t="s">
        <v>22</v>
      </c>
      <c r="S1842">
        <v>2024</v>
      </c>
      <c r="T1842" t="s">
        <v>43</v>
      </c>
    </row>
    <row r="1843" spans="1:20" hidden="1" x14ac:dyDescent="0.3">
      <c r="A1843">
        <v>3104</v>
      </c>
      <c r="B1843">
        <v>397</v>
      </c>
      <c r="C1843" t="s">
        <v>40</v>
      </c>
      <c r="D1843" t="s">
        <v>34</v>
      </c>
      <c r="E1843" t="s">
        <v>20</v>
      </c>
      <c r="F1843" s="1">
        <v>44740</v>
      </c>
      <c r="G1843" s="1">
        <v>44925</v>
      </c>
      <c r="H1843">
        <v>4967.93</v>
      </c>
      <c r="I1843">
        <v>5964</v>
      </c>
      <c r="J1843">
        <v>-7625</v>
      </c>
      <c r="K1843" t="s">
        <v>54</v>
      </c>
      <c r="L1843">
        <v>6</v>
      </c>
      <c r="M1843" t="str">
        <f t="shared" si="28"/>
        <v>12+ Months</v>
      </c>
      <c r="N1843" s="1">
        <v>44925</v>
      </c>
      <c r="O1843">
        <v>0</v>
      </c>
      <c r="P1843">
        <v>1842</v>
      </c>
      <c r="Q1843" s="2">
        <v>-1.53</v>
      </c>
      <c r="R1843" t="s">
        <v>22</v>
      </c>
      <c r="S1843">
        <v>2022</v>
      </c>
      <c r="T1843" t="s">
        <v>31</v>
      </c>
    </row>
    <row r="1844" spans="1:20" hidden="1" x14ac:dyDescent="0.3">
      <c r="A1844">
        <v>3105</v>
      </c>
      <c r="B1844">
        <v>407</v>
      </c>
      <c r="C1844" t="s">
        <v>40</v>
      </c>
      <c r="D1844" t="s">
        <v>19</v>
      </c>
      <c r="E1844" t="s">
        <v>20</v>
      </c>
      <c r="F1844" s="1">
        <v>44847</v>
      </c>
      <c r="G1844" s="1">
        <v>45038</v>
      </c>
      <c r="H1844">
        <v>5279</v>
      </c>
      <c r="I1844">
        <v>2712</v>
      </c>
      <c r="J1844">
        <v>2567</v>
      </c>
      <c r="K1844" t="s">
        <v>54</v>
      </c>
      <c r="L1844">
        <v>6</v>
      </c>
      <c r="M1844" t="str">
        <f t="shared" si="28"/>
        <v>12+ Months</v>
      </c>
      <c r="N1844" s="1">
        <v>45038</v>
      </c>
      <c r="O1844">
        <v>0</v>
      </c>
      <c r="P1844">
        <v>1843</v>
      </c>
      <c r="Q1844" s="2">
        <v>0.49</v>
      </c>
      <c r="R1844" t="s">
        <v>27</v>
      </c>
      <c r="S1844">
        <v>2023</v>
      </c>
      <c r="T1844" t="s">
        <v>32</v>
      </c>
    </row>
    <row r="1845" spans="1:20" hidden="1" x14ac:dyDescent="0.3">
      <c r="A1845">
        <v>3106</v>
      </c>
      <c r="B1845">
        <v>275</v>
      </c>
      <c r="C1845" t="s">
        <v>40</v>
      </c>
      <c r="D1845" t="s">
        <v>25</v>
      </c>
      <c r="E1845" t="s">
        <v>37</v>
      </c>
      <c r="F1845" s="1">
        <v>44671</v>
      </c>
      <c r="G1845" s="1">
        <v>45210</v>
      </c>
      <c r="H1845">
        <v>1747</v>
      </c>
      <c r="I1845">
        <v>1068</v>
      </c>
      <c r="J1845">
        <v>679</v>
      </c>
      <c r="K1845" t="s">
        <v>54</v>
      </c>
      <c r="L1845">
        <v>17</v>
      </c>
      <c r="M1845" t="str">
        <f t="shared" si="28"/>
        <v>6-12 Months</v>
      </c>
      <c r="N1845" s="1">
        <v>45210</v>
      </c>
      <c r="O1845">
        <v>1</v>
      </c>
      <c r="P1845">
        <v>1844</v>
      </c>
      <c r="Q1845" s="2">
        <v>0.39</v>
      </c>
      <c r="R1845" t="s">
        <v>27</v>
      </c>
      <c r="S1845">
        <v>2023</v>
      </c>
      <c r="T1845" t="s">
        <v>33</v>
      </c>
    </row>
    <row r="1846" spans="1:20" x14ac:dyDescent="0.3">
      <c r="A1846">
        <v>3109</v>
      </c>
      <c r="B1846">
        <v>381</v>
      </c>
      <c r="C1846" t="s">
        <v>53</v>
      </c>
      <c r="D1846" t="s">
        <v>34</v>
      </c>
      <c r="E1846" t="s">
        <v>37</v>
      </c>
      <c r="F1846" s="1">
        <v>44806</v>
      </c>
      <c r="G1846" s="1">
        <v>45395</v>
      </c>
      <c r="H1846">
        <v>3753</v>
      </c>
      <c r="I1846">
        <v>1914</v>
      </c>
      <c r="J1846">
        <v>1839</v>
      </c>
      <c r="K1846" t="s">
        <v>35</v>
      </c>
      <c r="L1846">
        <v>19</v>
      </c>
      <c r="M1846" t="str">
        <f t="shared" si="28"/>
        <v>6-12 Months</v>
      </c>
      <c r="N1846" s="1">
        <v>45395</v>
      </c>
      <c r="O1846">
        <v>1</v>
      </c>
      <c r="P1846">
        <v>1845</v>
      </c>
      <c r="Q1846" s="2">
        <v>0.49</v>
      </c>
      <c r="R1846" t="s">
        <v>27</v>
      </c>
      <c r="S1846">
        <v>2024</v>
      </c>
      <c r="T1846" t="s">
        <v>32</v>
      </c>
    </row>
    <row r="1847" spans="1:20" x14ac:dyDescent="0.3">
      <c r="A1847">
        <v>3111</v>
      </c>
      <c r="B1847">
        <v>246</v>
      </c>
      <c r="C1847" t="s">
        <v>40</v>
      </c>
      <c r="D1847" t="s">
        <v>25</v>
      </c>
      <c r="E1847" t="s">
        <v>26</v>
      </c>
      <c r="F1847" s="1">
        <v>44748</v>
      </c>
      <c r="G1847" s="1">
        <v>45067</v>
      </c>
      <c r="H1847">
        <v>4967.93</v>
      </c>
      <c r="I1847">
        <v>3538</v>
      </c>
      <c r="J1847">
        <v>-5141</v>
      </c>
      <c r="K1847" t="s">
        <v>35</v>
      </c>
      <c r="L1847">
        <v>10</v>
      </c>
      <c r="M1847" t="str">
        <f t="shared" si="28"/>
        <v>6-12 Months</v>
      </c>
      <c r="N1847" s="1">
        <v>45067</v>
      </c>
      <c r="O1847">
        <v>0</v>
      </c>
      <c r="P1847">
        <v>1846</v>
      </c>
      <c r="Q1847" s="2">
        <v>-1.03</v>
      </c>
      <c r="R1847" t="s">
        <v>22</v>
      </c>
      <c r="S1847">
        <v>2023</v>
      </c>
      <c r="T1847" t="s">
        <v>28</v>
      </c>
    </row>
    <row r="1848" spans="1:20" hidden="1" x14ac:dyDescent="0.3">
      <c r="A1848">
        <v>3113</v>
      </c>
      <c r="B1848">
        <v>191</v>
      </c>
      <c r="C1848" t="s">
        <v>45</v>
      </c>
      <c r="D1848" t="s">
        <v>25</v>
      </c>
      <c r="E1848" t="s">
        <v>37</v>
      </c>
      <c r="F1848" s="1">
        <v>44685</v>
      </c>
      <c r="G1848" s="1">
        <v>44778</v>
      </c>
      <c r="H1848">
        <v>7342</v>
      </c>
      <c r="I1848">
        <v>7603</v>
      </c>
      <c r="J1848">
        <v>-261</v>
      </c>
      <c r="K1848" t="s">
        <v>21</v>
      </c>
      <c r="L1848">
        <v>3</v>
      </c>
      <c r="M1848" t="str">
        <f t="shared" si="28"/>
        <v>0-6 Months</v>
      </c>
      <c r="N1848" s="1">
        <v>44778</v>
      </c>
      <c r="O1848">
        <v>0</v>
      </c>
      <c r="P1848">
        <v>1847</v>
      </c>
      <c r="Q1848" s="2">
        <v>-0.04</v>
      </c>
      <c r="R1848" t="s">
        <v>27</v>
      </c>
      <c r="S1848">
        <v>2022</v>
      </c>
      <c r="T1848" t="s">
        <v>36</v>
      </c>
    </row>
    <row r="1849" spans="1:20" hidden="1" x14ac:dyDescent="0.3">
      <c r="A1849">
        <v>3114</v>
      </c>
      <c r="B1849">
        <v>190</v>
      </c>
      <c r="C1849" t="s">
        <v>53</v>
      </c>
      <c r="D1849" t="s">
        <v>34</v>
      </c>
      <c r="E1849" t="s">
        <v>20</v>
      </c>
      <c r="F1849" s="1">
        <v>44903</v>
      </c>
      <c r="G1849" s="1">
        <v>45144</v>
      </c>
      <c r="H1849">
        <v>2268</v>
      </c>
      <c r="I1849">
        <v>1225</v>
      </c>
      <c r="J1849">
        <v>1043</v>
      </c>
      <c r="K1849" t="s">
        <v>21</v>
      </c>
      <c r="L1849">
        <v>7</v>
      </c>
      <c r="M1849" t="str">
        <f t="shared" si="28"/>
        <v>6-12 Months</v>
      </c>
      <c r="N1849" s="1">
        <v>45144</v>
      </c>
      <c r="O1849">
        <v>0</v>
      </c>
      <c r="P1849">
        <v>1848</v>
      </c>
      <c r="Q1849" s="2">
        <v>0.46</v>
      </c>
      <c r="R1849" t="s">
        <v>27</v>
      </c>
      <c r="S1849">
        <v>2023</v>
      </c>
      <c r="T1849" t="s">
        <v>36</v>
      </c>
    </row>
    <row r="1850" spans="1:20" hidden="1" x14ac:dyDescent="0.3">
      <c r="A1850">
        <v>3115</v>
      </c>
      <c r="B1850">
        <v>316</v>
      </c>
      <c r="C1850" t="s">
        <v>53</v>
      </c>
      <c r="D1850" t="s">
        <v>29</v>
      </c>
      <c r="E1850" t="s">
        <v>26</v>
      </c>
      <c r="F1850" s="1">
        <v>44703</v>
      </c>
      <c r="G1850" s="1">
        <v>44781</v>
      </c>
      <c r="H1850">
        <v>3050</v>
      </c>
      <c r="I1850">
        <v>7149</v>
      </c>
      <c r="J1850">
        <v>-4099</v>
      </c>
      <c r="K1850" t="s">
        <v>54</v>
      </c>
      <c r="L1850">
        <v>2</v>
      </c>
      <c r="M1850" t="str">
        <f t="shared" si="28"/>
        <v>0-6 Months</v>
      </c>
      <c r="N1850" s="1">
        <v>44781</v>
      </c>
      <c r="O1850">
        <v>1</v>
      </c>
      <c r="P1850">
        <v>1849</v>
      </c>
      <c r="Q1850" s="2">
        <v>-1.34</v>
      </c>
      <c r="R1850" t="s">
        <v>22</v>
      </c>
      <c r="S1850">
        <v>2022</v>
      </c>
      <c r="T1850" t="s">
        <v>36</v>
      </c>
    </row>
    <row r="1851" spans="1:20" hidden="1" x14ac:dyDescent="0.3">
      <c r="A1851">
        <v>3119</v>
      </c>
      <c r="B1851">
        <v>411</v>
      </c>
      <c r="C1851" t="s">
        <v>39</v>
      </c>
      <c r="D1851" t="s">
        <v>29</v>
      </c>
      <c r="E1851" t="s">
        <v>20</v>
      </c>
      <c r="F1851" s="1">
        <v>44645</v>
      </c>
      <c r="G1851" s="1">
        <v>44993</v>
      </c>
      <c r="H1851">
        <v>7419</v>
      </c>
      <c r="I1851">
        <v>5911</v>
      </c>
      <c r="J1851">
        <v>1508</v>
      </c>
      <c r="K1851" t="s">
        <v>21</v>
      </c>
      <c r="L1851">
        <v>11</v>
      </c>
      <c r="M1851" t="str">
        <f t="shared" si="28"/>
        <v>6-12 Months</v>
      </c>
      <c r="N1851" s="1">
        <v>44993</v>
      </c>
      <c r="O1851">
        <v>1</v>
      </c>
      <c r="P1851">
        <v>1850</v>
      </c>
      <c r="Q1851" s="2">
        <v>0.2</v>
      </c>
      <c r="R1851" t="s">
        <v>27</v>
      </c>
      <c r="S1851">
        <v>2023</v>
      </c>
      <c r="T1851" t="s">
        <v>38</v>
      </c>
    </row>
    <row r="1852" spans="1:20" hidden="1" x14ac:dyDescent="0.3">
      <c r="A1852">
        <v>3122</v>
      </c>
      <c r="B1852">
        <v>465</v>
      </c>
      <c r="C1852" t="s">
        <v>24</v>
      </c>
      <c r="D1852" t="s">
        <v>19</v>
      </c>
      <c r="E1852" t="s">
        <v>26</v>
      </c>
      <c r="F1852" s="1">
        <v>44584</v>
      </c>
      <c r="G1852" s="1">
        <v>44906</v>
      </c>
      <c r="H1852">
        <v>4276</v>
      </c>
      <c r="I1852">
        <v>5813</v>
      </c>
      <c r="J1852">
        <v>-1537</v>
      </c>
      <c r="K1852" t="s">
        <v>21</v>
      </c>
      <c r="L1852">
        <v>10</v>
      </c>
      <c r="M1852" t="str">
        <f t="shared" si="28"/>
        <v>6-12 Months</v>
      </c>
      <c r="N1852" s="1">
        <v>44906</v>
      </c>
      <c r="O1852">
        <v>1</v>
      </c>
      <c r="P1852">
        <v>1851</v>
      </c>
      <c r="Q1852" s="2">
        <v>-0.36</v>
      </c>
      <c r="R1852" t="s">
        <v>27</v>
      </c>
      <c r="S1852">
        <v>2022</v>
      </c>
      <c r="T1852" t="s">
        <v>31</v>
      </c>
    </row>
    <row r="1853" spans="1:20" x14ac:dyDescent="0.3">
      <c r="A1853">
        <v>3123</v>
      </c>
      <c r="B1853">
        <v>314</v>
      </c>
      <c r="C1853" t="s">
        <v>40</v>
      </c>
      <c r="D1853" t="s">
        <v>19</v>
      </c>
      <c r="E1853" t="s">
        <v>37</v>
      </c>
      <c r="F1853" s="1">
        <v>44692</v>
      </c>
      <c r="G1853" s="1">
        <v>45206</v>
      </c>
      <c r="H1853">
        <v>4967.93</v>
      </c>
      <c r="I1853">
        <v>4012.75</v>
      </c>
      <c r="J1853">
        <v>-599</v>
      </c>
      <c r="K1853" t="s">
        <v>35</v>
      </c>
      <c r="L1853">
        <v>16</v>
      </c>
      <c r="M1853" t="str">
        <f t="shared" si="28"/>
        <v>6-12 Months</v>
      </c>
      <c r="N1853" s="1">
        <v>45206</v>
      </c>
      <c r="O1853">
        <v>1</v>
      </c>
      <c r="P1853">
        <v>1852</v>
      </c>
      <c r="Q1853" s="2">
        <v>-0.12</v>
      </c>
      <c r="R1853" t="s">
        <v>27</v>
      </c>
      <c r="S1853">
        <v>2023</v>
      </c>
      <c r="T1853" t="s">
        <v>33</v>
      </c>
    </row>
    <row r="1854" spans="1:20" hidden="1" x14ac:dyDescent="0.3">
      <c r="A1854">
        <v>3124</v>
      </c>
      <c r="B1854">
        <v>287</v>
      </c>
      <c r="C1854" t="s">
        <v>39</v>
      </c>
      <c r="D1854" t="s">
        <v>19</v>
      </c>
      <c r="E1854" t="s">
        <v>26</v>
      </c>
      <c r="F1854" s="1">
        <v>44666</v>
      </c>
      <c r="G1854" s="1">
        <v>44947</v>
      </c>
      <c r="H1854">
        <v>6521</v>
      </c>
      <c r="I1854">
        <v>17</v>
      </c>
      <c r="J1854">
        <v>6504</v>
      </c>
      <c r="K1854" t="s">
        <v>54</v>
      </c>
      <c r="L1854">
        <v>9</v>
      </c>
      <c r="M1854" t="str">
        <f t="shared" si="28"/>
        <v>6-12 Months</v>
      </c>
      <c r="N1854" s="1">
        <v>44947</v>
      </c>
      <c r="O1854">
        <v>1</v>
      </c>
      <c r="P1854">
        <v>1853</v>
      </c>
      <c r="Q1854" s="2">
        <v>1</v>
      </c>
      <c r="R1854" t="s">
        <v>27</v>
      </c>
      <c r="S1854">
        <v>2023</v>
      </c>
      <c r="T1854" t="s">
        <v>23</v>
      </c>
    </row>
    <row r="1855" spans="1:20" hidden="1" x14ac:dyDescent="0.3">
      <c r="A1855">
        <v>3125</v>
      </c>
      <c r="B1855">
        <v>116</v>
      </c>
      <c r="C1855" t="s">
        <v>40</v>
      </c>
      <c r="D1855" t="s">
        <v>25</v>
      </c>
      <c r="E1855" t="s">
        <v>20</v>
      </c>
      <c r="F1855" s="1">
        <v>44566</v>
      </c>
      <c r="G1855" s="1">
        <v>44791</v>
      </c>
      <c r="H1855">
        <v>7609</v>
      </c>
      <c r="I1855">
        <v>4012.75</v>
      </c>
      <c r="J1855">
        <v>8414</v>
      </c>
      <c r="K1855" t="s">
        <v>54</v>
      </c>
      <c r="L1855">
        <v>7</v>
      </c>
      <c r="M1855" t="str">
        <f t="shared" si="28"/>
        <v>6-12 Months</v>
      </c>
      <c r="N1855" s="1">
        <v>44791</v>
      </c>
      <c r="O1855">
        <v>0</v>
      </c>
      <c r="P1855">
        <v>1854</v>
      </c>
      <c r="Q1855" s="2">
        <v>1.1100000000000001</v>
      </c>
      <c r="R1855" t="s">
        <v>22</v>
      </c>
      <c r="S1855">
        <v>2022</v>
      </c>
      <c r="T1855" t="s">
        <v>36</v>
      </c>
    </row>
    <row r="1856" spans="1:20" hidden="1" x14ac:dyDescent="0.3">
      <c r="A1856">
        <v>3126</v>
      </c>
      <c r="B1856">
        <v>246</v>
      </c>
      <c r="C1856" t="s">
        <v>24</v>
      </c>
      <c r="D1856" t="s">
        <v>19</v>
      </c>
      <c r="E1856" t="s">
        <v>26</v>
      </c>
      <c r="F1856" s="1">
        <v>44595</v>
      </c>
      <c r="G1856" s="1">
        <v>44746</v>
      </c>
      <c r="H1856">
        <v>3748</v>
      </c>
      <c r="I1856">
        <v>7130</v>
      </c>
      <c r="J1856">
        <v>-3382</v>
      </c>
      <c r="K1856" t="s">
        <v>21</v>
      </c>
      <c r="L1856">
        <v>5</v>
      </c>
      <c r="M1856" t="str">
        <f t="shared" si="28"/>
        <v>0-6 Months</v>
      </c>
      <c r="N1856" s="1">
        <v>44746</v>
      </c>
      <c r="O1856">
        <v>0</v>
      </c>
      <c r="P1856">
        <v>1855</v>
      </c>
      <c r="Q1856" s="2">
        <v>-0.9</v>
      </c>
      <c r="R1856" t="s">
        <v>27</v>
      </c>
      <c r="S1856">
        <v>2022</v>
      </c>
      <c r="T1856" t="s">
        <v>44</v>
      </c>
    </row>
    <row r="1857" spans="1:20" x14ac:dyDescent="0.3">
      <c r="A1857">
        <v>3127</v>
      </c>
      <c r="B1857">
        <v>239</v>
      </c>
      <c r="C1857" t="s">
        <v>45</v>
      </c>
      <c r="D1857" t="s">
        <v>29</v>
      </c>
      <c r="E1857" t="s">
        <v>37</v>
      </c>
      <c r="F1857" s="1">
        <v>44754</v>
      </c>
      <c r="G1857" s="1">
        <v>45170</v>
      </c>
      <c r="H1857">
        <v>5301</v>
      </c>
      <c r="I1857">
        <v>2505</v>
      </c>
      <c r="J1857">
        <v>2796</v>
      </c>
      <c r="K1857" t="s">
        <v>35</v>
      </c>
      <c r="L1857">
        <v>13</v>
      </c>
      <c r="M1857" t="str">
        <f t="shared" si="28"/>
        <v>6-12 Months</v>
      </c>
      <c r="N1857" s="1">
        <v>45170</v>
      </c>
      <c r="O1857">
        <v>0</v>
      </c>
      <c r="P1857">
        <v>1856</v>
      </c>
      <c r="Q1857" s="2">
        <v>0.53</v>
      </c>
      <c r="R1857" t="s">
        <v>27</v>
      </c>
      <c r="S1857">
        <v>2023</v>
      </c>
      <c r="T1857" t="s">
        <v>30</v>
      </c>
    </row>
    <row r="1858" spans="1:20" hidden="1" x14ac:dyDescent="0.3">
      <c r="A1858">
        <v>3128</v>
      </c>
      <c r="B1858">
        <v>466</v>
      </c>
      <c r="C1858" t="s">
        <v>39</v>
      </c>
      <c r="D1858" t="s">
        <v>19</v>
      </c>
      <c r="E1858" t="s">
        <v>37</v>
      </c>
      <c r="F1858" s="1">
        <v>44632</v>
      </c>
      <c r="G1858" s="1">
        <v>44885</v>
      </c>
      <c r="H1858">
        <v>1532</v>
      </c>
      <c r="I1858">
        <v>4012.75</v>
      </c>
      <c r="J1858">
        <v>577.01</v>
      </c>
      <c r="K1858" t="s">
        <v>54</v>
      </c>
      <c r="L1858">
        <v>8</v>
      </c>
      <c r="M1858" t="str">
        <f t="shared" ref="M1858:M1921" si="29">IF(L1858&lt;6,"0-6 Months",IF(L1858&gt;6,"6-12 Months","12+ Months"))</f>
        <v>6-12 Months</v>
      </c>
      <c r="N1858" s="1">
        <v>44885</v>
      </c>
      <c r="O1858">
        <v>0</v>
      </c>
      <c r="P1858">
        <v>1857</v>
      </c>
      <c r="Q1858" s="2">
        <v>0.38</v>
      </c>
      <c r="R1858" t="s">
        <v>27</v>
      </c>
      <c r="S1858">
        <v>2022</v>
      </c>
      <c r="T1858" t="s">
        <v>42</v>
      </c>
    </row>
    <row r="1859" spans="1:20" hidden="1" x14ac:dyDescent="0.3">
      <c r="A1859">
        <v>3129</v>
      </c>
      <c r="B1859">
        <v>260</v>
      </c>
      <c r="C1859" t="s">
        <v>40</v>
      </c>
      <c r="D1859" t="s">
        <v>29</v>
      </c>
      <c r="E1859" t="s">
        <v>20</v>
      </c>
      <c r="F1859" s="1">
        <v>44747</v>
      </c>
      <c r="G1859" s="1">
        <v>44837</v>
      </c>
      <c r="H1859">
        <v>4967.93</v>
      </c>
      <c r="I1859">
        <v>5054</v>
      </c>
      <c r="J1859">
        <v>-6680</v>
      </c>
      <c r="K1859" t="s">
        <v>54</v>
      </c>
      <c r="L1859">
        <v>2</v>
      </c>
      <c r="M1859" t="str">
        <f t="shared" si="29"/>
        <v>0-6 Months</v>
      </c>
      <c r="N1859" s="1">
        <v>44837</v>
      </c>
      <c r="O1859">
        <v>1</v>
      </c>
      <c r="P1859">
        <v>1858</v>
      </c>
      <c r="Q1859" s="2">
        <v>-1.34</v>
      </c>
      <c r="R1859" t="s">
        <v>22</v>
      </c>
      <c r="S1859">
        <v>2022</v>
      </c>
      <c r="T1859" t="s">
        <v>33</v>
      </c>
    </row>
    <row r="1860" spans="1:20" hidden="1" x14ac:dyDescent="0.3">
      <c r="A1860">
        <v>3131</v>
      </c>
      <c r="B1860">
        <v>336</v>
      </c>
      <c r="C1860" t="s">
        <v>40</v>
      </c>
      <c r="D1860" t="s">
        <v>29</v>
      </c>
      <c r="E1860" t="s">
        <v>20</v>
      </c>
      <c r="F1860" s="1">
        <v>44690</v>
      </c>
      <c r="G1860" s="1">
        <v>44749</v>
      </c>
      <c r="H1860">
        <v>8405</v>
      </c>
      <c r="I1860">
        <v>4012.75</v>
      </c>
      <c r="J1860">
        <v>8930</v>
      </c>
      <c r="K1860" t="s">
        <v>21</v>
      </c>
      <c r="L1860">
        <v>1</v>
      </c>
      <c r="M1860" t="str">
        <f t="shared" si="29"/>
        <v>0-6 Months</v>
      </c>
      <c r="N1860" s="1">
        <v>44749</v>
      </c>
      <c r="O1860">
        <v>1</v>
      </c>
      <c r="P1860">
        <v>1859</v>
      </c>
      <c r="Q1860" s="2">
        <v>1.06</v>
      </c>
      <c r="R1860" t="s">
        <v>22</v>
      </c>
      <c r="S1860">
        <v>2022</v>
      </c>
      <c r="T1860" t="s">
        <v>44</v>
      </c>
    </row>
    <row r="1861" spans="1:20" x14ac:dyDescent="0.3">
      <c r="A1861">
        <v>3134</v>
      </c>
      <c r="B1861">
        <v>317</v>
      </c>
      <c r="C1861" t="s">
        <v>45</v>
      </c>
      <c r="D1861" t="s">
        <v>34</v>
      </c>
      <c r="E1861" t="s">
        <v>20</v>
      </c>
      <c r="F1861" s="1">
        <v>44762</v>
      </c>
      <c r="G1861" s="1">
        <v>45277</v>
      </c>
      <c r="H1861">
        <v>6467</v>
      </c>
      <c r="I1861">
        <v>2175</v>
      </c>
      <c r="J1861">
        <v>4292</v>
      </c>
      <c r="K1861" t="s">
        <v>35</v>
      </c>
      <c r="L1861">
        <v>16</v>
      </c>
      <c r="M1861" t="str">
        <f t="shared" si="29"/>
        <v>6-12 Months</v>
      </c>
      <c r="N1861" s="1">
        <v>45277</v>
      </c>
      <c r="O1861">
        <v>0</v>
      </c>
      <c r="P1861">
        <v>1860</v>
      </c>
      <c r="Q1861" s="2">
        <v>0.66</v>
      </c>
      <c r="R1861" t="s">
        <v>27</v>
      </c>
      <c r="S1861">
        <v>2023</v>
      </c>
      <c r="T1861" t="s">
        <v>31</v>
      </c>
    </row>
    <row r="1862" spans="1:20" x14ac:dyDescent="0.3">
      <c r="A1862">
        <v>3135</v>
      </c>
      <c r="B1862">
        <v>275</v>
      </c>
      <c r="C1862" t="s">
        <v>53</v>
      </c>
      <c r="D1862" t="s">
        <v>19</v>
      </c>
      <c r="E1862" t="s">
        <v>26</v>
      </c>
      <c r="F1862" s="1">
        <v>44879</v>
      </c>
      <c r="G1862" s="1">
        <v>45205</v>
      </c>
      <c r="H1862">
        <v>4711</v>
      </c>
      <c r="I1862">
        <v>772</v>
      </c>
      <c r="J1862">
        <v>3939</v>
      </c>
      <c r="K1862" t="s">
        <v>35</v>
      </c>
      <c r="L1862">
        <v>10</v>
      </c>
      <c r="M1862" t="str">
        <f t="shared" si="29"/>
        <v>6-12 Months</v>
      </c>
      <c r="N1862" s="1">
        <v>45205</v>
      </c>
      <c r="O1862">
        <v>0</v>
      </c>
      <c r="P1862">
        <v>1861</v>
      </c>
      <c r="Q1862" s="2">
        <v>0.84</v>
      </c>
      <c r="R1862" t="s">
        <v>27</v>
      </c>
      <c r="S1862">
        <v>2023</v>
      </c>
      <c r="T1862" t="s">
        <v>33</v>
      </c>
    </row>
    <row r="1863" spans="1:20" hidden="1" x14ac:dyDescent="0.3">
      <c r="A1863">
        <v>3137</v>
      </c>
      <c r="B1863">
        <v>227</v>
      </c>
      <c r="C1863" t="s">
        <v>53</v>
      </c>
      <c r="D1863" t="s">
        <v>34</v>
      </c>
      <c r="E1863" t="s">
        <v>26</v>
      </c>
      <c r="F1863" s="1">
        <v>44728</v>
      </c>
      <c r="G1863" s="1">
        <v>44773</v>
      </c>
      <c r="H1863">
        <v>7810</v>
      </c>
      <c r="I1863">
        <v>4012.75</v>
      </c>
      <c r="J1863">
        <v>8803</v>
      </c>
      <c r="K1863" t="s">
        <v>54</v>
      </c>
      <c r="L1863">
        <v>1</v>
      </c>
      <c r="M1863" t="str">
        <f t="shared" si="29"/>
        <v>0-6 Months</v>
      </c>
      <c r="N1863" s="1">
        <v>44773</v>
      </c>
      <c r="O1863">
        <v>0</v>
      </c>
      <c r="P1863">
        <v>1862</v>
      </c>
      <c r="Q1863" s="2">
        <v>1.1299999999999999</v>
      </c>
      <c r="R1863" t="s">
        <v>22</v>
      </c>
      <c r="S1863">
        <v>2022</v>
      </c>
      <c r="T1863" t="s">
        <v>44</v>
      </c>
    </row>
    <row r="1864" spans="1:20" hidden="1" x14ac:dyDescent="0.3">
      <c r="A1864">
        <v>3139</v>
      </c>
      <c r="B1864">
        <v>128</v>
      </c>
      <c r="C1864" t="s">
        <v>39</v>
      </c>
      <c r="D1864" t="s">
        <v>34</v>
      </c>
      <c r="E1864" t="s">
        <v>26</v>
      </c>
      <c r="F1864" s="1">
        <v>44873</v>
      </c>
      <c r="G1864" s="1">
        <v>45295</v>
      </c>
      <c r="H1864">
        <v>4967.93</v>
      </c>
      <c r="I1864">
        <v>5041</v>
      </c>
      <c r="J1864">
        <v>-5829</v>
      </c>
      <c r="K1864" t="s">
        <v>21</v>
      </c>
      <c r="L1864">
        <v>13</v>
      </c>
      <c r="M1864" t="str">
        <f t="shared" si="29"/>
        <v>6-12 Months</v>
      </c>
      <c r="N1864" s="1">
        <v>45295</v>
      </c>
      <c r="O1864">
        <v>1</v>
      </c>
      <c r="P1864">
        <v>1863</v>
      </c>
      <c r="Q1864" s="2">
        <v>-1.17</v>
      </c>
      <c r="R1864" t="s">
        <v>22</v>
      </c>
      <c r="S1864">
        <v>2024</v>
      </c>
      <c r="T1864" t="s">
        <v>23</v>
      </c>
    </row>
    <row r="1865" spans="1:20" x14ac:dyDescent="0.3">
      <c r="A1865">
        <v>3140</v>
      </c>
      <c r="B1865">
        <v>174</v>
      </c>
      <c r="C1865" t="s">
        <v>39</v>
      </c>
      <c r="D1865" t="s">
        <v>25</v>
      </c>
      <c r="E1865" t="s">
        <v>26</v>
      </c>
      <c r="F1865" s="1">
        <v>44591</v>
      </c>
      <c r="G1865" s="1">
        <v>44965</v>
      </c>
      <c r="H1865">
        <v>5518</v>
      </c>
      <c r="I1865">
        <v>5544</v>
      </c>
      <c r="J1865">
        <v>-26</v>
      </c>
      <c r="K1865" t="s">
        <v>35</v>
      </c>
      <c r="L1865">
        <v>12</v>
      </c>
      <c r="M1865" t="str">
        <f t="shared" si="29"/>
        <v>6-12 Months</v>
      </c>
      <c r="N1865" s="1">
        <v>44965</v>
      </c>
      <c r="O1865">
        <v>0</v>
      </c>
      <c r="P1865">
        <v>1864</v>
      </c>
      <c r="Q1865" s="2">
        <v>0</v>
      </c>
      <c r="R1865" t="s">
        <v>27</v>
      </c>
      <c r="S1865">
        <v>2023</v>
      </c>
      <c r="T1865" t="s">
        <v>43</v>
      </c>
    </row>
    <row r="1866" spans="1:20" x14ac:dyDescent="0.3">
      <c r="A1866">
        <v>3141</v>
      </c>
      <c r="B1866">
        <v>255</v>
      </c>
      <c r="C1866" t="s">
        <v>40</v>
      </c>
      <c r="D1866" t="s">
        <v>19</v>
      </c>
      <c r="E1866" t="s">
        <v>37</v>
      </c>
      <c r="F1866" s="1">
        <v>44883</v>
      </c>
      <c r="G1866" s="1">
        <v>44947</v>
      </c>
      <c r="H1866">
        <v>4967.93</v>
      </c>
      <c r="I1866">
        <v>205</v>
      </c>
      <c r="J1866">
        <v>-2098</v>
      </c>
      <c r="K1866" t="s">
        <v>35</v>
      </c>
      <c r="L1866">
        <v>2</v>
      </c>
      <c r="M1866" t="str">
        <f t="shared" si="29"/>
        <v>0-6 Months</v>
      </c>
      <c r="N1866" s="1">
        <v>44947</v>
      </c>
      <c r="O1866">
        <v>1</v>
      </c>
      <c r="P1866">
        <v>1865</v>
      </c>
      <c r="Q1866" s="2">
        <v>-0.42</v>
      </c>
      <c r="R1866" t="s">
        <v>27</v>
      </c>
      <c r="S1866">
        <v>2023</v>
      </c>
      <c r="T1866" t="s">
        <v>23</v>
      </c>
    </row>
    <row r="1867" spans="1:20" hidden="1" x14ac:dyDescent="0.3">
      <c r="A1867">
        <v>3142</v>
      </c>
      <c r="B1867">
        <v>114</v>
      </c>
      <c r="C1867" t="s">
        <v>40</v>
      </c>
      <c r="D1867" t="s">
        <v>29</v>
      </c>
      <c r="E1867" t="s">
        <v>37</v>
      </c>
      <c r="F1867" s="1">
        <v>44629</v>
      </c>
      <c r="G1867" s="1">
        <v>44818</v>
      </c>
      <c r="H1867">
        <v>4369</v>
      </c>
      <c r="I1867">
        <v>838</v>
      </c>
      <c r="J1867">
        <v>3531</v>
      </c>
      <c r="K1867" t="s">
        <v>21</v>
      </c>
      <c r="L1867">
        <v>6</v>
      </c>
      <c r="M1867" t="str">
        <f t="shared" si="29"/>
        <v>12+ Months</v>
      </c>
      <c r="N1867" s="1">
        <v>44818</v>
      </c>
      <c r="O1867">
        <v>1</v>
      </c>
      <c r="P1867">
        <v>1866</v>
      </c>
      <c r="Q1867" s="2">
        <v>0.81</v>
      </c>
      <c r="R1867" t="s">
        <v>27</v>
      </c>
      <c r="S1867">
        <v>2022</v>
      </c>
      <c r="T1867" t="s">
        <v>30</v>
      </c>
    </row>
    <row r="1868" spans="1:20" hidden="1" x14ac:dyDescent="0.3">
      <c r="A1868">
        <v>3143</v>
      </c>
      <c r="B1868">
        <v>441</v>
      </c>
      <c r="C1868" t="s">
        <v>24</v>
      </c>
      <c r="D1868" t="s">
        <v>25</v>
      </c>
      <c r="E1868" t="s">
        <v>37</v>
      </c>
      <c r="F1868" s="1">
        <v>44757</v>
      </c>
      <c r="G1868" s="1">
        <v>44918</v>
      </c>
      <c r="H1868">
        <v>9539</v>
      </c>
      <c r="I1868">
        <v>632</v>
      </c>
      <c r="J1868">
        <v>8907</v>
      </c>
      <c r="K1868" t="s">
        <v>21</v>
      </c>
      <c r="L1868">
        <v>5</v>
      </c>
      <c r="M1868" t="str">
        <f t="shared" si="29"/>
        <v>0-6 Months</v>
      </c>
      <c r="N1868" s="1">
        <v>44918</v>
      </c>
      <c r="O1868">
        <v>1</v>
      </c>
      <c r="P1868">
        <v>1867</v>
      </c>
      <c r="Q1868" s="2">
        <v>0.93</v>
      </c>
      <c r="R1868" t="s">
        <v>27</v>
      </c>
      <c r="S1868">
        <v>2022</v>
      </c>
      <c r="T1868" t="s">
        <v>31</v>
      </c>
    </row>
    <row r="1869" spans="1:20" x14ac:dyDescent="0.3">
      <c r="A1869">
        <v>3144</v>
      </c>
      <c r="B1869">
        <v>158</v>
      </c>
      <c r="C1869" t="s">
        <v>39</v>
      </c>
      <c r="D1869" t="s">
        <v>19</v>
      </c>
      <c r="E1869" t="s">
        <v>20</v>
      </c>
      <c r="F1869" s="1">
        <v>44786</v>
      </c>
      <c r="G1869" s="1">
        <v>45278</v>
      </c>
      <c r="H1869">
        <v>1877</v>
      </c>
      <c r="I1869">
        <v>6107</v>
      </c>
      <c r="J1869">
        <v>-4230</v>
      </c>
      <c r="K1869" t="s">
        <v>35</v>
      </c>
      <c r="L1869">
        <v>16</v>
      </c>
      <c r="M1869" t="str">
        <f t="shared" si="29"/>
        <v>6-12 Months</v>
      </c>
      <c r="N1869" s="1">
        <v>45278</v>
      </c>
      <c r="O1869">
        <v>1</v>
      </c>
      <c r="P1869">
        <v>1868</v>
      </c>
      <c r="Q1869" s="2">
        <v>-2.25</v>
      </c>
      <c r="R1869" t="s">
        <v>22</v>
      </c>
      <c r="S1869">
        <v>2023</v>
      </c>
      <c r="T1869" t="s">
        <v>31</v>
      </c>
    </row>
    <row r="1870" spans="1:20" hidden="1" x14ac:dyDescent="0.3">
      <c r="A1870">
        <v>3145</v>
      </c>
      <c r="B1870">
        <v>220</v>
      </c>
      <c r="C1870" t="s">
        <v>39</v>
      </c>
      <c r="D1870" t="s">
        <v>29</v>
      </c>
      <c r="E1870" t="s">
        <v>20</v>
      </c>
      <c r="F1870" s="1">
        <v>44592</v>
      </c>
      <c r="G1870" s="1">
        <v>44953</v>
      </c>
      <c r="H1870">
        <v>8662</v>
      </c>
      <c r="I1870">
        <v>6470</v>
      </c>
      <c r="J1870">
        <v>577.01</v>
      </c>
      <c r="K1870" t="s">
        <v>21</v>
      </c>
      <c r="L1870">
        <v>11</v>
      </c>
      <c r="M1870" t="str">
        <f t="shared" si="29"/>
        <v>6-12 Months</v>
      </c>
      <c r="N1870" s="1">
        <v>44953</v>
      </c>
      <c r="O1870">
        <v>1</v>
      </c>
      <c r="P1870">
        <v>1869</v>
      </c>
      <c r="Q1870" s="2">
        <v>7.0000000000000007E-2</v>
      </c>
      <c r="R1870" t="s">
        <v>27</v>
      </c>
      <c r="S1870">
        <v>2023</v>
      </c>
      <c r="T1870" t="s">
        <v>23</v>
      </c>
    </row>
    <row r="1871" spans="1:20" hidden="1" x14ac:dyDescent="0.3">
      <c r="A1871">
        <v>3146</v>
      </c>
      <c r="B1871">
        <v>268</v>
      </c>
      <c r="C1871" t="s">
        <v>39</v>
      </c>
      <c r="D1871" t="s">
        <v>25</v>
      </c>
      <c r="E1871" t="s">
        <v>26</v>
      </c>
      <c r="F1871" s="1">
        <v>44660</v>
      </c>
      <c r="G1871" s="1">
        <v>45055</v>
      </c>
      <c r="H1871">
        <v>6420</v>
      </c>
      <c r="I1871">
        <v>4205</v>
      </c>
      <c r="J1871">
        <v>2215</v>
      </c>
      <c r="K1871" t="s">
        <v>54</v>
      </c>
      <c r="L1871">
        <v>13</v>
      </c>
      <c r="M1871" t="str">
        <f t="shared" si="29"/>
        <v>6-12 Months</v>
      </c>
      <c r="N1871" s="1">
        <v>45055</v>
      </c>
      <c r="O1871">
        <v>0</v>
      </c>
      <c r="P1871">
        <v>1870</v>
      </c>
      <c r="Q1871" s="2">
        <v>0.35</v>
      </c>
      <c r="R1871" t="s">
        <v>27</v>
      </c>
      <c r="S1871">
        <v>2023</v>
      </c>
      <c r="T1871" t="s">
        <v>28</v>
      </c>
    </row>
    <row r="1872" spans="1:20" x14ac:dyDescent="0.3">
      <c r="A1872">
        <v>3147</v>
      </c>
      <c r="B1872">
        <v>372</v>
      </c>
      <c r="C1872" t="s">
        <v>45</v>
      </c>
      <c r="D1872" t="s">
        <v>29</v>
      </c>
      <c r="E1872" t="s">
        <v>26</v>
      </c>
      <c r="F1872" s="1">
        <v>44888</v>
      </c>
      <c r="G1872" s="1">
        <v>45284</v>
      </c>
      <c r="H1872">
        <v>5575</v>
      </c>
      <c r="I1872">
        <v>5000</v>
      </c>
      <c r="J1872">
        <v>575</v>
      </c>
      <c r="K1872" t="s">
        <v>35</v>
      </c>
      <c r="L1872">
        <v>13</v>
      </c>
      <c r="M1872" t="str">
        <f t="shared" si="29"/>
        <v>6-12 Months</v>
      </c>
      <c r="N1872" s="1">
        <v>45284</v>
      </c>
      <c r="O1872">
        <v>0</v>
      </c>
      <c r="P1872">
        <v>1871</v>
      </c>
      <c r="Q1872" s="2">
        <v>0.1</v>
      </c>
      <c r="R1872" t="s">
        <v>27</v>
      </c>
      <c r="S1872">
        <v>2023</v>
      </c>
      <c r="T1872" t="s">
        <v>31</v>
      </c>
    </row>
    <row r="1873" spans="1:20" hidden="1" x14ac:dyDescent="0.3">
      <c r="A1873">
        <v>3148</v>
      </c>
      <c r="B1873">
        <v>396</v>
      </c>
      <c r="C1873" t="s">
        <v>24</v>
      </c>
      <c r="D1873" t="s">
        <v>25</v>
      </c>
      <c r="E1873" t="s">
        <v>20</v>
      </c>
      <c r="F1873" s="1">
        <v>44872</v>
      </c>
      <c r="G1873" s="1">
        <v>45343</v>
      </c>
      <c r="H1873">
        <v>3593</v>
      </c>
      <c r="I1873">
        <v>7387</v>
      </c>
      <c r="J1873">
        <v>-3794</v>
      </c>
      <c r="K1873" t="s">
        <v>54</v>
      </c>
      <c r="L1873">
        <v>15</v>
      </c>
      <c r="M1873" t="str">
        <f t="shared" si="29"/>
        <v>6-12 Months</v>
      </c>
      <c r="N1873" s="1">
        <v>45343</v>
      </c>
      <c r="O1873">
        <v>0</v>
      </c>
      <c r="P1873">
        <v>1872</v>
      </c>
      <c r="Q1873" s="2">
        <v>-1.06</v>
      </c>
      <c r="R1873" t="s">
        <v>22</v>
      </c>
      <c r="S1873">
        <v>2024</v>
      </c>
      <c r="T1873" t="s">
        <v>43</v>
      </c>
    </row>
    <row r="1874" spans="1:20" hidden="1" x14ac:dyDescent="0.3">
      <c r="A1874">
        <v>3150</v>
      </c>
      <c r="B1874">
        <v>301</v>
      </c>
      <c r="C1874" t="s">
        <v>24</v>
      </c>
      <c r="D1874" t="s">
        <v>29</v>
      </c>
      <c r="E1874" t="s">
        <v>37</v>
      </c>
      <c r="F1874" s="1">
        <v>44642</v>
      </c>
      <c r="G1874" s="1">
        <v>44713</v>
      </c>
      <c r="H1874">
        <v>709</v>
      </c>
      <c r="I1874">
        <v>4537</v>
      </c>
      <c r="J1874">
        <v>577.01</v>
      </c>
      <c r="K1874" t="s">
        <v>54</v>
      </c>
      <c r="L1874">
        <v>2</v>
      </c>
      <c r="M1874" t="str">
        <f t="shared" si="29"/>
        <v>0-6 Months</v>
      </c>
      <c r="N1874" s="1">
        <v>44713</v>
      </c>
      <c r="O1874">
        <v>0</v>
      </c>
      <c r="P1874">
        <v>1873</v>
      </c>
      <c r="Q1874" s="2">
        <v>0.81</v>
      </c>
      <c r="R1874" t="s">
        <v>27</v>
      </c>
      <c r="S1874">
        <v>2022</v>
      </c>
      <c r="T1874" t="s">
        <v>41</v>
      </c>
    </row>
    <row r="1875" spans="1:20" x14ac:dyDescent="0.3">
      <c r="A1875">
        <v>3151</v>
      </c>
      <c r="B1875">
        <v>265</v>
      </c>
      <c r="C1875" t="s">
        <v>53</v>
      </c>
      <c r="D1875" t="s">
        <v>34</v>
      </c>
      <c r="E1875" t="s">
        <v>26</v>
      </c>
      <c r="F1875" s="1">
        <v>44599</v>
      </c>
      <c r="G1875" s="1">
        <v>44913</v>
      </c>
      <c r="H1875">
        <v>2050</v>
      </c>
      <c r="I1875">
        <v>4012.75</v>
      </c>
      <c r="J1875">
        <v>2372</v>
      </c>
      <c r="K1875" t="s">
        <v>35</v>
      </c>
      <c r="L1875">
        <v>10</v>
      </c>
      <c r="M1875" t="str">
        <f t="shared" si="29"/>
        <v>6-12 Months</v>
      </c>
      <c r="N1875" s="1">
        <v>44913</v>
      </c>
      <c r="O1875">
        <v>0</v>
      </c>
      <c r="P1875">
        <v>1874</v>
      </c>
      <c r="Q1875" s="2">
        <v>1.1599999999999999</v>
      </c>
      <c r="R1875" t="s">
        <v>22</v>
      </c>
      <c r="S1875">
        <v>2022</v>
      </c>
      <c r="T1875" t="s">
        <v>31</v>
      </c>
    </row>
    <row r="1876" spans="1:20" hidden="1" x14ac:dyDescent="0.3">
      <c r="A1876">
        <v>3152</v>
      </c>
      <c r="B1876">
        <v>288</v>
      </c>
      <c r="C1876" t="s">
        <v>24</v>
      </c>
      <c r="D1876" t="s">
        <v>34</v>
      </c>
      <c r="E1876" t="s">
        <v>20</v>
      </c>
      <c r="F1876" s="1">
        <v>44878</v>
      </c>
      <c r="G1876" s="1">
        <v>45217</v>
      </c>
      <c r="H1876">
        <v>1773</v>
      </c>
      <c r="I1876">
        <v>7040</v>
      </c>
      <c r="J1876">
        <v>-5267</v>
      </c>
      <c r="K1876" t="s">
        <v>54</v>
      </c>
      <c r="L1876">
        <v>11</v>
      </c>
      <c r="M1876" t="str">
        <f t="shared" si="29"/>
        <v>6-12 Months</v>
      </c>
      <c r="N1876" s="1">
        <v>45217</v>
      </c>
      <c r="O1876">
        <v>1</v>
      </c>
      <c r="P1876">
        <v>1875</v>
      </c>
      <c r="Q1876" s="2">
        <v>-2.97</v>
      </c>
      <c r="R1876" t="s">
        <v>22</v>
      </c>
      <c r="S1876">
        <v>2023</v>
      </c>
      <c r="T1876" t="s">
        <v>33</v>
      </c>
    </row>
    <row r="1877" spans="1:20" x14ac:dyDescent="0.3">
      <c r="A1877">
        <v>3153</v>
      </c>
      <c r="B1877">
        <v>328</v>
      </c>
      <c r="C1877" t="s">
        <v>40</v>
      </c>
      <c r="D1877" t="s">
        <v>19</v>
      </c>
      <c r="E1877" t="s">
        <v>26</v>
      </c>
      <c r="F1877" s="1">
        <v>44909</v>
      </c>
      <c r="G1877" s="1">
        <v>45369</v>
      </c>
      <c r="H1877">
        <v>2798</v>
      </c>
      <c r="I1877">
        <v>1064</v>
      </c>
      <c r="J1877">
        <v>1734</v>
      </c>
      <c r="K1877" t="s">
        <v>35</v>
      </c>
      <c r="L1877">
        <v>15</v>
      </c>
      <c r="M1877" t="str">
        <f t="shared" si="29"/>
        <v>6-12 Months</v>
      </c>
      <c r="N1877" s="1">
        <v>45369</v>
      </c>
      <c r="O1877">
        <v>1</v>
      </c>
      <c r="P1877">
        <v>1876</v>
      </c>
      <c r="Q1877" s="2">
        <v>0.62</v>
      </c>
      <c r="R1877" t="s">
        <v>27</v>
      </c>
      <c r="S1877">
        <v>2024</v>
      </c>
      <c r="T1877" t="s">
        <v>38</v>
      </c>
    </row>
    <row r="1878" spans="1:20" hidden="1" x14ac:dyDescent="0.3">
      <c r="A1878">
        <v>3154</v>
      </c>
      <c r="B1878">
        <v>130</v>
      </c>
      <c r="C1878" t="s">
        <v>53</v>
      </c>
      <c r="D1878" t="s">
        <v>25</v>
      </c>
      <c r="E1878" t="s">
        <v>20</v>
      </c>
      <c r="F1878" s="1">
        <v>44649</v>
      </c>
      <c r="G1878" s="1">
        <v>44868</v>
      </c>
      <c r="H1878">
        <v>968</v>
      </c>
      <c r="I1878">
        <v>4012.75</v>
      </c>
      <c r="J1878">
        <v>1065</v>
      </c>
      <c r="K1878" t="s">
        <v>54</v>
      </c>
      <c r="L1878">
        <v>7</v>
      </c>
      <c r="M1878" t="str">
        <f t="shared" si="29"/>
        <v>6-12 Months</v>
      </c>
      <c r="N1878" s="1">
        <v>44868</v>
      </c>
      <c r="O1878">
        <v>0</v>
      </c>
      <c r="P1878">
        <v>1877</v>
      </c>
      <c r="Q1878" s="2">
        <v>1.1000000000000001</v>
      </c>
      <c r="R1878" t="s">
        <v>22</v>
      </c>
      <c r="S1878">
        <v>2022</v>
      </c>
      <c r="T1878" t="s">
        <v>42</v>
      </c>
    </row>
    <row r="1879" spans="1:20" hidden="1" x14ac:dyDescent="0.3">
      <c r="A1879">
        <v>3155</v>
      </c>
      <c r="B1879">
        <v>390</v>
      </c>
      <c r="C1879" t="s">
        <v>39</v>
      </c>
      <c r="D1879" t="s">
        <v>25</v>
      </c>
      <c r="E1879" t="s">
        <v>20</v>
      </c>
      <c r="F1879" s="1">
        <v>44691</v>
      </c>
      <c r="G1879" s="1">
        <v>44898</v>
      </c>
      <c r="H1879">
        <v>9031</v>
      </c>
      <c r="I1879">
        <v>7362</v>
      </c>
      <c r="J1879">
        <v>1669</v>
      </c>
      <c r="K1879" t="s">
        <v>54</v>
      </c>
      <c r="L1879">
        <v>6</v>
      </c>
      <c r="M1879" t="str">
        <f t="shared" si="29"/>
        <v>12+ Months</v>
      </c>
      <c r="N1879" s="1">
        <v>44898</v>
      </c>
      <c r="O1879">
        <v>1</v>
      </c>
      <c r="P1879">
        <v>1878</v>
      </c>
      <c r="Q1879" s="2">
        <v>0.18</v>
      </c>
      <c r="R1879" t="s">
        <v>27</v>
      </c>
      <c r="S1879">
        <v>2022</v>
      </c>
      <c r="T1879" t="s">
        <v>31</v>
      </c>
    </row>
    <row r="1880" spans="1:20" hidden="1" x14ac:dyDescent="0.3">
      <c r="A1880">
        <v>3156</v>
      </c>
      <c r="B1880">
        <v>466</v>
      </c>
      <c r="C1880" t="s">
        <v>45</v>
      </c>
      <c r="D1880" t="s">
        <v>34</v>
      </c>
      <c r="E1880" t="s">
        <v>37</v>
      </c>
      <c r="F1880" s="1">
        <v>44771</v>
      </c>
      <c r="G1880" s="1">
        <v>44993</v>
      </c>
      <c r="H1880">
        <v>3214</v>
      </c>
      <c r="I1880">
        <v>304</v>
      </c>
      <c r="J1880">
        <v>577.01</v>
      </c>
      <c r="K1880" t="s">
        <v>21</v>
      </c>
      <c r="L1880">
        <v>7</v>
      </c>
      <c r="M1880" t="str">
        <f t="shared" si="29"/>
        <v>6-12 Months</v>
      </c>
      <c r="N1880" s="1">
        <v>44993</v>
      </c>
      <c r="O1880">
        <v>1</v>
      </c>
      <c r="P1880">
        <v>1879</v>
      </c>
      <c r="Q1880" s="2">
        <v>0.18</v>
      </c>
      <c r="R1880" t="s">
        <v>27</v>
      </c>
      <c r="S1880">
        <v>2023</v>
      </c>
      <c r="T1880" t="s">
        <v>38</v>
      </c>
    </row>
    <row r="1881" spans="1:20" hidden="1" x14ac:dyDescent="0.3">
      <c r="A1881">
        <v>3158</v>
      </c>
      <c r="B1881">
        <v>415</v>
      </c>
      <c r="C1881" t="s">
        <v>53</v>
      </c>
      <c r="D1881" t="s">
        <v>25</v>
      </c>
      <c r="E1881" t="s">
        <v>20</v>
      </c>
      <c r="F1881" s="1">
        <v>44701</v>
      </c>
      <c r="G1881" s="1">
        <v>45104</v>
      </c>
      <c r="H1881">
        <v>982</v>
      </c>
      <c r="I1881">
        <v>7606</v>
      </c>
      <c r="J1881">
        <v>-6624</v>
      </c>
      <c r="K1881" t="s">
        <v>54</v>
      </c>
      <c r="L1881">
        <v>13</v>
      </c>
      <c r="M1881" t="str">
        <f t="shared" si="29"/>
        <v>6-12 Months</v>
      </c>
      <c r="N1881" s="1">
        <v>45104</v>
      </c>
      <c r="O1881">
        <v>0</v>
      </c>
      <c r="P1881">
        <v>1880</v>
      </c>
      <c r="Q1881" s="2">
        <v>-6.75</v>
      </c>
      <c r="R1881" t="s">
        <v>22</v>
      </c>
      <c r="S1881">
        <v>2023</v>
      </c>
      <c r="T1881" t="s">
        <v>41</v>
      </c>
    </row>
    <row r="1882" spans="1:20" x14ac:dyDescent="0.3">
      <c r="A1882">
        <v>3162</v>
      </c>
      <c r="B1882">
        <v>331</v>
      </c>
      <c r="C1882" t="s">
        <v>53</v>
      </c>
      <c r="D1882" t="s">
        <v>25</v>
      </c>
      <c r="E1882" t="s">
        <v>37</v>
      </c>
      <c r="F1882" s="1">
        <v>44927</v>
      </c>
      <c r="G1882" s="1">
        <v>45288</v>
      </c>
      <c r="H1882">
        <v>4967.93</v>
      </c>
      <c r="I1882">
        <v>4432</v>
      </c>
      <c r="J1882">
        <v>-5073</v>
      </c>
      <c r="K1882" t="s">
        <v>35</v>
      </c>
      <c r="L1882">
        <v>11</v>
      </c>
      <c r="M1882" t="str">
        <f t="shared" si="29"/>
        <v>6-12 Months</v>
      </c>
      <c r="N1882" s="1">
        <v>45288</v>
      </c>
      <c r="O1882">
        <v>0</v>
      </c>
      <c r="P1882">
        <v>1881</v>
      </c>
      <c r="Q1882" s="2">
        <v>-1.02</v>
      </c>
      <c r="R1882" t="s">
        <v>22</v>
      </c>
      <c r="S1882">
        <v>2023</v>
      </c>
      <c r="T1882" t="s">
        <v>31</v>
      </c>
    </row>
    <row r="1883" spans="1:20" hidden="1" x14ac:dyDescent="0.3">
      <c r="A1883">
        <v>3163</v>
      </c>
      <c r="B1883">
        <v>107</v>
      </c>
      <c r="C1883" t="s">
        <v>40</v>
      </c>
      <c r="D1883" t="s">
        <v>25</v>
      </c>
      <c r="E1883" t="s">
        <v>37</v>
      </c>
      <c r="F1883" s="1">
        <v>44755</v>
      </c>
      <c r="G1883" s="1">
        <v>45314</v>
      </c>
      <c r="H1883">
        <v>4967.93</v>
      </c>
      <c r="I1883">
        <v>3114</v>
      </c>
      <c r="J1883">
        <v>-3752</v>
      </c>
      <c r="K1883" t="s">
        <v>21</v>
      </c>
      <c r="L1883">
        <v>18</v>
      </c>
      <c r="M1883" t="str">
        <f t="shared" si="29"/>
        <v>6-12 Months</v>
      </c>
      <c r="N1883" s="1">
        <v>45314</v>
      </c>
      <c r="O1883">
        <v>0</v>
      </c>
      <c r="P1883">
        <v>1882</v>
      </c>
      <c r="Q1883" s="2">
        <v>-0.76</v>
      </c>
      <c r="R1883" t="s">
        <v>27</v>
      </c>
      <c r="S1883">
        <v>2024</v>
      </c>
      <c r="T1883" t="s">
        <v>23</v>
      </c>
    </row>
    <row r="1884" spans="1:20" hidden="1" x14ac:dyDescent="0.3">
      <c r="A1884">
        <v>3166</v>
      </c>
      <c r="B1884">
        <v>278</v>
      </c>
      <c r="C1884" t="s">
        <v>39</v>
      </c>
      <c r="D1884" t="s">
        <v>25</v>
      </c>
      <c r="E1884" t="s">
        <v>20</v>
      </c>
      <c r="F1884" s="1">
        <v>44657</v>
      </c>
      <c r="G1884" s="1">
        <v>45068</v>
      </c>
      <c r="H1884">
        <v>8667</v>
      </c>
      <c r="I1884">
        <v>5291</v>
      </c>
      <c r="J1884">
        <v>3376</v>
      </c>
      <c r="K1884" t="s">
        <v>21</v>
      </c>
      <c r="L1884">
        <v>13</v>
      </c>
      <c r="M1884" t="str">
        <f t="shared" si="29"/>
        <v>6-12 Months</v>
      </c>
      <c r="N1884" s="1">
        <v>45068</v>
      </c>
      <c r="O1884">
        <v>1</v>
      </c>
      <c r="P1884">
        <v>1883</v>
      </c>
      <c r="Q1884" s="2">
        <v>0.39</v>
      </c>
      <c r="R1884" t="s">
        <v>27</v>
      </c>
      <c r="S1884">
        <v>2023</v>
      </c>
      <c r="T1884" t="s">
        <v>28</v>
      </c>
    </row>
    <row r="1885" spans="1:20" x14ac:dyDescent="0.3">
      <c r="A1885">
        <v>3167</v>
      </c>
      <c r="B1885">
        <v>362</v>
      </c>
      <c r="C1885" t="s">
        <v>45</v>
      </c>
      <c r="D1885" t="s">
        <v>29</v>
      </c>
      <c r="E1885" t="s">
        <v>26</v>
      </c>
      <c r="F1885" s="1">
        <v>44897</v>
      </c>
      <c r="G1885" s="1">
        <v>45178</v>
      </c>
      <c r="H1885">
        <v>3514</v>
      </c>
      <c r="I1885">
        <v>4729</v>
      </c>
      <c r="J1885">
        <v>-1215</v>
      </c>
      <c r="K1885" t="s">
        <v>35</v>
      </c>
      <c r="L1885">
        <v>9</v>
      </c>
      <c r="M1885" t="str">
        <f t="shared" si="29"/>
        <v>6-12 Months</v>
      </c>
      <c r="N1885" s="1">
        <v>45178</v>
      </c>
      <c r="O1885">
        <v>1</v>
      </c>
      <c r="P1885">
        <v>1884</v>
      </c>
      <c r="Q1885" s="2">
        <v>-0.35</v>
      </c>
      <c r="R1885" t="s">
        <v>27</v>
      </c>
      <c r="S1885">
        <v>2023</v>
      </c>
      <c r="T1885" t="s">
        <v>30</v>
      </c>
    </row>
    <row r="1886" spans="1:20" hidden="1" x14ac:dyDescent="0.3">
      <c r="A1886">
        <v>3169</v>
      </c>
      <c r="B1886">
        <v>470</v>
      </c>
      <c r="C1886" t="s">
        <v>40</v>
      </c>
      <c r="D1886" t="s">
        <v>19</v>
      </c>
      <c r="E1886" t="s">
        <v>20</v>
      </c>
      <c r="F1886" s="1">
        <v>44925</v>
      </c>
      <c r="G1886" s="1">
        <v>45113</v>
      </c>
      <c r="H1886">
        <v>6727</v>
      </c>
      <c r="I1886">
        <v>5614</v>
      </c>
      <c r="J1886">
        <v>577.01</v>
      </c>
      <c r="K1886" t="s">
        <v>54</v>
      </c>
      <c r="L1886">
        <v>6</v>
      </c>
      <c r="M1886" t="str">
        <f t="shared" si="29"/>
        <v>12+ Months</v>
      </c>
      <c r="N1886" s="1">
        <v>45113</v>
      </c>
      <c r="O1886">
        <v>1</v>
      </c>
      <c r="P1886">
        <v>1885</v>
      </c>
      <c r="Q1886" s="2">
        <v>0.09</v>
      </c>
      <c r="R1886" t="s">
        <v>27</v>
      </c>
      <c r="S1886">
        <v>2023</v>
      </c>
      <c r="T1886" t="s">
        <v>44</v>
      </c>
    </row>
    <row r="1887" spans="1:20" hidden="1" x14ac:dyDescent="0.3">
      <c r="A1887">
        <v>3170</v>
      </c>
      <c r="B1887">
        <v>439</v>
      </c>
      <c r="C1887" t="s">
        <v>24</v>
      </c>
      <c r="D1887" t="s">
        <v>29</v>
      </c>
      <c r="E1887" t="s">
        <v>26</v>
      </c>
      <c r="F1887" s="1">
        <v>44582</v>
      </c>
      <c r="G1887" s="1">
        <v>44985</v>
      </c>
      <c r="H1887">
        <v>1051</v>
      </c>
      <c r="I1887">
        <v>4012.75</v>
      </c>
      <c r="J1887">
        <v>1331</v>
      </c>
      <c r="K1887" t="s">
        <v>54</v>
      </c>
      <c r="L1887">
        <v>13</v>
      </c>
      <c r="M1887" t="str">
        <f t="shared" si="29"/>
        <v>6-12 Months</v>
      </c>
      <c r="N1887" s="1">
        <v>44985</v>
      </c>
      <c r="O1887">
        <v>0</v>
      </c>
      <c r="P1887">
        <v>1886</v>
      </c>
      <c r="Q1887" s="2">
        <v>1.27</v>
      </c>
      <c r="R1887" t="s">
        <v>22</v>
      </c>
      <c r="S1887">
        <v>2023</v>
      </c>
      <c r="T1887" t="s">
        <v>43</v>
      </c>
    </row>
    <row r="1888" spans="1:20" hidden="1" x14ac:dyDescent="0.3">
      <c r="A1888">
        <v>3171</v>
      </c>
      <c r="B1888">
        <v>365</v>
      </c>
      <c r="C1888" t="s">
        <v>53</v>
      </c>
      <c r="D1888" t="s">
        <v>25</v>
      </c>
      <c r="E1888" t="s">
        <v>26</v>
      </c>
      <c r="F1888" s="1">
        <v>44637</v>
      </c>
      <c r="G1888" s="1">
        <v>45032</v>
      </c>
      <c r="H1888">
        <v>1931</v>
      </c>
      <c r="I1888">
        <v>485</v>
      </c>
      <c r="J1888">
        <v>1446</v>
      </c>
      <c r="K1888" t="s">
        <v>54</v>
      </c>
      <c r="L1888">
        <v>12</v>
      </c>
      <c r="M1888" t="str">
        <f t="shared" si="29"/>
        <v>6-12 Months</v>
      </c>
      <c r="N1888" s="1">
        <v>45032</v>
      </c>
      <c r="O1888">
        <v>1</v>
      </c>
      <c r="P1888">
        <v>1887</v>
      </c>
      <c r="Q1888" s="2">
        <v>0.75</v>
      </c>
      <c r="R1888" t="s">
        <v>27</v>
      </c>
      <c r="S1888">
        <v>2023</v>
      </c>
      <c r="T1888" t="s">
        <v>32</v>
      </c>
    </row>
    <row r="1889" spans="1:20" hidden="1" x14ac:dyDescent="0.3">
      <c r="A1889">
        <v>3172</v>
      </c>
      <c r="B1889">
        <v>466</v>
      </c>
      <c r="C1889" t="s">
        <v>39</v>
      </c>
      <c r="D1889" t="s">
        <v>19</v>
      </c>
      <c r="E1889" t="s">
        <v>26</v>
      </c>
      <c r="F1889" s="1">
        <v>44670</v>
      </c>
      <c r="G1889" s="1">
        <v>44944</v>
      </c>
      <c r="H1889">
        <v>8030</v>
      </c>
      <c r="I1889">
        <v>4432</v>
      </c>
      <c r="J1889">
        <v>3598</v>
      </c>
      <c r="K1889" t="s">
        <v>21</v>
      </c>
      <c r="L1889">
        <v>8</v>
      </c>
      <c r="M1889" t="str">
        <f t="shared" si="29"/>
        <v>6-12 Months</v>
      </c>
      <c r="N1889" s="1">
        <v>44944</v>
      </c>
      <c r="O1889">
        <v>0</v>
      </c>
      <c r="P1889">
        <v>1888</v>
      </c>
      <c r="Q1889" s="2">
        <v>0.45</v>
      </c>
      <c r="R1889" t="s">
        <v>27</v>
      </c>
      <c r="S1889">
        <v>2023</v>
      </c>
      <c r="T1889" t="s">
        <v>23</v>
      </c>
    </row>
    <row r="1890" spans="1:20" hidden="1" x14ac:dyDescent="0.3">
      <c r="A1890">
        <v>3176</v>
      </c>
      <c r="B1890">
        <v>203</v>
      </c>
      <c r="C1890" t="s">
        <v>24</v>
      </c>
      <c r="D1890" t="s">
        <v>29</v>
      </c>
      <c r="E1890" t="s">
        <v>20</v>
      </c>
      <c r="F1890" s="1">
        <v>44757</v>
      </c>
      <c r="G1890" s="1">
        <v>44959</v>
      </c>
      <c r="H1890">
        <v>568</v>
      </c>
      <c r="I1890">
        <v>4833</v>
      </c>
      <c r="J1890">
        <v>577.01</v>
      </c>
      <c r="K1890" t="s">
        <v>54</v>
      </c>
      <c r="L1890">
        <v>6</v>
      </c>
      <c r="M1890" t="str">
        <f t="shared" si="29"/>
        <v>12+ Months</v>
      </c>
      <c r="N1890" s="1">
        <v>44959</v>
      </c>
      <c r="O1890">
        <v>1</v>
      </c>
      <c r="P1890">
        <v>1889</v>
      </c>
      <c r="Q1890" s="2">
        <v>1.02</v>
      </c>
      <c r="R1890" t="s">
        <v>22</v>
      </c>
      <c r="S1890">
        <v>2023</v>
      </c>
      <c r="T1890" t="s">
        <v>43</v>
      </c>
    </row>
    <row r="1891" spans="1:20" hidden="1" x14ac:dyDescent="0.3">
      <c r="A1891">
        <v>3177</v>
      </c>
      <c r="B1891">
        <v>465</v>
      </c>
      <c r="C1891" t="s">
        <v>24</v>
      </c>
      <c r="D1891" t="s">
        <v>25</v>
      </c>
      <c r="E1891" t="s">
        <v>26</v>
      </c>
      <c r="F1891" s="1">
        <v>44690</v>
      </c>
      <c r="G1891" s="1">
        <v>45153</v>
      </c>
      <c r="H1891">
        <v>9770</v>
      </c>
      <c r="I1891">
        <v>961</v>
      </c>
      <c r="J1891">
        <v>8809</v>
      </c>
      <c r="K1891" t="s">
        <v>54</v>
      </c>
      <c r="L1891">
        <v>15</v>
      </c>
      <c r="M1891" t="str">
        <f t="shared" si="29"/>
        <v>6-12 Months</v>
      </c>
      <c r="N1891" s="1">
        <v>45153</v>
      </c>
      <c r="O1891">
        <v>0</v>
      </c>
      <c r="P1891">
        <v>1890</v>
      </c>
      <c r="Q1891" s="2">
        <v>0.9</v>
      </c>
      <c r="R1891" t="s">
        <v>27</v>
      </c>
      <c r="S1891">
        <v>2023</v>
      </c>
      <c r="T1891" t="s">
        <v>36</v>
      </c>
    </row>
    <row r="1892" spans="1:20" x14ac:dyDescent="0.3">
      <c r="A1892">
        <v>3180</v>
      </c>
      <c r="B1892">
        <v>236</v>
      </c>
      <c r="C1892" t="s">
        <v>39</v>
      </c>
      <c r="D1892" t="s">
        <v>25</v>
      </c>
      <c r="E1892" t="s">
        <v>20</v>
      </c>
      <c r="F1892" s="1">
        <v>44620</v>
      </c>
      <c r="G1892" s="1">
        <v>44667</v>
      </c>
      <c r="H1892">
        <v>1969</v>
      </c>
      <c r="I1892">
        <v>2918</v>
      </c>
      <c r="J1892">
        <v>-949</v>
      </c>
      <c r="K1892" t="s">
        <v>35</v>
      </c>
      <c r="L1892">
        <v>1</v>
      </c>
      <c r="M1892" t="str">
        <f t="shared" si="29"/>
        <v>0-6 Months</v>
      </c>
      <c r="N1892" s="1">
        <v>44667</v>
      </c>
      <c r="O1892">
        <v>1</v>
      </c>
      <c r="P1892">
        <v>1891</v>
      </c>
      <c r="Q1892" s="2">
        <v>-0.48</v>
      </c>
      <c r="R1892" t="s">
        <v>27</v>
      </c>
      <c r="S1892">
        <v>2022</v>
      </c>
      <c r="T1892" t="s">
        <v>32</v>
      </c>
    </row>
    <row r="1893" spans="1:20" x14ac:dyDescent="0.3">
      <c r="A1893">
        <v>3181</v>
      </c>
      <c r="B1893">
        <v>472</v>
      </c>
      <c r="C1893" t="s">
        <v>45</v>
      </c>
      <c r="D1893" t="s">
        <v>34</v>
      </c>
      <c r="E1893" t="s">
        <v>37</v>
      </c>
      <c r="F1893" s="1">
        <v>44918</v>
      </c>
      <c r="G1893" s="1">
        <v>45242</v>
      </c>
      <c r="H1893">
        <v>8573</v>
      </c>
      <c r="I1893">
        <v>601</v>
      </c>
      <c r="J1893">
        <v>7972</v>
      </c>
      <c r="K1893" t="s">
        <v>35</v>
      </c>
      <c r="L1893">
        <v>10</v>
      </c>
      <c r="M1893" t="str">
        <f t="shared" si="29"/>
        <v>6-12 Months</v>
      </c>
      <c r="N1893" s="1">
        <v>45242</v>
      </c>
      <c r="O1893">
        <v>1</v>
      </c>
      <c r="P1893">
        <v>1892</v>
      </c>
      <c r="Q1893" s="2">
        <v>0.93</v>
      </c>
      <c r="R1893" t="s">
        <v>27</v>
      </c>
      <c r="S1893">
        <v>2023</v>
      </c>
      <c r="T1893" t="s">
        <v>42</v>
      </c>
    </row>
    <row r="1894" spans="1:20" hidden="1" x14ac:dyDescent="0.3">
      <c r="A1894">
        <v>3183</v>
      </c>
      <c r="B1894">
        <v>259</v>
      </c>
      <c r="C1894" t="s">
        <v>40</v>
      </c>
      <c r="D1894" t="s">
        <v>29</v>
      </c>
      <c r="E1894" t="s">
        <v>37</v>
      </c>
      <c r="F1894" s="1">
        <v>44741</v>
      </c>
      <c r="G1894" s="1">
        <v>44997</v>
      </c>
      <c r="H1894">
        <v>3605</v>
      </c>
      <c r="I1894">
        <v>4307</v>
      </c>
      <c r="J1894">
        <v>-702</v>
      </c>
      <c r="K1894" t="s">
        <v>21</v>
      </c>
      <c r="L1894">
        <v>8</v>
      </c>
      <c r="M1894" t="str">
        <f t="shared" si="29"/>
        <v>6-12 Months</v>
      </c>
      <c r="N1894" s="1">
        <v>44997</v>
      </c>
      <c r="O1894">
        <v>1</v>
      </c>
      <c r="P1894">
        <v>1893</v>
      </c>
      <c r="Q1894" s="2">
        <v>-0.19</v>
      </c>
      <c r="R1894" t="s">
        <v>27</v>
      </c>
      <c r="S1894">
        <v>2023</v>
      </c>
      <c r="T1894" t="s">
        <v>38</v>
      </c>
    </row>
    <row r="1895" spans="1:20" x14ac:dyDescent="0.3">
      <c r="A1895">
        <v>3184</v>
      </c>
      <c r="B1895">
        <v>153</v>
      </c>
      <c r="C1895" t="s">
        <v>53</v>
      </c>
      <c r="D1895" t="s">
        <v>34</v>
      </c>
      <c r="E1895" t="s">
        <v>26</v>
      </c>
      <c r="F1895" s="1">
        <v>44588</v>
      </c>
      <c r="G1895" s="1">
        <v>44729</v>
      </c>
      <c r="H1895">
        <v>8348</v>
      </c>
      <c r="I1895">
        <v>1818</v>
      </c>
      <c r="J1895">
        <v>6530</v>
      </c>
      <c r="K1895" t="s">
        <v>35</v>
      </c>
      <c r="L1895">
        <v>4</v>
      </c>
      <c r="M1895" t="str">
        <f t="shared" si="29"/>
        <v>0-6 Months</v>
      </c>
      <c r="N1895" s="1">
        <v>44729</v>
      </c>
      <c r="O1895">
        <v>0</v>
      </c>
      <c r="P1895">
        <v>1894</v>
      </c>
      <c r="Q1895" s="2">
        <v>0.78</v>
      </c>
      <c r="R1895" t="s">
        <v>27</v>
      </c>
      <c r="S1895">
        <v>2022</v>
      </c>
      <c r="T1895" t="s">
        <v>41</v>
      </c>
    </row>
    <row r="1896" spans="1:20" hidden="1" x14ac:dyDescent="0.3">
      <c r="A1896">
        <v>3186</v>
      </c>
      <c r="B1896">
        <v>101</v>
      </c>
      <c r="C1896" t="s">
        <v>45</v>
      </c>
      <c r="D1896" t="s">
        <v>19</v>
      </c>
      <c r="E1896" t="s">
        <v>26</v>
      </c>
      <c r="F1896" s="1">
        <v>44673</v>
      </c>
      <c r="G1896" s="1">
        <v>45215</v>
      </c>
      <c r="H1896">
        <v>6416</v>
      </c>
      <c r="I1896">
        <v>5532</v>
      </c>
      <c r="J1896">
        <v>884</v>
      </c>
      <c r="K1896" t="s">
        <v>54</v>
      </c>
      <c r="L1896">
        <v>17</v>
      </c>
      <c r="M1896" t="str">
        <f t="shared" si="29"/>
        <v>6-12 Months</v>
      </c>
      <c r="N1896" s="1">
        <v>45215</v>
      </c>
      <c r="O1896">
        <v>1</v>
      </c>
      <c r="P1896">
        <v>1895</v>
      </c>
      <c r="Q1896" s="2">
        <v>0.14000000000000001</v>
      </c>
      <c r="R1896" t="s">
        <v>27</v>
      </c>
      <c r="S1896">
        <v>2023</v>
      </c>
      <c r="T1896" t="s">
        <v>33</v>
      </c>
    </row>
    <row r="1897" spans="1:20" hidden="1" x14ac:dyDescent="0.3">
      <c r="A1897">
        <v>3187</v>
      </c>
      <c r="B1897">
        <v>419</v>
      </c>
      <c r="C1897" t="s">
        <v>53</v>
      </c>
      <c r="D1897" t="s">
        <v>29</v>
      </c>
      <c r="E1897" t="s">
        <v>26</v>
      </c>
      <c r="F1897" s="1">
        <v>44685</v>
      </c>
      <c r="G1897" s="1">
        <v>45174</v>
      </c>
      <c r="H1897">
        <v>4967.93</v>
      </c>
      <c r="I1897">
        <v>54</v>
      </c>
      <c r="J1897">
        <v>-90</v>
      </c>
      <c r="K1897" t="s">
        <v>54</v>
      </c>
      <c r="L1897">
        <v>16</v>
      </c>
      <c r="M1897" t="str">
        <f t="shared" si="29"/>
        <v>6-12 Months</v>
      </c>
      <c r="N1897" s="1">
        <v>45174</v>
      </c>
      <c r="O1897">
        <v>1</v>
      </c>
      <c r="P1897">
        <v>1896</v>
      </c>
      <c r="Q1897" s="2">
        <v>-0.02</v>
      </c>
      <c r="R1897" t="s">
        <v>27</v>
      </c>
      <c r="S1897">
        <v>2023</v>
      </c>
      <c r="T1897" t="s">
        <v>30</v>
      </c>
    </row>
    <row r="1898" spans="1:20" hidden="1" x14ac:dyDescent="0.3">
      <c r="A1898">
        <v>3188</v>
      </c>
      <c r="B1898">
        <v>306</v>
      </c>
      <c r="C1898" t="s">
        <v>53</v>
      </c>
      <c r="D1898" t="s">
        <v>25</v>
      </c>
      <c r="E1898" t="s">
        <v>20</v>
      </c>
      <c r="F1898" s="1">
        <v>44666</v>
      </c>
      <c r="G1898" s="1">
        <v>44871</v>
      </c>
      <c r="H1898">
        <v>8931</v>
      </c>
      <c r="I1898">
        <v>3581</v>
      </c>
      <c r="J1898">
        <v>5350</v>
      </c>
      <c r="K1898" t="s">
        <v>21</v>
      </c>
      <c r="L1898">
        <v>6</v>
      </c>
      <c r="M1898" t="str">
        <f t="shared" si="29"/>
        <v>12+ Months</v>
      </c>
      <c r="N1898" s="1">
        <v>44871</v>
      </c>
      <c r="O1898">
        <v>0</v>
      </c>
      <c r="P1898">
        <v>1897</v>
      </c>
      <c r="Q1898" s="2">
        <v>0.6</v>
      </c>
      <c r="R1898" t="s">
        <v>27</v>
      </c>
      <c r="S1898">
        <v>2022</v>
      </c>
      <c r="T1898" t="s">
        <v>42</v>
      </c>
    </row>
    <row r="1899" spans="1:20" hidden="1" x14ac:dyDescent="0.3">
      <c r="A1899">
        <v>3194</v>
      </c>
      <c r="B1899">
        <v>492</v>
      </c>
      <c r="C1899" t="s">
        <v>39</v>
      </c>
      <c r="D1899" t="s">
        <v>34</v>
      </c>
      <c r="E1899" t="s">
        <v>37</v>
      </c>
      <c r="F1899" s="1">
        <v>44869</v>
      </c>
      <c r="G1899" s="1">
        <v>44919</v>
      </c>
      <c r="H1899">
        <v>2848</v>
      </c>
      <c r="I1899">
        <v>4085</v>
      </c>
      <c r="J1899">
        <v>-1237</v>
      </c>
      <c r="K1899" t="s">
        <v>54</v>
      </c>
      <c r="L1899">
        <v>1</v>
      </c>
      <c r="M1899" t="str">
        <f t="shared" si="29"/>
        <v>0-6 Months</v>
      </c>
      <c r="N1899" s="1">
        <v>44919</v>
      </c>
      <c r="O1899">
        <v>1</v>
      </c>
      <c r="P1899">
        <v>1898</v>
      </c>
      <c r="Q1899" s="2">
        <v>-0.43</v>
      </c>
      <c r="R1899" t="s">
        <v>27</v>
      </c>
      <c r="S1899">
        <v>2022</v>
      </c>
      <c r="T1899" t="s">
        <v>31</v>
      </c>
    </row>
    <row r="1900" spans="1:20" hidden="1" x14ac:dyDescent="0.3">
      <c r="A1900">
        <v>3195</v>
      </c>
      <c r="B1900">
        <v>282</v>
      </c>
      <c r="C1900" t="s">
        <v>40</v>
      </c>
      <c r="D1900" t="s">
        <v>29</v>
      </c>
      <c r="E1900" t="s">
        <v>26</v>
      </c>
      <c r="F1900" s="1">
        <v>44779</v>
      </c>
      <c r="G1900" s="1">
        <v>45277</v>
      </c>
      <c r="H1900">
        <v>4967.93</v>
      </c>
      <c r="I1900">
        <v>960</v>
      </c>
      <c r="J1900">
        <v>-2764</v>
      </c>
      <c r="K1900" t="s">
        <v>54</v>
      </c>
      <c r="L1900">
        <v>16</v>
      </c>
      <c r="M1900" t="str">
        <f t="shared" si="29"/>
        <v>6-12 Months</v>
      </c>
      <c r="N1900" s="1">
        <v>45277</v>
      </c>
      <c r="O1900">
        <v>0</v>
      </c>
      <c r="P1900">
        <v>1899</v>
      </c>
      <c r="Q1900" s="2">
        <v>-0.56000000000000005</v>
      </c>
      <c r="R1900" t="s">
        <v>27</v>
      </c>
      <c r="S1900">
        <v>2023</v>
      </c>
      <c r="T1900" t="s">
        <v>31</v>
      </c>
    </row>
    <row r="1901" spans="1:20" hidden="1" x14ac:dyDescent="0.3">
      <c r="A1901">
        <v>3196</v>
      </c>
      <c r="B1901">
        <v>260</v>
      </c>
      <c r="C1901" t="s">
        <v>40</v>
      </c>
      <c r="D1901" t="s">
        <v>25</v>
      </c>
      <c r="E1901" t="s">
        <v>26</v>
      </c>
      <c r="F1901" s="1">
        <v>44648</v>
      </c>
      <c r="G1901" s="1">
        <v>45218</v>
      </c>
      <c r="H1901">
        <v>239</v>
      </c>
      <c r="I1901">
        <v>5440</v>
      </c>
      <c r="J1901">
        <v>-5201</v>
      </c>
      <c r="K1901" t="s">
        <v>21</v>
      </c>
      <c r="L1901">
        <v>18</v>
      </c>
      <c r="M1901" t="str">
        <f t="shared" si="29"/>
        <v>6-12 Months</v>
      </c>
      <c r="N1901" s="1">
        <v>45218</v>
      </c>
      <c r="O1901">
        <v>1</v>
      </c>
      <c r="P1901">
        <v>1900</v>
      </c>
      <c r="Q1901" s="2">
        <v>-21.76</v>
      </c>
      <c r="R1901" t="s">
        <v>22</v>
      </c>
      <c r="S1901">
        <v>2023</v>
      </c>
      <c r="T1901" t="s">
        <v>33</v>
      </c>
    </row>
    <row r="1902" spans="1:20" hidden="1" x14ac:dyDescent="0.3">
      <c r="A1902">
        <v>3198</v>
      </c>
      <c r="B1902">
        <v>474</v>
      </c>
      <c r="C1902" t="s">
        <v>40</v>
      </c>
      <c r="D1902" t="s">
        <v>34</v>
      </c>
      <c r="E1902" t="s">
        <v>37</v>
      </c>
      <c r="F1902" s="1">
        <v>44919</v>
      </c>
      <c r="G1902" s="1">
        <v>45505</v>
      </c>
      <c r="H1902">
        <v>8120</v>
      </c>
      <c r="I1902">
        <v>4012.75</v>
      </c>
      <c r="J1902">
        <v>8767</v>
      </c>
      <c r="K1902" t="s">
        <v>21</v>
      </c>
      <c r="L1902">
        <v>19</v>
      </c>
      <c r="M1902" t="str">
        <f t="shared" si="29"/>
        <v>6-12 Months</v>
      </c>
      <c r="N1902" s="1">
        <v>45505</v>
      </c>
      <c r="O1902">
        <v>0</v>
      </c>
      <c r="P1902">
        <v>1901</v>
      </c>
      <c r="Q1902" s="2">
        <v>1.08</v>
      </c>
      <c r="R1902" t="s">
        <v>22</v>
      </c>
      <c r="S1902">
        <v>2024</v>
      </c>
      <c r="T1902" t="s">
        <v>36</v>
      </c>
    </row>
    <row r="1903" spans="1:20" x14ac:dyDescent="0.3">
      <c r="A1903">
        <v>3202</v>
      </c>
      <c r="B1903">
        <v>221</v>
      </c>
      <c r="C1903" t="s">
        <v>45</v>
      </c>
      <c r="D1903" t="s">
        <v>25</v>
      </c>
      <c r="E1903" t="s">
        <v>26</v>
      </c>
      <c r="F1903" s="1">
        <v>44648</v>
      </c>
      <c r="G1903" s="1">
        <v>44860</v>
      </c>
      <c r="H1903">
        <v>4967.93</v>
      </c>
      <c r="I1903">
        <v>237</v>
      </c>
      <c r="J1903">
        <v>-2125</v>
      </c>
      <c r="K1903" t="s">
        <v>35</v>
      </c>
      <c r="L1903">
        <v>6</v>
      </c>
      <c r="M1903" t="str">
        <f t="shared" si="29"/>
        <v>12+ Months</v>
      </c>
      <c r="N1903" s="1">
        <v>44860</v>
      </c>
      <c r="O1903">
        <v>1</v>
      </c>
      <c r="P1903">
        <v>1902</v>
      </c>
      <c r="Q1903" s="2">
        <v>-0.43</v>
      </c>
      <c r="R1903" t="s">
        <v>27</v>
      </c>
      <c r="S1903">
        <v>2022</v>
      </c>
      <c r="T1903" t="s">
        <v>33</v>
      </c>
    </row>
    <row r="1904" spans="1:20" hidden="1" x14ac:dyDescent="0.3">
      <c r="A1904">
        <v>3205</v>
      </c>
      <c r="B1904">
        <v>487</v>
      </c>
      <c r="C1904" t="s">
        <v>45</v>
      </c>
      <c r="D1904" t="s">
        <v>19</v>
      </c>
      <c r="E1904" t="s">
        <v>37</v>
      </c>
      <c r="F1904" s="1">
        <v>44738</v>
      </c>
      <c r="G1904" s="1">
        <v>45117</v>
      </c>
      <c r="H1904">
        <v>8435</v>
      </c>
      <c r="I1904">
        <v>2194</v>
      </c>
      <c r="J1904">
        <v>6241</v>
      </c>
      <c r="K1904" t="s">
        <v>21</v>
      </c>
      <c r="L1904">
        <v>12</v>
      </c>
      <c r="M1904" t="str">
        <f t="shared" si="29"/>
        <v>6-12 Months</v>
      </c>
      <c r="N1904" s="1">
        <v>45117</v>
      </c>
      <c r="O1904">
        <v>0</v>
      </c>
      <c r="P1904">
        <v>1903</v>
      </c>
      <c r="Q1904" s="2">
        <v>0.74</v>
      </c>
      <c r="R1904" t="s">
        <v>27</v>
      </c>
      <c r="S1904">
        <v>2023</v>
      </c>
      <c r="T1904" t="s">
        <v>44</v>
      </c>
    </row>
    <row r="1905" spans="1:20" hidden="1" x14ac:dyDescent="0.3">
      <c r="A1905">
        <v>3206</v>
      </c>
      <c r="B1905">
        <v>454</v>
      </c>
      <c r="C1905" t="s">
        <v>53</v>
      </c>
      <c r="D1905" t="s">
        <v>25</v>
      </c>
      <c r="E1905" t="s">
        <v>26</v>
      </c>
      <c r="F1905" s="1">
        <v>44749</v>
      </c>
      <c r="G1905" s="1">
        <v>44839</v>
      </c>
      <c r="H1905">
        <v>5937</v>
      </c>
      <c r="I1905">
        <v>4487</v>
      </c>
      <c r="J1905">
        <v>1450</v>
      </c>
      <c r="K1905" t="s">
        <v>54</v>
      </c>
      <c r="L1905">
        <v>2</v>
      </c>
      <c r="M1905" t="str">
        <f t="shared" si="29"/>
        <v>0-6 Months</v>
      </c>
      <c r="N1905" s="1">
        <v>44839</v>
      </c>
      <c r="O1905">
        <v>0</v>
      </c>
      <c r="P1905">
        <v>1904</v>
      </c>
      <c r="Q1905" s="2">
        <v>0.24</v>
      </c>
      <c r="R1905" t="s">
        <v>27</v>
      </c>
      <c r="S1905">
        <v>2022</v>
      </c>
      <c r="T1905" t="s">
        <v>33</v>
      </c>
    </row>
    <row r="1906" spans="1:20" hidden="1" x14ac:dyDescent="0.3">
      <c r="A1906">
        <v>3208</v>
      </c>
      <c r="B1906">
        <v>179</v>
      </c>
      <c r="C1906" t="s">
        <v>53</v>
      </c>
      <c r="D1906" t="s">
        <v>25</v>
      </c>
      <c r="E1906" t="s">
        <v>37</v>
      </c>
      <c r="F1906" s="1">
        <v>44713</v>
      </c>
      <c r="G1906" s="1">
        <v>44987</v>
      </c>
      <c r="H1906">
        <v>8953</v>
      </c>
      <c r="I1906">
        <v>1427</v>
      </c>
      <c r="J1906">
        <v>7526</v>
      </c>
      <c r="K1906" t="s">
        <v>21</v>
      </c>
      <c r="L1906">
        <v>9</v>
      </c>
      <c r="M1906" t="str">
        <f t="shared" si="29"/>
        <v>6-12 Months</v>
      </c>
      <c r="N1906" s="1">
        <v>44987</v>
      </c>
      <c r="O1906">
        <v>0</v>
      </c>
      <c r="P1906">
        <v>1905</v>
      </c>
      <c r="Q1906" s="2">
        <v>0.84</v>
      </c>
      <c r="R1906" t="s">
        <v>27</v>
      </c>
      <c r="S1906">
        <v>2023</v>
      </c>
      <c r="T1906" t="s">
        <v>38</v>
      </c>
    </row>
    <row r="1907" spans="1:20" x14ac:dyDescent="0.3">
      <c r="A1907">
        <v>3210</v>
      </c>
      <c r="B1907">
        <v>235</v>
      </c>
      <c r="C1907" t="s">
        <v>40</v>
      </c>
      <c r="D1907" t="s">
        <v>19</v>
      </c>
      <c r="E1907" t="s">
        <v>20</v>
      </c>
      <c r="F1907" s="1">
        <v>44637</v>
      </c>
      <c r="G1907" s="1">
        <v>44714</v>
      </c>
      <c r="H1907">
        <v>2186</v>
      </c>
      <c r="I1907">
        <v>4528</v>
      </c>
      <c r="J1907">
        <v>-2342</v>
      </c>
      <c r="K1907" t="s">
        <v>35</v>
      </c>
      <c r="L1907">
        <v>2</v>
      </c>
      <c r="M1907" t="str">
        <f t="shared" si="29"/>
        <v>0-6 Months</v>
      </c>
      <c r="N1907" s="1">
        <v>44714</v>
      </c>
      <c r="O1907">
        <v>1</v>
      </c>
      <c r="P1907">
        <v>1906</v>
      </c>
      <c r="Q1907" s="2">
        <v>-1.07</v>
      </c>
      <c r="R1907" t="s">
        <v>22</v>
      </c>
      <c r="S1907">
        <v>2022</v>
      </c>
      <c r="T1907" t="s">
        <v>41</v>
      </c>
    </row>
    <row r="1908" spans="1:20" hidden="1" x14ac:dyDescent="0.3">
      <c r="A1908">
        <v>3211</v>
      </c>
      <c r="B1908">
        <v>339</v>
      </c>
      <c r="C1908" t="s">
        <v>39</v>
      </c>
      <c r="D1908" t="s">
        <v>25</v>
      </c>
      <c r="E1908" t="s">
        <v>26</v>
      </c>
      <c r="F1908" s="1">
        <v>44591</v>
      </c>
      <c r="G1908" s="1">
        <v>45076</v>
      </c>
      <c r="H1908">
        <v>3970</v>
      </c>
      <c r="I1908">
        <v>7673</v>
      </c>
      <c r="J1908">
        <v>-3703</v>
      </c>
      <c r="K1908" t="s">
        <v>21</v>
      </c>
      <c r="L1908">
        <v>16</v>
      </c>
      <c r="M1908" t="str">
        <f t="shared" si="29"/>
        <v>6-12 Months</v>
      </c>
      <c r="N1908" s="1">
        <v>45076</v>
      </c>
      <c r="O1908">
        <v>1</v>
      </c>
      <c r="P1908">
        <v>1907</v>
      </c>
      <c r="Q1908" s="2">
        <v>-0.93</v>
      </c>
      <c r="R1908" t="s">
        <v>27</v>
      </c>
      <c r="S1908">
        <v>2023</v>
      </c>
      <c r="T1908" t="s">
        <v>28</v>
      </c>
    </row>
    <row r="1909" spans="1:20" hidden="1" x14ac:dyDescent="0.3">
      <c r="A1909">
        <v>3212</v>
      </c>
      <c r="B1909">
        <v>428</v>
      </c>
      <c r="C1909" t="s">
        <v>45</v>
      </c>
      <c r="D1909" t="s">
        <v>19</v>
      </c>
      <c r="E1909" t="s">
        <v>20</v>
      </c>
      <c r="F1909" s="1">
        <v>44602</v>
      </c>
      <c r="G1909" s="1">
        <v>44651</v>
      </c>
      <c r="H1909">
        <v>2656</v>
      </c>
      <c r="I1909">
        <v>2274</v>
      </c>
      <c r="J1909">
        <v>382</v>
      </c>
      <c r="K1909" t="s">
        <v>54</v>
      </c>
      <c r="L1909">
        <v>1</v>
      </c>
      <c r="M1909" t="str">
        <f t="shared" si="29"/>
        <v>0-6 Months</v>
      </c>
      <c r="N1909" s="1">
        <v>44651</v>
      </c>
      <c r="O1909">
        <v>1</v>
      </c>
      <c r="P1909">
        <v>1908</v>
      </c>
      <c r="Q1909" s="2">
        <v>0.14000000000000001</v>
      </c>
      <c r="R1909" t="s">
        <v>27</v>
      </c>
      <c r="S1909">
        <v>2022</v>
      </c>
      <c r="T1909" t="s">
        <v>38</v>
      </c>
    </row>
    <row r="1910" spans="1:20" hidden="1" x14ac:dyDescent="0.3">
      <c r="A1910">
        <v>3215</v>
      </c>
      <c r="B1910">
        <v>261</v>
      </c>
      <c r="C1910" t="s">
        <v>24</v>
      </c>
      <c r="D1910" t="s">
        <v>25</v>
      </c>
      <c r="E1910" t="s">
        <v>26</v>
      </c>
      <c r="F1910" s="1">
        <v>44786</v>
      </c>
      <c r="G1910" s="1">
        <v>44975</v>
      </c>
      <c r="H1910">
        <v>3281</v>
      </c>
      <c r="I1910">
        <v>4012.75</v>
      </c>
      <c r="J1910">
        <v>3612</v>
      </c>
      <c r="K1910" t="s">
        <v>54</v>
      </c>
      <c r="L1910">
        <v>6</v>
      </c>
      <c r="M1910" t="str">
        <f t="shared" si="29"/>
        <v>12+ Months</v>
      </c>
      <c r="N1910" s="1">
        <v>44975</v>
      </c>
      <c r="O1910">
        <v>1</v>
      </c>
      <c r="P1910">
        <v>1909</v>
      </c>
      <c r="Q1910" s="2">
        <v>1.1000000000000001</v>
      </c>
      <c r="R1910" t="s">
        <v>22</v>
      </c>
      <c r="S1910">
        <v>2023</v>
      </c>
      <c r="T1910" t="s">
        <v>43</v>
      </c>
    </row>
    <row r="1911" spans="1:20" hidden="1" x14ac:dyDescent="0.3">
      <c r="A1911">
        <v>3217</v>
      </c>
      <c r="B1911">
        <v>282</v>
      </c>
      <c r="C1911" t="s">
        <v>40</v>
      </c>
      <c r="D1911" t="s">
        <v>19</v>
      </c>
      <c r="E1911" t="s">
        <v>20</v>
      </c>
      <c r="F1911" s="1">
        <v>44894</v>
      </c>
      <c r="G1911" s="1">
        <v>45125</v>
      </c>
      <c r="H1911">
        <v>4967.93</v>
      </c>
      <c r="I1911">
        <v>4932</v>
      </c>
      <c r="J1911">
        <v>-5255</v>
      </c>
      <c r="K1911" t="s">
        <v>21</v>
      </c>
      <c r="L1911">
        <v>7</v>
      </c>
      <c r="M1911" t="str">
        <f t="shared" si="29"/>
        <v>6-12 Months</v>
      </c>
      <c r="N1911" s="1">
        <v>45125</v>
      </c>
      <c r="O1911">
        <v>1</v>
      </c>
      <c r="P1911">
        <v>1910</v>
      </c>
      <c r="Q1911" s="2">
        <v>-1.06</v>
      </c>
      <c r="R1911" t="s">
        <v>22</v>
      </c>
      <c r="S1911">
        <v>2023</v>
      </c>
      <c r="T1911" t="s">
        <v>44</v>
      </c>
    </row>
    <row r="1912" spans="1:20" hidden="1" x14ac:dyDescent="0.3">
      <c r="A1912">
        <v>3219</v>
      </c>
      <c r="B1912">
        <v>144</v>
      </c>
      <c r="C1912" t="s">
        <v>53</v>
      </c>
      <c r="D1912" t="s">
        <v>34</v>
      </c>
      <c r="E1912" t="s">
        <v>37</v>
      </c>
      <c r="F1912" s="1">
        <v>44926</v>
      </c>
      <c r="G1912" s="1">
        <v>45300</v>
      </c>
      <c r="H1912">
        <v>2720</v>
      </c>
      <c r="I1912">
        <v>7763</v>
      </c>
      <c r="J1912">
        <v>-5043</v>
      </c>
      <c r="K1912" t="s">
        <v>21</v>
      </c>
      <c r="L1912">
        <v>12</v>
      </c>
      <c r="M1912" t="str">
        <f t="shared" si="29"/>
        <v>6-12 Months</v>
      </c>
      <c r="N1912" s="1">
        <v>45300</v>
      </c>
      <c r="O1912">
        <v>1</v>
      </c>
      <c r="P1912">
        <v>1911</v>
      </c>
      <c r="Q1912" s="2">
        <v>-1.85</v>
      </c>
      <c r="R1912" t="s">
        <v>22</v>
      </c>
      <c r="S1912">
        <v>2024</v>
      </c>
      <c r="T1912" t="s">
        <v>23</v>
      </c>
    </row>
    <row r="1913" spans="1:20" hidden="1" x14ac:dyDescent="0.3">
      <c r="A1913">
        <v>3221</v>
      </c>
      <c r="B1913">
        <v>165</v>
      </c>
      <c r="C1913" t="s">
        <v>39</v>
      </c>
      <c r="D1913" t="s">
        <v>25</v>
      </c>
      <c r="E1913" t="s">
        <v>26</v>
      </c>
      <c r="F1913" s="1">
        <v>44855</v>
      </c>
      <c r="G1913" s="1">
        <v>45281</v>
      </c>
      <c r="H1913">
        <v>2688</v>
      </c>
      <c r="I1913">
        <v>3279</v>
      </c>
      <c r="J1913">
        <v>577.01</v>
      </c>
      <c r="K1913" t="s">
        <v>54</v>
      </c>
      <c r="L1913">
        <v>14</v>
      </c>
      <c r="M1913" t="str">
        <f t="shared" si="29"/>
        <v>6-12 Months</v>
      </c>
      <c r="N1913" s="1">
        <v>45281</v>
      </c>
      <c r="O1913">
        <v>1</v>
      </c>
      <c r="P1913">
        <v>1912</v>
      </c>
      <c r="Q1913" s="2">
        <v>0.21</v>
      </c>
      <c r="R1913" t="s">
        <v>27</v>
      </c>
      <c r="S1913">
        <v>2023</v>
      </c>
      <c r="T1913" t="s">
        <v>31</v>
      </c>
    </row>
    <row r="1914" spans="1:20" hidden="1" x14ac:dyDescent="0.3">
      <c r="A1914">
        <v>3222</v>
      </c>
      <c r="B1914">
        <v>396</v>
      </c>
      <c r="C1914" t="s">
        <v>53</v>
      </c>
      <c r="D1914" t="s">
        <v>19</v>
      </c>
      <c r="E1914" t="s">
        <v>26</v>
      </c>
      <c r="F1914" s="1">
        <v>44628</v>
      </c>
      <c r="G1914" s="1">
        <v>44944</v>
      </c>
      <c r="H1914">
        <v>2404</v>
      </c>
      <c r="I1914">
        <v>3801</v>
      </c>
      <c r="J1914">
        <v>-1397</v>
      </c>
      <c r="K1914" t="s">
        <v>21</v>
      </c>
      <c r="L1914">
        <v>10</v>
      </c>
      <c r="M1914" t="str">
        <f t="shared" si="29"/>
        <v>6-12 Months</v>
      </c>
      <c r="N1914" s="1">
        <v>44944</v>
      </c>
      <c r="O1914">
        <v>1</v>
      </c>
      <c r="P1914">
        <v>1913</v>
      </c>
      <c r="Q1914" s="2">
        <v>-0.57999999999999996</v>
      </c>
      <c r="R1914" t="s">
        <v>27</v>
      </c>
      <c r="S1914">
        <v>2023</v>
      </c>
      <c r="T1914" t="s">
        <v>23</v>
      </c>
    </row>
    <row r="1915" spans="1:20" hidden="1" x14ac:dyDescent="0.3">
      <c r="A1915">
        <v>3228</v>
      </c>
      <c r="B1915">
        <v>430</v>
      </c>
      <c r="C1915" t="s">
        <v>53</v>
      </c>
      <c r="D1915" t="s">
        <v>25</v>
      </c>
      <c r="E1915" t="s">
        <v>20</v>
      </c>
      <c r="F1915" s="1">
        <v>44727</v>
      </c>
      <c r="G1915" s="1">
        <v>44999</v>
      </c>
      <c r="H1915">
        <v>4342</v>
      </c>
      <c r="I1915">
        <v>7306</v>
      </c>
      <c r="J1915">
        <v>-2964</v>
      </c>
      <c r="K1915" t="s">
        <v>54</v>
      </c>
      <c r="L1915">
        <v>8</v>
      </c>
      <c r="M1915" t="str">
        <f t="shared" si="29"/>
        <v>6-12 Months</v>
      </c>
      <c r="N1915" s="1">
        <v>44999</v>
      </c>
      <c r="O1915">
        <v>0</v>
      </c>
      <c r="P1915">
        <v>1914</v>
      </c>
      <c r="Q1915" s="2">
        <v>-0.68</v>
      </c>
      <c r="R1915" t="s">
        <v>27</v>
      </c>
      <c r="S1915">
        <v>2023</v>
      </c>
      <c r="T1915" t="s">
        <v>38</v>
      </c>
    </row>
    <row r="1916" spans="1:20" hidden="1" x14ac:dyDescent="0.3">
      <c r="A1916">
        <v>3229</v>
      </c>
      <c r="B1916">
        <v>114</v>
      </c>
      <c r="C1916" t="s">
        <v>39</v>
      </c>
      <c r="D1916" t="s">
        <v>29</v>
      </c>
      <c r="E1916" t="s">
        <v>20</v>
      </c>
      <c r="F1916" s="1">
        <v>44913</v>
      </c>
      <c r="G1916" s="1">
        <v>45450</v>
      </c>
      <c r="H1916">
        <v>8119</v>
      </c>
      <c r="I1916">
        <v>2776</v>
      </c>
      <c r="J1916">
        <v>5343</v>
      </c>
      <c r="K1916" t="s">
        <v>54</v>
      </c>
      <c r="L1916">
        <v>17</v>
      </c>
      <c r="M1916" t="str">
        <f t="shared" si="29"/>
        <v>6-12 Months</v>
      </c>
      <c r="N1916" s="1">
        <v>45450</v>
      </c>
      <c r="O1916">
        <v>1</v>
      </c>
      <c r="P1916">
        <v>1915</v>
      </c>
      <c r="Q1916" s="2">
        <v>0.66</v>
      </c>
      <c r="R1916" t="s">
        <v>27</v>
      </c>
      <c r="S1916">
        <v>2024</v>
      </c>
      <c r="T1916" t="s">
        <v>41</v>
      </c>
    </row>
    <row r="1917" spans="1:20" hidden="1" x14ac:dyDescent="0.3">
      <c r="A1917">
        <v>3231</v>
      </c>
      <c r="B1917">
        <v>351</v>
      </c>
      <c r="C1917" t="s">
        <v>24</v>
      </c>
      <c r="D1917" t="s">
        <v>34</v>
      </c>
      <c r="E1917" t="s">
        <v>20</v>
      </c>
      <c r="F1917" s="1">
        <v>44621</v>
      </c>
      <c r="G1917" s="1">
        <v>44906</v>
      </c>
      <c r="H1917">
        <v>5017</v>
      </c>
      <c r="I1917">
        <v>6097</v>
      </c>
      <c r="J1917">
        <v>-1080</v>
      </c>
      <c r="K1917" t="s">
        <v>54</v>
      </c>
      <c r="L1917">
        <v>9</v>
      </c>
      <c r="M1917" t="str">
        <f t="shared" si="29"/>
        <v>6-12 Months</v>
      </c>
      <c r="N1917" s="1">
        <v>44906</v>
      </c>
      <c r="O1917">
        <v>1</v>
      </c>
      <c r="P1917">
        <v>1916</v>
      </c>
      <c r="Q1917" s="2">
        <v>-0.22</v>
      </c>
      <c r="R1917" t="s">
        <v>27</v>
      </c>
      <c r="S1917">
        <v>2022</v>
      </c>
      <c r="T1917" t="s">
        <v>31</v>
      </c>
    </row>
    <row r="1918" spans="1:20" x14ac:dyDescent="0.3">
      <c r="A1918">
        <v>3232</v>
      </c>
      <c r="B1918">
        <v>413</v>
      </c>
      <c r="C1918" t="s">
        <v>39</v>
      </c>
      <c r="D1918" t="s">
        <v>25</v>
      </c>
      <c r="E1918" t="s">
        <v>26</v>
      </c>
      <c r="F1918" s="1">
        <v>44857</v>
      </c>
      <c r="G1918" s="1">
        <v>45079</v>
      </c>
      <c r="H1918">
        <v>4967.93</v>
      </c>
      <c r="I1918">
        <v>1866</v>
      </c>
      <c r="J1918">
        <v>-2860</v>
      </c>
      <c r="K1918" t="s">
        <v>35</v>
      </c>
      <c r="L1918">
        <v>7</v>
      </c>
      <c r="M1918" t="str">
        <f t="shared" si="29"/>
        <v>6-12 Months</v>
      </c>
      <c r="N1918" s="1">
        <v>45079</v>
      </c>
      <c r="O1918">
        <v>0</v>
      </c>
      <c r="P1918">
        <v>1917</v>
      </c>
      <c r="Q1918" s="2">
        <v>-0.57999999999999996</v>
      </c>
      <c r="R1918" t="s">
        <v>27</v>
      </c>
      <c r="S1918">
        <v>2023</v>
      </c>
      <c r="T1918" t="s">
        <v>41</v>
      </c>
    </row>
    <row r="1919" spans="1:20" hidden="1" x14ac:dyDescent="0.3">
      <c r="A1919">
        <v>3234</v>
      </c>
      <c r="B1919">
        <v>213</v>
      </c>
      <c r="C1919" t="s">
        <v>24</v>
      </c>
      <c r="D1919" t="s">
        <v>29</v>
      </c>
      <c r="E1919" t="s">
        <v>26</v>
      </c>
      <c r="F1919" s="1">
        <v>44913</v>
      </c>
      <c r="G1919" s="1">
        <v>45218</v>
      </c>
      <c r="H1919">
        <v>5289</v>
      </c>
      <c r="I1919">
        <v>7732</v>
      </c>
      <c r="J1919">
        <v>577.01</v>
      </c>
      <c r="K1919" t="s">
        <v>54</v>
      </c>
      <c r="L1919">
        <v>10</v>
      </c>
      <c r="M1919" t="str">
        <f t="shared" si="29"/>
        <v>6-12 Months</v>
      </c>
      <c r="N1919" s="1">
        <v>45218</v>
      </c>
      <c r="O1919">
        <v>0</v>
      </c>
      <c r="P1919">
        <v>1918</v>
      </c>
      <c r="Q1919" s="2">
        <v>0.11</v>
      </c>
      <c r="R1919" t="s">
        <v>27</v>
      </c>
      <c r="S1919">
        <v>2023</v>
      </c>
      <c r="T1919" t="s">
        <v>33</v>
      </c>
    </row>
    <row r="1920" spans="1:20" hidden="1" x14ac:dyDescent="0.3">
      <c r="A1920">
        <v>3235</v>
      </c>
      <c r="B1920">
        <v>145</v>
      </c>
      <c r="C1920" t="s">
        <v>39</v>
      </c>
      <c r="D1920" t="s">
        <v>25</v>
      </c>
      <c r="E1920" t="s">
        <v>37</v>
      </c>
      <c r="F1920" s="1">
        <v>44635</v>
      </c>
      <c r="G1920" s="1">
        <v>44725</v>
      </c>
      <c r="H1920">
        <v>4150</v>
      </c>
      <c r="I1920">
        <v>544</v>
      </c>
      <c r="J1920">
        <v>3606</v>
      </c>
      <c r="K1920" t="s">
        <v>54</v>
      </c>
      <c r="L1920">
        <v>2</v>
      </c>
      <c r="M1920" t="str">
        <f t="shared" si="29"/>
        <v>0-6 Months</v>
      </c>
      <c r="N1920" s="1">
        <v>44725</v>
      </c>
      <c r="O1920">
        <v>1</v>
      </c>
      <c r="P1920">
        <v>1919</v>
      </c>
      <c r="Q1920" s="2">
        <v>0.87</v>
      </c>
      <c r="R1920" t="s">
        <v>27</v>
      </c>
      <c r="S1920">
        <v>2022</v>
      </c>
      <c r="T1920" t="s">
        <v>41</v>
      </c>
    </row>
    <row r="1921" spans="1:20" x14ac:dyDescent="0.3">
      <c r="A1921">
        <v>3237</v>
      </c>
      <c r="B1921">
        <v>210</v>
      </c>
      <c r="C1921" t="s">
        <v>40</v>
      </c>
      <c r="D1921" t="s">
        <v>34</v>
      </c>
      <c r="E1921" t="s">
        <v>37</v>
      </c>
      <c r="F1921" s="1">
        <v>44916</v>
      </c>
      <c r="G1921" s="1">
        <v>45377</v>
      </c>
      <c r="H1921">
        <v>5620</v>
      </c>
      <c r="I1921">
        <v>7321</v>
      </c>
      <c r="J1921">
        <v>-1701</v>
      </c>
      <c r="K1921" t="s">
        <v>35</v>
      </c>
      <c r="L1921">
        <v>15</v>
      </c>
      <c r="M1921" t="str">
        <f t="shared" si="29"/>
        <v>6-12 Months</v>
      </c>
      <c r="N1921" s="1">
        <v>45377</v>
      </c>
      <c r="O1921">
        <v>0</v>
      </c>
      <c r="P1921">
        <v>1920</v>
      </c>
      <c r="Q1921" s="2">
        <v>-0.3</v>
      </c>
      <c r="R1921" t="s">
        <v>27</v>
      </c>
      <c r="S1921">
        <v>2024</v>
      </c>
      <c r="T1921" t="s">
        <v>38</v>
      </c>
    </row>
    <row r="1922" spans="1:20" hidden="1" x14ac:dyDescent="0.3">
      <c r="A1922">
        <v>3238</v>
      </c>
      <c r="B1922">
        <v>143</v>
      </c>
      <c r="C1922" t="s">
        <v>24</v>
      </c>
      <c r="D1922" t="s">
        <v>25</v>
      </c>
      <c r="E1922" t="s">
        <v>20</v>
      </c>
      <c r="F1922" s="1">
        <v>44744</v>
      </c>
      <c r="G1922" s="1">
        <v>45223</v>
      </c>
      <c r="H1922">
        <v>4967.93</v>
      </c>
      <c r="I1922">
        <v>2640</v>
      </c>
      <c r="J1922">
        <v>577.01</v>
      </c>
      <c r="K1922" t="s">
        <v>54</v>
      </c>
      <c r="L1922">
        <v>15</v>
      </c>
      <c r="M1922" t="str">
        <f t="shared" ref="M1922:M1985" si="30">IF(L1922&lt;6,"0-6 Months",IF(L1922&gt;6,"6-12 Months","12+ Months"))</f>
        <v>6-12 Months</v>
      </c>
      <c r="N1922" s="1">
        <v>45223</v>
      </c>
      <c r="O1922">
        <v>1</v>
      </c>
      <c r="P1922">
        <v>1921</v>
      </c>
      <c r="Q1922" s="2">
        <v>0.12</v>
      </c>
      <c r="R1922" t="s">
        <v>27</v>
      </c>
      <c r="S1922">
        <v>2023</v>
      </c>
      <c r="T1922" t="s">
        <v>33</v>
      </c>
    </row>
    <row r="1923" spans="1:20" x14ac:dyDescent="0.3">
      <c r="A1923">
        <v>3240</v>
      </c>
      <c r="B1923">
        <v>188</v>
      </c>
      <c r="C1923" t="s">
        <v>53</v>
      </c>
      <c r="D1923" t="s">
        <v>29</v>
      </c>
      <c r="E1923" t="s">
        <v>20</v>
      </c>
      <c r="F1923" s="1">
        <v>44895</v>
      </c>
      <c r="G1923" s="1">
        <v>45394</v>
      </c>
      <c r="H1923">
        <v>7836</v>
      </c>
      <c r="I1923">
        <v>582</v>
      </c>
      <c r="J1923">
        <v>7254</v>
      </c>
      <c r="K1923" t="s">
        <v>35</v>
      </c>
      <c r="L1923">
        <v>16</v>
      </c>
      <c r="M1923" t="str">
        <f t="shared" si="30"/>
        <v>6-12 Months</v>
      </c>
      <c r="N1923" s="1">
        <v>45394</v>
      </c>
      <c r="O1923">
        <v>1</v>
      </c>
      <c r="P1923">
        <v>1922</v>
      </c>
      <c r="Q1923" s="2">
        <v>0.93</v>
      </c>
      <c r="R1923" t="s">
        <v>27</v>
      </c>
      <c r="S1923">
        <v>2024</v>
      </c>
      <c r="T1923" t="s">
        <v>32</v>
      </c>
    </row>
    <row r="1924" spans="1:20" hidden="1" x14ac:dyDescent="0.3">
      <c r="A1924">
        <v>3242</v>
      </c>
      <c r="B1924">
        <v>161</v>
      </c>
      <c r="C1924" t="s">
        <v>39</v>
      </c>
      <c r="D1924" t="s">
        <v>25</v>
      </c>
      <c r="E1924" t="s">
        <v>37</v>
      </c>
      <c r="F1924" s="1">
        <v>44633</v>
      </c>
      <c r="G1924" s="1">
        <v>44855</v>
      </c>
      <c r="H1924">
        <v>793</v>
      </c>
      <c r="I1924">
        <v>2436</v>
      </c>
      <c r="J1924">
        <v>-1643</v>
      </c>
      <c r="K1924" t="s">
        <v>21</v>
      </c>
      <c r="L1924">
        <v>7</v>
      </c>
      <c r="M1924" t="str">
        <f t="shared" si="30"/>
        <v>6-12 Months</v>
      </c>
      <c r="N1924" s="1">
        <v>44855</v>
      </c>
      <c r="O1924">
        <v>1</v>
      </c>
      <c r="P1924">
        <v>1923</v>
      </c>
      <c r="Q1924" s="2">
        <v>-2.0699999999999998</v>
      </c>
      <c r="R1924" t="s">
        <v>22</v>
      </c>
      <c r="S1924">
        <v>2022</v>
      </c>
      <c r="T1924" t="s">
        <v>33</v>
      </c>
    </row>
    <row r="1925" spans="1:20" hidden="1" x14ac:dyDescent="0.3">
      <c r="A1925">
        <v>3249</v>
      </c>
      <c r="B1925">
        <v>214</v>
      </c>
      <c r="C1925" t="s">
        <v>53</v>
      </c>
      <c r="D1925" t="s">
        <v>19</v>
      </c>
      <c r="E1925" t="s">
        <v>26</v>
      </c>
      <c r="F1925" s="1">
        <v>44669</v>
      </c>
      <c r="G1925" s="1">
        <v>44999</v>
      </c>
      <c r="H1925">
        <v>4967.93</v>
      </c>
      <c r="I1925">
        <v>6685</v>
      </c>
      <c r="J1925">
        <v>-8541</v>
      </c>
      <c r="K1925" t="s">
        <v>54</v>
      </c>
      <c r="L1925">
        <v>10</v>
      </c>
      <c r="M1925" t="str">
        <f t="shared" si="30"/>
        <v>6-12 Months</v>
      </c>
      <c r="N1925" s="1">
        <v>44999</v>
      </c>
      <c r="O1925">
        <v>1</v>
      </c>
      <c r="P1925">
        <v>1924</v>
      </c>
      <c r="Q1925" s="2">
        <v>-1.72</v>
      </c>
      <c r="R1925" t="s">
        <v>22</v>
      </c>
      <c r="S1925">
        <v>2023</v>
      </c>
      <c r="T1925" t="s">
        <v>38</v>
      </c>
    </row>
    <row r="1926" spans="1:20" hidden="1" x14ac:dyDescent="0.3">
      <c r="A1926">
        <v>3251</v>
      </c>
      <c r="B1926">
        <v>136</v>
      </c>
      <c r="C1926" t="s">
        <v>45</v>
      </c>
      <c r="D1926" t="s">
        <v>29</v>
      </c>
      <c r="E1926" t="s">
        <v>37</v>
      </c>
      <c r="F1926" s="1">
        <v>44736</v>
      </c>
      <c r="G1926" s="1">
        <v>45022</v>
      </c>
      <c r="H1926">
        <v>9082</v>
      </c>
      <c r="I1926">
        <v>7067</v>
      </c>
      <c r="J1926">
        <v>2015</v>
      </c>
      <c r="K1926" t="s">
        <v>54</v>
      </c>
      <c r="L1926">
        <v>9</v>
      </c>
      <c r="M1926" t="str">
        <f t="shared" si="30"/>
        <v>6-12 Months</v>
      </c>
      <c r="N1926" s="1">
        <v>45022</v>
      </c>
      <c r="O1926">
        <v>0</v>
      </c>
      <c r="P1926">
        <v>1925</v>
      </c>
      <c r="Q1926" s="2">
        <v>0.22</v>
      </c>
      <c r="R1926" t="s">
        <v>27</v>
      </c>
      <c r="S1926">
        <v>2023</v>
      </c>
      <c r="T1926" t="s">
        <v>32</v>
      </c>
    </row>
    <row r="1927" spans="1:20" hidden="1" x14ac:dyDescent="0.3">
      <c r="A1927">
        <v>3253</v>
      </c>
      <c r="B1927">
        <v>176</v>
      </c>
      <c r="C1927" t="s">
        <v>40</v>
      </c>
      <c r="D1927" t="s">
        <v>19</v>
      </c>
      <c r="E1927" t="s">
        <v>26</v>
      </c>
      <c r="F1927" s="1">
        <v>44898</v>
      </c>
      <c r="G1927" s="1">
        <v>45386</v>
      </c>
      <c r="H1927">
        <v>3253</v>
      </c>
      <c r="I1927">
        <v>3716</v>
      </c>
      <c r="J1927">
        <v>-463</v>
      </c>
      <c r="K1927" t="s">
        <v>21</v>
      </c>
      <c r="L1927">
        <v>16</v>
      </c>
      <c r="M1927" t="str">
        <f t="shared" si="30"/>
        <v>6-12 Months</v>
      </c>
      <c r="N1927" s="1">
        <v>45386</v>
      </c>
      <c r="O1927">
        <v>0</v>
      </c>
      <c r="P1927">
        <v>1926</v>
      </c>
      <c r="Q1927" s="2">
        <v>-0.14000000000000001</v>
      </c>
      <c r="R1927" t="s">
        <v>27</v>
      </c>
      <c r="S1927">
        <v>2024</v>
      </c>
      <c r="T1927" t="s">
        <v>32</v>
      </c>
    </row>
    <row r="1928" spans="1:20" hidden="1" x14ac:dyDescent="0.3">
      <c r="A1928">
        <v>3254</v>
      </c>
      <c r="B1928">
        <v>355</v>
      </c>
      <c r="C1928" t="s">
        <v>45</v>
      </c>
      <c r="D1928" t="s">
        <v>34</v>
      </c>
      <c r="E1928" t="s">
        <v>20</v>
      </c>
      <c r="F1928" s="1">
        <v>44807</v>
      </c>
      <c r="G1928" s="1">
        <v>45191</v>
      </c>
      <c r="H1928">
        <v>4967.93</v>
      </c>
      <c r="I1928">
        <v>2833</v>
      </c>
      <c r="J1928">
        <v>-3016</v>
      </c>
      <c r="K1928" t="s">
        <v>21</v>
      </c>
      <c r="L1928">
        <v>12</v>
      </c>
      <c r="M1928" t="str">
        <f t="shared" si="30"/>
        <v>6-12 Months</v>
      </c>
      <c r="N1928" s="1">
        <v>45191</v>
      </c>
      <c r="O1928">
        <v>0</v>
      </c>
      <c r="P1928">
        <v>1927</v>
      </c>
      <c r="Q1928" s="2">
        <v>-0.61</v>
      </c>
      <c r="R1928" t="s">
        <v>27</v>
      </c>
      <c r="S1928">
        <v>2023</v>
      </c>
      <c r="T1928" t="s">
        <v>30</v>
      </c>
    </row>
    <row r="1929" spans="1:20" hidden="1" x14ac:dyDescent="0.3">
      <c r="A1929">
        <v>3256</v>
      </c>
      <c r="B1929">
        <v>314</v>
      </c>
      <c r="C1929" t="s">
        <v>39</v>
      </c>
      <c r="D1929" t="s">
        <v>29</v>
      </c>
      <c r="E1929" t="s">
        <v>20</v>
      </c>
      <c r="F1929" s="1">
        <v>44690</v>
      </c>
      <c r="G1929" s="1">
        <v>44901</v>
      </c>
      <c r="H1929">
        <v>3130</v>
      </c>
      <c r="I1929">
        <v>5779</v>
      </c>
      <c r="J1929">
        <v>-2649</v>
      </c>
      <c r="K1929" t="s">
        <v>21</v>
      </c>
      <c r="L1929">
        <v>6</v>
      </c>
      <c r="M1929" t="str">
        <f t="shared" si="30"/>
        <v>12+ Months</v>
      </c>
      <c r="N1929" s="1">
        <v>44901</v>
      </c>
      <c r="O1929">
        <v>1</v>
      </c>
      <c r="P1929">
        <v>1928</v>
      </c>
      <c r="Q1929" s="2">
        <v>-0.85</v>
      </c>
      <c r="R1929" t="s">
        <v>27</v>
      </c>
      <c r="S1929">
        <v>2022</v>
      </c>
      <c r="T1929" t="s">
        <v>31</v>
      </c>
    </row>
    <row r="1930" spans="1:20" hidden="1" x14ac:dyDescent="0.3">
      <c r="A1930">
        <v>3257</v>
      </c>
      <c r="B1930">
        <v>356</v>
      </c>
      <c r="C1930" t="s">
        <v>45</v>
      </c>
      <c r="D1930" t="s">
        <v>34</v>
      </c>
      <c r="E1930" t="s">
        <v>37</v>
      </c>
      <c r="F1930" s="1">
        <v>44804</v>
      </c>
      <c r="G1930" s="1">
        <v>45310</v>
      </c>
      <c r="H1930">
        <v>5608</v>
      </c>
      <c r="I1930">
        <v>2580</v>
      </c>
      <c r="J1930">
        <v>3028</v>
      </c>
      <c r="K1930" t="s">
        <v>54</v>
      </c>
      <c r="L1930">
        <v>16</v>
      </c>
      <c r="M1930" t="str">
        <f t="shared" si="30"/>
        <v>6-12 Months</v>
      </c>
      <c r="N1930" s="1">
        <v>45310</v>
      </c>
      <c r="O1930">
        <v>0</v>
      </c>
      <c r="P1930">
        <v>1929</v>
      </c>
      <c r="Q1930" s="2">
        <v>0.54</v>
      </c>
      <c r="R1930" t="s">
        <v>27</v>
      </c>
      <c r="S1930">
        <v>2024</v>
      </c>
      <c r="T1930" t="s">
        <v>23</v>
      </c>
    </row>
    <row r="1931" spans="1:20" hidden="1" x14ac:dyDescent="0.3">
      <c r="A1931">
        <v>3258</v>
      </c>
      <c r="B1931">
        <v>383</v>
      </c>
      <c r="C1931" t="s">
        <v>40</v>
      </c>
      <c r="D1931" t="s">
        <v>29</v>
      </c>
      <c r="E1931" t="s">
        <v>37</v>
      </c>
      <c r="F1931" s="1">
        <v>44891</v>
      </c>
      <c r="G1931" s="1">
        <v>45127</v>
      </c>
      <c r="H1931">
        <v>5121</v>
      </c>
      <c r="I1931">
        <v>5685</v>
      </c>
      <c r="J1931">
        <v>-564</v>
      </c>
      <c r="K1931" t="s">
        <v>21</v>
      </c>
      <c r="L1931">
        <v>7</v>
      </c>
      <c r="M1931" t="str">
        <f t="shared" si="30"/>
        <v>6-12 Months</v>
      </c>
      <c r="N1931" s="1">
        <v>45127</v>
      </c>
      <c r="O1931">
        <v>0</v>
      </c>
      <c r="P1931">
        <v>1930</v>
      </c>
      <c r="Q1931" s="2">
        <v>-0.11</v>
      </c>
      <c r="R1931" t="s">
        <v>27</v>
      </c>
      <c r="S1931">
        <v>2023</v>
      </c>
      <c r="T1931" t="s">
        <v>44</v>
      </c>
    </row>
    <row r="1932" spans="1:20" hidden="1" x14ac:dyDescent="0.3">
      <c r="A1932">
        <v>3259</v>
      </c>
      <c r="B1932">
        <v>421</v>
      </c>
      <c r="C1932" t="s">
        <v>40</v>
      </c>
      <c r="D1932" t="s">
        <v>25</v>
      </c>
      <c r="E1932" t="s">
        <v>26</v>
      </c>
      <c r="F1932" s="1">
        <v>44674</v>
      </c>
      <c r="G1932" s="1">
        <v>44717</v>
      </c>
      <c r="H1932">
        <v>8695</v>
      </c>
      <c r="I1932">
        <v>4315</v>
      </c>
      <c r="J1932">
        <v>4380</v>
      </c>
      <c r="K1932" t="s">
        <v>54</v>
      </c>
      <c r="L1932">
        <v>1</v>
      </c>
      <c r="M1932" t="str">
        <f t="shared" si="30"/>
        <v>0-6 Months</v>
      </c>
      <c r="N1932" s="1">
        <v>44717</v>
      </c>
      <c r="O1932">
        <v>1</v>
      </c>
      <c r="P1932">
        <v>1931</v>
      </c>
      <c r="Q1932" s="2">
        <v>0.5</v>
      </c>
      <c r="R1932" t="s">
        <v>27</v>
      </c>
      <c r="S1932">
        <v>2022</v>
      </c>
      <c r="T1932" t="s">
        <v>41</v>
      </c>
    </row>
    <row r="1933" spans="1:20" hidden="1" x14ac:dyDescent="0.3">
      <c r="A1933">
        <v>3262</v>
      </c>
      <c r="B1933">
        <v>207</v>
      </c>
      <c r="C1933" t="s">
        <v>40</v>
      </c>
      <c r="D1933" t="s">
        <v>29</v>
      </c>
      <c r="E1933" t="s">
        <v>26</v>
      </c>
      <c r="F1933" s="1">
        <v>44719</v>
      </c>
      <c r="G1933" s="1">
        <v>45280</v>
      </c>
      <c r="H1933">
        <v>2054</v>
      </c>
      <c r="I1933">
        <v>6236</v>
      </c>
      <c r="J1933">
        <v>-4182</v>
      </c>
      <c r="K1933" t="s">
        <v>54</v>
      </c>
      <c r="L1933">
        <v>18</v>
      </c>
      <c r="M1933" t="str">
        <f t="shared" si="30"/>
        <v>6-12 Months</v>
      </c>
      <c r="N1933" s="1">
        <v>45280</v>
      </c>
      <c r="O1933">
        <v>1</v>
      </c>
      <c r="P1933">
        <v>1932</v>
      </c>
      <c r="Q1933" s="2">
        <v>-2.04</v>
      </c>
      <c r="R1933" t="s">
        <v>22</v>
      </c>
      <c r="S1933">
        <v>2023</v>
      </c>
      <c r="T1933" t="s">
        <v>31</v>
      </c>
    </row>
    <row r="1934" spans="1:20" hidden="1" x14ac:dyDescent="0.3">
      <c r="A1934">
        <v>3265</v>
      </c>
      <c r="B1934">
        <v>171</v>
      </c>
      <c r="C1934" t="s">
        <v>40</v>
      </c>
      <c r="D1934" t="s">
        <v>25</v>
      </c>
      <c r="E1934" t="s">
        <v>20</v>
      </c>
      <c r="F1934" s="1">
        <v>44776</v>
      </c>
      <c r="G1934" s="1">
        <v>45050</v>
      </c>
      <c r="H1934">
        <v>8853</v>
      </c>
      <c r="I1934">
        <v>2860</v>
      </c>
      <c r="J1934">
        <v>5993</v>
      </c>
      <c r="K1934" t="s">
        <v>54</v>
      </c>
      <c r="L1934">
        <v>9</v>
      </c>
      <c r="M1934" t="str">
        <f t="shared" si="30"/>
        <v>6-12 Months</v>
      </c>
      <c r="N1934" s="1">
        <v>45050</v>
      </c>
      <c r="O1934">
        <v>0</v>
      </c>
      <c r="P1934">
        <v>1933</v>
      </c>
      <c r="Q1934" s="2">
        <v>0.68</v>
      </c>
      <c r="R1934" t="s">
        <v>27</v>
      </c>
      <c r="S1934">
        <v>2023</v>
      </c>
      <c r="T1934" t="s">
        <v>28</v>
      </c>
    </row>
    <row r="1935" spans="1:20" hidden="1" x14ac:dyDescent="0.3">
      <c r="A1935">
        <v>3266</v>
      </c>
      <c r="B1935">
        <v>207</v>
      </c>
      <c r="C1935" t="s">
        <v>39</v>
      </c>
      <c r="D1935" t="s">
        <v>29</v>
      </c>
      <c r="E1935" t="s">
        <v>37</v>
      </c>
      <c r="F1935" s="1">
        <v>44732</v>
      </c>
      <c r="G1935" s="1">
        <v>44846</v>
      </c>
      <c r="H1935">
        <v>5064</v>
      </c>
      <c r="I1935">
        <v>4473</v>
      </c>
      <c r="J1935">
        <v>591</v>
      </c>
      <c r="K1935" t="s">
        <v>21</v>
      </c>
      <c r="L1935">
        <v>3</v>
      </c>
      <c r="M1935" t="str">
        <f t="shared" si="30"/>
        <v>0-6 Months</v>
      </c>
      <c r="N1935" s="1">
        <v>44846</v>
      </c>
      <c r="O1935">
        <v>1</v>
      </c>
      <c r="P1935">
        <v>1934</v>
      </c>
      <c r="Q1935" s="2">
        <v>0.12</v>
      </c>
      <c r="R1935" t="s">
        <v>27</v>
      </c>
      <c r="S1935">
        <v>2022</v>
      </c>
      <c r="T1935" t="s">
        <v>33</v>
      </c>
    </row>
    <row r="1936" spans="1:20" x14ac:dyDescent="0.3">
      <c r="A1936">
        <v>3267</v>
      </c>
      <c r="B1936">
        <v>232</v>
      </c>
      <c r="C1936" t="s">
        <v>53</v>
      </c>
      <c r="D1936" t="s">
        <v>25</v>
      </c>
      <c r="E1936" t="s">
        <v>26</v>
      </c>
      <c r="F1936" s="1">
        <v>44703</v>
      </c>
      <c r="G1936" s="1">
        <v>45220</v>
      </c>
      <c r="H1936">
        <v>4967.93</v>
      </c>
      <c r="I1936">
        <v>1105</v>
      </c>
      <c r="J1936">
        <v>-2576</v>
      </c>
      <c r="K1936" t="s">
        <v>35</v>
      </c>
      <c r="L1936">
        <v>16</v>
      </c>
      <c r="M1936" t="str">
        <f t="shared" si="30"/>
        <v>6-12 Months</v>
      </c>
      <c r="N1936" s="1">
        <v>45220</v>
      </c>
      <c r="O1936">
        <v>0</v>
      </c>
      <c r="P1936">
        <v>1935</v>
      </c>
      <c r="Q1936" s="2">
        <v>-0.52</v>
      </c>
      <c r="R1936" t="s">
        <v>27</v>
      </c>
      <c r="S1936">
        <v>2023</v>
      </c>
      <c r="T1936" t="s">
        <v>33</v>
      </c>
    </row>
    <row r="1937" spans="1:20" x14ac:dyDescent="0.3">
      <c r="A1937">
        <v>3269</v>
      </c>
      <c r="B1937">
        <v>324</v>
      </c>
      <c r="C1937" t="s">
        <v>40</v>
      </c>
      <c r="D1937" t="s">
        <v>34</v>
      </c>
      <c r="E1937" t="s">
        <v>37</v>
      </c>
      <c r="F1937" s="1">
        <v>44618</v>
      </c>
      <c r="G1937" s="1">
        <v>44988</v>
      </c>
      <c r="H1937">
        <v>84</v>
      </c>
      <c r="I1937">
        <v>6846</v>
      </c>
      <c r="J1937">
        <v>-6762</v>
      </c>
      <c r="K1937" t="s">
        <v>35</v>
      </c>
      <c r="L1937">
        <v>12</v>
      </c>
      <c r="M1937" t="str">
        <f t="shared" si="30"/>
        <v>6-12 Months</v>
      </c>
      <c r="N1937" s="1">
        <v>44988</v>
      </c>
      <c r="O1937">
        <v>0</v>
      </c>
      <c r="P1937">
        <v>1936</v>
      </c>
      <c r="Q1937" s="2">
        <v>-80.5</v>
      </c>
      <c r="R1937" t="s">
        <v>22</v>
      </c>
      <c r="S1937">
        <v>2023</v>
      </c>
      <c r="T1937" t="s">
        <v>38</v>
      </c>
    </row>
    <row r="1938" spans="1:20" x14ac:dyDescent="0.3">
      <c r="A1938">
        <v>3270</v>
      </c>
      <c r="B1938">
        <v>213</v>
      </c>
      <c r="C1938" t="s">
        <v>53</v>
      </c>
      <c r="D1938" t="s">
        <v>25</v>
      </c>
      <c r="E1938" t="s">
        <v>37</v>
      </c>
      <c r="F1938" s="1">
        <v>44712</v>
      </c>
      <c r="G1938" s="1">
        <v>44891</v>
      </c>
      <c r="H1938">
        <v>9557</v>
      </c>
      <c r="I1938">
        <v>877</v>
      </c>
      <c r="J1938">
        <v>8680</v>
      </c>
      <c r="K1938" t="s">
        <v>35</v>
      </c>
      <c r="L1938">
        <v>5</v>
      </c>
      <c r="M1938" t="str">
        <f t="shared" si="30"/>
        <v>0-6 Months</v>
      </c>
      <c r="N1938" s="1">
        <v>44891</v>
      </c>
      <c r="O1938">
        <v>1</v>
      </c>
      <c r="P1938">
        <v>1937</v>
      </c>
      <c r="Q1938" s="2">
        <v>0.91</v>
      </c>
      <c r="R1938" t="s">
        <v>27</v>
      </c>
      <c r="S1938">
        <v>2022</v>
      </c>
      <c r="T1938" t="s">
        <v>42</v>
      </c>
    </row>
    <row r="1939" spans="1:20" hidden="1" x14ac:dyDescent="0.3">
      <c r="A1939">
        <v>3271</v>
      </c>
      <c r="B1939">
        <v>181</v>
      </c>
      <c r="C1939" t="s">
        <v>39</v>
      </c>
      <c r="D1939" t="s">
        <v>29</v>
      </c>
      <c r="E1939" t="s">
        <v>26</v>
      </c>
      <c r="F1939" s="1">
        <v>44737</v>
      </c>
      <c r="G1939" s="1">
        <v>45288</v>
      </c>
      <c r="H1939">
        <v>5134</v>
      </c>
      <c r="I1939">
        <v>2522</v>
      </c>
      <c r="J1939">
        <v>2612</v>
      </c>
      <c r="K1939" t="s">
        <v>54</v>
      </c>
      <c r="L1939">
        <v>18</v>
      </c>
      <c r="M1939" t="str">
        <f t="shared" si="30"/>
        <v>6-12 Months</v>
      </c>
      <c r="N1939" s="1">
        <v>45288</v>
      </c>
      <c r="O1939">
        <v>0</v>
      </c>
      <c r="P1939">
        <v>1938</v>
      </c>
      <c r="Q1939" s="2">
        <v>0.51</v>
      </c>
      <c r="R1939" t="s">
        <v>27</v>
      </c>
      <c r="S1939">
        <v>2023</v>
      </c>
      <c r="T1939" t="s">
        <v>31</v>
      </c>
    </row>
    <row r="1940" spans="1:20" hidden="1" x14ac:dyDescent="0.3">
      <c r="A1940">
        <v>3272</v>
      </c>
      <c r="B1940">
        <v>216</v>
      </c>
      <c r="C1940" t="s">
        <v>45</v>
      </c>
      <c r="D1940" t="s">
        <v>29</v>
      </c>
      <c r="E1940" t="s">
        <v>37</v>
      </c>
      <c r="F1940" s="1">
        <v>44659</v>
      </c>
      <c r="G1940" s="1">
        <v>45082</v>
      </c>
      <c r="H1940">
        <v>9764</v>
      </c>
      <c r="I1940">
        <v>2942</v>
      </c>
      <c r="J1940">
        <v>6822</v>
      </c>
      <c r="K1940" t="s">
        <v>54</v>
      </c>
      <c r="L1940">
        <v>13</v>
      </c>
      <c r="M1940" t="str">
        <f t="shared" si="30"/>
        <v>6-12 Months</v>
      </c>
      <c r="N1940" s="1">
        <v>45082</v>
      </c>
      <c r="O1940">
        <v>1</v>
      </c>
      <c r="P1940">
        <v>1939</v>
      </c>
      <c r="Q1940" s="2">
        <v>0.7</v>
      </c>
      <c r="R1940" t="s">
        <v>27</v>
      </c>
      <c r="S1940">
        <v>2023</v>
      </c>
      <c r="T1940" t="s">
        <v>41</v>
      </c>
    </row>
    <row r="1941" spans="1:20" hidden="1" x14ac:dyDescent="0.3">
      <c r="A1941">
        <v>3273</v>
      </c>
      <c r="B1941">
        <v>386</v>
      </c>
      <c r="C1941" t="s">
        <v>53</v>
      </c>
      <c r="D1941" t="s">
        <v>29</v>
      </c>
      <c r="E1941" t="s">
        <v>20</v>
      </c>
      <c r="F1941" s="1">
        <v>44755</v>
      </c>
      <c r="G1941" s="1">
        <v>45027</v>
      </c>
      <c r="H1941">
        <v>8722</v>
      </c>
      <c r="I1941">
        <v>3384</v>
      </c>
      <c r="J1941">
        <v>5338</v>
      </c>
      <c r="K1941" t="s">
        <v>21</v>
      </c>
      <c r="L1941">
        <v>8</v>
      </c>
      <c r="M1941" t="str">
        <f t="shared" si="30"/>
        <v>6-12 Months</v>
      </c>
      <c r="N1941" s="1">
        <v>45027</v>
      </c>
      <c r="O1941">
        <v>1</v>
      </c>
      <c r="P1941">
        <v>1940</v>
      </c>
      <c r="Q1941" s="2">
        <v>0.61</v>
      </c>
      <c r="R1941" t="s">
        <v>27</v>
      </c>
      <c r="S1941">
        <v>2023</v>
      </c>
      <c r="T1941" t="s">
        <v>32</v>
      </c>
    </row>
    <row r="1942" spans="1:20" hidden="1" x14ac:dyDescent="0.3">
      <c r="A1942">
        <v>3274</v>
      </c>
      <c r="B1942">
        <v>471</v>
      </c>
      <c r="C1942" t="s">
        <v>39</v>
      </c>
      <c r="D1942" t="s">
        <v>29</v>
      </c>
      <c r="E1942" t="s">
        <v>26</v>
      </c>
      <c r="F1942" s="1">
        <v>44581</v>
      </c>
      <c r="G1942" s="1">
        <v>44643</v>
      </c>
      <c r="H1942">
        <v>4313</v>
      </c>
      <c r="I1942">
        <v>6469</v>
      </c>
      <c r="J1942">
        <v>-2156</v>
      </c>
      <c r="K1942" t="s">
        <v>21</v>
      </c>
      <c r="L1942">
        <v>2</v>
      </c>
      <c r="M1942" t="str">
        <f t="shared" si="30"/>
        <v>0-6 Months</v>
      </c>
      <c r="N1942" s="1">
        <v>44643</v>
      </c>
      <c r="O1942">
        <v>0</v>
      </c>
      <c r="P1942">
        <v>1941</v>
      </c>
      <c r="Q1942" s="2">
        <v>-0.5</v>
      </c>
      <c r="R1942" t="s">
        <v>27</v>
      </c>
      <c r="S1942">
        <v>2022</v>
      </c>
      <c r="T1942" t="s">
        <v>38</v>
      </c>
    </row>
    <row r="1943" spans="1:20" hidden="1" x14ac:dyDescent="0.3">
      <c r="A1943">
        <v>3275</v>
      </c>
      <c r="B1943">
        <v>174</v>
      </c>
      <c r="C1943" t="s">
        <v>40</v>
      </c>
      <c r="D1943" t="s">
        <v>19</v>
      </c>
      <c r="E1943" t="s">
        <v>37</v>
      </c>
      <c r="F1943" s="1">
        <v>44702</v>
      </c>
      <c r="G1943" s="1">
        <v>44911</v>
      </c>
      <c r="H1943">
        <v>4967.93</v>
      </c>
      <c r="I1943">
        <v>7876</v>
      </c>
      <c r="J1943">
        <v>-8330</v>
      </c>
      <c r="K1943" t="s">
        <v>54</v>
      </c>
      <c r="L1943">
        <v>6</v>
      </c>
      <c r="M1943" t="str">
        <f t="shared" si="30"/>
        <v>12+ Months</v>
      </c>
      <c r="N1943" s="1">
        <v>44911</v>
      </c>
      <c r="O1943">
        <v>0</v>
      </c>
      <c r="P1943">
        <v>1942</v>
      </c>
      <c r="Q1943" s="2">
        <v>-1.68</v>
      </c>
      <c r="R1943" t="s">
        <v>22</v>
      </c>
      <c r="S1943">
        <v>2022</v>
      </c>
      <c r="T1943" t="s">
        <v>31</v>
      </c>
    </row>
    <row r="1944" spans="1:20" x14ac:dyDescent="0.3">
      <c r="A1944">
        <v>3276</v>
      </c>
      <c r="B1944">
        <v>362</v>
      </c>
      <c r="C1944" t="s">
        <v>24</v>
      </c>
      <c r="D1944" t="s">
        <v>25</v>
      </c>
      <c r="E1944" t="s">
        <v>20</v>
      </c>
      <c r="F1944" s="1">
        <v>44740</v>
      </c>
      <c r="G1944" s="1">
        <v>45018</v>
      </c>
      <c r="H1944">
        <v>6327</v>
      </c>
      <c r="I1944">
        <v>4012.75</v>
      </c>
      <c r="J1944">
        <v>6604</v>
      </c>
      <c r="K1944" t="s">
        <v>35</v>
      </c>
      <c r="L1944">
        <v>9</v>
      </c>
      <c r="M1944" t="str">
        <f t="shared" si="30"/>
        <v>6-12 Months</v>
      </c>
      <c r="N1944" s="1">
        <v>45018</v>
      </c>
      <c r="O1944">
        <v>1</v>
      </c>
      <c r="P1944">
        <v>1943</v>
      </c>
      <c r="Q1944" s="2">
        <v>1.04</v>
      </c>
      <c r="R1944" t="s">
        <v>22</v>
      </c>
      <c r="S1944">
        <v>2023</v>
      </c>
      <c r="T1944" t="s">
        <v>32</v>
      </c>
    </row>
    <row r="1945" spans="1:20" x14ac:dyDescent="0.3">
      <c r="A1945">
        <v>3277</v>
      </c>
      <c r="B1945">
        <v>143</v>
      </c>
      <c r="C1945" t="s">
        <v>24</v>
      </c>
      <c r="D1945" t="s">
        <v>34</v>
      </c>
      <c r="E1945" t="s">
        <v>26</v>
      </c>
      <c r="F1945" s="1">
        <v>44620</v>
      </c>
      <c r="G1945" s="1">
        <v>45072</v>
      </c>
      <c r="H1945">
        <v>2837</v>
      </c>
      <c r="I1945">
        <v>6490</v>
      </c>
      <c r="J1945">
        <v>-3653</v>
      </c>
      <c r="K1945" t="s">
        <v>35</v>
      </c>
      <c r="L1945">
        <v>14</v>
      </c>
      <c r="M1945" t="str">
        <f t="shared" si="30"/>
        <v>6-12 Months</v>
      </c>
      <c r="N1945" s="1">
        <v>45072</v>
      </c>
      <c r="O1945">
        <v>0</v>
      </c>
      <c r="P1945">
        <v>1944</v>
      </c>
      <c r="Q1945" s="2">
        <v>-1.29</v>
      </c>
      <c r="R1945" t="s">
        <v>22</v>
      </c>
      <c r="S1945">
        <v>2023</v>
      </c>
      <c r="T1945" t="s">
        <v>28</v>
      </c>
    </row>
    <row r="1946" spans="1:20" hidden="1" x14ac:dyDescent="0.3">
      <c r="A1946">
        <v>3278</v>
      </c>
      <c r="B1946">
        <v>360</v>
      </c>
      <c r="C1946" t="s">
        <v>39</v>
      </c>
      <c r="D1946" t="s">
        <v>19</v>
      </c>
      <c r="E1946" t="s">
        <v>37</v>
      </c>
      <c r="F1946" s="1">
        <v>44581</v>
      </c>
      <c r="G1946" s="1">
        <v>44952</v>
      </c>
      <c r="H1946">
        <v>4967.93</v>
      </c>
      <c r="I1946">
        <v>4012.75</v>
      </c>
      <c r="J1946">
        <v>-904</v>
      </c>
      <c r="K1946" t="s">
        <v>21</v>
      </c>
      <c r="L1946">
        <v>12</v>
      </c>
      <c r="M1946" t="str">
        <f t="shared" si="30"/>
        <v>6-12 Months</v>
      </c>
      <c r="N1946" s="1">
        <v>44952</v>
      </c>
      <c r="O1946">
        <v>0</v>
      </c>
      <c r="P1946">
        <v>1945</v>
      </c>
      <c r="Q1946" s="2">
        <v>-0.18</v>
      </c>
      <c r="R1946" t="s">
        <v>27</v>
      </c>
      <c r="S1946">
        <v>2023</v>
      </c>
      <c r="T1946" t="s">
        <v>23</v>
      </c>
    </row>
    <row r="1947" spans="1:20" hidden="1" x14ac:dyDescent="0.3">
      <c r="A1947">
        <v>3279</v>
      </c>
      <c r="B1947">
        <v>489</v>
      </c>
      <c r="C1947" t="s">
        <v>40</v>
      </c>
      <c r="D1947" t="s">
        <v>25</v>
      </c>
      <c r="E1947" t="s">
        <v>37</v>
      </c>
      <c r="F1947" s="1">
        <v>44596</v>
      </c>
      <c r="G1947" s="1">
        <v>44733</v>
      </c>
      <c r="H1947">
        <v>4967.93</v>
      </c>
      <c r="I1947">
        <v>2292</v>
      </c>
      <c r="J1947">
        <v>-3029</v>
      </c>
      <c r="K1947" t="s">
        <v>21</v>
      </c>
      <c r="L1947">
        <v>4</v>
      </c>
      <c r="M1947" t="str">
        <f t="shared" si="30"/>
        <v>0-6 Months</v>
      </c>
      <c r="N1947" s="1">
        <v>44733</v>
      </c>
      <c r="O1947">
        <v>0</v>
      </c>
      <c r="P1947">
        <v>1946</v>
      </c>
      <c r="Q1947" s="2">
        <v>-0.61</v>
      </c>
      <c r="R1947" t="s">
        <v>27</v>
      </c>
      <c r="S1947">
        <v>2022</v>
      </c>
      <c r="T1947" t="s">
        <v>41</v>
      </c>
    </row>
    <row r="1948" spans="1:20" hidden="1" x14ac:dyDescent="0.3">
      <c r="A1948">
        <v>3282</v>
      </c>
      <c r="B1948">
        <v>465</v>
      </c>
      <c r="C1948" t="s">
        <v>40</v>
      </c>
      <c r="D1948" t="s">
        <v>34</v>
      </c>
      <c r="E1948" t="s">
        <v>20</v>
      </c>
      <c r="F1948" s="1">
        <v>44807</v>
      </c>
      <c r="G1948" s="1">
        <v>44871</v>
      </c>
      <c r="H1948">
        <v>1492</v>
      </c>
      <c r="I1948">
        <v>3526</v>
      </c>
      <c r="J1948">
        <v>-2034</v>
      </c>
      <c r="K1948" t="s">
        <v>21</v>
      </c>
      <c r="L1948">
        <v>2</v>
      </c>
      <c r="M1948" t="str">
        <f t="shared" si="30"/>
        <v>0-6 Months</v>
      </c>
      <c r="N1948" s="1">
        <v>44871</v>
      </c>
      <c r="O1948">
        <v>1</v>
      </c>
      <c r="P1948">
        <v>1947</v>
      </c>
      <c r="Q1948" s="2">
        <v>-1.36</v>
      </c>
      <c r="R1948" t="s">
        <v>22</v>
      </c>
      <c r="S1948">
        <v>2022</v>
      </c>
      <c r="T1948" t="s">
        <v>42</v>
      </c>
    </row>
    <row r="1949" spans="1:20" hidden="1" x14ac:dyDescent="0.3">
      <c r="A1949">
        <v>3288</v>
      </c>
      <c r="B1949">
        <v>302</v>
      </c>
      <c r="C1949" t="s">
        <v>39</v>
      </c>
      <c r="D1949" t="s">
        <v>19</v>
      </c>
      <c r="E1949" t="s">
        <v>20</v>
      </c>
      <c r="F1949" s="1">
        <v>44643</v>
      </c>
      <c r="G1949" s="1">
        <v>45030</v>
      </c>
      <c r="H1949">
        <v>9493</v>
      </c>
      <c r="I1949">
        <v>4012.75</v>
      </c>
      <c r="J1949">
        <v>10140</v>
      </c>
      <c r="K1949" t="s">
        <v>21</v>
      </c>
      <c r="L1949">
        <v>12</v>
      </c>
      <c r="M1949" t="str">
        <f t="shared" si="30"/>
        <v>6-12 Months</v>
      </c>
      <c r="N1949" s="1">
        <v>45030</v>
      </c>
      <c r="O1949">
        <v>0</v>
      </c>
      <c r="P1949">
        <v>1948</v>
      </c>
      <c r="Q1949" s="2">
        <v>1.07</v>
      </c>
      <c r="R1949" t="s">
        <v>22</v>
      </c>
      <c r="S1949">
        <v>2023</v>
      </c>
      <c r="T1949" t="s">
        <v>32</v>
      </c>
    </row>
    <row r="1950" spans="1:20" x14ac:dyDescent="0.3">
      <c r="A1950">
        <v>3290</v>
      </c>
      <c r="B1950">
        <v>304</v>
      </c>
      <c r="C1950" t="s">
        <v>39</v>
      </c>
      <c r="D1950" t="s">
        <v>19</v>
      </c>
      <c r="E1950" t="s">
        <v>20</v>
      </c>
      <c r="F1950" s="1">
        <v>44883</v>
      </c>
      <c r="G1950" s="1">
        <v>45189</v>
      </c>
      <c r="H1950">
        <v>4967.93</v>
      </c>
      <c r="I1950">
        <v>129</v>
      </c>
      <c r="J1950">
        <v>-1940</v>
      </c>
      <c r="K1950" t="s">
        <v>35</v>
      </c>
      <c r="L1950">
        <v>10</v>
      </c>
      <c r="M1950" t="str">
        <f t="shared" si="30"/>
        <v>6-12 Months</v>
      </c>
      <c r="N1950" s="1">
        <v>45189</v>
      </c>
      <c r="O1950">
        <v>0</v>
      </c>
      <c r="P1950">
        <v>1949</v>
      </c>
      <c r="Q1950" s="2">
        <v>-0.39</v>
      </c>
      <c r="R1950" t="s">
        <v>27</v>
      </c>
      <c r="S1950">
        <v>2023</v>
      </c>
      <c r="T1950" t="s">
        <v>30</v>
      </c>
    </row>
    <row r="1951" spans="1:20" hidden="1" x14ac:dyDescent="0.3">
      <c r="A1951">
        <v>3291</v>
      </c>
      <c r="B1951">
        <v>260</v>
      </c>
      <c r="C1951" t="s">
        <v>39</v>
      </c>
      <c r="D1951" t="s">
        <v>19</v>
      </c>
      <c r="E1951" t="s">
        <v>26</v>
      </c>
      <c r="F1951" s="1">
        <v>44905</v>
      </c>
      <c r="G1951" s="1">
        <v>45070</v>
      </c>
      <c r="H1951">
        <v>4363</v>
      </c>
      <c r="I1951">
        <v>4112</v>
      </c>
      <c r="J1951">
        <v>251</v>
      </c>
      <c r="K1951" t="s">
        <v>54</v>
      </c>
      <c r="L1951">
        <v>5</v>
      </c>
      <c r="M1951" t="str">
        <f t="shared" si="30"/>
        <v>0-6 Months</v>
      </c>
      <c r="N1951" s="1">
        <v>45070</v>
      </c>
      <c r="O1951">
        <v>1</v>
      </c>
      <c r="P1951">
        <v>1950</v>
      </c>
      <c r="Q1951" s="2">
        <v>0.06</v>
      </c>
      <c r="R1951" t="s">
        <v>27</v>
      </c>
      <c r="S1951">
        <v>2023</v>
      </c>
      <c r="T1951" t="s">
        <v>28</v>
      </c>
    </row>
    <row r="1952" spans="1:20" hidden="1" x14ac:dyDescent="0.3">
      <c r="A1952">
        <v>3292</v>
      </c>
      <c r="B1952">
        <v>161</v>
      </c>
      <c r="C1952" t="s">
        <v>24</v>
      </c>
      <c r="D1952" t="s">
        <v>34</v>
      </c>
      <c r="E1952" t="s">
        <v>20</v>
      </c>
      <c r="F1952" s="1">
        <v>44563</v>
      </c>
      <c r="G1952" s="1">
        <v>44899</v>
      </c>
      <c r="H1952">
        <v>4967.93</v>
      </c>
      <c r="I1952">
        <v>4011</v>
      </c>
      <c r="J1952">
        <v>577.01</v>
      </c>
      <c r="K1952" t="s">
        <v>54</v>
      </c>
      <c r="L1952">
        <v>11</v>
      </c>
      <c r="M1952" t="str">
        <f t="shared" si="30"/>
        <v>6-12 Months</v>
      </c>
      <c r="N1952" s="1">
        <v>44899</v>
      </c>
      <c r="O1952">
        <v>0</v>
      </c>
      <c r="P1952">
        <v>1951</v>
      </c>
      <c r="Q1952" s="2">
        <v>0.12</v>
      </c>
      <c r="R1952" t="s">
        <v>27</v>
      </c>
      <c r="S1952">
        <v>2022</v>
      </c>
      <c r="T1952" t="s">
        <v>31</v>
      </c>
    </row>
    <row r="1953" spans="1:20" hidden="1" x14ac:dyDescent="0.3">
      <c r="A1953">
        <v>3294</v>
      </c>
      <c r="B1953">
        <v>117</v>
      </c>
      <c r="C1953" t="s">
        <v>39</v>
      </c>
      <c r="D1953" t="s">
        <v>19</v>
      </c>
      <c r="E1953" t="s">
        <v>37</v>
      </c>
      <c r="F1953" s="1">
        <v>44768</v>
      </c>
      <c r="G1953" s="1">
        <v>45363</v>
      </c>
      <c r="H1953">
        <v>2117</v>
      </c>
      <c r="I1953">
        <v>7355</v>
      </c>
      <c r="J1953">
        <v>577.01</v>
      </c>
      <c r="K1953" t="s">
        <v>54</v>
      </c>
      <c r="L1953">
        <v>19</v>
      </c>
      <c r="M1953" t="str">
        <f t="shared" si="30"/>
        <v>6-12 Months</v>
      </c>
      <c r="N1953" s="1">
        <v>45363</v>
      </c>
      <c r="O1953">
        <v>0</v>
      </c>
      <c r="P1953">
        <v>1952</v>
      </c>
      <c r="Q1953" s="2">
        <v>0.27</v>
      </c>
      <c r="R1953" t="s">
        <v>27</v>
      </c>
      <c r="S1953">
        <v>2024</v>
      </c>
      <c r="T1953" t="s">
        <v>38</v>
      </c>
    </row>
    <row r="1954" spans="1:20" hidden="1" x14ac:dyDescent="0.3">
      <c r="A1954">
        <v>3295</v>
      </c>
      <c r="B1954">
        <v>387</v>
      </c>
      <c r="C1954" t="s">
        <v>24</v>
      </c>
      <c r="D1954" t="s">
        <v>25</v>
      </c>
      <c r="E1954" t="s">
        <v>37</v>
      </c>
      <c r="F1954" s="1">
        <v>44711</v>
      </c>
      <c r="G1954" s="1">
        <v>44782</v>
      </c>
      <c r="H1954">
        <v>2363</v>
      </c>
      <c r="I1954">
        <v>3058</v>
      </c>
      <c r="J1954">
        <v>-695</v>
      </c>
      <c r="K1954" t="s">
        <v>54</v>
      </c>
      <c r="L1954">
        <v>2</v>
      </c>
      <c r="M1954" t="str">
        <f t="shared" si="30"/>
        <v>0-6 Months</v>
      </c>
      <c r="N1954" s="1">
        <v>44782</v>
      </c>
      <c r="O1954">
        <v>1</v>
      </c>
      <c r="P1954">
        <v>1953</v>
      </c>
      <c r="Q1954" s="2">
        <v>-0.28999999999999998</v>
      </c>
      <c r="R1954" t="s">
        <v>27</v>
      </c>
      <c r="S1954">
        <v>2022</v>
      </c>
      <c r="T1954" t="s">
        <v>36</v>
      </c>
    </row>
    <row r="1955" spans="1:20" hidden="1" x14ac:dyDescent="0.3">
      <c r="A1955">
        <v>3296</v>
      </c>
      <c r="B1955">
        <v>368</v>
      </c>
      <c r="C1955" t="s">
        <v>40</v>
      </c>
      <c r="D1955" t="s">
        <v>25</v>
      </c>
      <c r="E1955" t="s">
        <v>26</v>
      </c>
      <c r="F1955" s="1">
        <v>44688</v>
      </c>
      <c r="G1955" s="1">
        <v>44835</v>
      </c>
      <c r="H1955">
        <v>7772</v>
      </c>
      <c r="I1955">
        <v>4523</v>
      </c>
      <c r="J1955">
        <v>3249</v>
      </c>
      <c r="K1955" t="s">
        <v>21</v>
      </c>
      <c r="L1955">
        <v>4</v>
      </c>
      <c r="M1955" t="str">
        <f t="shared" si="30"/>
        <v>0-6 Months</v>
      </c>
      <c r="N1955" s="1">
        <v>44835</v>
      </c>
      <c r="O1955">
        <v>1</v>
      </c>
      <c r="P1955">
        <v>1954</v>
      </c>
      <c r="Q1955" s="2">
        <v>0.42</v>
      </c>
      <c r="R1955" t="s">
        <v>27</v>
      </c>
      <c r="S1955">
        <v>2022</v>
      </c>
      <c r="T1955" t="s">
        <v>33</v>
      </c>
    </row>
    <row r="1956" spans="1:20" hidden="1" x14ac:dyDescent="0.3">
      <c r="A1956">
        <v>3297</v>
      </c>
      <c r="B1956">
        <v>434</v>
      </c>
      <c r="C1956" t="s">
        <v>24</v>
      </c>
      <c r="D1956" t="s">
        <v>29</v>
      </c>
      <c r="E1956" t="s">
        <v>26</v>
      </c>
      <c r="F1956" s="1">
        <v>44879</v>
      </c>
      <c r="G1956" s="1">
        <v>45394</v>
      </c>
      <c r="H1956">
        <v>4967.93</v>
      </c>
      <c r="I1956">
        <v>4012.75</v>
      </c>
      <c r="J1956">
        <v>577.01</v>
      </c>
      <c r="K1956" t="s">
        <v>54</v>
      </c>
      <c r="L1956">
        <v>16</v>
      </c>
      <c r="M1956" t="str">
        <f t="shared" si="30"/>
        <v>6-12 Months</v>
      </c>
      <c r="N1956" s="1">
        <v>45394</v>
      </c>
      <c r="O1956">
        <v>0</v>
      </c>
      <c r="P1956">
        <v>1955</v>
      </c>
      <c r="Q1956" s="2">
        <v>0.12</v>
      </c>
      <c r="R1956" t="s">
        <v>27</v>
      </c>
      <c r="S1956">
        <v>2024</v>
      </c>
      <c r="T1956" t="s">
        <v>32</v>
      </c>
    </row>
    <row r="1957" spans="1:20" x14ac:dyDescent="0.3">
      <c r="A1957">
        <v>3298</v>
      </c>
      <c r="B1957">
        <v>499</v>
      </c>
      <c r="C1957" t="s">
        <v>39</v>
      </c>
      <c r="D1957" t="s">
        <v>25</v>
      </c>
      <c r="E1957" t="s">
        <v>20</v>
      </c>
      <c r="F1957" s="1">
        <v>44754</v>
      </c>
      <c r="G1957" s="1">
        <v>45053</v>
      </c>
      <c r="H1957">
        <v>4970</v>
      </c>
      <c r="I1957">
        <v>3644</v>
      </c>
      <c r="J1957">
        <v>1326</v>
      </c>
      <c r="K1957" t="s">
        <v>35</v>
      </c>
      <c r="L1957">
        <v>9</v>
      </c>
      <c r="M1957" t="str">
        <f t="shared" si="30"/>
        <v>6-12 Months</v>
      </c>
      <c r="N1957" s="1">
        <v>45053</v>
      </c>
      <c r="O1957">
        <v>0</v>
      </c>
      <c r="P1957">
        <v>1956</v>
      </c>
      <c r="Q1957" s="2">
        <v>0.27</v>
      </c>
      <c r="R1957" t="s">
        <v>27</v>
      </c>
      <c r="S1957">
        <v>2023</v>
      </c>
      <c r="T1957" t="s">
        <v>28</v>
      </c>
    </row>
    <row r="1958" spans="1:20" hidden="1" x14ac:dyDescent="0.3">
      <c r="A1958">
        <v>3299</v>
      </c>
      <c r="B1958">
        <v>271</v>
      </c>
      <c r="C1958" t="s">
        <v>39</v>
      </c>
      <c r="D1958" t="s">
        <v>29</v>
      </c>
      <c r="E1958" t="s">
        <v>26</v>
      </c>
      <c r="F1958" s="1">
        <v>44920</v>
      </c>
      <c r="G1958" s="1">
        <v>44964</v>
      </c>
      <c r="H1958">
        <v>4528</v>
      </c>
      <c r="I1958">
        <v>5212</v>
      </c>
      <c r="J1958">
        <v>577.01</v>
      </c>
      <c r="K1958" t="s">
        <v>54</v>
      </c>
      <c r="L1958">
        <v>1</v>
      </c>
      <c r="M1958" t="str">
        <f t="shared" si="30"/>
        <v>0-6 Months</v>
      </c>
      <c r="N1958" s="1">
        <v>44964</v>
      </c>
      <c r="O1958">
        <v>1</v>
      </c>
      <c r="P1958">
        <v>1957</v>
      </c>
      <c r="Q1958" s="2">
        <v>0.13</v>
      </c>
      <c r="R1958" t="s">
        <v>27</v>
      </c>
      <c r="S1958">
        <v>2023</v>
      </c>
      <c r="T1958" t="s">
        <v>43</v>
      </c>
    </row>
    <row r="1959" spans="1:20" hidden="1" x14ac:dyDescent="0.3">
      <c r="A1959">
        <v>3300</v>
      </c>
      <c r="B1959">
        <v>482</v>
      </c>
      <c r="C1959" t="s">
        <v>24</v>
      </c>
      <c r="D1959" t="s">
        <v>19</v>
      </c>
      <c r="E1959" t="s">
        <v>26</v>
      </c>
      <c r="F1959" s="1">
        <v>44786</v>
      </c>
      <c r="G1959" s="1">
        <v>44876</v>
      </c>
      <c r="H1959">
        <v>9047</v>
      </c>
      <c r="I1959">
        <v>5225</v>
      </c>
      <c r="J1959">
        <v>3822</v>
      </c>
      <c r="K1959" t="s">
        <v>21</v>
      </c>
      <c r="L1959">
        <v>2</v>
      </c>
      <c r="M1959" t="str">
        <f t="shared" si="30"/>
        <v>0-6 Months</v>
      </c>
      <c r="N1959" s="1">
        <v>44876</v>
      </c>
      <c r="O1959">
        <v>0</v>
      </c>
      <c r="P1959">
        <v>1958</v>
      </c>
      <c r="Q1959" s="2">
        <v>0.42</v>
      </c>
      <c r="R1959" t="s">
        <v>27</v>
      </c>
      <c r="S1959">
        <v>2022</v>
      </c>
      <c r="T1959" t="s">
        <v>42</v>
      </c>
    </row>
    <row r="1960" spans="1:20" x14ac:dyDescent="0.3">
      <c r="A1960">
        <v>3303</v>
      </c>
      <c r="B1960">
        <v>389</v>
      </c>
      <c r="C1960" t="s">
        <v>45</v>
      </c>
      <c r="D1960" t="s">
        <v>25</v>
      </c>
      <c r="E1960" t="s">
        <v>37</v>
      </c>
      <c r="F1960" s="1">
        <v>44922</v>
      </c>
      <c r="G1960" s="1">
        <v>45158</v>
      </c>
      <c r="H1960">
        <v>3725</v>
      </c>
      <c r="I1960">
        <v>38</v>
      </c>
      <c r="J1960">
        <v>3687</v>
      </c>
      <c r="K1960" t="s">
        <v>35</v>
      </c>
      <c r="L1960">
        <v>7</v>
      </c>
      <c r="M1960" t="str">
        <f t="shared" si="30"/>
        <v>6-12 Months</v>
      </c>
      <c r="N1960" s="1">
        <v>45158</v>
      </c>
      <c r="O1960">
        <v>1</v>
      </c>
      <c r="P1960">
        <v>1959</v>
      </c>
      <c r="Q1960" s="2">
        <v>0.99</v>
      </c>
      <c r="R1960" t="s">
        <v>27</v>
      </c>
      <c r="S1960">
        <v>2023</v>
      </c>
      <c r="T1960" t="s">
        <v>36</v>
      </c>
    </row>
    <row r="1961" spans="1:20" x14ac:dyDescent="0.3">
      <c r="A1961">
        <v>3304</v>
      </c>
      <c r="B1961">
        <v>218</v>
      </c>
      <c r="C1961" t="s">
        <v>24</v>
      </c>
      <c r="D1961" t="s">
        <v>29</v>
      </c>
      <c r="E1961" t="s">
        <v>20</v>
      </c>
      <c r="F1961" s="1">
        <v>44660</v>
      </c>
      <c r="G1961" s="1">
        <v>45233</v>
      </c>
      <c r="H1961">
        <v>832</v>
      </c>
      <c r="I1961">
        <v>4359</v>
      </c>
      <c r="J1961">
        <v>-3527</v>
      </c>
      <c r="K1961" t="s">
        <v>35</v>
      </c>
      <c r="L1961">
        <v>18</v>
      </c>
      <c r="M1961" t="str">
        <f t="shared" si="30"/>
        <v>6-12 Months</v>
      </c>
      <c r="N1961" s="1">
        <v>45233</v>
      </c>
      <c r="O1961">
        <v>1</v>
      </c>
      <c r="P1961">
        <v>1960</v>
      </c>
      <c r="Q1961" s="2">
        <v>-4.24</v>
      </c>
      <c r="R1961" t="s">
        <v>22</v>
      </c>
      <c r="S1961">
        <v>2023</v>
      </c>
      <c r="T1961" t="s">
        <v>42</v>
      </c>
    </row>
    <row r="1962" spans="1:20" hidden="1" x14ac:dyDescent="0.3">
      <c r="A1962">
        <v>3306</v>
      </c>
      <c r="B1962">
        <v>331</v>
      </c>
      <c r="C1962" t="s">
        <v>39</v>
      </c>
      <c r="D1962" t="s">
        <v>34</v>
      </c>
      <c r="E1962" t="s">
        <v>20</v>
      </c>
      <c r="F1962" s="1">
        <v>44879</v>
      </c>
      <c r="G1962" s="1">
        <v>45160</v>
      </c>
      <c r="H1962">
        <v>2741</v>
      </c>
      <c r="I1962">
        <v>3813</v>
      </c>
      <c r="J1962">
        <v>-1072</v>
      </c>
      <c r="K1962" t="s">
        <v>54</v>
      </c>
      <c r="L1962">
        <v>9</v>
      </c>
      <c r="M1962" t="str">
        <f t="shared" si="30"/>
        <v>6-12 Months</v>
      </c>
      <c r="N1962" s="1">
        <v>45160</v>
      </c>
      <c r="O1962">
        <v>0</v>
      </c>
      <c r="P1962">
        <v>1961</v>
      </c>
      <c r="Q1962" s="2">
        <v>-0.39</v>
      </c>
      <c r="R1962" t="s">
        <v>27</v>
      </c>
      <c r="S1962">
        <v>2023</v>
      </c>
      <c r="T1962" t="s">
        <v>36</v>
      </c>
    </row>
    <row r="1963" spans="1:20" hidden="1" x14ac:dyDescent="0.3">
      <c r="A1963">
        <v>3307</v>
      </c>
      <c r="B1963">
        <v>448</v>
      </c>
      <c r="C1963" t="s">
        <v>24</v>
      </c>
      <c r="D1963" t="s">
        <v>29</v>
      </c>
      <c r="E1963" t="s">
        <v>20</v>
      </c>
      <c r="F1963" s="1">
        <v>44920</v>
      </c>
      <c r="G1963" s="1">
        <v>45018</v>
      </c>
      <c r="H1963">
        <v>4967.93</v>
      </c>
      <c r="I1963">
        <v>4295</v>
      </c>
      <c r="J1963">
        <v>-5878</v>
      </c>
      <c r="K1963" t="s">
        <v>54</v>
      </c>
      <c r="L1963">
        <v>3</v>
      </c>
      <c r="M1963" t="str">
        <f t="shared" si="30"/>
        <v>0-6 Months</v>
      </c>
      <c r="N1963" s="1">
        <v>45018</v>
      </c>
      <c r="O1963">
        <v>0</v>
      </c>
      <c r="P1963">
        <v>1962</v>
      </c>
      <c r="Q1963" s="2">
        <v>-1.18</v>
      </c>
      <c r="R1963" t="s">
        <v>22</v>
      </c>
      <c r="S1963">
        <v>2023</v>
      </c>
      <c r="T1963" t="s">
        <v>32</v>
      </c>
    </row>
    <row r="1964" spans="1:20" hidden="1" x14ac:dyDescent="0.3">
      <c r="A1964">
        <v>3309</v>
      </c>
      <c r="B1964">
        <v>285</v>
      </c>
      <c r="C1964" t="s">
        <v>39</v>
      </c>
      <c r="D1964" t="s">
        <v>34</v>
      </c>
      <c r="E1964" t="s">
        <v>20</v>
      </c>
      <c r="F1964" s="1">
        <v>44829</v>
      </c>
      <c r="G1964" s="1">
        <v>45246</v>
      </c>
      <c r="H1964">
        <v>4967.93</v>
      </c>
      <c r="I1964">
        <v>6978</v>
      </c>
      <c r="J1964">
        <v>-8048</v>
      </c>
      <c r="K1964" t="s">
        <v>54</v>
      </c>
      <c r="L1964">
        <v>13</v>
      </c>
      <c r="M1964" t="str">
        <f t="shared" si="30"/>
        <v>6-12 Months</v>
      </c>
      <c r="N1964" s="1">
        <v>45246</v>
      </c>
      <c r="O1964">
        <v>0</v>
      </c>
      <c r="P1964">
        <v>1963</v>
      </c>
      <c r="Q1964" s="2">
        <v>-1.62</v>
      </c>
      <c r="R1964" t="s">
        <v>22</v>
      </c>
      <c r="S1964">
        <v>2023</v>
      </c>
      <c r="T1964" t="s">
        <v>42</v>
      </c>
    </row>
    <row r="1965" spans="1:20" hidden="1" x14ac:dyDescent="0.3">
      <c r="A1965">
        <v>3310</v>
      </c>
      <c r="B1965">
        <v>437</v>
      </c>
      <c r="C1965" t="s">
        <v>53</v>
      </c>
      <c r="D1965" t="s">
        <v>19</v>
      </c>
      <c r="E1965" t="s">
        <v>37</v>
      </c>
      <c r="F1965" s="1">
        <v>44598</v>
      </c>
      <c r="G1965" s="1">
        <v>44923</v>
      </c>
      <c r="H1965">
        <v>9773</v>
      </c>
      <c r="I1965">
        <v>7405</v>
      </c>
      <c r="J1965">
        <v>2368</v>
      </c>
      <c r="K1965" t="s">
        <v>54</v>
      </c>
      <c r="L1965">
        <v>10</v>
      </c>
      <c r="M1965" t="str">
        <f t="shared" si="30"/>
        <v>6-12 Months</v>
      </c>
      <c r="N1965" s="1">
        <v>44923</v>
      </c>
      <c r="O1965">
        <v>0</v>
      </c>
      <c r="P1965">
        <v>1964</v>
      </c>
      <c r="Q1965" s="2">
        <v>0.24</v>
      </c>
      <c r="R1965" t="s">
        <v>27</v>
      </c>
      <c r="S1965">
        <v>2022</v>
      </c>
      <c r="T1965" t="s">
        <v>31</v>
      </c>
    </row>
    <row r="1966" spans="1:20" hidden="1" x14ac:dyDescent="0.3">
      <c r="A1966">
        <v>3311</v>
      </c>
      <c r="B1966">
        <v>242</v>
      </c>
      <c r="C1966" t="s">
        <v>24</v>
      </c>
      <c r="D1966" t="s">
        <v>29</v>
      </c>
      <c r="E1966" t="s">
        <v>20</v>
      </c>
      <c r="F1966" s="1">
        <v>44798</v>
      </c>
      <c r="G1966" s="1">
        <v>45258</v>
      </c>
      <c r="H1966">
        <v>7972</v>
      </c>
      <c r="I1966">
        <v>3015</v>
      </c>
      <c r="J1966">
        <v>577.01</v>
      </c>
      <c r="K1966" t="s">
        <v>54</v>
      </c>
      <c r="L1966">
        <v>15</v>
      </c>
      <c r="M1966" t="str">
        <f t="shared" si="30"/>
        <v>6-12 Months</v>
      </c>
      <c r="N1966" s="1">
        <v>45258</v>
      </c>
      <c r="O1966">
        <v>0</v>
      </c>
      <c r="P1966">
        <v>1965</v>
      </c>
      <c r="Q1966" s="2">
        <v>7.0000000000000007E-2</v>
      </c>
      <c r="R1966" t="s">
        <v>27</v>
      </c>
      <c r="S1966">
        <v>2023</v>
      </c>
      <c r="T1966" t="s">
        <v>42</v>
      </c>
    </row>
    <row r="1967" spans="1:20" hidden="1" x14ac:dyDescent="0.3">
      <c r="A1967">
        <v>3313</v>
      </c>
      <c r="B1967">
        <v>470</v>
      </c>
      <c r="C1967" t="s">
        <v>40</v>
      </c>
      <c r="D1967" t="s">
        <v>19</v>
      </c>
      <c r="E1967" t="s">
        <v>26</v>
      </c>
      <c r="F1967" s="1">
        <v>44751</v>
      </c>
      <c r="G1967" s="1">
        <v>44959</v>
      </c>
      <c r="H1967">
        <v>6895</v>
      </c>
      <c r="I1967">
        <v>1546</v>
      </c>
      <c r="J1967">
        <v>5349</v>
      </c>
      <c r="K1967" t="s">
        <v>54</v>
      </c>
      <c r="L1967">
        <v>6</v>
      </c>
      <c r="M1967" t="str">
        <f t="shared" si="30"/>
        <v>12+ Months</v>
      </c>
      <c r="N1967" s="1">
        <v>44959</v>
      </c>
      <c r="O1967">
        <v>0</v>
      </c>
      <c r="P1967">
        <v>1966</v>
      </c>
      <c r="Q1967" s="2">
        <v>0.78</v>
      </c>
      <c r="R1967" t="s">
        <v>27</v>
      </c>
      <c r="S1967">
        <v>2023</v>
      </c>
      <c r="T1967" t="s">
        <v>43</v>
      </c>
    </row>
    <row r="1968" spans="1:20" hidden="1" x14ac:dyDescent="0.3">
      <c r="A1968">
        <v>3317</v>
      </c>
      <c r="B1968">
        <v>278</v>
      </c>
      <c r="C1968" t="s">
        <v>39</v>
      </c>
      <c r="D1968" t="s">
        <v>19</v>
      </c>
      <c r="E1968" t="s">
        <v>26</v>
      </c>
      <c r="F1968" s="1">
        <v>44726</v>
      </c>
      <c r="G1968" s="1">
        <v>44933</v>
      </c>
      <c r="H1968">
        <v>9538</v>
      </c>
      <c r="I1968">
        <v>6333</v>
      </c>
      <c r="J1968">
        <v>3205</v>
      </c>
      <c r="K1968" t="s">
        <v>54</v>
      </c>
      <c r="L1968">
        <v>6</v>
      </c>
      <c r="M1968" t="str">
        <f t="shared" si="30"/>
        <v>12+ Months</v>
      </c>
      <c r="N1968" s="1">
        <v>44933</v>
      </c>
      <c r="O1968">
        <v>1</v>
      </c>
      <c r="P1968">
        <v>1967</v>
      </c>
      <c r="Q1968" s="2">
        <v>0.34</v>
      </c>
      <c r="R1968" t="s">
        <v>27</v>
      </c>
      <c r="S1968">
        <v>2023</v>
      </c>
      <c r="T1968" t="s">
        <v>23</v>
      </c>
    </row>
    <row r="1969" spans="1:20" hidden="1" x14ac:dyDescent="0.3">
      <c r="A1969">
        <v>3318</v>
      </c>
      <c r="B1969">
        <v>258</v>
      </c>
      <c r="C1969" t="s">
        <v>40</v>
      </c>
      <c r="D1969" t="s">
        <v>34</v>
      </c>
      <c r="E1969" t="s">
        <v>26</v>
      </c>
      <c r="F1969" s="1">
        <v>44679</v>
      </c>
      <c r="G1969" s="1">
        <v>44846</v>
      </c>
      <c r="H1969">
        <v>9327</v>
      </c>
      <c r="I1969">
        <v>7560</v>
      </c>
      <c r="J1969">
        <v>1767</v>
      </c>
      <c r="K1969" t="s">
        <v>54</v>
      </c>
      <c r="L1969">
        <v>5</v>
      </c>
      <c r="M1969" t="str">
        <f t="shared" si="30"/>
        <v>0-6 Months</v>
      </c>
      <c r="N1969" s="1">
        <v>44846</v>
      </c>
      <c r="O1969">
        <v>0</v>
      </c>
      <c r="P1969">
        <v>1968</v>
      </c>
      <c r="Q1969" s="2">
        <v>0.19</v>
      </c>
      <c r="R1969" t="s">
        <v>27</v>
      </c>
      <c r="S1969">
        <v>2022</v>
      </c>
      <c r="T1969" t="s">
        <v>33</v>
      </c>
    </row>
    <row r="1970" spans="1:20" x14ac:dyDescent="0.3">
      <c r="A1970">
        <v>3319</v>
      </c>
      <c r="B1970">
        <v>473</v>
      </c>
      <c r="C1970" t="s">
        <v>24</v>
      </c>
      <c r="D1970" t="s">
        <v>25</v>
      </c>
      <c r="E1970" t="s">
        <v>37</v>
      </c>
      <c r="F1970" s="1">
        <v>44580</v>
      </c>
      <c r="G1970" s="1">
        <v>44626</v>
      </c>
      <c r="H1970">
        <v>7004</v>
      </c>
      <c r="I1970">
        <v>4012.75</v>
      </c>
      <c r="J1970">
        <v>7148</v>
      </c>
      <c r="K1970" t="s">
        <v>35</v>
      </c>
      <c r="L1970">
        <v>1</v>
      </c>
      <c r="M1970" t="str">
        <f t="shared" si="30"/>
        <v>0-6 Months</v>
      </c>
      <c r="N1970" s="1">
        <v>44626</v>
      </c>
      <c r="O1970">
        <v>0</v>
      </c>
      <c r="P1970">
        <v>1969</v>
      </c>
      <c r="Q1970" s="2">
        <v>1.02</v>
      </c>
      <c r="R1970" t="s">
        <v>22</v>
      </c>
      <c r="S1970">
        <v>2022</v>
      </c>
      <c r="T1970" t="s">
        <v>38</v>
      </c>
    </row>
    <row r="1971" spans="1:20" hidden="1" x14ac:dyDescent="0.3">
      <c r="A1971">
        <v>3320</v>
      </c>
      <c r="B1971">
        <v>330</v>
      </c>
      <c r="C1971" t="s">
        <v>53</v>
      </c>
      <c r="D1971" t="s">
        <v>19</v>
      </c>
      <c r="E1971" t="s">
        <v>26</v>
      </c>
      <c r="F1971" s="1">
        <v>44642</v>
      </c>
      <c r="G1971" s="1">
        <v>44972</v>
      </c>
      <c r="H1971">
        <v>9635</v>
      </c>
      <c r="I1971">
        <v>4879</v>
      </c>
      <c r="J1971">
        <v>4756</v>
      </c>
      <c r="K1971" t="s">
        <v>54</v>
      </c>
      <c r="L1971">
        <v>10</v>
      </c>
      <c r="M1971" t="str">
        <f t="shared" si="30"/>
        <v>6-12 Months</v>
      </c>
      <c r="N1971" s="1">
        <v>44972</v>
      </c>
      <c r="O1971">
        <v>1</v>
      </c>
      <c r="P1971">
        <v>1970</v>
      </c>
      <c r="Q1971" s="2">
        <v>0.49</v>
      </c>
      <c r="R1971" t="s">
        <v>27</v>
      </c>
      <c r="S1971">
        <v>2023</v>
      </c>
      <c r="T1971" t="s">
        <v>43</v>
      </c>
    </row>
    <row r="1972" spans="1:20" x14ac:dyDescent="0.3">
      <c r="A1972">
        <v>3323</v>
      </c>
      <c r="B1972">
        <v>262</v>
      </c>
      <c r="C1972" t="s">
        <v>45</v>
      </c>
      <c r="D1972" t="s">
        <v>19</v>
      </c>
      <c r="E1972" t="s">
        <v>37</v>
      </c>
      <c r="F1972" s="1">
        <v>44916</v>
      </c>
      <c r="G1972" s="1">
        <v>44994</v>
      </c>
      <c r="H1972">
        <v>3893</v>
      </c>
      <c r="I1972">
        <v>6888</v>
      </c>
      <c r="J1972">
        <v>-2995</v>
      </c>
      <c r="K1972" t="s">
        <v>35</v>
      </c>
      <c r="L1972">
        <v>2</v>
      </c>
      <c r="M1972" t="str">
        <f t="shared" si="30"/>
        <v>0-6 Months</v>
      </c>
      <c r="N1972" s="1">
        <v>44994</v>
      </c>
      <c r="O1972">
        <v>0</v>
      </c>
      <c r="P1972">
        <v>1971</v>
      </c>
      <c r="Q1972" s="2">
        <v>-0.77</v>
      </c>
      <c r="R1972" t="s">
        <v>27</v>
      </c>
      <c r="S1972">
        <v>2023</v>
      </c>
      <c r="T1972" t="s">
        <v>38</v>
      </c>
    </row>
    <row r="1973" spans="1:20" hidden="1" x14ac:dyDescent="0.3">
      <c r="A1973">
        <v>3325</v>
      </c>
      <c r="B1973">
        <v>416</v>
      </c>
      <c r="C1973" t="s">
        <v>24</v>
      </c>
      <c r="D1973" t="s">
        <v>29</v>
      </c>
      <c r="E1973" t="s">
        <v>37</v>
      </c>
      <c r="F1973" s="1">
        <v>44664</v>
      </c>
      <c r="G1973" s="1">
        <v>45189</v>
      </c>
      <c r="H1973">
        <v>7769</v>
      </c>
      <c r="I1973">
        <v>4012.75</v>
      </c>
      <c r="J1973">
        <v>8506</v>
      </c>
      <c r="K1973" t="s">
        <v>54</v>
      </c>
      <c r="L1973">
        <v>17</v>
      </c>
      <c r="M1973" t="str">
        <f t="shared" si="30"/>
        <v>6-12 Months</v>
      </c>
      <c r="N1973" s="1">
        <v>45189</v>
      </c>
      <c r="O1973">
        <v>1</v>
      </c>
      <c r="P1973">
        <v>1972</v>
      </c>
      <c r="Q1973" s="2">
        <v>1.0900000000000001</v>
      </c>
      <c r="R1973" t="s">
        <v>22</v>
      </c>
      <c r="S1973">
        <v>2023</v>
      </c>
      <c r="T1973" t="s">
        <v>30</v>
      </c>
    </row>
    <row r="1974" spans="1:20" hidden="1" x14ac:dyDescent="0.3">
      <c r="A1974">
        <v>3326</v>
      </c>
      <c r="B1974">
        <v>122</v>
      </c>
      <c r="C1974" t="s">
        <v>24</v>
      </c>
      <c r="D1974" t="s">
        <v>25</v>
      </c>
      <c r="E1974" t="s">
        <v>20</v>
      </c>
      <c r="F1974" s="1">
        <v>44896</v>
      </c>
      <c r="G1974" s="1">
        <v>45290</v>
      </c>
      <c r="H1974">
        <v>1994</v>
      </c>
      <c r="I1974">
        <v>4012.75</v>
      </c>
      <c r="J1974">
        <v>2178</v>
      </c>
      <c r="K1974" t="s">
        <v>21</v>
      </c>
      <c r="L1974">
        <v>12</v>
      </c>
      <c r="M1974" t="str">
        <f t="shared" si="30"/>
        <v>6-12 Months</v>
      </c>
      <c r="N1974" s="1">
        <v>45290</v>
      </c>
      <c r="O1974">
        <v>1</v>
      </c>
      <c r="P1974">
        <v>1973</v>
      </c>
      <c r="Q1974" s="2">
        <v>1.0900000000000001</v>
      </c>
      <c r="R1974" t="s">
        <v>22</v>
      </c>
      <c r="S1974">
        <v>2023</v>
      </c>
      <c r="T1974" t="s">
        <v>31</v>
      </c>
    </row>
    <row r="1975" spans="1:20" x14ac:dyDescent="0.3">
      <c r="A1975">
        <v>3327</v>
      </c>
      <c r="B1975">
        <v>112</v>
      </c>
      <c r="C1975" t="s">
        <v>39</v>
      </c>
      <c r="D1975" t="s">
        <v>19</v>
      </c>
      <c r="E1975" t="s">
        <v>37</v>
      </c>
      <c r="F1975" s="1">
        <v>44919</v>
      </c>
      <c r="G1975" s="1">
        <v>45445</v>
      </c>
      <c r="H1975">
        <v>7598</v>
      </c>
      <c r="I1975">
        <v>4291</v>
      </c>
      <c r="J1975">
        <v>3307</v>
      </c>
      <c r="K1975" t="s">
        <v>35</v>
      </c>
      <c r="L1975">
        <v>17</v>
      </c>
      <c r="M1975" t="str">
        <f t="shared" si="30"/>
        <v>6-12 Months</v>
      </c>
      <c r="N1975" s="1">
        <v>45445</v>
      </c>
      <c r="O1975">
        <v>1</v>
      </c>
      <c r="P1975">
        <v>1974</v>
      </c>
      <c r="Q1975" s="2">
        <v>0.44</v>
      </c>
      <c r="R1975" t="s">
        <v>27</v>
      </c>
      <c r="S1975">
        <v>2024</v>
      </c>
      <c r="T1975" t="s">
        <v>41</v>
      </c>
    </row>
    <row r="1976" spans="1:20" hidden="1" x14ac:dyDescent="0.3">
      <c r="A1976">
        <v>3330</v>
      </c>
      <c r="B1976">
        <v>391</v>
      </c>
      <c r="C1976" t="s">
        <v>53</v>
      </c>
      <c r="D1976" t="s">
        <v>34</v>
      </c>
      <c r="E1976" t="s">
        <v>37</v>
      </c>
      <c r="F1976" s="1">
        <v>44701</v>
      </c>
      <c r="G1976" s="1">
        <v>44933</v>
      </c>
      <c r="H1976">
        <v>7034</v>
      </c>
      <c r="I1976">
        <v>1119</v>
      </c>
      <c r="J1976">
        <v>5915</v>
      </c>
      <c r="K1976" t="s">
        <v>21</v>
      </c>
      <c r="L1976">
        <v>7</v>
      </c>
      <c r="M1976" t="str">
        <f t="shared" si="30"/>
        <v>6-12 Months</v>
      </c>
      <c r="N1976" s="1">
        <v>44933</v>
      </c>
      <c r="O1976">
        <v>1</v>
      </c>
      <c r="P1976">
        <v>1975</v>
      </c>
      <c r="Q1976" s="2">
        <v>0.84</v>
      </c>
      <c r="R1976" t="s">
        <v>27</v>
      </c>
      <c r="S1976">
        <v>2023</v>
      </c>
      <c r="T1976" t="s">
        <v>23</v>
      </c>
    </row>
    <row r="1977" spans="1:20" hidden="1" x14ac:dyDescent="0.3">
      <c r="A1977">
        <v>3331</v>
      </c>
      <c r="B1977">
        <v>214</v>
      </c>
      <c r="C1977" t="s">
        <v>45</v>
      </c>
      <c r="D1977" t="s">
        <v>19</v>
      </c>
      <c r="E1977" t="s">
        <v>37</v>
      </c>
      <c r="F1977" s="1">
        <v>44711</v>
      </c>
      <c r="G1977" s="1">
        <v>45144</v>
      </c>
      <c r="H1977">
        <v>4967.93</v>
      </c>
      <c r="I1977">
        <v>2485</v>
      </c>
      <c r="J1977">
        <v>-3510</v>
      </c>
      <c r="K1977" t="s">
        <v>54</v>
      </c>
      <c r="L1977">
        <v>14</v>
      </c>
      <c r="M1977" t="str">
        <f t="shared" si="30"/>
        <v>6-12 Months</v>
      </c>
      <c r="N1977" s="1">
        <v>45144</v>
      </c>
      <c r="O1977">
        <v>0</v>
      </c>
      <c r="P1977">
        <v>1976</v>
      </c>
      <c r="Q1977" s="2">
        <v>-0.71</v>
      </c>
      <c r="R1977" t="s">
        <v>27</v>
      </c>
      <c r="S1977">
        <v>2023</v>
      </c>
      <c r="T1977" t="s">
        <v>36</v>
      </c>
    </row>
    <row r="1978" spans="1:20" x14ac:dyDescent="0.3">
      <c r="A1978">
        <v>3332</v>
      </c>
      <c r="B1978">
        <v>295</v>
      </c>
      <c r="C1978" t="s">
        <v>24</v>
      </c>
      <c r="D1978" t="s">
        <v>29</v>
      </c>
      <c r="E1978" t="s">
        <v>26</v>
      </c>
      <c r="F1978" s="1">
        <v>44740</v>
      </c>
      <c r="G1978" s="1">
        <v>45186</v>
      </c>
      <c r="H1978">
        <v>4967.93</v>
      </c>
      <c r="I1978">
        <v>6969</v>
      </c>
      <c r="J1978">
        <v>-7732</v>
      </c>
      <c r="K1978" t="s">
        <v>35</v>
      </c>
      <c r="L1978">
        <v>14</v>
      </c>
      <c r="M1978" t="str">
        <f t="shared" si="30"/>
        <v>6-12 Months</v>
      </c>
      <c r="N1978" s="1">
        <v>45186</v>
      </c>
      <c r="O1978">
        <v>1</v>
      </c>
      <c r="P1978">
        <v>1977</v>
      </c>
      <c r="Q1978" s="2">
        <v>-1.56</v>
      </c>
      <c r="R1978" t="s">
        <v>22</v>
      </c>
      <c r="S1978">
        <v>2023</v>
      </c>
      <c r="T1978" t="s">
        <v>30</v>
      </c>
    </row>
    <row r="1979" spans="1:20" x14ac:dyDescent="0.3">
      <c r="A1979">
        <v>3335</v>
      </c>
      <c r="B1979">
        <v>231</v>
      </c>
      <c r="C1979" t="s">
        <v>24</v>
      </c>
      <c r="D1979" t="s">
        <v>34</v>
      </c>
      <c r="E1979" t="s">
        <v>37</v>
      </c>
      <c r="F1979" s="1">
        <v>44698</v>
      </c>
      <c r="G1979" s="1">
        <v>45138</v>
      </c>
      <c r="H1979">
        <v>4967.93</v>
      </c>
      <c r="I1979">
        <v>6830</v>
      </c>
      <c r="J1979">
        <v>-7690</v>
      </c>
      <c r="K1979" t="s">
        <v>35</v>
      </c>
      <c r="L1979">
        <v>14</v>
      </c>
      <c r="M1979" t="str">
        <f t="shared" si="30"/>
        <v>6-12 Months</v>
      </c>
      <c r="N1979" s="1">
        <v>45138</v>
      </c>
      <c r="O1979">
        <v>1</v>
      </c>
      <c r="P1979">
        <v>1978</v>
      </c>
      <c r="Q1979" s="2">
        <v>-1.55</v>
      </c>
      <c r="R1979" t="s">
        <v>22</v>
      </c>
      <c r="S1979">
        <v>2023</v>
      </c>
      <c r="T1979" t="s">
        <v>44</v>
      </c>
    </row>
    <row r="1980" spans="1:20" hidden="1" x14ac:dyDescent="0.3">
      <c r="A1980">
        <v>3337</v>
      </c>
      <c r="B1980">
        <v>396</v>
      </c>
      <c r="C1980" t="s">
        <v>45</v>
      </c>
      <c r="D1980" t="s">
        <v>34</v>
      </c>
      <c r="E1980" t="s">
        <v>26</v>
      </c>
      <c r="F1980" s="1">
        <v>44663</v>
      </c>
      <c r="G1980" s="1">
        <v>44846</v>
      </c>
      <c r="H1980">
        <v>6122</v>
      </c>
      <c r="I1980">
        <v>7852</v>
      </c>
      <c r="J1980">
        <v>-1730</v>
      </c>
      <c r="K1980" t="s">
        <v>54</v>
      </c>
      <c r="L1980">
        <v>6</v>
      </c>
      <c r="M1980" t="str">
        <f t="shared" si="30"/>
        <v>12+ Months</v>
      </c>
      <c r="N1980" s="1">
        <v>44846</v>
      </c>
      <c r="O1980">
        <v>0</v>
      </c>
      <c r="P1980">
        <v>1979</v>
      </c>
      <c r="Q1980" s="2">
        <v>-0.28000000000000003</v>
      </c>
      <c r="R1980" t="s">
        <v>27</v>
      </c>
      <c r="S1980">
        <v>2022</v>
      </c>
      <c r="T1980" t="s">
        <v>33</v>
      </c>
    </row>
    <row r="1981" spans="1:20" hidden="1" x14ac:dyDescent="0.3">
      <c r="A1981">
        <v>3340</v>
      </c>
      <c r="B1981">
        <v>334</v>
      </c>
      <c r="C1981" t="s">
        <v>39</v>
      </c>
      <c r="D1981" t="s">
        <v>19</v>
      </c>
      <c r="E1981" t="s">
        <v>26</v>
      </c>
      <c r="F1981" s="1">
        <v>44587</v>
      </c>
      <c r="G1981" s="1">
        <v>45151</v>
      </c>
      <c r="H1981">
        <v>470</v>
      </c>
      <c r="I1981">
        <v>4727</v>
      </c>
      <c r="J1981">
        <v>-4257</v>
      </c>
      <c r="K1981" t="s">
        <v>21</v>
      </c>
      <c r="L1981">
        <v>18</v>
      </c>
      <c r="M1981" t="str">
        <f t="shared" si="30"/>
        <v>6-12 Months</v>
      </c>
      <c r="N1981" s="1">
        <v>45151</v>
      </c>
      <c r="O1981">
        <v>1</v>
      </c>
      <c r="P1981">
        <v>1980</v>
      </c>
      <c r="Q1981" s="2">
        <v>-9.06</v>
      </c>
      <c r="R1981" t="s">
        <v>22</v>
      </c>
      <c r="S1981">
        <v>2023</v>
      </c>
      <c r="T1981" t="s">
        <v>36</v>
      </c>
    </row>
    <row r="1982" spans="1:20" hidden="1" x14ac:dyDescent="0.3">
      <c r="A1982">
        <v>3341</v>
      </c>
      <c r="B1982">
        <v>466</v>
      </c>
      <c r="C1982" t="s">
        <v>53</v>
      </c>
      <c r="D1982" t="s">
        <v>29</v>
      </c>
      <c r="E1982" t="s">
        <v>20</v>
      </c>
      <c r="F1982" s="1">
        <v>44887</v>
      </c>
      <c r="G1982" s="1">
        <v>45388</v>
      </c>
      <c r="H1982">
        <v>4967.93</v>
      </c>
      <c r="I1982">
        <v>7912</v>
      </c>
      <c r="J1982">
        <v>-7942</v>
      </c>
      <c r="K1982" t="s">
        <v>54</v>
      </c>
      <c r="L1982">
        <v>16</v>
      </c>
      <c r="M1982" t="str">
        <f t="shared" si="30"/>
        <v>6-12 Months</v>
      </c>
      <c r="N1982" s="1">
        <v>45388</v>
      </c>
      <c r="O1982">
        <v>0</v>
      </c>
      <c r="P1982">
        <v>1981</v>
      </c>
      <c r="Q1982" s="2">
        <v>-1.6</v>
      </c>
      <c r="R1982" t="s">
        <v>22</v>
      </c>
      <c r="S1982">
        <v>2024</v>
      </c>
      <c r="T1982" t="s">
        <v>32</v>
      </c>
    </row>
    <row r="1983" spans="1:20" hidden="1" x14ac:dyDescent="0.3">
      <c r="A1983">
        <v>3342</v>
      </c>
      <c r="B1983">
        <v>258</v>
      </c>
      <c r="C1983" t="s">
        <v>40</v>
      </c>
      <c r="D1983" t="s">
        <v>25</v>
      </c>
      <c r="E1983" t="s">
        <v>20</v>
      </c>
      <c r="F1983" s="1">
        <v>44583</v>
      </c>
      <c r="G1983" s="1">
        <v>44715</v>
      </c>
      <c r="H1983">
        <v>4967.93</v>
      </c>
      <c r="I1983">
        <v>3477</v>
      </c>
      <c r="J1983">
        <v>-4737</v>
      </c>
      <c r="K1983" t="s">
        <v>21</v>
      </c>
      <c r="L1983">
        <v>4</v>
      </c>
      <c r="M1983" t="str">
        <f t="shared" si="30"/>
        <v>0-6 Months</v>
      </c>
      <c r="N1983" s="1">
        <v>44715</v>
      </c>
      <c r="O1983">
        <v>1</v>
      </c>
      <c r="P1983">
        <v>1982</v>
      </c>
      <c r="Q1983" s="2">
        <v>-0.95</v>
      </c>
      <c r="R1983" t="s">
        <v>27</v>
      </c>
      <c r="S1983">
        <v>2022</v>
      </c>
      <c r="T1983" t="s">
        <v>41</v>
      </c>
    </row>
    <row r="1984" spans="1:20" hidden="1" x14ac:dyDescent="0.3">
      <c r="A1984">
        <v>3346</v>
      </c>
      <c r="B1984">
        <v>165</v>
      </c>
      <c r="C1984" t="s">
        <v>24</v>
      </c>
      <c r="D1984" t="s">
        <v>25</v>
      </c>
      <c r="E1984" t="s">
        <v>37</v>
      </c>
      <c r="F1984" s="1">
        <v>44748</v>
      </c>
      <c r="G1984" s="1">
        <v>44963</v>
      </c>
      <c r="H1984">
        <v>4727</v>
      </c>
      <c r="I1984">
        <v>2226</v>
      </c>
      <c r="J1984">
        <v>2501</v>
      </c>
      <c r="K1984" t="s">
        <v>54</v>
      </c>
      <c r="L1984">
        <v>7</v>
      </c>
      <c r="M1984" t="str">
        <f t="shared" si="30"/>
        <v>6-12 Months</v>
      </c>
      <c r="N1984" s="1">
        <v>44963</v>
      </c>
      <c r="O1984">
        <v>1</v>
      </c>
      <c r="P1984">
        <v>1983</v>
      </c>
      <c r="Q1984" s="2">
        <v>0.53</v>
      </c>
      <c r="R1984" t="s">
        <v>27</v>
      </c>
      <c r="S1984">
        <v>2023</v>
      </c>
      <c r="T1984" t="s">
        <v>43</v>
      </c>
    </row>
    <row r="1985" spans="1:20" hidden="1" x14ac:dyDescent="0.3">
      <c r="A1985">
        <v>3348</v>
      </c>
      <c r="B1985">
        <v>426</v>
      </c>
      <c r="C1985" t="s">
        <v>39</v>
      </c>
      <c r="D1985" t="s">
        <v>25</v>
      </c>
      <c r="E1985" t="s">
        <v>37</v>
      </c>
      <c r="F1985" s="1">
        <v>44590</v>
      </c>
      <c r="G1985" s="1">
        <v>44630</v>
      </c>
      <c r="H1985">
        <v>1895</v>
      </c>
      <c r="I1985">
        <v>1243</v>
      </c>
      <c r="J1985">
        <v>652</v>
      </c>
      <c r="K1985" t="s">
        <v>54</v>
      </c>
      <c r="L1985">
        <v>1</v>
      </c>
      <c r="M1985" t="str">
        <f t="shared" si="30"/>
        <v>0-6 Months</v>
      </c>
      <c r="N1985" s="1">
        <v>44630</v>
      </c>
      <c r="O1985">
        <v>0</v>
      </c>
      <c r="P1985">
        <v>1984</v>
      </c>
      <c r="Q1985" s="2">
        <v>0.34</v>
      </c>
      <c r="R1985" t="s">
        <v>27</v>
      </c>
      <c r="S1985">
        <v>2022</v>
      </c>
      <c r="T1985" t="s">
        <v>38</v>
      </c>
    </row>
    <row r="1986" spans="1:20" hidden="1" x14ac:dyDescent="0.3">
      <c r="A1986">
        <v>3351</v>
      </c>
      <c r="B1986">
        <v>205</v>
      </c>
      <c r="C1986" t="s">
        <v>24</v>
      </c>
      <c r="D1986" t="s">
        <v>25</v>
      </c>
      <c r="E1986" t="s">
        <v>37</v>
      </c>
      <c r="F1986" s="1">
        <v>44770</v>
      </c>
      <c r="G1986" s="1">
        <v>45106</v>
      </c>
      <c r="H1986">
        <v>3573</v>
      </c>
      <c r="I1986">
        <v>3164</v>
      </c>
      <c r="J1986">
        <v>577.01</v>
      </c>
      <c r="K1986" t="s">
        <v>21</v>
      </c>
      <c r="L1986">
        <v>11</v>
      </c>
      <c r="M1986" t="str">
        <f t="shared" ref="M1986:M2049" si="31">IF(L1986&lt;6,"0-6 Months",IF(L1986&gt;6,"6-12 Months","12+ Months"))</f>
        <v>6-12 Months</v>
      </c>
      <c r="N1986" s="1">
        <v>45106</v>
      </c>
      <c r="O1986">
        <v>0</v>
      </c>
      <c r="P1986">
        <v>1985</v>
      </c>
      <c r="Q1986" s="2">
        <v>0.16</v>
      </c>
      <c r="R1986" t="s">
        <v>27</v>
      </c>
      <c r="S1986">
        <v>2023</v>
      </c>
      <c r="T1986" t="s">
        <v>41</v>
      </c>
    </row>
    <row r="1987" spans="1:20" hidden="1" x14ac:dyDescent="0.3">
      <c r="A1987">
        <v>3353</v>
      </c>
      <c r="B1987">
        <v>281</v>
      </c>
      <c r="C1987" t="s">
        <v>53</v>
      </c>
      <c r="D1987" t="s">
        <v>29</v>
      </c>
      <c r="E1987" t="s">
        <v>37</v>
      </c>
      <c r="F1987" s="1">
        <v>44599</v>
      </c>
      <c r="G1987" s="1">
        <v>44991</v>
      </c>
      <c r="H1987">
        <v>4967.93</v>
      </c>
      <c r="I1987">
        <v>7088</v>
      </c>
      <c r="J1987">
        <v>-7466</v>
      </c>
      <c r="K1987" t="s">
        <v>21</v>
      </c>
      <c r="L1987">
        <v>12</v>
      </c>
      <c r="M1987" t="str">
        <f t="shared" si="31"/>
        <v>6-12 Months</v>
      </c>
      <c r="N1987" s="1">
        <v>44991</v>
      </c>
      <c r="O1987">
        <v>1</v>
      </c>
      <c r="P1987">
        <v>1986</v>
      </c>
      <c r="Q1987" s="2">
        <v>-1.5</v>
      </c>
      <c r="R1987" t="s">
        <v>22</v>
      </c>
      <c r="S1987">
        <v>2023</v>
      </c>
      <c r="T1987" t="s">
        <v>38</v>
      </c>
    </row>
    <row r="1988" spans="1:20" hidden="1" x14ac:dyDescent="0.3">
      <c r="A1988">
        <v>3354</v>
      </c>
      <c r="B1988">
        <v>436</v>
      </c>
      <c r="C1988" t="s">
        <v>40</v>
      </c>
      <c r="D1988" t="s">
        <v>25</v>
      </c>
      <c r="E1988" t="s">
        <v>20</v>
      </c>
      <c r="F1988" s="1">
        <v>44903</v>
      </c>
      <c r="G1988" s="1">
        <v>45098</v>
      </c>
      <c r="H1988">
        <v>7075</v>
      </c>
      <c r="I1988">
        <v>1668</v>
      </c>
      <c r="J1988">
        <v>5407</v>
      </c>
      <c r="K1988" t="s">
        <v>54</v>
      </c>
      <c r="L1988">
        <v>6</v>
      </c>
      <c r="M1988" t="str">
        <f t="shared" si="31"/>
        <v>12+ Months</v>
      </c>
      <c r="N1988" s="1">
        <v>45098</v>
      </c>
      <c r="O1988">
        <v>0</v>
      </c>
      <c r="P1988">
        <v>1987</v>
      </c>
      <c r="Q1988" s="2">
        <v>0.76</v>
      </c>
      <c r="R1988" t="s">
        <v>27</v>
      </c>
      <c r="S1988">
        <v>2023</v>
      </c>
      <c r="T1988" t="s">
        <v>41</v>
      </c>
    </row>
    <row r="1989" spans="1:20" x14ac:dyDescent="0.3">
      <c r="A1989">
        <v>3355</v>
      </c>
      <c r="B1989">
        <v>405</v>
      </c>
      <c r="C1989" t="s">
        <v>40</v>
      </c>
      <c r="D1989" t="s">
        <v>34</v>
      </c>
      <c r="E1989" t="s">
        <v>37</v>
      </c>
      <c r="F1989" s="1">
        <v>44830</v>
      </c>
      <c r="G1989" s="1">
        <v>45334</v>
      </c>
      <c r="H1989">
        <v>7524</v>
      </c>
      <c r="I1989">
        <v>2064</v>
      </c>
      <c r="J1989">
        <v>5460</v>
      </c>
      <c r="K1989" t="s">
        <v>35</v>
      </c>
      <c r="L1989">
        <v>16</v>
      </c>
      <c r="M1989" t="str">
        <f t="shared" si="31"/>
        <v>6-12 Months</v>
      </c>
      <c r="N1989" s="1">
        <v>45334</v>
      </c>
      <c r="O1989">
        <v>1</v>
      </c>
      <c r="P1989">
        <v>1988</v>
      </c>
      <c r="Q1989" s="2">
        <v>0.73</v>
      </c>
      <c r="R1989" t="s">
        <v>27</v>
      </c>
      <c r="S1989">
        <v>2024</v>
      </c>
      <c r="T1989" t="s">
        <v>43</v>
      </c>
    </row>
    <row r="1990" spans="1:20" hidden="1" x14ac:dyDescent="0.3">
      <c r="A1990">
        <v>3358</v>
      </c>
      <c r="B1990">
        <v>342</v>
      </c>
      <c r="C1990" t="s">
        <v>45</v>
      </c>
      <c r="D1990" t="s">
        <v>19</v>
      </c>
      <c r="E1990" t="s">
        <v>26</v>
      </c>
      <c r="F1990" s="1">
        <v>44822</v>
      </c>
      <c r="G1990" s="1">
        <v>45359</v>
      </c>
      <c r="H1990">
        <v>4967.93</v>
      </c>
      <c r="I1990">
        <v>5811</v>
      </c>
      <c r="J1990">
        <v>-6892</v>
      </c>
      <c r="K1990" t="s">
        <v>54</v>
      </c>
      <c r="L1990">
        <v>17</v>
      </c>
      <c r="M1990" t="str">
        <f t="shared" si="31"/>
        <v>6-12 Months</v>
      </c>
      <c r="N1990" s="1">
        <v>45359</v>
      </c>
      <c r="O1990">
        <v>0</v>
      </c>
      <c r="P1990">
        <v>1989</v>
      </c>
      <c r="Q1990" s="2">
        <v>-1.39</v>
      </c>
      <c r="R1990" t="s">
        <v>22</v>
      </c>
      <c r="S1990">
        <v>2024</v>
      </c>
      <c r="T1990" t="s">
        <v>38</v>
      </c>
    </row>
    <row r="1991" spans="1:20" hidden="1" x14ac:dyDescent="0.3">
      <c r="A1991">
        <v>3360</v>
      </c>
      <c r="B1991">
        <v>379</v>
      </c>
      <c r="C1991" t="s">
        <v>45</v>
      </c>
      <c r="D1991" t="s">
        <v>19</v>
      </c>
      <c r="E1991" t="s">
        <v>37</v>
      </c>
      <c r="F1991" s="1">
        <v>44614</v>
      </c>
      <c r="G1991" s="1">
        <v>45163</v>
      </c>
      <c r="H1991">
        <v>2252</v>
      </c>
      <c r="I1991">
        <v>4012.75</v>
      </c>
      <c r="J1991">
        <v>3172</v>
      </c>
      <c r="K1991" t="s">
        <v>54</v>
      </c>
      <c r="L1991">
        <v>18</v>
      </c>
      <c r="M1991" t="str">
        <f t="shared" si="31"/>
        <v>6-12 Months</v>
      </c>
      <c r="N1991" s="1">
        <v>45163</v>
      </c>
      <c r="O1991">
        <v>0</v>
      </c>
      <c r="P1991">
        <v>1990</v>
      </c>
      <c r="Q1991" s="2">
        <v>1.41</v>
      </c>
      <c r="R1991" t="s">
        <v>22</v>
      </c>
      <c r="S1991">
        <v>2023</v>
      </c>
      <c r="T1991" t="s">
        <v>36</v>
      </c>
    </row>
    <row r="1992" spans="1:20" hidden="1" x14ac:dyDescent="0.3">
      <c r="A1992">
        <v>3362</v>
      </c>
      <c r="B1992">
        <v>212</v>
      </c>
      <c r="C1992" t="s">
        <v>24</v>
      </c>
      <c r="D1992" t="s">
        <v>34</v>
      </c>
      <c r="E1992" t="s">
        <v>37</v>
      </c>
      <c r="F1992" s="1">
        <v>44779</v>
      </c>
      <c r="G1992" s="1">
        <v>44855</v>
      </c>
      <c r="H1992">
        <v>3555</v>
      </c>
      <c r="I1992">
        <v>5972</v>
      </c>
      <c r="J1992">
        <v>-2417</v>
      </c>
      <c r="K1992" t="s">
        <v>54</v>
      </c>
      <c r="L1992">
        <v>2</v>
      </c>
      <c r="M1992" t="str">
        <f t="shared" si="31"/>
        <v>0-6 Months</v>
      </c>
      <c r="N1992" s="1">
        <v>44855</v>
      </c>
      <c r="O1992">
        <v>0</v>
      </c>
      <c r="P1992">
        <v>1991</v>
      </c>
      <c r="Q1992" s="2">
        <v>-0.68</v>
      </c>
      <c r="R1992" t="s">
        <v>27</v>
      </c>
      <c r="S1992">
        <v>2022</v>
      </c>
      <c r="T1992" t="s">
        <v>33</v>
      </c>
    </row>
    <row r="1993" spans="1:20" hidden="1" x14ac:dyDescent="0.3">
      <c r="A1993">
        <v>3364</v>
      </c>
      <c r="B1993">
        <v>378</v>
      </c>
      <c r="C1993" t="s">
        <v>53</v>
      </c>
      <c r="D1993" t="s">
        <v>34</v>
      </c>
      <c r="E1993" t="s">
        <v>37</v>
      </c>
      <c r="F1993" s="1">
        <v>44727</v>
      </c>
      <c r="G1993" s="1">
        <v>44933</v>
      </c>
      <c r="H1993">
        <v>760</v>
      </c>
      <c r="I1993">
        <v>2315</v>
      </c>
      <c r="J1993">
        <v>-1555</v>
      </c>
      <c r="K1993" t="s">
        <v>54</v>
      </c>
      <c r="L1993">
        <v>6</v>
      </c>
      <c r="M1993" t="str">
        <f t="shared" si="31"/>
        <v>12+ Months</v>
      </c>
      <c r="N1993" s="1">
        <v>44933</v>
      </c>
      <c r="O1993">
        <v>0</v>
      </c>
      <c r="P1993">
        <v>1992</v>
      </c>
      <c r="Q1993" s="2">
        <v>-2.0499999999999998</v>
      </c>
      <c r="R1993" t="s">
        <v>22</v>
      </c>
      <c r="S1993">
        <v>2023</v>
      </c>
      <c r="T1993" t="s">
        <v>23</v>
      </c>
    </row>
    <row r="1994" spans="1:20" hidden="1" x14ac:dyDescent="0.3">
      <c r="A1994">
        <v>3365</v>
      </c>
      <c r="B1994">
        <v>326</v>
      </c>
      <c r="C1994" t="s">
        <v>24</v>
      </c>
      <c r="D1994" t="s">
        <v>29</v>
      </c>
      <c r="E1994" t="s">
        <v>20</v>
      </c>
      <c r="F1994" s="1">
        <v>44742</v>
      </c>
      <c r="G1994" s="1">
        <v>44848</v>
      </c>
      <c r="H1994">
        <v>3132</v>
      </c>
      <c r="I1994">
        <v>2965</v>
      </c>
      <c r="J1994">
        <v>167</v>
      </c>
      <c r="K1994" t="s">
        <v>21</v>
      </c>
      <c r="L1994">
        <v>3</v>
      </c>
      <c r="M1994" t="str">
        <f t="shared" si="31"/>
        <v>0-6 Months</v>
      </c>
      <c r="N1994" s="1">
        <v>44848</v>
      </c>
      <c r="O1994">
        <v>0</v>
      </c>
      <c r="P1994">
        <v>1993</v>
      </c>
      <c r="Q1994" s="2">
        <v>0.05</v>
      </c>
      <c r="R1994" t="s">
        <v>27</v>
      </c>
      <c r="S1994">
        <v>2022</v>
      </c>
      <c r="T1994" t="s">
        <v>33</v>
      </c>
    </row>
    <row r="1995" spans="1:20" hidden="1" x14ac:dyDescent="0.3">
      <c r="A1995">
        <v>3367</v>
      </c>
      <c r="B1995">
        <v>138</v>
      </c>
      <c r="C1995" t="s">
        <v>45</v>
      </c>
      <c r="D1995" t="s">
        <v>25</v>
      </c>
      <c r="E1995" t="s">
        <v>26</v>
      </c>
      <c r="F1995" s="1">
        <v>44704</v>
      </c>
      <c r="G1995" s="1">
        <v>45113</v>
      </c>
      <c r="H1995">
        <v>4249</v>
      </c>
      <c r="I1995">
        <v>439</v>
      </c>
      <c r="J1995">
        <v>577.01</v>
      </c>
      <c r="K1995" t="s">
        <v>54</v>
      </c>
      <c r="L1995">
        <v>13</v>
      </c>
      <c r="M1995" t="str">
        <f t="shared" si="31"/>
        <v>6-12 Months</v>
      </c>
      <c r="N1995" s="1">
        <v>45113</v>
      </c>
      <c r="O1995">
        <v>1</v>
      </c>
      <c r="P1995">
        <v>1994</v>
      </c>
      <c r="Q1995" s="2">
        <v>0.14000000000000001</v>
      </c>
      <c r="R1995" t="s">
        <v>27</v>
      </c>
      <c r="S1995">
        <v>2023</v>
      </c>
      <c r="T1995" t="s">
        <v>44</v>
      </c>
    </row>
    <row r="1996" spans="1:20" hidden="1" x14ac:dyDescent="0.3">
      <c r="A1996">
        <v>3369</v>
      </c>
      <c r="B1996">
        <v>427</v>
      </c>
      <c r="C1996" t="s">
        <v>39</v>
      </c>
      <c r="D1996" t="s">
        <v>34</v>
      </c>
      <c r="E1996" t="s">
        <v>20</v>
      </c>
      <c r="F1996" s="1">
        <v>44894</v>
      </c>
      <c r="G1996" s="1">
        <v>45294</v>
      </c>
      <c r="H1996">
        <v>7210</v>
      </c>
      <c r="I1996">
        <v>1224</v>
      </c>
      <c r="J1996">
        <v>5986</v>
      </c>
      <c r="K1996" t="s">
        <v>54</v>
      </c>
      <c r="L1996">
        <v>13</v>
      </c>
      <c r="M1996" t="str">
        <f t="shared" si="31"/>
        <v>6-12 Months</v>
      </c>
      <c r="N1996" s="1">
        <v>45294</v>
      </c>
      <c r="O1996">
        <v>1</v>
      </c>
      <c r="P1996">
        <v>1995</v>
      </c>
      <c r="Q1996" s="2">
        <v>0.83</v>
      </c>
      <c r="R1996" t="s">
        <v>27</v>
      </c>
      <c r="S1996">
        <v>2024</v>
      </c>
      <c r="T1996" t="s">
        <v>23</v>
      </c>
    </row>
    <row r="1997" spans="1:20" hidden="1" x14ac:dyDescent="0.3">
      <c r="A1997">
        <v>3370</v>
      </c>
      <c r="B1997">
        <v>464</v>
      </c>
      <c r="C1997" t="s">
        <v>53</v>
      </c>
      <c r="D1997" t="s">
        <v>34</v>
      </c>
      <c r="E1997" t="s">
        <v>26</v>
      </c>
      <c r="F1997" s="1">
        <v>44767</v>
      </c>
      <c r="G1997" s="1">
        <v>45058</v>
      </c>
      <c r="H1997">
        <v>5154</v>
      </c>
      <c r="I1997">
        <v>783</v>
      </c>
      <c r="J1997">
        <v>4371</v>
      </c>
      <c r="K1997" t="s">
        <v>54</v>
      </c>
      <c r="L1997">
        <v>9</v>
      </c>
      <c r="M1997" t="str">
        <f t="shared" si="31"/>
        <v>6-12 Months</v>
      </c>
      <c r="N1997" s="1">
        <v>45058</v>
      </c>
      <c r="O1997">
        <v>1</v>
      </c>
      <c r="P1997">
        <v>1996</v>
      </c>
      <c r="Q1997" s="2">
        <v>0.85</v>
      </c>
      <c r="R1997" t="s">
        <v>27</v>
      </c>
      <c r="S1997">
        <v>2023</v>
      </c>
      <c r="T1997" t="s">
        <v>28</v>
      </c>
    </row>
    <row r="1998" spans="1:20" hidden="1" x14ac:dyDescent="0.3">
      <c r="A1998">
        <v>3371</v>
      </c>
      <c r="B1998">
        <v>358</v>
      </c>
      <c r="C1998" t="s">
        <v>40</v>
      </c>
      <c r="D1998" t="s">
        <v>29</v>
      </c>
      <c r="E1998" t="s">
        <v>37</v>
      </c>
      <c r="F1998" s="1">
        <v>44630</v>
      </c>
      <c r="G1998" s="1">
        <v>44813</v>
      </c>
      <c r="H1998">
        <v>8307</v>
      </c>
      <c r="I1998">
        <v>1131</v>
      </c>
      <c r="J1998">
        <v>7176</v>
      </c>
      <c r="K1998" t="s">
        <v>54</v>
      </c>
      <c r="L1998">
        <v>5</v>
      </c>
      <c r="M1998" t="str">
        <f t="shared" si="31"/>
        <v>0-6 Months</v>
      </c>
      <c r="N1998" s="1">
        <v>44813</v>
      </c>
      <c r="O1998">
        <v>0</v>
      </c>
      <c r="P1998">
        <v>1997</v>
      </c>
      <c r="Q1998" s="2">
        <v>0.86</v>
      </c>
      <c r="R1998" t="s">
        <v>27</v>
      </c>
      <c r="S1998">
        <v>2022</v>
      </c>
      <c r="T1998" t="s">
        <v>30</v>
      </c>
    </row>
    <row r="1999" spans="1:20" x14ac:dyDescent="0.3">
      <c r="A1999">
        <v>3372</v>
      </c>
      <c r="B1999">
        <v>127</v>
      </c>
      <c r="C1999" t="s">
        <v>53</v>
      </c>
      <c r="D1999" t="s">
        <v>25</v>
      </c>
      <c r="E1999" t="s">
        <v>20</v>
      </c>
      <c r="F1999" s="1">
        <v>44569</v>
      </c>
      <c r="G1999" s="1">
        <v>44674</v>
      </c>
      <c r="H1999">
        <v>200</v>
      </c>
      <c r="I1999">
        <v>4781</v>
      </c>
      <c r="J1999">
        <v>577.01</v>
      </c>
      <c r="K1999" t="s">
        <v>35</v>
      </c>
      <c r="L1999">
        <v>3</v>
      </c>
      <c r="M1999" t="str">
        <f t="shared" si="31"/>
        <v>0-6 Months</v>
      </c>
      <c r="N1999" s="1">
        <v>44674</v>
      </c>
      <c r="O1999">
        <v>0</v>
      </c>
      <c r="P1999">
        <v>1998</v>
      </c>
      <c r="Q1999" s="2">
        <v>2.89</v>
      </c>
      <c r="R1999" t="s">
        <v>22</v>
      </c>
      <c r="S1999">
        <v>2022</v>
      </c>
      <c r="T1999" t="s">
        <v>32</v>
      </c>
    </row>
    <row r="2000" spans="1:20" hidden="1" x14ac:dyDescent="0.3">
      <c r="A2000">
        <v>3373</v>
      </c>
      <c r="B2000">
        <v>340</v>
      </c>
      <c r="C2000" t="s">
        <v>24</v>
      </c>
      <c r="D2000" t="s">
        <v>34</v>
      </c>
      <c r="E2000" t="s">
        <v>20</v>
      </c>
      <c r="F2000" s="1">
        <v>44796</v>
      </c>
      <c r="G2000" s="1">
        <v>44955</v>
      </c>
      <c r="H2000">
        <v>9555</v>
      </c>
      <c r="I2000">
        <v>5321</v>
      </c>
      <c r="J2000">
        <v>577.01</v>
      </c>
      <c r="K2000" t="s">
        <v>21</v>
      </c>
      <c r="L2000">
        <v>5</v>
      </c>
      <c r="M2000" t="str">
        <f t="shared" si="31"/>
        <v>0-6 Months</v>
      </c>
      <c r="N2000" s="1">
        <v>44955</v>
      </c>
      <c r="O2000">
        <v>0</v>
      </c>
      <c r="P2000">
        <v>1999</v>
      </c>
      <c r="Q2000" s="2">
        <v>0.06</v>
      </c>
      <c r="R2000" t="s">
        <v>27</v>
      </c>
      <c r="S2000">
        <v>2023</v>
      </c>
      <c r="T2000" t="s">
        <v>23</v>
      </c>
    </row>
    <row r="2001" spans="1:20" hidden="1" x14ac:dyDescent="0.3">
      <c r="A2001">
        <v>3377</v>
      </c>
      <c r="B2001">
        <v>301</v>
      </c>
      <c r="C2001" t="s">
        <v>39</v>
      </c>
      <c r="D2001" t="s">
        <v>19</v>
      </c>
      <c r="E2001" t="s">
        <v>26</v>
      </c>
      <c r="F2001" s="1">
        <v>44803</v>
      </c>
      <c r="G2001" s="1">
        <v>45160</v>
      </c>
      <c r="H2001">
        <v>8728</v>
      </c>
      <c r="I2001">
        <v>6011</v>
      </c>
      <c r="J2001">
        <v>2717</v>
      </c>
      <c r="K2001" t="s">
        <v>54</v>
      </c>
      <c r="L2001">
        <v>11</v>
      </c>
      <c r="M2001" t="str">
        <f t="shared" si="31"/>
        <v>6-12 Months</v>
      </c>
      <c r="N2001" s="1">
        <v>45160</v>
      </c>
      <c r="O2001">
        <v>1</v>
      </c>
      <c r="P2001">
        <v>2000</v>
      </c>
      <c r="Q2001" s="2">
        <v>0.31</v>
      </c>
      <c r="R2001" t="s">
        <v>27</v>
      </c>
      <c r="S2001">
        <v>2023</v>
      </c>
      <c r="T2001" t="s">
        <v>36</v>
      </c>
    </row>
    <row r="2002" spans="1:20" hidden="1" x14ac:dyDescent="0.3">
      <c r="A2002">
        <v>3379</v>
      </c>
      <c r="B2002">
        <v>234</v>
      </c>
      <c r="C2002" t="s">
        <v>53</v>
      </c>
      <c r="D2002" t="s">
        <v>19</v>
      </c>
      <c r="E2002" t="s">
        <v>37</v>
      </c>
      <c r="F2002" s="1">
        <v>44826</v>
      </c>
      <c r="G2002" s="1">
        <v>44923</v>
      </c>
      <c r="H2002">
        <v>60</v>
      </c>
      <c r="I2002">
        <v>1057</v>
      </c>
      <c r="J2002">
        <v>-997</v>
      </c>
      <c r="K2002" t="s">
        <v>54</v>
      </c>
      <c r="L2002">
        <v>3</v>
      </c>
      <c r="M2002" t="str">
        <f t="shared" si="31"/>
        <v>0-6 Months</v>
      </c>
      <c r="N2002" s="1">
        <v>44923</v>
      </c>
      <c r="O2002">
        <v>0</v>
      </c>
      <c r="P2002">
        <v>2001</v>
      </c>
      <c r="Q2002" s="2">
        <v>-16.62</v>
      </c>
      <c r="R2002" t="s">
        <v>22</v>
      </c>
      <c r="S2002">
        <v>2022</v>
      </c>
      <c r="T2002" t="s">
        <v>31</v>
      </c>
    </row>
    <row r="2003" spans="1:20" x14ac:dyDescent="0.3">
      <c r="A2003">
        <v>3380</v>
      </c>
      <c r="B2003">
        <v>342</v>
      </c>
      <c r="C2003" t="s">
        <v>39</v>
      </c>
      <c r="D2003" t="s">
        <v>29</v>
      </c>
      <c r="E2003" t="s">
        <v>37</v>
      </c>
      <c r="F2003" s="1">
        <v>44625</v>
      </c>
      <c r="G2003" s="1">
        <v>45095</v>
      </c>
      <c r="H2003">
        <v>382</v>
      </c>
      <c r="I2003">
        <v>6390</v>
      </c>
      <c r="J2003">
        <v>-6008</v>
      </c>
      <c r="K2003" t="s">
        <v>35</v>
      </c>
      <c r="L2003">
        <v>15</v>
      </c>
      <c r="M2003" t="str">
        <f t="shared" si="31"/>
        <v>6-12 Months</v>
      </c>
      <c r="N2003" s="1">
        <v>45095</v>
      </c>
      <c r="O2003">
        <v>1</v>
      </c>
      <c r="P2003">
        <v>2002</v>
      </c>
      <c r="Q2003" s="2">
        <v>-15.73</v>
      </c>
      <c r="R2003" t="s">
        <v>22</v>
      </c>
      <c r="S2003">
        <v>2023</v>
      </c>
      <c r="T2003" t="s">
        <v>41</v>
      </c>
    </row>
    <row r="2004" spans="1:20" hidden="1" x14ac:dyDescent="0.3">
      <c r="A2004">
        <v>3382</v>
      </c>
      <c r="B2004">
        <v>108</v>
      </c>
      <c r="C2004" t="s">
        <v>40</v>
      </c>
      <c r="D2004" t="s">
        <v>25</v>
      </c>
      <c r="E2004" t="s">
        <v>20</v>
      </c>
      <c r="F2004" s="1">
        <v>44608</v>
      </c>
      <c r="G2004" s="1">
        <v>45207</v>
      </c>
      <c r="H2004">
        <v>5897</v>
      </c>
      <c r="I2004">
        <v>816</v>
      </c>
      <c r="J2004">
        <v>5081</v>
      </c>
      <c r="K2004" t="s">
        <v>21</v>
      </c>
      <c r="L2004">
        <v>19</v>
      </c>
      <c r="M2004" t="str">
        <f t="shared" si="31"/>
        <v>6-12 Months</v>
      </c>
      <c r="N2004" s="1">
        <v>45207</v>
      </c>
      <c r="O2004">
        <v>1</v>
      </c>
      <c r="P2004">
        <v>2003</v>
      </c>
      <c r="Q2004" s="2">
        <v>0.86</v>
      </c>
      <c r="R2004" t="s">
        <v>27</v>
      </c>
      <c r="S2004">
        <v>2023</v>
      </c>
      <c r="T2004" t="s">
        <v>33</v>
      </c>
    </row>
    <row r="2005" spans="1:20" hidden="1" x14ac:dyDescent="0.3">
      <c r="A2005">
        <v>3383</v>
      </c>
      <c r="B2005">
        <v>122</v>
      </c>
      <c r="C2005" t="s">
        <v>53</v>
      </c>
      <c r="D2005" t="s">
        <v>25</v>
      </c>
      <c r="E2005" t="s">
        <v>20</v>
      </c>
      <c r="F2005" s="1">
        <v>44652</v>
      </c>
      <c r="G2005" s="1">
        <v>45228</v>
      </c>
      <c r="H2005">
        <v>6906</v>
      </c>
      <c r="I2005">
        <v>5432</v>
      </c>
      <c r="J2005">
        <v>1474</v>
      </c>
      <c r="K2005" t="s">
        <v>21</v>
      </c>
      <c r="L2005">
        <v>18</v>
      </c>
      <c r="M2005" t="str">
        <f t="shared" si="31"/>
        <v>6-12 Months</v>
      </c>
      <c r="N2005" s="1">
        <v>45228</v>
      </c>
      <c r="O2005">
        <v>0</v>
      </c>
      <c r="P2005">
        <v>2004</v>
      </c>
      <c r="Q2005" s="2">
        <v>0.21</v>
      </c>
      <c r="R2005" t="s">
        <v>27</v>
      </c>
      <c r="S2005">
        <v>2023</v>
      </c>
      <c r="T2005" t="s">
        <v>33</v>
      </c>
    </row>
    <row r="2006" spans="1:20" hidden="1" x14ac:dyDescent="0.3">
      <c r="A2006">
        <v>3384</v>
      </c>
      <c r="B2006">
        <v>379</v>
      </c>
      <c r="C2006" t="s">
        <v>24</v>
      </c>
      <c r="D2006" t="s">
        <v>29</v>
      </c>
      <c r="E2006" t="s">
        <v>20</v>
      </c>
      <c r="F2006" s="1">
        <v>44663</v>
      </c>
      <c r="G2006" s="1">
        <v>44992</v>
      </c>
      <c r="H2006">
        <v>3816</v>
      </c>
      <c r="I2006">
        <v>4012.75</v>
      </c>
      <c r="J2006">
        <v>4575</v>
      </c>
      <c r="K2006" t="s">
        <v>21</v>
      </c>
      <c r="L2006">
        <v>10</v>
      </c>
      <c r="M2006" t="str">
        <f t="shared" si="31"/>
        <v>6-12 Months</v>
      </c>
      <c r="N2006" s="1">
        <v>44992</v>
      </c>
      <c r="O2006">
        <v>0</v>
      </c>
      <c r="P2006">
        <v>2005</v>
      </c>
      <c r="Q2006" s="2">
        <v>1.2</v>
      </c>
      <c r="R2006" t="s">
        <v>22</v>
      </c>
      <c r="S2006">
        <v>2023</v>
      </c>
      <c r="T2006" t="s">
        <v>38</v>
      </c>
    </row>
    <row r="2007" spans="1:20" hidden="1" x14ac:dyDescent="0.3">
      <c r="A2007">
        <v>3385</v>
      </c>
      <c r="B2007">
        <v>187</v>
      </c>
      <c r="C2007" t="s">
        <v>24</v>
      </c>
      <c r="D2007" t="s">
        <v>25</v>
      </c>
      <c r="E2007" t="s">
        <v>37</v>
      </c>
      <c r="F2007" s="1">
        <v>44796</v>
      </c>
      <c r="G2007" s="1">
        <v>45211</v>
      </c>
      <c r="H2007">
        <v>4967.93</v>
      </c>
      <c r="I2007">
        <v>1721</v>
      </c>
      <c r="J2007">
        <v>-3075</v>
      </c>
      <c r="K2007" t="s">
        <v>21</v>
      </c>
      <c r="L2007">
        <v>13</v>
      </c>
      <c r="M2007" t="str">
        <f t="shared" si="31"/>
        <v>6-12 Months</v>
      </c>
      <c r="N2007" s="1">
        <v>45211</v>
      </c>
      <c r="O2007">
        <v>0</v>
      </c>
      <c r="P2007">
        <v>2006</v>
      </c>
      <c r="Q2007" s="2">
        <v>-0.62</v>
      </c>
      <c r="R2007" t="s">
        <v>27</v>
      </c>
      <c r="S2007">
        <v>2023</v>
      </c>
      <c r="T2007" t="s">
        <v>33</v>
      </c>
    </row>
    <row r="2008" spans="1:20" hidden="1" x14ac:dyDescent="0.3">
      <c r="A2008">
        <v>3387</v>
      </c>
      <c r="B2008">
        <v>122</v>
      </c>
      <c r="C2008" t="s">
        <v>40</v>
      </c>
      <c r="D2008" t="s">
        <v>29</v>
      </c>
      <c r="E2008" t="s">
        <v>20</v>
      </c>
      <c r="F2008" s="1">
        <v>44767</v>
      </c>
      <c r="G2008" s="1">
        <v>44993</v>
      </c>
      <c r="H2008">
        <v>103</v>
      </c>
      <c r="I2008">
        <v>5645</v>
      </c>
      <c r="J2008">
        <v>-5542</v>
      </c>
      <c r="K2008" t="s">
        <v>54</v>
      </c>
      <c r="L2008">
        <v>7</v>
      </c>
      <c r="M2008" t="str">
        <f t="shared" si="31"/>
        <v>6-12 Months</v>
      </c>
      <c r="N2008" s="1">
        <v>44993</v>
      </c>
      <c r="O2008">
        <v>0</v>
      </c>
      <c r="P2008">
        <v>2007</v>
      </c>
      <c r="Q2008" s="2">
        <v>-53.81</v>
      </c>
      <c r="R2008" t="s">
        <v>22</v>
      </c>
      <c r="S2008">
        <v>2023</v>
      </c>
      <c r="T2008" t="s">
        <v>38</v>
      </c>
    </row>
    <row r="2009" spans="1:20" hidden="1" x14ac:dyDescent="0.3">
      <c r="A2009">
        <v>3391</v>
      </c>
      <c r="B2009">
        <v>366</v>
      </c>
      <c r="C2009" t="s">
        <v>24</v>
      </c>
      <c r="D2009" t="s">
        <v>29</v>
      </c>
      <c r="E2009" t="s">
        <v>37</v>
      </c>
      <c r="F2009" s="1">
        <v>44612</v>
      </c>
      <c r="G2009" s="1">
        <v>45195</v>
      </c>
      <c r="H2009">
        <v>8</v>
      </c>
      <c r="I2009">
        <v>1219</v>
      </c>
      <c r="J2009">
        <v>577.01</v>
      </c>
      <c r="K2009" t="s">
        <v>54</v>
      </c>
      <c r="L2009">
        <v>19</v>
      </c>
      <c r="M2009" t="str">
        <f t="shared" si="31"/>
        <v>6-12 Months</v>
      </c>
      <c r="N2009" s="1">
        <v>45195</v>
      </c>
      <c r="O2009">
        <v>1</v>
      </c>
      <c r="P2009">
        <v>2008</v>
      </c>
      <c r="Q2009" s="2">
        <v>72.13</v>
      </c>
      <c r="R2009" t="s">
        <v>22</v>
      </c>
      <c r="S2009">
        <v>2023</v>
      </c>
      <c r="T2009" t="s">
        <v>30</v>
      </c>
    </row>
    <row r="2010" spans="1:20" hidden="1" x14ac:dyDescent="0.3">
      <c r="A2010">
        <v>3393</v>
      </c>
      <c r="B2010">
        <v>112</v>
      </c>
      <c r="C2010" t="s">
        <v>39</v>
      </c>
      <c r="D2010" t="s">
        <v>29</v>
      </c>
      <c r="E2010" t="s">
        <v>37</v>
      </c>
      <c r="F2010" s="1">
        <v>44695</v>
      </c>
      <c r="G2010" s="1">
        <v>45274</v>
      </c>
      <c r="H2010">
        <v>4967.93</v>
      </c>
      <c r="I2010">
        <v>1172</v>
      </c>
      <c r="J2010">
        <v>-1853</v>
      </c>
      <c r="K2010" t="s">
        <v>54</v>
      </c>
      <c r="L2010">
        <v>19</v>
      </c>
      <c r="M2010" t="str">
        <f t="shared" si="31"/>
        <v>6-12 Months</v>
      </c>
      <c r="N2010" s="1">
        <v>45274</v>
      </c>
      <c r="O2010">
        <v>1</v>
      </c>
      <c r="P2010">
        <v>2009</v>
      </c>
      <c r="Q2010" s="2">
        <v>-0.37</v>
      </c>
      <c r="R2010" t="s">
        <v>27</v>
      </c>
      <c r="S2010">
        <v>2023</v>
      </c>
      <c r="T2010" t="s">
        <v>31</v>
      </c>
    </row>
    <row r="2011" spans="1:20" x14ac:dyDescent="0.3">
      <c r="A2011">
        <v>3394</v>
      </c>
      <c r="B2011">
        <v>430</v>
      </c>
      <c r="C2011" t="s">
        <v>24</v>
      </c>
      <c r="D2011" t="s">
        <v>34</v>
      </c>
      <c r="E2011" t="s">
        <v>26</v>
      </c>
      <c r="F2011" s="1">
        <v>44810</v>
      </c>
      <c r="G2011" s="1">
        <v>45339</v>
      </c>
      <c r="H2011">
        <v>493</v>
      </c>
      <c r="I2011">
        <v>5492</v>
      </c>
      <c r="J2011">
        <v>-4999</v>
      </c>
      <c r="K2011" t="s">
        <v>35</v>
      </c>
      <c r="L2011">
        <v>17</v>
      </c>
      <c r="M2011" t="str">
        <f t="shared" si="31"/>
        <v>6-12 Months</v>
      </c>
      <c r="N2011" s="1">
        <v>45339</v>
      </c>
      <c r="O2011">
        <v>1</v>
      </c>
      <c r="P2011">
        <v>2010</v>
      </c>
      <c r="Q2011" s="2">
        <v>-10.14</v>
      </c>
      <c r="R2011" t="s">
        <v>22</v>
      </c>
      <c r="S2011">
        <v>2024</v>
      </c>
      <c r="T2011" t="s">
        <v>43</v>
      </c>
    </row>
    <row r="2012" spans="1:20" hidden="1" x14ac:dyDescent="0.3">
      <c r="A2012">
        <v>3398</v>
      </c>
      <c r="B2012">
        <v>498</v>
      </c>
      <c r="C2012" t="s">
        <v>39</v>
      </c>
      <c r="D2012" t="s">
        <v>29</v>
      </c>
      <c r="E2012" t="s">
        <v>20</v>
      </c>
      <c r="F2012" s="1">
        <v>44757</v>
      </c>
      <c r="G2012" s="1">
        <v>45122</v>
      </c>
      <c r="H2012">
        <v>7176</v>
      </c>
      <c r="I2012">
        <v>5221</v>
      </c>
      <c r="J2012">
        <v>1955</v>
      </c>
      <c r="K2012" t="s">
        <v>54</v>
      </c>
      <c r="L2012">
        <v>12</v>
      </c>
      <c r="M2012" t="str">
        <f t="shared" si="31"/>
        <v>6-12 Months</v>
      </c>
      <c r="N2012" s="1">
        <v>45122</v>
      </c>
      <c r="O2012">
        <v>1</v>
      </c>
      <c r="P2012">
        <v>2011</v>
      </c>
      <c r="Q2012" s="2">
        <v>0.27</v>
      </c>
      <c r="R2012" t="s">
        <v>27</v>
      </c>
      <c r="S2012">
        <v>2023</v>
      </c>
      <c r="T2012" t="s">
        <v>44</v>
      </c>
    </row>
    <row r="2013" spans="1:20" hidden="1" x14ac:dyDescent="0.3">
      <c r="A2013">
        <v>3399</v>
      </c>
      <c r="B2013">
        <v>257</v>
      </c>
      <c r="C2013" t="s">
        <v>39</v>
      </c>
      <c r="D2013" t="s">
        <v>34</v>
      </c>
      <c r="E2013" t="s">
        <v>20</v>
      </c>
      <c r="F2013" s="1">
        <v>44908</v>
      </c>
      <c r="G2013" s="1">
        <v>45123</v>
      </c>
      <c r="H2013">
        <v>6566</v>
      </c>
      <c r="I2013">
        <v>1202</v>
      </c>
      <c r="J2013">
        <v>5364</v>
      </c>
      <c r="K2013" t="s">
        <v>54</v>
      </c>
      <c r="L2013">
        <v>7</v>
      </c>
      <c r="M2013" t="str">
        <f t="shared" si="31"/>
        <v>6-12 Months</v>
      </c>
      <c r="N2013" s="1">
        <v>45123</v>
      </c>
      <c r="O2013">
        <v>1</v>
      </c>
      <c r="P2013">
        <v>2012</v>
      </c>
      <c r="Q2013" s="2">
        <v>0.82</v>
      </c>
      <c r="R2013" t="s">
        <v>27</v>
      </c>
      <c r="S2013">
        <v>2023</v>
      </c>
      <c r="T2013" t="s">
        <v>44</v>
      </c>
    </row>
    <row r="2014" spans="1:20" hidden="1" x14ac:dyDescent="0.3">
      <c r="A2014">
        <v>3401</v>
      </c>
      <c r="B2014">
        <v>315</v>
      </c>
      <c r="C2014" t="s">
        <v>45</v>
      </c>
      <c r="D2014" t="s">
        <v>19</v>
      </c>
      <c r="E2014" t="s">
        <v>26</v>
      </c>
      <c r="F2014" s="1">
        <v>44917</v>
      </c>
      <c r="G2014" s="1">
        <v>45358</v>
      </c>
      <c r="H2014">
        <v>7316</v>
      </c>
      <c r="I2014">
        <v>4012.75</v>
      </c>
      <c r="J2014">
        <v>8185</v>
      </c>
      <c r="K2014" t="s">
        <v>54</v>
      </c>
      <c r="L2014">
        <v>14</v>
      </c>
      <c r="M2014" t="str">
        <f t="shared" si="31"/>
        <v>6-12 Months</v>
      </c>
      <c r="N2014" s="1">
        <v>45358</v>
      </c>
      <c r="O2014">
        <v>1</v>
      </c>
      <c r="P2014">
        <v>2013</v>
      </c>
      <c r="Q2014" s="2">
        <v>1.1200000000000001</v>
      </c>
      <c r="R2014" t="s">
        <v>22</v>
      </c>
      <c r="S2014">
        <v>2024</v>
      </c>
      <c r="T2014" t="s">
        <v>38</v>
      </c>
    </row>
    <row r="2015" spans="1:20" hidden="1" x14ac:dyDescent="0.3">
      <c r="A2015">
        <v>3402</v>
      </c>
      <c r="B2015">
        <v>300</v>
      </c>
      <c r="C2015" t="s">
        <v>53</v>
      </c>
      <c r="D2015" t="s">
        <v>34</v>
      </c>
      <c r="E2015" t="s">
        <v>37</v>
      </c>
      <c r="F2015" s="1">
        <v>44676</v>
      </c>
      <c r="G2015" s="1">
        <v>45081</v>
      </c>
      <c r="H2015">
        <v>8747</v>
      </c>
      <c r="I2015">
        <v>4012.75</v>
      </c>
      <c r="J2015">
        <v>577.01</v>
      </c>
      <c r="K2015" t="s">
        <v>21</v>
      </c>
      <c r="L2015">
        <v>13</v>
      </c>
      <c r="M2015" t="str">
        <f t="shared" si="31"/>
        <v>6-12 Months</v>
      </c>
      <c r="N2015" s="1">
        <v>45081</v>
      </c>
      <c r="O2015">
        <v>0</v>
      </c>
      <c r="P2015">
        <v>2014</v>
      </c>
      <c r="Q2015" s="2">
        <v>7.0000000000000007E-2</v>
      </c>
      <c r="R2015" t="s">
        <v>27</v>
      </c>
      <c r="S2015">
        <v>2023</v>
      </c>
      <c r="T2015" t="s">
        <v>41</v>
      </c>
    </row>
    <row r="2016" spans="1:20" hidden="1" x14ac:dyDescent="0.3">
      <c r="A2016">
        <v>3403</v>
      </c>
      <c r="B2016">
        <v>312</v>
      </c>
      <c r="C2016" t="s">
        <v>24</v>
      </c>
      <c r="D2016" t="s">
        <v>19</v>
      </c>
      <c r="E2016" t="s">
        <v>26</v>
      </c>
      <c r="F2016" s="1">
        <v>44709</v>
      </c>
      <c r="G2016" s="1">
        <v>45299</v>
      </c>
      <c r="H2016">
        <v>4967.93</v>
      </c>
      <c r="I2016">
        <v>7475</v>
      </c>
      <c r="J2016">
        <v>-8902</v>
      </c>
      <c r="K2016" t="s">
        <v>54</v>
      </c>
      <c r="L2016">
        <v>19</v>
      </c>
      <c r="M2016" t="str">
        <f t="shared" si="31"/>
        <v>6-12 Months</v>
      </c>
      <c r="N2016" s="1">
        <v>45299</v>
      </c>
      <c r="O2016">
        <v>1</v>
      </c>
      <c r="P2016">
        <v>2015</v>
      </c>
      <c r="Q2016" s="2">
        <v>-1.79</v>
      </c>
      <c r="R2016" t="s">
        <v>22</v>
      </c>
      <c r="S2016">
        <v>2024</v>
      </c>
      <c r="T2016" t="s">
        <v>23</v>
      </c>
    </row>
    <row r="2017" spans="1:20" hidden="1" x14ac:dyDescent="0.3">
      <c r="A2017">
        <v>3404</v>
      </c>
      <c r="B2017">
        <v>241</v>
      </c>
      <c r="C2017" t="s">
        <v>53</v>
      </c>
      <c r="D2017" t="s">
        <v>25</v>
      </c>
      <c r="E2017" t="s">
        <v>26</v>
      </c>
      <c r="F2017" s="1">
        <v>44585</v>
      </c>
      <c r="G2017" s="1">
        <v>44676</v>
      </c>
      <c r="H2017">
        <v>4967.93</v>
      </c>
      <c r="I2017">
        <v>4135</v>
      </c>
      <c r="J2017">
        <v>-4615</v>
      </c>
      <c r="K2017" t="s">
        <v>54</v>
      </c>
      <c r="L2017">
        <v>3</v>
      </c>
      <c r="M2017" t="str">
        <f t="shared" si="31"/>
        <v>0-6 Months</v>
      </c>
      <c r="N2017" s="1">
        <v>44676</v>
      </c>
      <c r="O2017">
        <v>0</v>
      </c>
      <c r="P2017">
        <v>2016</v>
      </c>
      <c r="Q2017" s="2">
        <v>-0.93</v>
      </c>
      <c r="R2017" t="s">
        <v>27</v>
      </c>
      <c r="S2017">
        <v>2022</v>
      </c>
      <c r="T2017" t="s">
        <v>32</v>
      </c>
    </row>
    <row r="2018" spans="1:20" x14ac:dyDescent="0.3">
      <c r="A2018">
        <v>3405</v>
      </c>
      <c r="B2018">
        <v>201</v>
      </c>
      <c r="C2018" t="s">
        <v>24</v>
      </c>
      <c r="D2018" t="s">
        <v>19</v>
      </c>
      <c r="E2018" t="s">
        <v>26</v>
      </c>
      <c r="F2018" s="1">
        <v>44900</v>
      </c>
      <c r="G2018" s="1">
        <v>44934</v>
      </c>
      <c r="H2018">
        <v>9571</v>
      </c>
      <c r="I2018">
        <v>1072</v>
      </c>
      <c r="J2018">
        <v>8499</v>
      </c>
      <c r="K2018" t="s">
        <v>35</v>
      </c>
      <c r="L2018">
        <v>1</v>
      </c>
      <c r="M2018" t="str">
        <f t="shared" si="31"/>
        <v>0-6 Months</v>
      </c>
      <c r="N2018" s="1">
        <v>44934</v>
      </c>
      <c r="O2018">
        <v>1</v>
      </c>
      <c r="P2018">
        <v>2017</v>
      </c>
      <c r="Q2018" s="2">
        <v>0.89</v>
      </c>
      <c r="R2018" t="s">
        <v>27</v>
      </c>
      <c r="S2018">
        <v>2023</v>
      </c>
      <c r="T2018" t="s">
        <v>23</v>
      </c>
    </row>
    <row r="2019" spans="1:20" hidden="1" x14ac:dyDescent="0.3">
      <c r="A2019">
        <v>3406</v>
      </c>
      <c r="B2019">
        <v>388</v>
      </c>
      <c r="C2019" t="s">
        <v>40</v>
      </c>
      <c r="D2019" t="s">
        <v>19</v>
      </c>
      <c r="E2019" t="s">
        <v>26</v>
      </c>
      <c r="F2019" s="1">
        <v>44568</v>
      </c>
      <c r="G2019" s="1">
        <v>45044</v>
      </c>
      <c r="H2019">
        <v>4967.93</v>
      </c>
      <c r="I2019">
        <v>3627</v>
      </c>
      <c r="J2019">
        <v>-5243</v>
      </c>
      <c r="K2019" t="s">
        <v>21</v>
      </c>
      <c r="L2019">
        <v>15</v>
      </c>
      <c r="M2019" t="str">
        <f t="shared" si="31"/>
        <v>6-12 Months</v>
      </c>
      <c r="N2019" s="1">
        <v>45044</v>
      </c>
      <c r="O2019">
        <v>1</v>
      </c>
      <c r="P2019">
        <v>2018</v>
      </c>
      <c r="Q2019" s="2">
        <v>-1.06</v>
      </c>
      <c r="R2019" t="s">
        <v>22</v>
      </c>
      <c r="S2019">
        <v>2023</v>
      </c>
      <c r="T2019" t="s">
        <v>32</v>
      </c>
    </row>
    <row r="2020" spans="1:20" hidden="1" x14ac:dyDescent="0.3">
      <c r="A2020">
        <v>3407</v>
      </c>
      <c r="B2020">
        <v>299</v>
      </c>
      <c r="C2020" t="s">
        <v>40</v>
      </c>
      <c r="D2020" t="s">
        <v>34</v>
      </c>
      <c r="E2020" t="s">
        <v>20</v>
      </c>
      <c r="F2020" s="1">
        <v>44879</v>
      </c>
      <c r="G2020" s="1">
        <v>45233</v>
      </c>
      <c r="H2020">
        <v>4967.93</v>
      </c>
      <c r="I2020">
        <v>4012.75</v>
      </c>
      <c r="J2020">
        <v>-937</v>
      </c>
      <c r="K2020" t="s">
        <v>21</v>
      </c>
      <c r="L2020">
        <v>11</v>
      </c>
      <c r="M2020" t="str">
        <f t="shared" si="31"/>
        <v>6-12 Months</v>
      </c>
      <c r="N2020" s="1">
        <v>45233</v>
      </c>
      <c r="O2020">
        <v>1</v>
      </c>
      <c r="P2020">
        <v>2019</v>
      </c>
      <c r="Q2020" s="2">
        <v>-0.19</v>
      </c>
      <c r="R2020" t="s">
        <v>27</v>
      </c>
      <c r="S2020">
        <v>2023</v>
      </c>
      <c r="T2020" t="s">
        <v>42</v>
      </c>
    </row>
    <row r="2021" spans="1:20" hidden="1" x14ac:dyDescent="0.3">
      <c r="A2021">
        <v>3410</v>
      </c>
      <c r="B2021">
        <v>489</v>
      </c>
      <c r="C2021" t="s">
        <v>45</v>
      </c>
      <c r="D2021" t="s">
        <v>25</v>
      </c>
      <c r="E2021" t="s">
        <v>37</v>
      </c>
      <c r="F2021" s="1">
        <v>44911</v>
      </c>
      <c r="G2021" s="1">
        <v>45230</v>
      </c>
      <c r="H2021">
        <v>4617</v>
      </c>
      <c r="I2021">
        <v>3061</v>
      </c>
      <c r="J2021">
        <v>1556</v>
      </c>
      <c r="K2021" t="s">
        <v>21</v>
      </c>
      <c r="L2021">
        <v>10</v>
      </c>
      <c r="M2021" t="str">
        <f t="shared" si="31"/>
        <v>6-12 Months</v>
      </c>
      <c r="N2021" s="1">
        <v>45230</v>
      </c>
      <c r="O2021">
        <v>1</v>
      </c>
      <c r="P2021">
        <v>2020</v>
      </c>
      <c r="Q2021" s="2">
        <v>0.34</v>
      </c>
      <c r="R2021" t="s">
        <v>27</v>
      </c>
      <c r="S2021">
        <v>2023</v>
      </c>
      <c r="T2021" t="s">
        <v>33</v>
      </c>
    </row>
    <row r="2022" spans="1:20" x14ac:dyDescent="0.3">
      <c r="A2022">
        <v>3411</v>
      </c>
      <c r="B2022">
        <v>487</v>
      </c>
      <c r="C2022" t="s">
        <v>24</v>
      </c>
      <c r="D2022" t="s">
        <v>25</v>
      </c>
      <c r="E2022" t="s">
        <v>20</v>
      </c>
      <c r="F2022" s="1">
        <v>44729</v>
      </c>
      <c r="G2022" s="1">
        <v>45094</v>
      </c>
      <c r="H2022">
        <v>4967.93</v>
      </c>
      <c r="I2022">
        <v>4680</v>
      </c>
      <c r="J2022">
        <v>-6131</v>
      </c>
      <c r="K2022" t="s">
        <v>35</v>
      </c>
      <c r="L2022">
        <v>12</v>
      </c>
      <c r="M2022" t="str">
        <f t="shared" si="31"/>
        <v>6-12 Months</v>
      </c>
      <c r="N2022" s="1">
        <v>45094</v>
      </c>
      <c r="O2022">
        <v>0</v>
      </c>
      <c r="P2022">
        <v>2021</v>
      </c>
      <c r="Q2022" s="2">
        <v>-1.23</v>
      </c>
      <c r="R2022" t="s">
        <v>22</v>
      </c>
      <c r="S2022">
        <v>2023</v>
      </c>
      <c r="T2022" t="s">
        <v>41</v>
      </c>
    </row>
    <row r="2023" spans="1:20" hidden="1" x14ac:dyDescent="0.3">
      <c r="A2023">
        <v>3413</v>
      </c>
      <c r="B2023">
        <v>369</v>
      </c>
      <c r="C2023" t="s">
        <v>45</v>
      </c>
      <c r="D2023" t="s">
        <v>29</v>
      </c>
      <c r="E2023" t="s">
        <v>20</v>
      </c>
      <c r="F2023" s="1">
        <v>44846</v>
      </c>
      <c r="G2023" s="1">
        <v>44903</v>
      </c>
      <c r="H2023">
        <v>4967.93</v>
      </c>
      <c r="I2023">
        <v>370</v>
      </c>
      <c r="J2023">
        <v>577.01</v>
      </c>
      <c r="K2023" t="s">
        <v>54</v>
      </c>
      <c r="L2023">
        <v>1</v>
      </c>
      <c r="M2023" t="str">
        <f t="shared" si="31"/>
        <v>0-6 Months</v>
      </c>
      <c r="N2023" s="1">
        <v>44903</v>
      </c>
      <c r="O2023">
        <v>1</v>
      </c>
      <c r="P2023">
        <v>2022</v>
      </c>
      <c r="Q2023" s="2">
        <v>0.12</v>
      </c>
      <c r="R2023" t="s">
        <v>27</v>
      </c>
      <c r="S2023">
        <v>2022</v>
      </c>
      <c r="T2023" t="s">
        <v>31</v>
      </c>
    </row>
    <row r="2024" spans="1:20" x14ac:dyDescent="0.3">
      <c r="A2024">
        <v>3416</v>
      </c>
      <c r="B2024">
        <v>320</v>
      </c>
      <c r="C2024" t="s">
        <v>40</v>
      </c>
      <c r="D2024" t="s">
        <v>19</v>
      </c>
      <c r="E2024" t="s">
        <v>20</v>
      </c>
      <c r="F2024" s="1">
        <v>44707</v>
      </c>
      <c r="G2024" s="1">
        <v>44813</v>
      </c>
      <c r="H2024">
        <v>9115</v>
      </c>
      <c r="I2024">
        <v>1814</v>
      </c>
      <c r="J2024">
        <v>7301</v>
      </c>
      <c r="K2024" t="s">
        <v>35</v>
      </c>
      <c r="L2024">
        <v>3</v>
      </c>
      <c r="M2024" t="str">
        <f t="shared" si="31"/>
        <v>0-6 Months</v>
      </c>
      <c r="N2024" s="1">
        <v>44813</v>
      </c>
      <c r="O2024">
        <v>1</v>
      </c>
      <c r="P2024">
        <v>2023</v>
      </c>
      <c r="Q2024" s="2">
        <v>0.8</v>
      </c>
      <c r="R2024" t="s">
        <v>27</v>
      </c>
      <c r="S2024">
        <v>2022</v>
      </c>
      <c r="T2024" t="s">
        <v>30</v>
      </c>
    </row>
    <row r="2025" spans="1:20" hidden="1" x14ac:dyDescent="0.3">
      <c r="A2025">
        <v>3418</v>
      </c>
      <c r="B2025">
        <v>421</v>
      </c>
      <c r="C2025" t="s">
        <v>45</v>
      </c>
      <c r="D2025" t="s">
        <v>25</v>
      </c>
      <c r="E2025" t="s">
        <v>26</v>
      </c>
      <c r="F2025" s="1">
        <v>44637</v>
      </c>
      <c r="G2025" s="1">
        <v>45011</v>
      </c>
      <c r="H2025">
        <v>898</v>
      </c>
      <c r="I2025">
        <v>5854</v>
      </c>
      <c r="J2025">
        <v>577.01</v>
      </c>
      <c r="K2025" t="s">
        <v>54</v>
      </c>
      <c r="L2025">
        <v>12</v>
      </c>
      <c r="M2025" t="str">
        <f t="shared" si="31"/>
        <v>6-12 Months</v>
      </c>
      <c r="N2025" s="1">
        <v>45011</v>
      </c>
      <c r="O2025">
        <v>1</v>
      </c>
      <c r="P2025">
        <v>2024</v>
      </c>
      <c r="Q2025" s="2">
        <v>0.64</v>
      </c>
      <c r="R2025" t="s">
        <v>27</v>
      </c>
      <c r="S2025">
        <v>2023</v>
      </c>
      <c r="T2025" t="s">
        <v>38</v>
      </c>
    </row>
    <row r="2026" spans="1:20" hidden="1" x14ac:dyDescent="0.3">
      <c r="A2026">
        <v>3420</v>
      </c>
      <c r="B2026">
        <v>330</v>
      </c>
      <c r="C2026" t="s">
        <v>39</v>
      </c>
      <c r="D2026" t="s">
        <v>34</v>
      </c>
      <c r="E2026" t="s">
        <v>20</v>
      </c>
      <c r="F2026" s="1">
        <v>44685</v>
      </c>
      <c r="G2026" s="1">
        <v>44735</v>
      </c>
      <c r="H2026">
        <v>8269</v>
      </c>
      <c r="I2026">
        <v>1275</v>
      </c>
      <c r="J2026">
        <v>6994</v>
      </c>
      <c r="K2026" t="s">
        <v>54</v>
      </c>
      <c r="L2026">
        <v>1</v>
      </c>
      <c r="M2026" t="str">
        <f t="shared" si="31"/>
        <v>0-6 Months</v>
      </c>
      <c r="N2026" s="1">
        <v>44735</v>
      </c>
      <c r="O2026">
        <v>1</v>
      </c>
      <c r="P2026">
        <v>2025</v>
      </c>
      <c r="Q2026" s="2">
        <v>0.85</v>
      </c>
      <c r="R2026" t="s">
        <v>27</v>
      </c>
      <c r="S2026">
        <v>2022</v>
      </c>
      <c r="T2026" t="s">
        <v>41</v>
      </c>
    </row>
    <row r="2027" spans="1:20" hidden="1" x14ac:dyDescent="0.3">
      <c r="A2027">
        <v>3422</v>
      </c>
      <c r="B2027">
        <v>435</v>
      </c>
      <c r="C2027" t="s">
        <v>53</v>
      </c>
      <c r="D2027" t="s">
        <v>19</v>
      </c>
      <c r="E2027" t="s">
        <v>26</v>
      </c>
      <c r="F2027" s="1">
        <v>44771</v>
      </c>
      <c r="G2027" s="1">
        <v>45310</v>
      </c>
      <c r="H2027">
        <v>4967.93</v>
      </c>
      <c r="I2027">
        <v>5554</v>
      </c>
      <c r="J2027">
        <v>-6066</v>
      </c>
      <c r="K2027" t="s">
        <v>54</v>
      </c>
      <c r="L2027">
        <v>17</v>
      </c>
      <c r="M2027" t="str">
        <f t="shared" si="31"/>
        <v>6-12 Months</v>
      </c>
      <c r="N2027" s="1">
        <v>45310</v>
      </c>
      <c r="O2027">
        <v>0</v>
      </c>
      <c r="P2027">
        <v>2026</v>
      </c>
      <c r="Q2027" s="2">
        <v>-1.22</v>
      </c>
      <c r="R2027" t="s">
        <v>22</v>
      </c>
      <c r="S2027">
        <v>2024</v>
      </c>
      <c r="T2027" t="s">
        <v>23</v>
      </c>
    </row>
    <row r="2028" spans="1:20" x14ac:dyDescent="0.3">
      <c r="A2028">
        <v>3426</v>
      </c>
      <c r="B2028">
        <v>378</v>
      </c>
      <c r="C2028" t="s">
        <v>45</v>
      </c>
      <c r="D2028" t="s">
        <v>19</v>
      </c>
      <c r="E2028" t="s">
        <v>26</v>
      </c>
      <c r="F2028" s="1">
        <v>44788</v>
      </c>
      <c r="G2028" s="1">
        <v>44871</v>
      </c>
      <c r="H2028">
        <v>7277</v>
      </c>
      <c r="I2028">
        <v>755</v>
      </c>
      <c r="J2028">
        <v>6522</v>
      </c>
      <c r="K2028" t="s">
        <v>35</v>
      </c>
      <c r="L2028">
        <v>2</v>
      </c>
      <c r="M2028" t="str">
        <f t="shared" si="31"/>
        <v>0-6 Months</v>
      </c>
      <c r="N2028" s="1">
        <v>44871</v>
      </c>
      <c r="O2028">
        <v>0</v>
      </c>
      <c r="P2028">
        <v>2027</v>
      </c>
      <c r="Q2028" s="2">
        <v>0.9</v>
      </c>
      <c r="R2028" t="s">
        <v>27</v>
      </c>
      <c r="S2028">
        <v>2022</v>
      </c>
      <c r="T2028" t="s">
        <v>42</v>
      </c>
    </row>
    <row r="2029" spans="1:20" hidden="1" x14ac:dyDescent="0.3">
      <c r="A2029">
        <v>3427</v>
      </c>
      <c r="B2029">
        <v>442</v>
      </c>
      <c r="C2029" t="s">
        <v>40</v>
      </c>
      <c r="D2029" t="s">
        <v>19</v>
      </c>
      <c r="E2029" t="s">
        <v>20</v>
      </c>
      <c r="F2029" s="1">
        <v>44799</v>
      </c>
      <c r="G2029" s="1">
        <v>44926</v>
      </c>
      <c r="H2029">
        <v>264</v>
      </c>
      <c r="I2029">
        <v>2851</v>
      </c>
      <c r="J2029">
        <v>-2587</v>
      </c>
      <c r="K2029" t="s">
        <v>54</v>
      </c>
      <c r="L2029">
        <v>4</v>
      </c>
      <c r="M2029" t="str">
        <f t="shared" si="31"/>
        <v>0-6 Months</v>
      </c>
      <c r="N2029" s="1">
        <v>44926</v>
      </c>
      <c r="O2029">
        <v>1</v>
      </c>
      <c r="P2029">
        <v>2028</v>
      </c>
      <c r="Q2029" s="2">
        <v>-9.8000000000000007</v>
      </c>
      <c r="R2029" t="s">
        <v>22</v>
      </c>
      <c r="S2029">
        <v>2022</v>
      </c>
      <c r="T2029" t="s">
        <v>31</v>
      </c>
    </row>
    <row r="2030" spans="1:20" hidden="1" x14ac:dyDescent="0.3">
      <c r="A2030">
        <v>3428</v>
      </c>
      <c r="B2030">
        <v>497</v>
      </c>
      <c r="C2030" t="s">
        <v>40</v>
      </c>
      <c r="D2030" t="s">
        <v>34</v>
      </c>
      <c r="E2030" t="s">
        <v>20</v>
      </c>
      <c r="F2030" s="1">
        <v>44885</v>
      </c>
      <c r="G2030" s="1">
        <v>44970</v>
      </c>
      <c r="H2030">
        <v>5568</v>
      </c>
      <c r="I2030">
        <v>5538</v>
      </c>
      <c r="J2030">
        <v>30</v>
      </c>
      <c r="K2030" t="s">
        <v>21</v>
      </c>
      <c r="L2030">
        <v>2</v>
      </c>
      <c r="M2030" t="str">
        <f t="shared" si="31"/>
        <v>0-6 Months</v>
      </c>
      <c r="N2030" s="1">
        <v>44970</v>
      </c>
      <c r="O2030">
        <v>1</v>
      </c>
      <c r="P2030">
        <v>2029</v>
      </c>
      <c r="Q2030" s="2">
        <v>0.01</v>
      </c>
      <c r="R2030" t="s">
        <v>27</v>
      </c>
      <c r="S2030">
        <v>2023</v>
      </c>
      <c r="T2030" t="s">
        <v>43</v>
      </c>
    </row>
    <row r="2031" spans="1:20" hidden="1" x14ac:dyDescent="0.3">
      <c r="A2031">
        <v>3429</v>
      </c>
      <c r="B2031">
        <v>500</v>
      </c>
      <c r="C2031" t="s">
        <v>40</v>
      </c>
      <c r="D2031" t="s">
        <v>25</v>
      </c>
      <c r="E2031" t="s">
        <v>26</v>
      </c>
      <c r="F2031" s="1">
        <v>44610</v>
      </c>
      <c r="G2031" s="1">
        <v>45197</v>
      </c>
      <c r="H2031">
        <v>4189</v>
      </c>
      <c r="I2031">
        <v>1452</v>
      </c>
      <c r="J2031">
        <v>2737</v>
      </c>
      <c r="K2031" t="s">
        <v>54</v>
      </c>
      <c r="L2031">
        <v>19</v>
      </c>
      <c r="M2031" t="str">
        <f t="shared" si="31"/>
        <v>6-12 Months</v>
      </c>
      <c r="N2031" s="1">
        <v>45197</v>
      </c>
      <c r="O2031">
        <v>0</v>
      </c>
      <c r="P2031">
        <v>2030</v>
      </c>
      <c r="Q2031" s="2">
        <v>0.65</v>
      </c>
      <c r="R2031" t="s">
        <v>27</v>
      </c>
      <c r="S2031">
        <v>2023</v>
      </c>
      <c r="T2031" t="s">
        <v>30</v>
      </c>
    </row>
    <row r="2032" spans="1:20" hidden="1" x14ac:dyDescent="0.3">
      <c r="A2032">
        <v>3430</v>
      </c>
      <c r="B2032">
        <v>329</v>
      </c>
      <c r="C2032" t="s">
        <v>39</v>
      </c>
      <c r="D2032" t="s">
        <v>25</v>
      </c>
      <c r="E2032" t="s">
        <v>20</v>
      </c>
      <c r="F2032" s="1">
        <v>44572</v>
      </c>
      <c r="G2032" s="1">
        <v>44758</v>
      </c>
      <c r="H2032">
        <v>1261</v>
      </c>
      <c r="I2032">
        <v>538</v>
      </c>
      <c r="J2032">
        <v>723</v>
      </c>
      <c r="K2032" t="s">
        <v>21</v>
      </c>
      <c r="L2032">
        <v>6</v>
      </c>
      <c r="M2032" t="str">
        <f t="shared" si="31"/>
        <v>12+ Months</v>
      </c>
      <c r="N2032" s="1">
        <v>44758</v>
      </c>
      <c r="O2032">
        <v>1</v>
      </c>
      <c r="P2032">
        <v>2031</v>
      </c>
      <c r="Q2032" s="2">
        <v>0.56999999999999995</v>
      </c>
      <c r="R2032" t="s">
        <v>27</v>
      </c>
      <c r="S2032">
        <v>2022</v>
      </c>
      <c r="T2032" t="s">
        <v>44</v>
      </c>
    </row>
    <row r="2033" spans="1:20" x14ac:dyDescent="0.3">
      <c r="A2033">
        <v>3431</v>
      </c>
      <c r="B2033">
        <v>138</v>
      </c>
      <c r="C2033" t="s">
        <v>40</v>
      </c>
      <c r="D2033" t="s">
        <v>34</v>
      </c>
      <c r="E2033" t="s">
        <v>26</v>
      </c>
      <c r="F2033" s="1">
        <v>44844</v>
      </c>
      <c r="G2033" s="1">
        <v>45234</v>
      </c>
      <c r="H2033">
        <v>4967.93</v>
      </c>
      <c r="I2033">
        <v>6090</v>
      </c>
      <c r="J2033">
        <v>577.01</v>
      </c>
      <c r="K2033" t="s">
        <v>35</v>
      </c>
      <c r="L2033">
        <v>12</v>
      </c>
      <c r="M2033" t="str">
        <f t="shared" si="31"/>
        <v>6-12 Months</v>
      </c>
      <c r="N2033" s="1">
        <v>45234</v>
      </c>
      <c r="O2033">
        <v>1</v>
      </c>
      <c r="P2033">
        <v>2032</v>
      </c>
      <c r="Q2033" s="2">
        <v>0.12</v>
      </c>
      <c r="R2033" t="s">
        <v>27</v>
      </c>
      <c r="S2033">
        <v>2023</v>
      </c>
      <c r="T2033" t="s">
        <v>42</v>
      </c>
    </row>
    <row r="2034" spans="1:20" hidden="1" x14ac:dyDescent="0.3">
      <c r="A2034">
        <v>3432</v>
      </c>
      <c r="B2034">
        <v>388</v>
      </c>
      <c r="C2034" t="s">
        <v>53</v>
      </c>
      <c r="D2034" t="s">
        <v>29</v>
      </c>
      <c r="E2034" t="s">
        <v>26</v>
      </c>
      <c r="F2034" s="1">
        <v>44858</v>
      </c>
      <c r="G2034" s="1">
        <v>44977</v>
      </c>
      <c r="H2034">
        <v>8650</v>
      </c>
      <c r="I2034">
        <v>4012.75</v>
      </c>
      <c r="J2034">
        <v>8746</v>
      </c>
      <c r="K2034" t="s">
        <v>54</v>
      </c>
      <c r="L2034">
        <v>3</v>
      </c>
      <c r="M2034" t="str">
        <f t="shared" si="31"/>
        <v>0-6 Months</v>
      </c>
      <c r="N2034" s="1">
        <v>44977</v>
      </c>
      <c r="O2034">
        <v>1</v>
      </c>
      <c r="P2034">
        <v>2033</v>
      </c>
      <c r="Q2034" s="2">
        <v>1.01</v>
      </c>
      <c r="R2034" t="s">
        <v>22</v>
      </c>
      <c r="S2034">
        <v>2023</v>
      </c>
      <c r="T2034" t="s">
        <v>43</v>
      </c>
    </row>
    <row r="2035" spans="1:20" hidden="1" x14ac:dyDescent="0.3">
      <c r="A2035">
        <v>3434</v>
      </c>
      <c r="B2035">
        <v>336</v>
      </c>
      <c r="C2035" t="s">
        <v>24</v>
      </c>
      <c r="D2035" t="s">
        <v>19</v>
      </c>
      <c r="E2035" t="s">
        <v>20</v>
      </c>
      <c r="F2035" s="1">
        <v>44684</v>
      </c>
      <c r="G2035" s="1">
        <v>44963</v>
      </c>
      <c r="H2035">
        <v>7805</v>
      </c>
      <c r="I2035">
        <v>3593</v>
      </c>
      <c r="J2035">
        <v>4212</v>
      </c>
      <c r="K2035" t="s">
        <v>54</v>
      </c>
      <c r="L2035">
        <v>9</v>
      </c>
      <c r="M2035" t="str">
        <f t="shared" si="31"/>
        <v>6-12 Months</v>
      </c>
      <c r="N2035" s="1">
        <v>44963</v>
      </c>
      <c r="O2035">
        <v>0</v>
      </c>
      <c r="P2035">
        <v>2034</v>
      </c>
      <c r="Q2035" s="2">
        <v>0.54</v>
      </c>
      <c r="R2035" t="s">
        <v>27</v>
      </c>
      <c r="S2035">
        <v>2023</v>
      </c>
      <c r="T2035" t="s">
        <v>43</v>
      </c>
    </row>
    <row r="2036" spans="1:20" hidden="1" x14ac:dyDescent="0.3">
      <c r="A2036">
        <v>3436</v>
      </c>
      <c r="B2036">
        <v>260</v>
      </c>
      <c r="C2036" t="s">
        <v>53</v>
      </c>
      <c r="D2036" t="s">
        <v>29</v>
      </c>
      <c r="E2036" t="s">
        <v>37</v>
      </c>
      <c r="F2036" s="1">
        <v>44738</v>
      </c>
      <c r="G2036" s="1">
        <v>44987</v>
      </c>
      <c r="H2036">
        <v>4967.93</v>
      </c>
      <c r="I2036">
        <v>3740</v>
      </c>
      <c r="J2036">
        <v>-4097</v>
      </c>
      <c r="K2036" t="s">
        <v>54</v>
      </c>
      <c r="L2036">
        <v>8</v>
      </c>
      <c r="M2036" t="str">
        <f t="shared" si="31"/>
        <v>6-12 Months</v>
      </c>
      <c r="N2036" s="1">
        <v>44987</v>
      </c>
      <c r="O2036">
        <v>0</v>
      </c>
      <c r="P2036">
        <v>2035</v>
      </c>
      <c r="Q2036" s="2">
        <v>-0.82</v>
      </c>
      <c r="R2036" t="s">
        <v>27</v>
      </c>
      <c r="S2036">
        <v>2023</v>
      </c>
      <c r="T2036" t="s">
        <v>38</v>
      </c>
    </row>
    <row r="2037" spans="1:20" hidden="1" x14ac:dyDescent="0.3">
      <c r="A2037">
        <v>3437</v>
      </c>
      <c r="B2037">
        <v>353</v>
      </c>
      <c r="C2037" t="s">
        <v>39</v>
      </c>
      <c r="D2037" t="s">
        <v>25</v>
      </c>
      <c r="E2037" t="s">
        <v>20</v>
      </c>
      <c r="F2037" s="1">
        <v>44787</v>
      </c>
      <c r="G2037" s="1">
        <v>45116</v>
      </c>
      <c r="H2037">
        <v>4967.93</v>
      </c>
      <c r="I2037">
        <v>7802</v>
      </c>
      <c r="J2037">
        <v>-8049</v>
      </c>
      <c r="K2037" t="s">
        <v>21</v>
      </c>
      <c r="L2037">
        <v>10</v>
      </c>
      <c r="M2037" t="str">
        <f t="shared" si="31"/>
        <v>6-12 Months</v>
      </c>
      <c r="N2037" s="1">
        <v>45116</v>
      </c>
      <c r="O2037">
        <v>0</v>
      </c>
      <c r="P2037">
        <v>2036</v>
      </c>
      <c r="Q2037" s="2">
        <v>-1.62</v>
      </c>
      <c r="R2037" t="s">
        <v>22</v>
      </c>
      <c r="S2037">
        <v>2023</v>
      </c>
      <c r="T2037" t="s">
        <v>44</v>
      </c>
    </row>
    <row r="2038" spans="1:20" hidden="1" x14ac:dyDescent="0.3">
      <c r="A2038">
        <v>3438</v>
      </c>
      <c r="B2038">
        <v>152</v>
      </c>
      <c r="C2038" t="s">
        <v>53</v>
      </c>
      <c r="D2038" t="s">
        <v>25</v>
      </c>
      <c r="E2038" t="s">
        <v>20</v>
      </c>
      <c r="F2038" s="1">
        <v>44874</v>
      </c>
      <c r="G2038" s="1">
        <v>45424</v>
      </c>
      <c r="H2038">
        <v>7227</v>
      </c>
      <c r="I2038">
        <v>1775</v>
      </c>
      <c r="J2038">
        <v>5452</v>
      </c>
      <c r="K2038" t="s">
        <v>54</v>
      </c>
      <c r="L2038">
        <v>18</v>
      </c>
      <c r="M2038" t="str">
        <f t="shared" si="31"/>
        <v>6-12 Months</v>
      </c>
      <c r="N2038" s="1">
        <v>45424</v>
      </c>
      <c r="O2038">
        <v>1</v>
      </c>
      <c r="P2038">
        <v>2037</v>
      </c>
      <c r="Q2038" s="2">
        <v>0.75</v>
      </c>
      <c r="R2038" t="s">
        <v>27</v>
      </c>
      <c r="S2038">
        <v>2024</v>
      </c>
      <c r="T2038" t="s">
        <v>28</v>
      </c>
    </row>
    <row r="2039" spans="1:20" hidden="1" x14ac:dyDescent="0.3">
      <c r="A2039">
        <v>3441</v>
      </c>
      <c r="B2039">
        <v>172</v>
      </c>
      <c r="C2039" t="s">
        <v>53</v>
      </c>
      <c r="D2039" t="s">
        <v>34</v>
      </c>
      <c r="E2039" t="s">
        <v>20</v>
      </c>
      <c r="F2039" s="1">
        <v>44861</v>
      </c>
      <c r="G2039" s="1">
        <v>44993</v>
      </c>
      <c r="H2039">
        <v>2844</v>
      </c>
      <c r="I2039">
        <v>1959</v>
      </c>
      <c r="J2039">
        <v>885</v>
      </c>
      <c r="K2039" t="s">
        <v>21</v>
      </c>
      <c r="L2039">
        <v>4</v>
      </c>
      <c r="M2039" t="str">
        <f t="shared" si="31"/>
        <v>0-6 Months</v>
      </c>
      <c r="N2039" s="1">
        <v>44993</v>
      </c>
      <c r="O2039">
        <v>1</v>
      </c>
      <c r="P2039">
        <v>2038</v>
      </c>
      <c r="Q2039" s="2">
        <v>0.31</v>
      </c>
      <c r="R2039" t="s">
        <v>27</v>
      </c>
      <c r="S2039">
        <v>2023</v>
      </c>
      <c r="T2039" t="s">
        <v>38</v>
      </c>
    </row>
    <row r="2040" spans="1:20" hidden="1" x14ac:dyDescent="0.3">
      <c r="A2040">
        <v>3442</v>
      </c>
      <c r="B2040">
        <v>405</v>
      </c>
      <c r="C2040" t="s">
        <v>45</v>
      </c>
      <c r="D2040" t="s">
        <v>34</v>
      </c>
      <c r="E2040" t="s">
        <v>26</v>
      </c>
      <c r="F2040" s="1">
        <v>44897</v>
      </c>
      <c r="G2040" s="1">
        <v>45195</v>
      </c>
      <c r="H2040">
        <v>8461</v>
      </c>
      <c r="I2040">
        <v>1163</v>
      </c>
      <c r="J2040">
        <v>7298</v>
      </c>
      <c r="K2040" t="s">
        <v>54</v>
      </c>
      <c r="L2040">
        <v>9</v>
      </c>
      <c r="M2040" t="str">
        <f t="shared" si="31"/>
        <v>6-12 Months</v>
      </c>
      <c r="N2040" s="1">
        <v>45195</v>
      </c>
      <c r="O2040">
        <v>1</v>
      </c>
      <c r="P2040">
        <v>2039</v>
      </c>
      <c r="Q2040" s="2">
        <v>0.86</v>
      </c>
      <c r="R2040" t="s">
        <v>27</v>
      </c>
      <c r="S2040">
        <v>2023</v>
      </c>
      <c r="T2040" t="s">
        <v>30</v>
      </c>
    </row>
    <row r="2041" spans="1:20" x14ac:dyDescent="0.3">
      <c r="A2041">
        <v>3443</v>
      </c>
      <c r="B2041">
        <v>130</v>
      </c>
      <c r="C2041" t="s">
        <v>53</v>
      </c>
      <c r="D2041" t="s">
        <v>19</v>
      </c>
      <c r="E2041" t="s">
        <v>26</v>
      </c>
      <c r="F2041" s="1">
        <v>44825</v>
      </c>
      <c r="G2041" s="1">
        <v>44941</v>
      </c>
      <c r="H2041">
        <v>376</v>
      </c>
      <c r="I2041">
        <v>1848</v>
      </c>
      <c r="J2041">
        <v>-1472</v>
      </c>
      <c r="K2041" t="s">
        <v>35</v>
      </c>
      <c r="L2041">
        <v>3</v>
      </c>
      <c r="M2041" t="str">
        <f t="shared" si="31"/>
        <v>0-6 Months</v>
      </c>
      <c r="N2041" s="1">
        <v>44941</v>
      </c>
      <c r="O2041">
        <v>1</v>
      </c>
      <c r="P2041">
        <v>2040</v>
      </c>
      <c r="Q2041" s="2">
        <v>-3.91</v>
      </c>
      <c r="R2041" t="s">
        <v>22</v>
      </c>
      <c r="S2041">
        <v>2023</v>
      </c>
      <c r="T2041" t="s">
        <v>23</v>
      </c>
    </row>
    <row r="2042" spans="1:20" hidden="1" x14ac:dyDescent="0.3">
      <c r="A2042">
        <v>3445</v>
      </c>
      <c r="B2042">
        <v>136</v>
      </c>
      <c r="C2042" t="s">
        <v>24</v>
      </c>
      <c r="D2042" t="s">
        <v>19</v>
      </c>
      <c r="E2042" t="s">
        <v>37</v>
      </c>
      <c r="F2042" s="1">
        <v>44754</v>
      </c>
      <c r="G2042" s="1">
        <v>45205</v>
      </c>
      <c r="H2042">
        <v>1012</v>
      </c>
      <c r="I2042">
        <v>6955</v>
      </c>
      <c r="J2042">
        <v>577.01</v>
      </c>
      <c r="K2042" t="s">
        <v>21</v>
      </c>
      <c r="L2042">
        <v>14</v>
      </c>
      <c r="M2042" t="str">
        <f t="shared" si="31"/>
        <v>6-12 Months</v>
      </c>
      <c r="N2042" s="1">
        <v>45205</v>
      </c>
      <c r="O2042">
        <v>0</v>
      </c>
      <c r="P2042">
        <v>2041</v>
      </c>
      <c r="Q2042" s="2">
        <v>0.56999999999999995</v>
      </c>
      <c r="R2042" t="s">
        <v>27</v>
      </c>
      <c r="S2042">
        <v>2023</v>
      </c>
      <c r="T2042" t="s">
        <v>33</v>
      </c>
    </row>
    <row r="2043" spans="1:20" hidden="1" x14ac:dyDescent="0.3">
      <c r="A2043">
        <v>3447</v>
      </c>
      <c r="B2043">
        <v>324</v>
      </c>
      <c r="C2043" t="s">
        <v>39</v>
      </c>
      <c r="D2043" t="s">
        <v>25</v>
      </c>
      <c r="E2043" t="s">
        <v>26</v>
      </c>
      <c r="F2043" s="1">
        <v>44876</v>
      </c>
      <c r="G2043" s="1">
        <v>45122</v>
      </c>
      <c r="H2043">
        <v>3399</v>
      </c>
      <c r="I2043">
        <v>2108</v>
      </c>
      <c r="J2043">
        <v>1291</v>
      </c>
      <c r="K2043" t="s">
        <v>54</v>
      </c>
      <c r="L2043">
        <v>8</v>
      </c>
      <c r="M2043" t="str">
        <f t="shared" si="31"/>
        <v>6-12 Months</v>
      </c>
      <c r="N2043" s="1">
        <v>45122</v>
      </c>
      <c r="O2043">
        <v>0</v>
      </c>
      <c r="P2043">
        <v>2042</v>
      </c>
      <c r="Q2043" s="2">
        <v>0.38</v>
      </c>
      <c r="R2043" t="s">
        <v>27</v>
      </c>
      <c r="S2043">
        <v>2023</v>
      </c>
      <c r="T2043" t="s">
        <v>44</v>
      </c>
    </row>
    <row r="2044" spans="1:20" hidden="1" x14ac:dyDescent="0.3">
      <c r="A2044">
        <v>3450</v>
      </c>
      <c r="B2044">
        <v>357</v>
      </c>
      <c r="C2044" t="s">
        <v>39</v>
      </c>
      <c r="D2044" t="s">
        <v>19</v>
      </c>
      <c r="E2044" t="s">
        <v>26</v>
      </c>
      <c r="F2044" s="1">
        <v>44717</v>
      </c>
      <c r="G2044" s="1">
        <v>45107</v>
      </c>
      <c r="H2044">
        <v>8735</v>
      </c>
      <c r="I2044">
        <v>6177</v>
      </c>
      <c r="J2044">
        <v>2558</v>
      </c>
      <c r="K2044" t="s">
        <v>54</v>
      </c>
      <c r="L2044">
        <v>12</v>
      </c>
      <c r="M2044" t="str">
        <f t="shared" si="31"/>
        <v>6-12 Months</v>
      </c>
      <c r="N2044" s="1">
        <v>45107</v>
      </c>
      <c r="O2044">
        <v>1</v>
      </c>
      <c r="P2044">
        <v>2043</v>
      </c>
      <c r="Q2044" s="2">
        <v>0.28999999999999998</v>
      </c>
      <c r="R2044" t="s">
        <v>27</v>
      </c>
      <c r="S2044">
        <v>2023</v>
      </c>
      <c r="T2044" t="s">
        <v>41</v>
      </c>
    </row>
    <row r="2045" spans="1:20" x14ac:dyDescent="0.3">
      <c r="A2045">
        <v>3451</v>
      </c>
      <c r="B2045">
        <v>162</v>
      </c>
      <c r="C2045" t="s">
        <v>45</v>
      </c>
      <c r="D2045" t="s">
        <v>25</v>
      </c>
      <c r="E2045" t="s">
        <v>26</v>
      </c>
      <c r="F2045" s="1">
        <v>44600</v>
      </c>
      <c r="G2045" s="1">
        <v>44921</v>
      </c>
      <c r="H2045">
        <v>305</v>
      </c>
      <c r="I2045">
        <v>1116</v>
      </c>
      <c r="J2045">
        <v>-811</v>
      </c>
      <c r="K2045" t="s">
        <v>35</v>
      </c>
      <c r="L2045">
        <v>10</v>
      </c>
      <c r="M2045" t="str">
        <f t="shared" si="31"/>
        <v>6-12 Months</v>
      </c>
      <c r="N2045" s="1">
        <v>44921</v>
      </c>
      <c r="O2045">
        <v>0</v>
      </c>
      <c r="P2045">
        <v>2044</v>
      </c>
      <c r="Q2045" s="2">
        <v>-2.66</v>
      </c>
      <c r="R2045" t="s">
        <v>22</v>
      </c>
      <c r="S2045">
        <v>2022</v>
      </c>
      <c r="T2045" t="s">
        <v>31</v>
      </c>
    </row>
    <row r="2046" spans="1:20" hidden="1" x14ac:dyDescent="0.3">
      <c r="A2046">
        <v>3452</v>
      </c>
      <c r="B2046">
        <v>225</v>
      </c>
      <c r="C2046" t="s">
        <v>24</v>
      </c>
      <c r="D2046" t="s">
        <v>29</v>
      </c>
      <c r="E2046" t="s">
        <v>37</v>
      </c>
      <c r="F2046" s="1">
        <v>44571</v>
      </c>
      <c r="G2046" s="1">
        <v>44638</v>
      </c>
      <c r="H2046">
        <v>5117</v>
      </c>
      <c r="I2046">
        <v>5340</v>
      </c>
      <c r="J2046">
        <v>-223</v>
      </c>
      <c r="K2046" t="s">
        <v>21</v>
      </c>
      <c r="L2046">
        <v>2</v>
      </c>
      <c r="M2046" t="str">
        <f t="shared" si="31"/>
        <v>0-6 Months</v>
      </c>
      <c r="N2046" s="1">
        <v>44638</v>
      </c>
      <c r="O2046">
        <v>0</v>
      </c>
      <c r="P2046">
        <v>2045</v>
      </c>
      <c r="Q2046" s="2">
        <v>-0.04</v>
      </c>
      <c r="R2046" t="s">
        <v>27</v>
      </c>
      <c r="S2046">
        <v>2022</v>
      </c>
      <c r="T2046" t="s">
        <v>38</v>
      </c>
    </row>
    <row r="2047" spans="1:20" hidden="1" x14ac:dyDescent="0.3">
      <c r="A2047">
        <v>3453</v>
      </c>
      <c r="B2047">
        <v>283</v>
      </c>
      <c r="C2047" t="s">
        <v>53</v>
      </c>
      <c r="D2047" t="s">
        <v>29</v>
      </c>
      <c r="E2047" t="s">
        <v>26</v>
      </c>
      <c r="F2047" s="1">
        <v>44887</v>
      </c>
      <c r="G2047" s="1">
        <v>45123</v>
      </c>
      <c r="H2047">
        <v>771</v>
      </c>
      <c r="I2047">
        <v>2505</v>
      </c>
      <c r="J2047">
        <v>-1734</v>
      </c>
      <c r="K2047" t="s">
        <v>54</v>
      </c>
      <c r="L2047">
        <v>7</v>
      </c>
      <c r="M2047" t="str">
        <f t="shared" si="31"/>
        <v>6-12 Months</v>
      </c>
      <c r="N2047" s="1">
        <v>45123</v>
      </c>
      <c r="O2047">
        <v>1</v>
      </c>
      <c r="P2047">
        <v>2046</v>
      </c>
      <c r="Q2047" s="2">
        <v>-2.25</v>
      </c>
      <c r="R2047" t="s">
        <v>22</v>
      </c>
      <c r="S2047">
        <v>2023</v>
      </c>
      <c r="T2047" t="s">
        <v>44</v>
      </c>
    </row>
    <row r="2048" spans="1:20" hidden="1" x14ac:dyDescent="0.3">
      <c r="A2048">
        <v>3454</v>
      </c>
      <c r="B2048">
        <v>440</v>
      </c>
      <c r="C2048" t="s">
        <v>53</v>
      </c>
      <c r="D2048" t="s">
        <v>19</v>
      </c>
      <c r="E2048" t="s">
        <v>26</v>
      </c>
      <c r="F2048" s="1">
        <v>44829</v>
      </c>
      <c r="G2048" s="1">
        <v>45351</v>
      </c>
      <c r="H2048">
        <v>3972</v>
      </c>
      <c r="I2048">
        <v>4832</v>
      </c>
      <c r="J2048">
        <v>-860</v>
      </c>
      <c r="K2048" t="s">
        <v>54</v>
      </c>
      <c r="L2048">
        <v>17</v>
      </c>
      <c r="M2048" t="str">
        <f t="shared" si="31"/>
        <v>6-12 Months</v>
      </c>
      <c r="N2048" s="1">
        <v>45351</v>
      </c>
      <c r="O2048">
        <v>0</v>
      </c>
      <c r="P2048">
        <v>2047</v>
      </c>
      <c r="Q2048" s="2">
        <v>-0.22</v>
      </c>
      <c r="R2048" t="s">
        <v>27</v>
      </c>
      <c r="S2048">
        <v>2024</v>
      </c>
      <c r="T2048" t="s">
        <v>43</v>
      </c>
    </row>
    <row r="2049" spans="1:20" hidden="1" x14ac:dyDescent="0.3">
      <c r="A2049">
        <v>3457</v>
      </c>
      <c r="B2049">
        <v>288</v>
      </c>
      <c r="C2049" t="s">
        <v>39</v>
      </c>
      <c r="D2049" t="s">
        <v>29</v>
      </c>
      <c r="E2049" t="s">
        <v>26</v>
      </c>
      <c r="F2049" s="1">
        <v>44618</v>
      </c>
      <c r="G2049" s="1">
        <v>44793</v>
      </c>
      <c r="H2049">
        <v>7490</v>
      </c>
      <c r="I2049">
        <v>678</v>
      </c>
      <c r="J2049">
        <v>6812</v>
      </c>
      <c r="K2049" t="s">
        <v>21</v>
      </c>
      <c r="L2049">
        <v>5</v>
      </c>
      <c r="M2049" t="str">
        <f t="shared" si="31"/>
        <v>0-6 Months</v>
      </c>
      <c r="N2049" s="1">
        <v>44793</v>
      </c>
      <c r="O2049">
        <v>0</v>
      </c>
      <c r="P2049">
        <v>2048</v>
      </c>
      <c r="Q2049" s="2">
        <v>0.91</v>
      </c>
      <c r="R2049" t="s">
        <v>27</v>
      </c>
      <c r="S2049">
        <v>2022</v>
      </c>
      <c r="T2049" t="s">
        <v>36</v>
      </c>
    </row>
    <row r="2050" spans="1:20" x14ac:dyDescent="0.3">
      <c r="A2050">
        <v>3461</v>
      </c>
      <c r="B2050">
        <v>493</v>
      </c>
      <c r="C2050" t="s">
        <v>45</v>
      </c>
      <c r="D2050" t="s">
        <v>25</v>
      </c>
      <c r="E2050" t="s">
        <v>37</v>
      </c>
      <c r="F2050" s="1">
        <v>44587</v>
      </c>
      <c r="G2050" s="1">
        <v>44820</v>
      </c>
      <c r="H2050">
        <v>3091</v>
      </c>
      <c r="I2050">
        <v>4012.75</v>
      </c>
      <c r="J2050">
        <v>3873</v>
      </c>
      <c r="K2050" t="s">
        <v>35</v>
      </c>
      <c r="L2050">
        <v>7</v>
      </c>
      <c r="M2050" t="str">
        <f t="shared" ref="M2050:M2113" si="32">IF(L2050&lt;6,"0-6 Months",IF(L2050&gt;6,"6-12 Months","12+ Months"))</f>
        <v>6-12 Months</v>
      </c>
      <c r="N2050" s="1">
        <v>44820</v>
      </c>
      <c r="O2050">
        <v>0</v>
      </c>
      <c r="P2050">
        <v>2049</v>
      </c>
      <c r="Q2050" s="2">
        <v>1.25</v>
      </c>
      <c r="R2050" t="s">
        <v>22</v>
      </c>
      <c r="S2050">
        <v>2022</v>
      </c>
      <c r="T2050" t="s">
        <v>30</v>
      </c>
    </row>
    <row r="2051" spans="1:20" hidden="1" x14ac:dyDescent="0.3">
      <c r="A2051">
        <v>3463</v>
      </c>
      <c r="B2051">
        <v>207</v>
      </c>
      <c r="C2051" t="s">
        <v>24</v>
      </c>
      <c r="D2051" t="s">
        <v>19</v>
      </c>
      <c r="E2051" t="s">
        <v>20</v>
      </c>
      <c r="F2051" s="1">
        <v>44699</v>
      </c>
      <c r="G2051" s="1">
        <v>44893</v>
      </c>
      <c r="H2051">
        <v>7770</v>
      </c>
      <c r="I2051">
        <v>5656</v>
      </c>
      <c r="J2051">
        <v>2114</v>
      </c>
      <c r="K2051" t="s">
        <v>54</v>
      </c>
      <c r="L2051">
        <v>6</v>
      </c>
      <c r="M2051" t="str">
        <f t="shared" si="32"/>
        <v>12+ Months</v>
      </c>
      <c r="N2051" s="1">
        <v>44893</v>
      </c>
      <c r="O2051">
        <v>0</v>
      </c>
      <c r="P2051">
        <v>2050</v>
      </c>
      <c r="Q2051" s="2">
        <v>0.27</v>
      </c>
      <c r="R2051" t="s">
        <v>27</v>
      </c>
      <c r="S2051">
        <v>2022</v>
      </c>
      <c r="T2051" t="s">
        <v>42</v>
      </c>
    </row>
    <row r="2052" spans="1:20" hidden="1" x14ac:dyDescent="0.3">
      <c r="A2052">
        <v>3465</v>
      </c>
      <c r="B2052">
        <v>228</v>
      </c>
      <c r="C2052" t="s">
        <v>24</v>
      </c>
      <c r="D2052" t="s">
        <v>34</v>
      </c>
      <c r="E2052" t="s">
        <v>37</v>
      </c>
      <c r="F2052" s="1">
        <v>44818</v>
      </c>
      <c r="G2052" s="1">
        <v>45112</v>
      </c>
      <c r="H2052">
        <v>7089</v>
      </c>
      <c r="I2052">
        <v>2032</v>
      </c>
      <c r="J2052">
        <v>5057</v>
      </c>
      <c r="K2052" t="s">
        <v>54</v>
      </c>
      <c r="L2052">
        <v>9</v>
      </c>
      <c r="M2052" t="str">
        <f t="shared" si="32"/>
        <v>6-12 Months</v>
      </c>
      <c r="N2052" s="1">
        <v>45112</v>
      </c>
      <c r="O2052">
        <v>1</v>
      </c>
      <c r="P2052">
        <v>2051</v>
      </c>
      <c r="Q2052" s="2">
        <v>0.71</v>
      </c>
      <c r="R2052" t="s">
        <v>27</v>
      </c>
      <c r="S2052">
        <v>2023</v>
      </c>
      <c r="T2052" t="s">
        <v>44</v>
      </c>
    </row>
    <row r="2053" spans="1:20" hidden="1" x14ac:dyDescent="0.3">
      <c r="A2053">
        <v>3466</v>
      </c>
      <c r="B2053">
        <v>305</v>
      </c>
      <c r="C2053" t="s">
        <v>53</v>
      </c>
      <c r="D2053" t="s">
        <v>34</v>
      </c>
      <c r="E2053" t="s">
        <v>37</v>
      </c>
      <c r="F2053" s="1">
        <v>44603</v>
      </c>
      <c r="G2053" s="1">
        <v>45114</v>
      </c>
      <c r="H2053">
        <v>8279</v>
      </c>
      <c r="I2053">
        <v>4012.75</v>
      </c>
      <c r="J2053">
        <v>9039</v>
      </c>
      <c r="K2053" t="s">
        <v>54</v>
      </c>
      <c r="L2053">
        <v>16</v>
      </c>
      <c r="M2053" t="str">
        <f t="shared" si="32"/>
        <v>6-12 Months</v>
      </c>
      <c r="N2053" s="1">
        <v>45114</v>
      </c>
      <c r="O2053">
        <v>0</v>
      </c>
      <c r="P2053">
        <v>2052</v>
      </c>
      <c r="Q2053" s="2">
        <v>1.0900000000000001</v>
      </c>
      <c r="R2053" t="s">
        <v>22</v>
      </c>
      <c r="S2053">
        <v>2023</v>
      </c>
      <c r="T2053" t="s">
        <v>44</v>
      </c>
    </row>
    <row r="2054" spans="1:20" x14ac:dyDescent="0.3">
      <c r="A2054">
        <v>3468</v>
      </c>
      <c r="B2054">
        <v>199</v>
      </c>
      <c r="C2054" t="s">
        <v>40</v>
      </c>
      <c r="D2054" t="s">
        <v>29</v>
      </c>
      <c r="E2054" t="s">
        <v>37</v>
      </c>
      <c r="F2054" s="1">
        <v>44703</v>
      </c>
      <c r="G2054" s="1">
        <v>45246</v>
      </c>
      <c r="H2054">
        <v>4914</v>
      </c>
      <c r="I2054">
        <v>2079</v>
      </c>
      <c r="J2054">
        <v>2835</v>
      </c>
      <c r="K2054" t="s">
        <v>35</v>
      </c>
      <c r="L2054">
        <v>17</v>
      </c>
      <c r="M2054" t="str">
        <f t="shared" si="32"/>
        <v>6-12 Months</v>
      </c>
      <c r="N2054" s="1">
        <v>45246</v>
      </c>
      <c r="O2054">
        <v>1</v>
      </c>
      <c r="P2054">
        <v>2053</v>
      </c>
      <c r="Q2054" s="2">
        <v>0.57999999999999996</v>
      </c>
      <c r="R2054" t="s">
        <v>27</v>
      </c>
      <c r="S2054">
        <v>2023</v>
      </c>
      <c r="T2054" t="s">
        <v>42</v>
      </c>
    </row>
    <row r="2055" spans="1:20" x14ac:dyDescent="0.3">
      <c r="A2055">
        <v>3469</v>
      </c>
      <c r="B2055">
        <v>396</v>
      </c>
      <c r="C2055" t="s">
        <v>45</v>
      </c>
      <c r="D2055" t="s">
        <v>25</v>
      </c>
      <c r="E2055" t="s">
        <v>37</v>
      </c>
      <c r="F2055" s="1">
        <v>44742</v>
      </c>
      <c r="G2055" s="1">
        <v>45018</v>
      </c>
      <c r="H2055">
        <v>4967.93</v>
      </c>
      <c r="I2055">
        <v>7866</v>
      </c>
      <c r="J2055">
        <v>-8531</v>
      </c>
      <c r="K2055" t="s">
        <v>35</v>
      </c>
      <c r="L2055">
        <v>9</v>
      </c>
      <c r="M2055" t="str">
        <f t="shared" si="32"/>
        <v>6-12 Months</v>
      </c>
      <c r="N2055" s="1">
        <v>45018</v>
      </c>
      <c r="O2055">
        <v>0</v>
      </c>
      <c r="P2055">
        <v>2054</v>
      </c>
      <c r="Q2055" s="2">
        <v>-1.72</v>
      </c>
      <c r="R2055" t="s">
        <v>22</v>
      </c>
      <c r="S2055">
        <v>2023</v>
      </c>
      <c r="T2055" t="s">
        <v>32</v>
      </c>
    </row>
    <row r="2056" spans="1:20" hidden="1" x14ac:dyDescent="0.3">
      <c r="A2056">
        <v>3470</v>
      </c>
      <c r="B2056">
        <v>359</v>
      </c>
      <c r="C2056" t="s">
        <v>24</v>
      </c>
      <c r="D2056" t="s">
        <v>25</v>
      </c>
      <c r="E2056" t="s">
        <v>37</v>
      </c>
      <c r="F2056" s="1">
        <v>44791</v>
      </c>
      <c r="G2056" s="1">
        <v>45337</v>
      </c>
      <c r="H2056">
        <v>3500</v>
      </c>
      <c r="I2056">
        <v>7097</v>
      </c>
      <c r="J2056">
        <v>-3597</v>
      </c>
      <c r="K2056" t="s">
        <v>54</v>
      </c>
      <c r="L2056">
        <v>17</v>
      </c>
      <c r="M2056" t="str">
        <f t="shared" si="32"/>
        <v>6-12 Months</v>
      </c>
      <c r="N2056" s="1">
        <v>45337</v>
      </c>
      <c r="O2056">
        <v>1</v>
      </c>
      <c r="P2056">
        <v>2055</v>
      </c>
      <c r="Q2056" s="2">
        <v>-1.03</v>
      </c>
      <c r="R2056" t="s">
        <v>22</v>
      </c>
      <c r="S2056">
        <v>2024</v>
      </c>
      <c r="T2056" t="s">
        <v>43</v>
      </c>
    </row>
    <row r="2057" spans="1:20" hidden="1" x14ac:dyDescent="0.3">
      <c r="A2057">
        <v>3472</v>
      </c>
      <c r="B2057">
        <v>500</v>
      </c>
      <c r="C2057" t="s">
        <v>24</v>
      </c>
      <c r="D2057" t="s">
        <v>34</v>
      </c>
      <c r="E2057" t="s">
        <v>37</v>
      </c>
      <c r="F2057" s="1">
        <v>44653</v>
      </c>
      <c r="G2057" s="1">
        <v>45050</v>
      </c>
      <c r="H2057">
        <v>1705</v>
      </c>
      <c r="I2057">
        <v>619</v>
      </c>
      <c r="J2057">
        <v>1086</v>
      </c>
      <c r="K2057" t="s">
        <v>21</v>
      </c>
      <c r="L2057">
        <v>13</v>
      </c>
      <c r="M2057" t="str">
        <f t="shared" si="32"/>
        <v>6-12 Months</v>
      </c>
      <c r="N2057" s="1">
        <v>45050</v>
      </c>
      <c r="O2057">
        <v>1</v>
      </c>
      <c r="P2057">
        <v>2056</v>
      </c>
      <c r="Q2057" s="2">
        <v>0.64</v>
      </c>
      <c r="R2057" t="s">
        <v>27</v>
      </c>
      <c r="S2057">
        <v>2023</v>
      </c>
      <c r="T2057" t="s">
        <v>28</v>
      </c>
    </row>
    <row r="2058" spans="1:20" hidden="1" x14ac:dyDescent="0.3">
      <c r="A2058">
        <v>3473</v>
      </c>
      <c r="B2058">
        <v>421</v>
      </c>
      <c r="C2058" t="s">
        <v>53</v>
      </c>
      <c r="D2058" t="s">
        <v>25</v>
      </c>
      <c r="E2058" t="s">
        <v>26</v>
      </c>
      <c r="F2058" s="1">
        <v>44778</v>
      </c>
      <c r="G2058" s="1">
        <v>45312</v>
      </c>
      <c r="H2058">
        <v>8941</v>
      </c>
      <c r="I2058">
        <v>6441</v>
      </c>
      <c r="J2058">
        <v>2500</v>
      </c>
      <c r="K2058" t="s">
        <v>21</v>
      </c>
      <c r="L2058">
        <v>17</v>
      </c>
      <c r="M2058" t="str">
        <f t="shared" si="32"/>
        <v>6-12 Months</v>
      </c>
      <c r="N2058" s="1">
        <v>45312</v>
      </c>
      <c r="O2058">
        <v>1</v>
      </c>
      <c r="P2058">
        <v>2057</v>
      </c>
      <c r="Q2058" s="2">
        <v>0.28000000000000003</v>
      </c>
      <c r="R2058" t="s">
        <v>27</v>
      </c>
      <c r="S2058">
        <v>2024</v>
      </c>
      <c r="T2058" t="s">
        <v>23</v>
      </c>
    </row>
    <row r="2059" spans="1:20" hidden="1" x14ac:dyDescent="0.3">
      <c r="A2059">
        <v>3476</v>
      </c>
      <c r="B2059">
        <v>297</v>
      </c>
      <c r="C2059" t="s">
        <v>39</v>
      </c>
      <c r="D2059" t="s">
        <v>25</v>
      </c>
      <c r="E2059" t="s">
        <v>26</v>
      </c>
      <c r="F2059" s="1">
        <v>44791</v>
      </c>
      <c r="G2059" s="1">
        <v>45237</v>
      </c>
      <c r="H2059">
        <v>6356</v>
      </c>
      <c r="I2059">
        <v>7804</v>
      </c>
      <c r="J2059">
        <v>-1448</v>
      </c>
      <c r="K2059" t="s">
        <v>54</v>
      </c>
      <c r="L2059">
        <v>14</v>
      </c>
      <c r="M2059" t="str">
        <f t="shared" si="32"/>
        <v>6-12 Months</v>
      </c>
      <c r="N2059" s="1">
        <v>45237</v>
      </c>
      <c r="O2059">
        <v>1</v>
      </c>
      <c r="P2059">
        <v>2058</v>
      </c>
      <c r="Q2059" s="2">
        <v>-0.23</v>
      </c>
      <c r="R2059" t="s">
        <v>27</v>
      </c>
      <c r="S2059">
        <v>2023</v>
      </c>
      <c r="T2059" t="s">
        <v>42</v>
      </c>
    </row>
    <row r="2060" spans="1:20" hidden="1" x14ac:dyDescent="0.3">
      <c r="A2060">
        <v>3478</v>
      </c>
      <c r="B2060">
        <v>354</v>
      </c>
      <c r="C2060" t="s">
        <v>40</v>
      </c>
      <c r="D2060" t="s">
        <v>34</v>
      </c>
      <c r="E2060" t="s">
        <v>26</v>
      </c>
      <c r="F2060" s="1">
        <v>44691</v>
      </c>
      <c r="G2060" s="1">
        <v>44922</v>
      </c>
      <c r="H2060">
        <v>120</v>
      </c>
      <c r="I2060">
        <v>3433</v>
      </c>
      <c r="J2060">
        <v>-3313</v>
      </c>
      <c r="K2060" t="s">
        <v>21</v>
      </c>
      <c r="L2060">
        <v>7</v>
      </c>
      <c r="M2060" t="str">
        <f t="shared" si="32"/>
        <v>6-12 Months</v>
      </c>
      <c r="N2060" s="1">
        <v>44922</v>
      </c>
      <c r="O2060">
        <v>0</v>
      </c>
      <c r="P2060">
        <v>2059</v>
      </c>
      <c r="Q2060" s="2">
        <v>-27.61</v>
      </c>
      <c r="R2060" t="s">
        <v>22</v>
      </c>
      <c r="S2060">
        <v>2022</v>
      </c>
      <c r="T2060" t="s">
        <v>31</v>
      </c>
    </row>
    <row r="2061" spans="1:20" x14ac:dyDescent="0.3">
      <c r="A2061">
        <v>3480</v>
      </c>
      <c r="B2061">
        <v>466</v>
      </c>
      <c r="C2061" t="s">
        <v>45</v>
      </c>
      <c r="D2061" t="s">
        <v>34</v>
      </c>
      <c r="E2061" t="s">
        <v>26</v>
      </c>
      <c r="F2061" s="1">
        <v>44638</v>
      </c>
      <c r="G2061" s="1">
        <v>44954</v>
      </c>
      <c r="H2061">
        <v>680</v>
      </c>
      <c r="I2061">
        <v>1951</v>
      </c>
      <c r="J2061">
        <v>-1271</v>
      </c>
      <c r="K2061" t="s">
        <v>35</v>
      </c>
      <c r="L2061">
        <v>10</v>
      </c>
      <c r="M2061" t="str">
        <f t="shared" si="32"/>
        <v>6-12 Months</v>
      </c>
      <c r="N2061" s="1">
        <v>44954</v>
      </c>
      <c r="O2061">
        <v>1</v>
      </c>
      <c r="P2061">
        <v>2060</v>
      </c>
      <c r="Q2061" s="2">
        <v>-1.87</v>
      </c>
      <c r="R2061" t="s">
        <v>22</v>
      </c>
      <c r="S2061">
        <v>2023</v>
      </c>
      <c r="T2061" t="s">
        <v>23</v>
      </c>
    </row>
    <row r="2062" spans="1:20" hidden="1" x14ac:dyDescent="0.3">
      <c r="A2062">
        <v>3481</v>
      </c>
      <c r="B2062">
        <v>186</v>
      </c>
      <c r="C2062" t="s">
        <v>39</v>
      </c>
      <c r="D2062" t="s">
        <v>19</v>
      </c>
      <c r="E2062" t="s">
        <v>26</v>
      </c>
      <c r="F2062" s="1">
        <v>44619</v>
      </c>
      <c r="G2062" s="1">
        <v>45015</v>
      </c>
      <c r="H2062">
        <v>4967.93</v>
      </c>
      <c r="I2062">
        <v>7193</v>
      </c>
      <c r="J2062">
        <v>-9167</v>
      </c>
      <c r="K2062" t="s">
        <v>54</v>
      </c>
      <c r="L2062">
        <v>13</v>
      </c>
      <c r="M2062" t="str">
        <f t="shared" si="32"/>
        <v>6-12 Months</v>
      </c>
      <c r="N2062" s="1">
        <v>45015</v>
      </c>
      <c r="O2062">
        <v>0</v>
      </c>
      <c r="P2062">
        <v>2061</v>
      </c>
      <c r="Q2062" s="2">
        <v>-1.85</v>
      </c>
      <c r="R2062" t="s">
        <v>22</v>
      </c>
      <c r="S2062">
        <v>2023</v>
      </c>
      <c r="T2062" t="s">
        <v>38</v>
      </c>
    </row>
    <row r="2063" spans="1:20" hidden="1" x14ac:dyDescent="0.3">
      <c r="A2063">
        <v>3482</v>
      </c>
      <c r="B2063">
        <v>352</v>
      </c>
      <c r="C2063" t="s">
        <v>53</v>
      </c>
      <c r="D2063" t="s">
        <v>19</v>
      </c>
      <c r="E2063" t="s">
        <v>20</v>
      </c>
      <c r="F2063" s="1">
        <v>44835</v>
      </c>
      <c r="G2063" s="1">
        <v>45252</v>
      </c>
      <c r="H2063">
        <v>4967.93</v>
      </c>
      <c r="I2063">
        <v>4012.75</v>
      </c>
      <c r="J2063">
        <v>-442</v>
      </c>
      <c r="K2063" t="s">
        <v>21</v>
      </c>
      <c r="L2063">
        <v>13</v>
      </c>
      <c r="M2063" t="str">
        <f t="shared" si="32"/>
        <v>6-12 Months</v>
      </c>
      <c r="N2063" s="1">
        <v>45252</v>
      </c>
      <c r="O2063">
        <v>1</v>
      </c>
      <c r="P2063">
        <v>2062</v>
      </c>
      <c r="Q2063" s="2">
        <v>-0.09</v>
      </c>
      <c r="R2063" t="s">
        <v>27</v>
      </c>
      <c r="S2063">
        <v>2023</v>
      </c>
      <c r="T2063" t="s">
        <v>42</v>
      </c>
    </row>
    <row r="2064" spans="1:20" hidden="1" x14ac:dyDescent="0.3">
      <c r="A2064">
        <v>3484</v>
      </c>
      <c r="B2064">
        <v>185</v>
      </c>
      <c r="C2064" t="s">
        <v>45</v>
      </c>
      <c r="D2064" t="s">
        <v>29</v>
      </c>
      <c r="E2064" t="s">
        <v>26</v>
      </c>
      <c r="F2064" s="1">
        <v>44736</v>
      </c>
      <c r="G2064" s="1">
        <v>44990</v>
      </c>
      <c r="H2064">
        <v>4967.93</v>
      </c>
      <c r="I2064">
        <v>4012.75</v>
      </c>
      <c r="J2064">
        <v>-1264</v>
      </c>
      <c r="K2064" t="s">
        <v>21</v>
      </c>
      <c r="L2064">
        <v>8</v>
      </c>
      <c r="M2064" t="str">
        <f t="shared" si="32"/>
        <v>6-12 Months</v>
      </c>
      <c r="N2064" s="1">
        <v>44990</v>
      </c>
      <c r="O2064">
        <v>0</v>
      </c>
      <c r="P2064">
        <v>2063</v>
      </c>
      <c r="Q2064" s="2">
        <v>-0.25</v>
      </c>
      <c r="R2064" t="s">
        <v>27</v>
      </c>
      <c r="S2064">
        <v>2023</v>
      </c>
      <c r="T2064" t="s">
        <v>38</v>
      </c>
    </row>
    <row r="2065" spans="1:20" hidden="1" x14ac:dyDescent="0.3">
      <c r="A2065">
        <v>3485</v>
      </c>
      <c r="B2065">
        <v>442</v>
      </c>
      <c r="C2065" t="s">
        <v>39</v>
      </c>
      <c r="D2065" t="s">
        <v>34</v>
      </c>
      <c r="E2065" t="s">
        <v>20</v>
      </c>
      <c r="F2065" s="1">
        <v>44781</v>
      </c>
      <c r="G2065" s="1">
        <v>44878</v>
      </c>
      <c r="H2065">
        <v>4967.93</v>
      </c>
      <c r="I2065">
        <v>709</v>
      </c>
      <c r="J2065">
        <v>-1082</v>
      </c>
      <c r="K2065" t="s">
        <v>21</v>
      </c>
      <c r="L2065">
        <v>3</v>
      </c>
      <c r="M2065" t="str">
        <f t="shared" si="32"/>
        <v>0-6 Months</v>
      </c>
      <c r="N2065" s="1">
        <v>44878</v>
      </c>
      <c r="O2065">
        <v>0</v>
      </c>
      <c r="P2065">
        <v>2064</v>
      </c>
      <c r="Q2065" s="2">
        <v>-0.22</v>
      </c>
      <c r="R2065" t="s">
        <v>27</v>
      </c>
      <c r="S2065">
        <v>2022</v>
      </c>
      <c r="T2065" t="s">
        <v>42</v>
      </c>
    </row>
    <row r="2066" spans="1:20" hidden="1" x14ac:dyDescent="0.3">
      <c r="A2066">
        <v>3486</v>
      </c>
      <c r="B2066">
        <v>463</v>
      </c>
      <c r="C2066" t="s">
        <v>24</v>
      </c>
      <c r="D2066" t="s">
        <v>29</v>
      </c>
      <c r="E2066" t="s">
        <v>20</v>
      </c>
      <c r="F2066" s="1">
        <v>44632</v>
      </c>
      <c r="G2066" s="1">
        <v>45144</v>
      </c>
      <c r="H2066">
        <v>8140</v>
      </c>
      <c r="I2066">
        <v>4012.75</v>
      </c>
      <c r="J2066">
        <v>577.01</v>
      </c>
      <c r="K2066" t="s">
        <v>54</v>
      </c>
      <c r="L2066">
        <v>16</v>
      </c>
      <c r="M2066" t="str">
        <f t="shared" si="32"/>
        <v>6-12 Months</v>
      </c>
      <c r="N2066" s="1">
        <v>45144</v>
      </c>
      <c r="O2066">
        <v>0</v>
      </c>
      <c r="P2066">
        <v>2065</v>
      </c>
      <c r="Q2066" s="2">
        <v>7.0000000000000007E-2</v>
      </c>
      <c r="R2066" t="s">
        <v>27</v>
      </c>
      <c r="S2066">
        <v>2023</v>
      </c>
      <c r="T2066" t="s">
        <v>36</v>
      </c>
    </row>
    <row r="2067" spans="1:20" hidden="1" x14ac:dyDescent="0.3">
      <c r="A2067">
        <v>3487</v>
      </c>
      <c r="B2067">
        <v>290</v>
      </c>
      <c r="C2067" t="s">
        <v>24</v>
      </c>
      <c r="D2067" t="s">
        <v>19</v>
      </c>
      <c r="E2067" t="s">
        <v>37</v>
      </c>
      <c r="F2067" s="1">
        <v>44649</v>
      </c>
      <c r="G2067" s="1">
        <v>44801</v>
      </c>
      <c r="H2067">
        <v>1222</v>
      </c>
      <c r="I2067">
        <v>7064</v>
      </c>
      <c r="J2067">
        <v>-5842</v>
      </c>
      <c r="K2067" t="s">
        <v>54</v>
      </c>
      <c r="L2067">
        <v>4</v>
      </c>
      <c r="M2067" t="str">
        <f t="shared" si="32"/>
        <v>0-6 Months</v>
      </c>
      <c r="N2067" s="1">
        <v>44801</v>
      </c>
      <c r="O2067">
        <v>1</v>
      </c>
      <c r="P2067">
        <v>2066</v>
      </c>
      <c r="Q2067" s="2">
        <v>-4.78</v>
      </c>
      <c r="R2067" t="s">
        <v>22</v>
      </c>
      <c r="S2067">
        <v>2022</v>
      </c>
      <c r="T2067" t="s">
        <v>36</v>
      </c>
    </row>
    <row r="2068" spans="1:20" x14ac:dyDescent="0.3">
      <c r="A2068">
        <v>3488</v>
      </c>
      <c r="B2068">
        <v>411</v>
      </c>
      <c r="C2068" t="s">
        <v>53</v>
      </c>
      <c r="D2068" t="s">
        <v>19</v>
      </c>
      <c r="E2068" t="s">
        <v>37</v>
      </c>
      <c r="F2068" s="1">
        <v>44642</v>
      </c>
      <c r="G2068" s="1">
        <v>44681</v>
      </c>
      <c r="H2068">
        <v>9889</v>
      </c>
      <c r="I2068">
        <v>5522</v>
      </c>
      <c r="J2068">
        <v>4367</v>
      </c>
      <c r="K2068" t="s">
        <v>35</v>
      </c>
      <c r="L2068">
        <v>1</v>
      </c>
      <c r="M2068" t="str">
        <f t="shared" si="32"/>
        <v>0-6 Months</v>
      </c>
      <c r="N2068" s="1">
        <v>44681</v>
      </c>
      <c r="O2068">
        <v>0</v>
      </c>
      <c r="P2068">
        <v>2067</v>
      </c>
      <c r="Q2068" s="2">
        <v>0.44</v>
      </c>
      <c r="R2068" t="s">
        <v>27</v>
      </c>
      <c r="S2068">
        <v>2022</v>
      </c>
      <c r="T2068" t="s">
        <v>32</v>
      </c>
    </row>
    <row r="2069" spans="1:20" hidden="1" x14ac:dyDescent="0.3">
      <c r="A2069">
        <v>3489</v>
      </c>
      <c r="B2069">
        <v>173</v>
      </c>
      <c r="C2069" t="s">
        <v>24</v>
      </c>
      <c r="D2069" t="s">
        <v>34</v>
      </c>
      <c r="E2069" t="s">
        <v>20</v>
      </c>
      <c r="F2069" s="1">
        <v>44715</v>
      </c>
      <c r="G2069" s="1">
        <v>44905</v>
      </c>
      <c r="H2069">
        <v>4967.93</v>
      </c>
      <c r="I2069">
        <v>6596</v>
      </c>
      <c r="J2069">
        <v>-7039</v>
      </c>
      <c r="K2069" t="s">
        <v>54</v>
      </c>
      <c r="L2069">
        <v>6</v>
      </c>
      <c r="M2069" t="str">
        <f t="shared" si="32"/>
        <v>12+ Months</v>
      </c>
      <c r="N2069" s="1">
        <v>44905</v>
      </c>
      <c r="O2069">
        <v>0</v>
      </c>
      <c r="P2069">
        <v>2068</v>
      </c>
      <c r="Q2069" s="2">
        <v>-1.42</v>
      </c>
      <c r="R2069" t="s">
        <v>22</v>
      </c>
      <c r="S2069">
        <v>2022</v>
      </c>
      <c r="T2069" t="s">
        <v>31</v>
      </c>
    </row>
    <row r="2070" spans="1:20" x14ac:dyDescent="0.3">
      <c r="A2070">
        <v>3490</v>
      </c>
      <c r="B2070">
        <v>227</v>
      </c>
      <c r="C2070" t="s">
        <v>39</v>
      </c>
      <c r="D2070" t="s">
        <v>25</v>
      </c>
      <c r="E2070" t="s">
        <v>20</v>
      </c>
      <c r="F2070" s="1">
        <v>44787</v>
      </c>
      <c r="G2070" s="1">
        <v>44943</v>
      </c>
      <c r="H2070">
        <v>8233</v>
      </c>
      <c r="I2070">
        <v>114</v>
      </c>
      <c r="J2070">
        <v>8119</v>
      </c>
      <c r="K2070" t="s">
        <v>35</v>
      </c>
      <c r="L2070">
        <v>5</v>
      </c>
      <c r="M2070" t="str">
        <f t="shared" si="32"/>
        <v>0-6 Months</v>
      </c>
      <c r="N2070" s="1">
        <v>44943</v>
      </c>
      <c r="O2070">
        <v>0</v>
      </c>
      <c r="P2070">
        <v>2069</v>
      </c>
      <c r="Q2070" s="2">
        <v>0.99</v>
      </c>
      <c r="R2070" t="s">
        <v>27</v>
      </c>
      <c r="S2070">
        <v>2023</v>
      </c>
      <c r="T2070" t="s">
        <v>23</v>
      </c>
    </row>
    <row r="2071" spans="1:20" hidden="1" x14ac:dyDescent="0.3">
      <c r="A2071">
        <v>3494</v>
      </c>
      <c r="B2071">
        <v>145</v>
      </c>
      <c r="C2071" t="s">
        <v>39</v>
      </c>
      <c r="D2071" t="s">
        <v>19</v>
      </c>
      <c r="E2071" t="s">
        <v>20</v>
      </c>
      <c r="F2071" s="1">
        <v>44818</v>
      </c>
      <c r="G2071" s="1">
        <v>44979</v>
      </c>
      <c r="H2071">
        <v>3149</v>
      </c>
      <c r="I2071">
        <v>5484</v>
      </c>
      <c r="J2071">
        <v>-2335</v>
      </c>
      <c r="K2071" t="s">
        <v>21</v>
      </c>
      <c r="L2071">
        <v>5</v>
      </c>
      <c r="M2071" t="str">
        <f t="shared" si="32"/>
        <v>0-6 Months</v>
      </c>
      <c r="N2071" s="1">
        <v>44979</v>
      </c>
      <c r="O2071">
        <v>1</v>
      </c>
      <c r="P2071">
        <v>2070</v>
      </c>
      <c r="Q2071" s="2">
        <v>-0.74</v>
      </c>
      <c r="R2071" t="s">
        <v>27</v>
      </c>
      <c r="S2071">
        <v>2023</v>
      </c>
      <c r="T2071" t="s">
        <v>43</v>
      </c>
    </row>
    <row r="2072" spans="1:20" x14ac:dyDescent="0.3">
      <c r="A2072">
        <v>3495</v>
      </c>
      <c r="B2072">
        <v>200</v>
      </c>
      <c r="C2072" t="s">
        <v>45</v>
      </c>
      <c r="D2072" t="s">
        <v>29</v>
      </c>
      <c r="E2072" t="s">
        <v>20</v>
      </c>
      <c r="F2072" s="1">
        <v>44764</v>
      </c>
      <c r="G2072" s="1">
        <v>45009</v>
      </c>
      <c r="H2072">
        <v>4417</v>
      </c>
      <c r="I2072">
        <v>4945</v>
      </c>
      <c r="J2072">
        <v>-528</v>
      </c>
      <c r="K2072" t="s">
        <v>35</v>
      </c>
      <c r="L2072">
        <v>8</v>
      </c>
      <c r="M2072" t="str">
        <f t="shared" si="32"/>
        <v>6-12 Months</v>
      </c>
      <c r="N2072" s="1">
        <v>45009</v>
      </c>
      <c r="O2072">
        <v>0</v>
      </c>
      <c r="P2072">
        <v>2071</v>
      </c>
      <c r="Q2072" s="2">
        <v>-0.12</v>
      </c>
      <c r="R2072" t="s">
        <v>27</v>
      </c>
      <c r="S2072">
        <v>2023</v>
      </c>
      <c r="T2072" t="s">
        <v>38</v>
      </c>
    </row>
    <row r="2073" spans="1:20" hidden="1" x14ac:dyDescent="0.3">
      <c r="A2073">
        <v>3496</v>
      </c>
      <c r="B2073">
        <v>217</v>
      </c>
      <c r="C2073" t="s">
        <v>24</v>
      </c>
      <c r="D2073" t="s">
        <v>19</v>
      </c>
      <c r="E2073" t="s">
        <v>37</v>
      </c>
      <c r="F2073" s="1">
        <v>44776</v>
      </c>
      <c r="G2073" s="1">
        <v>45064</v>
      </c>
      <c r="H2073">
        <v>4967.93</v>
      </c>
      <c r="I2073">
        <v>6630</v>
      </c>
      <c r="J2073">
        <v>-6924</v>
      </c>
      <c r="K2073" t="s">
        <v>21</v>
      </c>
      <c r="L2073">
        <v>9</v>
      </c>
      <c r="M2073" t="str">
        <f t="shared" si="32"/>
        <v>6-12 Months</v>
      </c>
      <c r="N2073" s="1">
        <v>45064</v>
      </c>
      <c r="O2073">
        <v>1</v>
      </c>
      <c r="P2073">
        <v>2072</v>
      </c>
      <c r="Q2073" s="2">
        <v>-1.39</v>
      </c>
      <c r="R2073" t="s">
        <v>22</v>
      </c>
      <c r="S2073">
        <v>2023</v>
      </c>
      <c r="T2073" t="s">
        <v>28</v>
      </c>
    </row>
    <row r="2074" spans="1:20" hidden="1" x14ac:dyDescent="0.3">
      <c r="A2074">
        <v>3497</v>
      </c>
      <c r="B2074">
        <v>253</v>
      </c>
      <c r="C2074" t="s">
        <v>40</v>
      </c>
      <c r="D2074" t="s">
        <v>29</v>
      </c>
      <c r="E2074" t="s">
        <v>20</v>
      </c>
      <c r="F2074" s="1">
        <v>44893</v>
      </c>
      <c r="G2074" s="1">
        <v>45450</v>
      </c>
      <c r="H2074">
        <v>1321</v>
      </c>
      <c r="I2074">
        <v>3899</v>
      </c>
      <c r="J2074">
        <v>-2578</v>
      </c>
      <c r="K2074" t="s">
        <v>54</v>
      </c>
      <c r="L2074">
        <v>18</v>
      </c>
      <c r="M2074" t="str">
        <f t="shared" si="32"/>
        <v>6-12 Months</v>
      </c>
      <c r="N2074" s="1">
        <v>45450</v>
      </c>
      <c r="O2074">
        <v>1</v>
      </c>
      <c r="P2074">
        <v>2073</v>
      </c>
      <c r="Q2074" s="2">
        <v>-1.95</v>
      </c>
      <c r="R2074" t="s">
        <v>22</v>
      </c>
      <c r="S2074">
        <v>2024</v>
      </c>
      <c r="T2074" t="s">
        <v>41</v>
      </c>
    </row>
    <row r="2075" spans="1:20" hidden="1" x14ac:dyDescent="0.3">
      <c r="A2075">
        <v>3499</v>
      </c>
      <c r="B2075">
        <v>242</v>
      </c>
      <c r="C2075" t="s">
        <v>53</v>
      </c>
      <c r="D2075" t="s">
        <v>25</v>
      </c>
      <c r="E2075" t="s">
        <v>37</v>
      </c>
      <c r="F2075" s="1">
        <v>44775</v>
      </c>
      <c r="G2075" s="1">
        <v>45267</v>
      </c>
      <c r="H2075">
        <v>2999</v>
      </c>
      <c r="I2075">
        <v>1598</v>
      </c>
      <c r="J2075">
        <v>1401</v>
      </c>
      <c r="K2075" t="s">
        <v>54</v>
      </c>
      <c r="L2075">
        <v>16</v>
      </c>
      <c r="M2075" t="str">
        <f t="shared" si="32"/>
        <v>6-12 Months</v>
      </c>
      <c r="N2075" s="1">
        <v>45267</v>
      </c>
      <c r="O2075">
        <v>1</v>
      </c>
      <c r="P2075">
        <v>2074</v>
      </c>
      <c r="Q2075" s="2">
        <v>0.47</v>
      </c>
      <c r="R2075" t="s">
        <v>27</v>
      </c>
      <c r="S2075">
        <v>2023</v>
      </c>
      <c r="T2075" t="s">
        <v>31</v>
      </c>
    </row>
    <row r="2076" spans="1:20" hidden="1" x14ac:dyDescent="0.3">
      <c r="A2076">
        <v>3500</v>
      </c>
      <c r="B2076">
        <v>297</v>
      </c>
      <c r="C2076" t="s">
        <v>45</v>
      </c>
      <c r="D2076" t="s">
        <v>34</v>
      </c>
      <c r="E2076" t="s">
        <v>26</v>
      </c>
      <c r="F2076" s="1">
        <v>44781</v>
      </c>
      <c r="G2076" s="1">
        <v>45163</v>
      </c>
      <c r="H2076">
        <v>6193</v>
      </c>
      <c r="I2076">
        <v>4263</v>
      </c>
      <c r="J2076">
        <v>1930</v>
      </c>
      <c r="K2076" t="s">
        <v>54</v>
      </c>
      <c r="L2076">
        <v>12</v>
      </c>
      <c r="M2076" t="str">
        <f t="shared" si="32"/>
        <v>6-12 Months</v>
      </c>
      <c r="N2076" s="1">
        <v>45163</v>
      </c>
      <c r="O2076">
        <v>1</v>
      </c>
      <c r="P2076">
        <v>2075</v>
      </c>
      <c r="Q2076" s="2">
        <v>0.31</v>
      </c>
      <c r="R2076" t="s">
        <v>27</v>
      </c>
      <c r="S2076">
        <v>2023</v>
      </c>
      <c r="T2076" t="s">
        <v>36</v>
      </c>
    </row>
    <row r="2077" spans="1:20" hidden="1" x14ac:dyDescent="0.3">
      <c r="A2077">
        <v>3502</v>
      </c>
      <c r="B2077">
        <v>186</v>
      </c>
      <c r="C2077" t="s">
        <v>40</v>
      </c>
      <c r="D2077" t="s">
        <v>34</v>
      </c>
      <c r="E2077" t="s">
        <v>20</v>
      </c>
      <c r="F2077" s="1">
        <v>44813</v>
      </c>
      <c r="G2077" s="1">
        <v>45118</v>
      </c>
      <c r="H2077">
        <v>1782</v>
      </c>
      <c r="I2077">
        <v>2377</v>
      </c>
      <c r="J2077">
        <v>-595</v>
      </c>
      <c r="K2077" t="s">
        <v>21</v>
      </c>
      <c r="L2077">
        <v>10</v>
      </c>
      <c r="M2077" t="str">
        <f t="shared" si="32"/>
        <v>6-12 Months</v>
      </c>
      <c r="N2077" s="1">
        <v>45118</v>
      </c>
      <c r="O2077">
        <v>1</v>
      </c>
      <c r="P2077">
        <v>2076</v>
      </c>
      <c r="Q2077" s="2">
        <v>-0.33</v>
      </c>
      <c r="R2077" t="s">
        <v>27</v>
      </c>
      <c r="S2077">
        <v>2023</v>
      </c>
      <c r="T2077" t="s">
        <v>44</v>
      </c>
    </row>
    <row r="2078" spans="1:20" hidden="1" x14ac:dyDescent="0.3">
      <c r="A2078">
        <v>3503</v>
      </c>
      <c r="B2078">
        <v>438</v>
      </c>
      <c r="C2078" t="s">
        <v>45</v>
      </c>
      <c r="D2078" t="s">
        <v>19</v>
      </c>
      <c r="E2078" t="s">
        <v>20</v>
      </c>
      <c r="F2078" s="1">
        <v>44679</v>
      </c>
      <c r="G2078" s="1">
        <v>44720</v>
      </c>
      <c r="H2078">
        <v>4848</v>
      </c>
      <c r="I2078">
        <v>7266</v>
      </c>
      <c r="J2078">
        <v>577.01</v>
      </c>
      <c r="K2078" t="s">
        <v>54</v>
      </c>
      <c r="L2078">
        <v>1</v>
      </c>
      <c r="M2078" t="str">
        <f t="shared" si="32"/>
        <v>0-6 Months</v>
      </c>
      <c r="N2078" s="1">
        <v>44720</v>
      </c>
      <c r="O2078">
        <v>0</v>
      </c>
      <c r="P2078">
        <v>2077</v>
      </c>
      <c r="Q2078" s="2">
        <v>0.12</v>
      </c>
      <c r="R2078" t="s">
        <v>27</v>
      </c>
      <c r="S2078">
        <v>2022</v>
      </c>
      <c r="T2078" t="s">
        <v>41</v>
      </c>
    </row>
    <row r="2079" spans="1:20" x14ac:dyDescent="0.3">
      <c r="A2079">
        <v>3504</v>
      </c>
      <c r="B2079">
        <v>324</v>
      </c>
      <c r="C2079" t="s">
        <v>24</v>
      </c>
      <c r="D2079" t="s">
        <v>25</v>
      </c>
      <c r="E2079" t="s">
        <v>20</v>
      </c>
      <c r="F2079" s="1">
        <v>44897</v>
      </c>
      <c r="G2079" s="1">
        <v>45200</v>
      </c>
      <c r="H2079">
        <v>9472</v>
      </c>
      <c r="I2079">
        <v>6686</v>
      </c>
      <c r="J2079">
        <v>577.01</v>
      </c>
      <c r="K2079" t="s">
        <v>35</v>
      </c>
      <c r="L2079">
        <v>9</v>
      </c>
      <c r="M2079" t="str">
        <f t="shared" si="32"/>
        <v>6-12 Months</v>
      </c>
      <c r="N2079" s="1">
        <v>45200</v>
      </c>
      <c r="O2079">
        <v>0</v>
      </c>
      <c r="P2079">
        <v>2078</v>
      </c>
      <c r="Q2079" s="2">
        <v>0.06</v>
      </c>
      <c r="R2079" t="s">
        <v>27</v>
      </c>
      <c r="S2079">
        <v>2023</v>
      </c>
      <c r="T2079" t="s">
        <v>33</v>
      </c>
    </row>
    <row r="2080" spans="1:20" x14ac:dyDescent="0.3">
      <c r="A2080">
        <v>3506</v>
      </c>
      <c r="B2080">
        <v>280</v>
      </c>
      <c r="C2080" t="s">
        <v>53</v>
      </c>
      <c r="D2080" t="s">
        <v>29</v>
      </c>
      <c r="E2080" t="s">
        <v>20</v>
      </c>
      <c r="F2080" s="1">
        <v>44739</v>
      </c>
      <c r="G2080" s="1">
        <v>45255</v>
      </c>
      <c r="H2080">
        <v>9153</v>
      </c>
      <c r="I2080">
        <v>3339</v>
      </c>
      <c r="J2080">
        <v>5814</v>
      </c>
      <c r="K2080" t="s">
        <v>35</v>
      </c>
      <c r="L2080">
        <v>16</v>
      </c>
      <c r="M2080" t="str">
        <f t="shared" si="32"/>
        <v>6-12 Months</v>
      </c>
      <c r="N2080" s="1">
        <v>45255</v>
      </c>
      <c r="O2080">
        <v>1</v>
      </c>
      <c r="P2080">
        <v>2079</v>
      </c>
      <c r="Q2080" s="2">
        <v>0.64</v>
      </c>
      <c r="R2080" t="s">
        <v>27</v>
      </c>
      <c r="S2080">
        <v>2023</v>
      </c>
      <c r="T2080" t="s">
        <v>42</v>
      </c>
    </row>
    <row r="2081" spans="1:20" x14ac:dyDescent="0.3">
      <c r="A2081">
        <v>3507</v>
      </c>
      <c r="B2081">
        <v>331</v>
      </c>
      <c r="C2081" t="s">
        <v>39</v>
      </c>
      <c r="D2081" t="s">
        <v>19</v>
      </c>
      <c r="E2081" t="s">
        <v>26</v>
      </c>
      <c r="F2081" s="1">
        <v>44836</v>
      </c>
      <c r="G2081" s="1">
        <v>45239</v>
      </c>
      <c r="H2081">
        <v>9957</v>
      </c>
      <c r="I2081">
        <v>4012.75</v>
      </c>
      <c r="J2081">
        <v>10383</v>
      </c>
      <c r="K2081" t="s">
        <v>35</v>
      </c>
      <c r="L2081">
        <v>13</v>
      </c>
      <c r="M2081" t="str">
        <f t="shared" si="32"/>
        <v>6-12 Months</v>
      </c>
      <c r="N2081" s="1">
        <v>45239</v>
      </c>
      <c r="O2081">
        <v>0</v>
      </c>
      <c r="P2081">
        <v>2080</v>
      </c>
      <c r="Q2081" s="2">
        <v>1.04</v>
      </c>
      <c r="R2081" t="s">
        <v>22</v>
      </c>
      <c r="S2081">
        <v>2023</v>
      </c>
      <c r="T2081" t="s">
        <v>42</v>
      </c>
    </row>
    <row r="2082" spans="1:20" hidden="1" x14ac:dyDescent="0.3">
      <c r="A2082">
        <v>3508</v>
      </c>
      <c r="B2082">
        <v>264</v>
      </c>
      <c r="C2082" t="s">
        <v>53</v>
      </c>
      <c r="D2082" t="s">
        <v>19</v>
      </c>
      <c r="E2082" t="s">
        <v>37</v>
      </c>
      <c r="F2082" s="1">
        <v>44845</v>
      </c>
      <c r="G2082" s="1">
        <v>45018</v>
      </c>
      <c r="H2082">
        <v>9123</v>
      </c>
      <c r="I2082">
        <v>4383</v>
      </c>
      <c r="J2082">
        <v>4740</v>
      </c>
      <c r="K2082" t="s">
        <v>21</v>
      </c>
      <c r="L2082">
        <v>5</v>
      </c>
      <c r="M2082" t="str">
        <f t="shared" si="32"/>
        <v>0-6 Months</v>
      </c>
      <c r="N2082" s="1">
        <v>45018</v>
      </c>
      <c r="O2082">
        <v>1</v>
      </c>
      <c r="P2082">
        <v>2081</v>
      </c>
      <c r="Q2082" s="2">
        <v>0.52</v>
      </c>
      <c r="R2082" t="s">
        <v>27</v>
      </c>
      <c r="S2082">
        <v>2023</v>
      </c>
      <c r="T2082" t="s">
        <v>32</v>
      </c>
    </row>
    <row r="2083" spans="1:20" x14ac:dyDescent="0.3">
      <c r="A2083">
        <v>3509</v>
      </c>
      <c r="B2083">
        <v>377</v>
      </c>
      <c r="C2083" t="s">
        <v>24</v>
      </c>
      <c r="D2083" t="s">
        <v>29</v>
      </c>
      <c r="E2083" t="s">
        <v>20</v>
      </c>
      <c r="F2083" s="1">
        <v>44571</v>
      </c>
      <c r="G2083" s="1">
        <v>44692</v>
      </c>
      <c r="H2083">
        <v>726</v>
      </c>
      <c r="I2083">
        <v>4260</v>
      </c>
      <c r="J2083">
        <v>-3534</v>
      </c>
      <c r="K2083" t="s">
        <v>35</v>
      </c>
      <c r="L2083">
        <v>4</v>
      </c>
      <c r="M2083" t="str">
        <f t="shared" si="32"/>
        <v>0-6 Months</v>
      </c>
      <c r="N2083" s="1">
        <v>44692</v>
      </c>
      <c r="O2083">
        <v>1</v>
      </c>
      <c r="P2083">
        <v>2082</v>
      </c>
      <c r="Q2083" s="2">
        <v>-4.87</v>
      </c>
      <c r="R2083" t="s">
        <v>22</v>
      </c>
      <c r="S2083">
        <v>2022</v>
      </c>
      <c r="T2083" t="s">
        <v>28</v>
      </c>
    </row>
    <row r="2084" spans="1:20" hidden="1" x14ac:dyDescent="0.3">
      <c r="A2084">
        <v>3510</v>
      </c>
      <c r="B2084">
        <v>140</v>
      </c>
      <c r="C2084" t="s">
        <v>40</v>
      </c>
      <c r="D2084" t="s">
        <v>25</v>
      </c>
      <c r="E2084" t="s">
        <v>20</v>
      </c>
      <c r="F2084" s="1">
        <v>44851</v>
      </c>
      <c r="G2084" s="1">
        <v>44945</v>
      </c>
      <c r="H2084">
        <v>6433</v>
      </c>
      <c r="I2084">
        <v>5506</v>
      </c>
      <c r="J2084">
        <v>927</v>
      </c>
      <c r="K2084" t="s">
        <v>21</v>
      </c>
      <c r="L2084">
        <v>3</v>
      </c>
      <c r="M2084" t="str">
        <f t="shared" si="32"/>
        <v>0-6 Months</v>
      </c>
      <c r="N2084" s="1">
        <v>44945</v>
      </c>
      <c r="O2084">
        <v>0</v>
      </c>
      <c r="P2084">
        <v>2083</v>
      </c>
      <c r="Q2084" s="2">
        <v>0.14000000000000001</v>
      </c>
      <c r="R2084" t="s">
        <v>27</v>
      </c>
      <c r="S2084">
        <v>2023</v>
      </c>
      <c r="T2084" t="s">
        <v>23</v>
      </c>
    </row>
    <row r="2085" spans="1:20" hidden="1" x14ac:dyDescent="0.3">
      <c r="A2085">
        <v>3511</v>
      </c>
      <c r="B2085">
        <v>143</v>
      </c>
      <c r="C2085" t="s">
        <v>53</v>
      </c>
      <c r="D2085" t="s">
        <v>34</v>
      </c>
      <c r="E2085" t="s">
        <v>20</v>
      </c>
      <c r="F2085" s="1">
        <v>44774</v>
      </c>
      <c r="G2085" s="1">
        <v>45211</v>
      </c>
      <c r="H2085">
        <v>1158</v>
      </c>
      <c r="I2085">
        <v>4012.75</v>
      </c>
      <c r="J2085">
        <v>1940</v>
      </c>
      <c r="K2085" t="s">
        <v>21</v>
      </c>
      <c r="L2085">
        <v>14</v>
      </c>
      <c r="M2085" t="str">
        <f t="shared" si="32"/>
        <v>6-12 Months</v>
      </c>
      <c r="N2085" s="1">
        <v>45211</v>
      </c>
      <c r="O2085">
        <v>0</v>
      </c>
      <c r="P2085">
        <v>2084</v>
      </c>
      <c r="Q2085" s="2">
        <v>1.68</v>
      </c>
      <c r="R2085" t="s">
        <v>22</v>
      </c>
      <c r="S2085">
        <v>2023</v>
      </c>
      <c r="T2085" t="s">
        <v>33</v>
      </c>
    </row>
    <row r="2086" spans="1:20" hidden="1" x14ac:dyDescent="0.3">
      <c r="A2086">
        <v>3512</v>
      </c>
      <c r="B2086">
        <v>324</v>
      </c>
      <c r="C2086" t="s">
        <v>53</v>
      </c>
      <c r="D2086" t="s">
        <v>34</v>
      </c>
      <c r="E2086" t="s">
        <v>26</v>
      </c>
      <c r="F2086" s="1">
        <v>44846</v>
      </c>
      <c r="G2086" s="1">
        <v>45216</v>
      </c>
      <c r="H2086">
        <v>7908</v>
      </c>
      <c r="I2086">
        <v>6779</v>
      </c>
      <c r="J2086">
        <v>1129</v>
      </c>
      <c r="K2086" t="s">
        <v>21</v>
      </c>
      <c r="L2086">
        <v>12</v>
      </c>
      <c r="M2086" t="str">
        <f t="shared" si="32"/>
        <v>6-12 Months</v>
      </c>
      <c r="N2086" s="1">
        <v>45216</v>
      </c>
      <c r="O2086">
        <v>1</v>
      </c>
      <c r="P2086">
        <v>2085</v>
      </c>
      <c r="Q2086" s="2">
        <v>0.14000000000000001</v>
      </c>
      <c r="R2086" t="s">
        <v>27</v>
      </c>
      <c r="S2086">
        <v>2023</v>
      </c>
      <c r="T2086" t="s">
        <v>33</v>
      </c>
    </row>
    <row r="2087" spans="1:20" hidden="1" x14ac:dyDescent="0.3">
      <c r="A2087">
        <v>3514</v>
      </c>
      <c r="B2087">
        <v>190</v>
      </c>
      <c r="C2087" t="s">
        <v>39</v>
      </c>
      <c r="D2087" t="s">
        <v>34</v>
      </c>
      <c r="E2087" t="s">
        <v>20</v>
      </c>
      <c r="F2087" s="1">
        <v>44579</v>
      </c>
      <c r="G2087" s="1">
        <v>44732</v>
      </c>
      <c r="H2087">
        <v>4967.93</v>
      </c>
      <c r="I2087">
        <v>1369</v>
      </c>
      <c r="J2087">
        <v>-2569</v>
      </c>
      <c r="K2087" t="s">
        <v>21</v>
      </c>
      <c r="L2087">
        <v>5</v>
      </c>
      <c r="M2087" t="str">
        <f t="shared" si="32"/>
        <v>0-6 Months</v>
      </c>
      <c r="N2087" s="1">
        <v>44732</v>
      </c>
      <c r="O2087">
        <v>1</v>
      </c>
      <c r="P2087">
        <v>2086</v>
      </c>
      <c r="Q2087" s="2">
        <v>-0.52</v>
      </c>
      <c r="R2087" t="s">
        <v>27</v>
      </c>
      <c r="S2087">
        <v>2022</v>
      </c>
      <c r="T2087" t="s">
        <v>41</v>
      </c>
    </row>
    <row r="2088" spans="1:20" hidden="1" x14ac:dyDescent="0.3">
      <c r="A2088">
        <v>3515</v>
      </c>
      <c r="B2088">
        <v>417</v>
      </c>
      <c r="C2088" t="s">
        <v>24</v>
      </c>
      <c r="D2088" t="s">
        <v>29</v>
      </c>
      <c r="E2088" t="s">
        <v>26</v>
      </c>
      <c r="F2088" s="1">
        <v>44669</v>
      </c>
      <c r="G2088" s="1">
        <v>45080</v>
      </c>
      <c r="H2088">
        <v>4967.93</v>
      </c>
      <c r="I2088">
        <v>4012.75</v>
      </c>
      <c r="J2088">
        <v>577.01</v>
      </c>
      <c r="K2088" t="s">
        <v>54</v>
      </c>
      <c r="L2088">
        <v>13</v>
      </c>
      <c r="M2088" t="str">
        <f t="shared" si="32"/>
        <v>6-12 Months</v>
      </c>
      <c r="N2088" s="1">
        <v>45080</v>
      </c>
      <c r="O2088">
        <v>0</v>
      </c>
      <c r="P2088">
        <v>2087</v>
      </c>
      <c r="Q2088" s="2">
        <v>0.12</v>
      </c>
      <c r="R2088" t="s">
        <v>27</v>
      </c>
      <c r="S2088">
        <v>2023</v>
      </c>
      <c r="T2088" t="s">
        <v>41</v>
      </c>
    </row>
    <row r="2089" spans="1:20" hidden="1" x14ac:dyDescent="0.3">
      <c r="A2089">
        <v>3517</v>
      </c>
      <c r="B2089">
        <v>214</v>
      </c>
      <c r="C2089" t="s">
        <v>24</v>
      </c>
      <c r="D2089" t="s">
        <v>25</v>
      </c>
      <c r="E2089" t="s">
        <v>26</v>
      </c>
      <c r="F2089" s="1">
        <v>44562</v>
      </c>
      <c r="G2089" s="1">
        <v>44883</v>
      </c>
      <c r="H2089">
        <v>4843</v>
      </c>
      <c r="I2089">
        <v>4482</v>
      </c>
      <c r="J2089">
        <v>361</v>
      </c>
      <c r="K2089" t="s">
        <v>21</v>
      </c>
      <c r="L2089">
        <v>10</v>
      </c>
      <c r="M2089" t="str">
        <f t="shared" si="32"/>
        <v>6-12 Months</v>
      </c>
      <c r="N2089" s="1">
        <v>44883</v>
      </c>
      <c r="O2089">
        <v>1</v>
      </c>
      <c r="P2089">
        <v>2088</v>
      </c>
      <c r="Q2089" s="2">
        <v>7.0000000000000007E-2</v>
      </c>
      <c r="R2089" t="s">
        <v>27</v>
      </c>
      <c r="S2089">
        <v>2022</v>
      </c>
      <c r="T2089" t="s">
        <v>42</v>
      </c>
    </row>
    <row r="2090" spans="1:20" hidden="1" x14ac:dyDescent="0.3">
      <c r="A2090">
        <v>3518</v>
      </c>
      <c r="B2090">
        <v>297</v>
      </c>
      <c r="C2090" t="s">
        <v>24</v>
      </c>
      <c r="D2090" t="s">
        <v>29</v>
      </c>
      <c r="E2090" t="s">
        <v>20</v>
      </c>
      <c r="F2090" s="1">
        <v>44679</v>
      </c>
      <c r="G2090" s="1">
        <v>44953</v>
      </c>
      <c r="H2090">
        <v>2184</v>
      </c>
      <c r="I2090">
        <v>4012.75</v>
      </c>
      <c r="J2090">
        <v>2768</v>
      </c>
      <c r="K2090" t="s">
        <v>54</v>
      </c>
      <c r="L2090">
        <v>8</v>
      </c>
      <c r="M2090" t="str">
        <f t="shared" si="32"/>
        <v>6-12 Months</v>
      </c>
      <c r="N2090" s="1">
        <v>44953</v>
      </c>
      <c r="O2090">
        <v>1</v>
      </c>
      <c r="P2090">
        <v>2089</v>
      </c>
      <c r="Q2090" s="2">
        <v>1.27</v>
      </c>
      <c r="R2090" t="s">
        <v>22</v>
      </c>
      <c r="S2090">
        <v>2023</v>
      </c>
      <c r="T2090" t="s">
        <v>23</v>
      </c>
    </row>
    <row r="2091" spans="1:20" hidden="1" x14ac:dyDescent="0.3">
      <c r="A2091">
        <v>3521</v>
      </c>
      <c r="B2091">
        <v>160</v>
      </c>
      <c r="C2091" t="s">
        <v>24</v>
      </c>
      <c r="D2091" t="s">
        <v>25</v>
      </c>
      <c r="E2091" t="s">
        <v>20</v>
      </c>
      <c r="F2091" s="1">
        <v>44859</v>
      </c>
      <c r="G2091" s="1">
        <v>44932</v>
      </c>
      <c r="H2091">
        <v>2878</v>
      </c>
      <c r="I2091">
        <v>2630</v>
      </c>
      <c r="J2091">
        <v>248</v>
      </c>
      <c r="K2091" t="s">
        <v>54</v>
      </c>
      <c r="L2091">
        <v>2</v>
      </c>
      <c r="M2091" t="str">
        <f t="shared" si="32"/>
        <v>0-6 Months</v>
      </c>
      <c r="N2091" s="1">
        <v>44932</v>
      </c>
      <c r="O2091">
        <v>1</v>
      </c>
      <c r="P2091">
        <v>2090</v>
      </c>
      <c r="Q2091" s="2">
        <v>0.09</v>
      </c>
      <c r="R2091" t="s">
        <v>27</v>
      </c>
      <c r="S2091">
        <v>2023</v>
      </c>
      <c r="T2091" t="s">
        <v>23</v>
      </c>
    </row>
    <row r="2092" spans="1:20" x14ac:dyDescent="0.3">
      <c r="A2092">
        <v>3522</v>
      </c>
      <c r="B2092">
        <v>251</v>
      </c>
      <c r="C2092" t="s">
        <v>53</v>
      </c>
      <c r="D2092" t="s">
        <v>34</v>
      </c>
      <c r="E2092" t="s">
        <v>37</v>
      </c>
      <c r="F2092" s="1">
        <v>44632</v>
      </c>
      <c r="G2092" s="1">
        <v>44800</v>
      </c>
      <c r="H2092">
        <v>2352</v>
      </c>
      <c r="I2092">
        <v>283</v>
      </c>
      <c r="J2092">
        <v>2069</v>
      </c>
      <c r="K2092" t="s">
        <v>35</v>
      </c>
      <c r="L2092">
        <v>5</v>
      </c>
      <c r="M2092" t="str">
        <f t="shared" si="32"/>
        <v>0-6 Months</v>
      </c>
      <c r="N2092" s="1">
        <v>44800</v>
      </c>
      <c r="O2092">
        <v>1</v>
      </c>
      <c r="P2092">
        <v>2091</v>
      </c>
      <c r="Q2092" s="2">
        <v>0.88</v>
      </c>
      <c r="R2092" t="s">
        <v>27</v>
      </c>
      <c r="S2092">
        <v>2022</v>
      </c>
      <c r="T2092" t="s">
        <v>36</v>
      </c>
    </row>
    <row r="2093" spans="1:20" x14ac:dyDescent="0.3">
      <c r="A2093">
        <v>3524</v>
      </c>
      <c r="B2093">
        <v>167</v>
      </c>
      <c r="C2093" t="s">
        <v>40</v>
      </c>
      <c r="D2093" t="s">
        <v>29</v>
      </c>
      <c r="E2093" t="s">
        <v>37</v>
      </c>
      <c r="F2093" s="1">
        <v>44677</v>
      </c>
      <c r="G2093" s="1">
        <v>44937</v>
      </c>
      <c r="H2093">
        <v>2328</v>
      </c>
      <c r="I2093">
        <v>7291</v>
      </c>
      <c r="J2093">
        <v>-4963</v>
      </c>
      <c r="K2093" t="s">
        <v>35</v>
      </c>
      <c r="L2093">
        <v>8</v>
      </c>
      <c r="M2093" t="str">
        <f t="shared" si="32"/>
        <v>6-12 Months</v>
      </c>
      <c r="N2093" s="1">
        <v>44937</v>
      </c>
      <c r="O2093">
        <v>0</v>
      </c>
      <c r="P2093">
        <v>2092</v>
      </c>
      <c r="Q2093" s="2">
        <v>-2.13</v>
      </c>
      <c r="R2093" t="s">
        <v>22</v>
      </c>
      <c r="S2093">
        <v>2023</v>
      </c>
      <c r="T2093" t="s">
        <v>23</v>
      </c>
    </row>
    <row r="2094" spans="1:20" hidden="1" x14ac:dyDescent="0.3">
      <c r="A2094">
        <v>3527</v>
      </c>
      <c r="B2094">
        <v>148</v>
      </c>
      <c r="C2094" t="s">
        <v>53</v>
      </c>
      <c r="D2094" t="s">
        <v>34</v>
      </c>
      <c r="E2094" t="s">
        <v>20</v>
      </c>
      <c r="F2094" s="1">
        <v>44716</v>
      </c>
      <c r="G2094" s="1">
        <v>45168</v>
      </c>
      <c r="H2094">
        <v>8463</v>
      </c>
      <c r="I2094">
        <v>42</v>
      </c>
      <c r="J2094">
        <v>8421</v>
      </c>
      <c r="K2094" t="s">
        <v>54</v>
      </c>
      <c r="L2094">
        <v>14</v>
      </c>
      <c r="M2094" t="str">
        <f t="shared" si="32"/>
        <v>6-12 Months</v>
      </c>
      <c r="N2094" s="1">
        <v>45168</v>
      </c>
      <c r="O2094">
        <v>1</v>
      </c>
      <c r="P2094">
        <v>2093</v>
      </c>
      <c r="Q2094" s="2">
        <v>1</v>
      </c>
      <c r="R2094" t="s">
        <v>27</v>
      </c>
      <c r="S2094">
        <v>2023</v>
      </c>
      <c r="T2094" t="s">
        <v>36</v>
      </c>
    </row>
    <row r="2095" spans="1:20" hidden="1" x14ac:dyDescent="0.3">
      <c r="A2095">
        <v>3528</v>
      </c>
      <c r="B2095">
        <v>393</v>
      </c>
      <c r="C2095" t="s">
        <v>40</v>
      </c>
      <c r="D2095" t="s">
        <v>19</v>
      </c>
      <c r="E2095" t="s">
        <v>37</v>
      </c>
      <c r="F2095" s="1">
        <v>44826</v>
      </c>
      <c r="G2095" s="1">
        <v>44928</v>
      </c>
      <c r="H2095">
        <v>4758</v>
      </c>
      <c r="I2095">
        <v>4992</v>
      </c>
      <c r="J2095">
        <v>-234</v>
      </c>
      <c r="K2095" t="s">
        <v>54</v>
      </c>
      <c r="L2095">
        <v>3</v>
      </c>
      <c r="M2095" t="str">
        <f t="shared" si="32"/>
        <v>0-6 Months</v>
      </c>
      <c r="N2095" s="1">
        <v>44928</v>
      </c>
      <c r="O2095">
        <v>0</v>
      </c>
      <c r="P2095">
        <v>2094</v>
      </c>
      <c r="Q2095" s="2">
        <v>-0.05</v>
      </c>
      <c r="R2095" t="s">
        <v>27</v>
      </c>
      <c r="S2095">
        <v>2023</v>
      </c>
      <c r="T2095" t="s">
        <v>23</v>
      </c>
    </row>
    <row r="2096" spans="1:20" hidden="1" x14ac:dyDescent="0.3">
      <c r="A2096">
        <v>3529</v>
      </c>
      <c r="B2096">
        <v>382</v>
      </c>
      <c r="C2096" t="s">
        <v>45</v>
      </c>
      <c r="D2096" t="s">
        <v>25</v>
      </c>
      <c r="E2096" t="s">
        <v>20</v>
      </c>
      <c r="F2096" s="1">
        <v>44844</v>
      </c>
      <c r="G2096" s="1">
        <v>45347</v>
      </c>
      <c r="H2096">
        <v>5330</v>
      </c>
      <c r="I2096">
        <v>1068</v>
      </c>
      <c r="J2096">
        <v>577.01</v>
      </c>
      <c r="K2096" t="s">
        <v>21</v>
      </c>
      <c r="L2096">
        <v>16</v>
      </c>
      <c r="M2096" t="str">
        <f t="shared" si="32"/>
        <v>6-12 Months</v>
      </c>
      <c r="N2096" s="1">
        <v>45347</v>
      </c>
      <c r="O2096">
        <v>1</v>
      </c>
      <c r="P2096">
        <v>2095</v>
      </c>
      <c r="Q2096" s="2">
        <v>0.11</v>
      </c>
      <c r="R2096" t="s">
        <v>27</v>
      </c>
      <c r="S2096">
        <v>2024</v>
      </c>
      <c r="T2096" t="s">
        <v>43</v>
      </c>
    </row>
    <row r="2097" spans="1:20" x14ac:dyDescent="0.3">
      <c r="A2097">
        <v>3530</v>
      </c>
      <c r="B2097">
        <v>266</v>
      </c>
      <c r="C2097" t="s">
        <v>45</v>
      </c>
      <c r="D2097" t="s">
        <v>34</v>
      </c>
      <c r="E2097" t="s">
        <v>20</v>
      </c>
      <c r="F2097" s="1">
        <v>44921</v>
      </c>
      <c r="G2097" s="1">
        <v>45515</v>
      </c>
      <c r="H2097">
        <v>2768</v>
      </c>
      <c r="I2097">
        <v>6142</v>
      </c>
      <c r="J2097">
        <v>-3374</v>
      </c>
      <c r="K2097" t="s">
        <v>35</v>
      </c>
      <c r="L2097">
        <v>19</v>
      </c>
      <c r="M2097" t="str">
        <f t="shared" si="32"/>
        <v>6-12 Months</v>
      </c>
      <c r="N2097" s="1">
        <v>45515</v>
      </c>
      <c r="O2097">
        <v>1</v>
      </c>
      <c r="P2097">
        <v>2096</v>
      </c>
      <c r="Q2097" s="2">
        <v>-1.22</v>
      </c>
      <c r="R2097" t="s">
        <v>22</v>
      </c>
      <c r="S2097">
        <v>2024</v>
      </c>
      <c r="T2097" t="s">
        <v>36</v>
      </c>
    </row>
    <row r="2098" spans="1:20" hidden="1" x14ac:dyDescent="0.3">
      <c r="A2098">
        <v>3533</v>
      </c>
      <c r="B2098">
        <v>459</v>
      </c>
      <c r="C2098" t="s">
        <v>45</v>
      </c>
      <c r="D2098" t="s">
        <v>29</v>
      </c>
      <c r="E2098" t="s">
        <v>37</v>
      </c>
      <c r="F2098" s="1">
        <v>44756</v>
      </c>
      <c r="G2098" s="1">
        <v>45332</v>
      </c>
      <c r="H2098">
        <v>4967.93</v>
      </c>
      <c r="I2098">
        <v>7675</v>
      </c>
      <c r="J2098">
        <v>577.01</v>
      </c>
      <c r="K2098" t="s">
        <v>54</v>
      </c>
      <c r="L2098">
        <v>18</v>
      </c>
      <c r="M2098" t="str">
        <f t="shared" si="32"/>
        <v>6-12 Months</v>
      </c>
      <c r="N2098" s="1">
        <v>45332</v>
      </c>
      <c r="O2098">
        <v>0</v>
      </c>
      <c r="P2098">
        <v>2097</v>
      </c>
      <c r="Q2098" s="2">
        <v>0.12</v>
      </c>
      <c r="R2098" t="s">
        <v>27</v>
      </c>
      <c r="S2098">
        <v>2024</v>
      </c>
      <c r="T2098" t="s">
        <v>43</v>
      </c>
    </row>
    <row r="2099" spans="1:20" x14ac:dyDescent="0.3">
      <c r="A2099">
        <v>3534</v>
      </c>
      <c r="B2099">
        <v>151</v>
      </c>
      <c r="C2099" t="s">
        <v>40</v>
      </c>
      <c r="D2099" t="s">
        <v>25</v>
      </c>
      <c r="E2099" t="s">
        <v>20</v>
      </c>
      <c r="F2099" s="1">
        <v>44777</v>
      </c>
      <c r="G2099" s="1">
        <v>44904</v>
      </c>
      <c r="H2099">
        <v>4254</v>
      </c>
      <c r="I2099">
        <v>4741</v>
      </c>
      <c r="J2099">
        <v>577.01</v>
      </c>
      <c r="K2099" t="s">
        <v>35</v>
      </c>
      <c r="L2099">
        <v>4</v>
      </c>
      <c r="M2099" t="str">
        <f t="shared" si="32"/>
        <v>0-6 Months</v>
      </c>
      <c r="N2099" s="1">
        <v>44904</v>
      </c>
      <c r="O2099">
        <v>1</v>
      </c>
      <c r="P2099">
        <v>2098</v>
      </c>
      <c r="Q2099" s="2">
        <v>0.14000000000000001</v>
      </c>
      <c r="R2099" t="s">
        <v>27</v>
      </c>
      <c r="S2099">
        <v>2022</v>
      </c>
      <c r="T2099" t="s">
        <v>31</v>
      </c>
    </row>
    <row r="2100" spans="1:20" x14ac:dyDescent="0.3">
      <c r="A2100">
        <v>3539</v>
      </c>
      <c r="B2100">
        <v>231</v>
      </c>
      <c r="C2100" t="s">
        <v>40</v>
      </c>
      <c r="D2100" t="s">
        <v>25</v>
      </c>
      <c r="E2100" t="s">
        <v>20</v>
      </c>
      <c r="F2100" s="1">
        <v>44733</v>
      </c>
      <c r="G2100" s="1">
        <v>44876</v>
      </c>
      <c r="H2100">
        <v>826</v>
      </c>
      <c r="I2100">
        <v>169</v>
      </c>
      <c r="J2100">
        <v>657</v>
      </c>
      <c r="K2100" t="s">
        <v>35</v>
      </c>
      <c r="L2100">
        <v>4</v>
      </c>
      <c r="M2100" t="str">
        <f t="shared" si="32"/>
        <v>0-6 Months</v>
      </c>
      <c r="N2100" s="1">
        <v>44876</v>
      </c>
      <c r="O2100">
        <v>0</v>
      </c>
      <c r="P2100">
        <v>2099</v>
      </c>
      <c r="Q2100" s="2">
        <v>0.8</v>
      </c>
      <c r="R2100" t="s">
        <v>27</v>
      </c>
      <c r="S2100">
        <v>2022</v>
      </c>
      <c r="T2100" t="s">
        <v>42</v>
      </c>
    </row>
    <row r="2101" spans="1:20" hidden="1" x14ac:dyDescent="0.3">
      <c r="A2101">
        <v>3540</v>
      </c>
      <c r="B2101">
        <v>234</v>
      </c>
      <c r="C2101" t="s">
        <v>24</v>
      </c>
      <c r="D2101" t="s">
        <v>25</v>
      </c>
      <c r="E2101" t="s">
        <v>20</v>
      </c>
      <c r="F2101" s="1">
        <v>44672</v>
      </c>
      <c r="G2101" s="1">
        <v>45128</v>
      </c>
      <c r="H2101">
        <v>2246</v>
      </c>
      <c r="I2101">
        <v>2820</v>
      </c>
      <c r="J2101">
        <v>-574</v>
      </c>
      <c r="K2101" t="s">
        <v>21</v>
      </c>
      <c r="L2101">
        <v>15</v>
      </c>
      <c r="M2101" t="str">
        <f t="shared" si="32"/>
        <v>6-12 Months</v>
      </c>
      <c r="N2101" s="1">
        <v>45128</v>
      </c>
      <c r="O2101">
        <v>0</v>
      </c>
      <c r="P2101">
        <v>2100</v>
      </c>
      <c r="Q2101" s="2">
        <v>-0.26</v>
      </c>
      <c r="R2101" t="s">
        <v>27</v>
      </c>
      <c r="S2101">
        <v>2023</v>
      </c>
      <c r="T2101" t="s">
        <v>44</v>
      </c>
    </row>
    <row r="2102" spans="1:20" hidden="1" x14ac:dyDescent="0.3">
      <c r="A2102">
        <v>3542</v>
      </c>
      <c r="B2102">
        <v>329</v>
      </c>
      <c r="C2102" t="s">
        <v>53</v>
      </c>
      <c r="D2102" t="s">
        <v>34</v>
      </c>
      <c r="E2102" t="s">
        <v>20</v>
      </c>
      <c r="F2102" s="1">
        <v>44623</v>
      </c>
      <c r="G2102" s="1">
        <v>44809</v>
      </c>
      <c r="H2102">
        <v>6858</v>
      </c>
      <c r="I2102">
        <v>5300</v>
      </c>
      <c r="J2102">
        <v>1558</v>
      </c>
      <c r="K2102" t="s">
        <v>54</v>
      </c>
      <c r="L2102">
        <v>6</v>
      </c>
      <c r="M2102" t="str">
        <f t="shared" si="32"/>
        <v>12+ Months</v>
      </c>
      <c r="N2102" s="1">
        <v>44809</v>
      </c>
      <c r="O2102">
        <v>0</v>
      </c>
      <c r="P2102">
        <v>2101</v>
      </c>
      <c r="Q2102" s="2">
        <v>0.23</v>
      </c>
      <c r="R2102" t="s">
        <v>27</v>
      </c>
      <c r="S2102">
        <v>2022</v>
      </c>
      <c r="T2102" t="s">
        <v>30</v>
      </c>
    </row>
    <row r="2103" spans="1:20" hidden="1" x14ac:dyDescent="0.3">
      <c r="A2103">
        <v>3543</v>
      </c>
      <c r="B2103">
        <v>269</v>
      </c>
      <c r="C2103" t="s">
        <v>24</v>
      </c>
      <c r="D2103" t="s">
        <v>34</v>
      </c>
      <c r="E2103" t="s">
        <v>37</v>
      </c>
      <c r="F2103" s="1">
        <v>44809</v>
      </c>
      <c r="G2103" s="1">
        <v>44916</v>
      </c>
      <c r="H2103">
        <v>6286</v>
      </c>
      <c r="I2103">
        <v>3985</v>
      </c>
      <c r="J2103">
        <v>2301</v>
      </c>
      <c r="K2103" t="s">
        <v>54</v>
      </c>
      <c r="L2103">
        <v>3</v>
      </c>
      <c r="M2103" t="str">
        <f t="shared" si="32"/>
        <v>0-6 Months</v>
      </c>
      <c r="N2103" s="1">
        <v>44916</v>
      </c>
      <c r="O2103">
        <v>1</v>
      </c>
      <c r="P2103">
        <v>2102</v>
      </c>
      <c r="Q2103" s="2">
        <v>0.37</v>
      </c>
      <c r="R2103" t="s">
        <v>27</v>
      </c>
      <c r="S2103">
        <v>2022</v>
      </c>
      <c r="T2103" t="s">
        <v>31</v>
      </c>
    </row>
    <row r="2104" spans="1:20" x14ac:dyDescent="0.3">
      <c r="A2104">
        <v>3547</v>
      </c>
      <c r="B2104">
        <v>186</v>
      </c>
      <c r="C2104" t="s">
        <v>40</v>
      </c>
      <c r="D2104" t="s">
        <v>29</v>
      </c>
      <c r="E2104" t="s">
        <v>26</v>
      </c>
      <c r="F2104" s="1">
        <v>44631</v>
      </c>
      <c r="G2104" s="1">
        <v>44741</v>
      </c>
      <c r="H2104">
        <v>5425</v>
      </c>
      <c r="I2104">
        <v>1334</v>
      </c>
      <c r="J2104">
        <v>4091</v>
      </c>
      <c r="K2104" t="s">
        <v>35</v>
      </c>
      <c r="L2104">
        <v>3</v>
      </c>
      <c r="M2104" t="str">
        <f t="shared" si="32"/>
        <v>0-6 Months</v>
      </c>
      <c r="N2104" s="1">
        <v>44741</v>
      </c>
      <c r="O2104">
        <v>1</v>
      </c>
      <c r="P2104">
        <v>2103</v>
      </c>
      <c r="Q2104" s="2">
        <v>0.75</v>
      </c>
      <c r="R2104" t="s">
        <v>27</v>
      </c>
      <c r="S2104">
        <v>2022</v>
      </c>
      <c r="T2104" t="s">
        <v>41</v>
      </c>
    </row>
    <row r="2105" spans="1:20" hidden="1" x14ac:dyDescent="0.3">
      <c r="A2105">
        <v>3548</v>
      </c>
      <c r="B2105">
        <v>495</v>
      </c>
      <c r="C2105" t="s">
        <v>39</v>
      </c>
      <c r="D2105" t="s">
        <v>29</v>
      </c>
      <c r="E2105" t="s">
        <v>26</v>
      </c>
      <c r="F2105" s="1">
        <v>44845</v>
      </c>
      <c r="G2105" s="1">
        <v>45262</v>
      </c>
      <c r="H2105">
        <v>6194</v>
      </c>
      <c r="I2105">
        <v>4941</v>
      </c>
      <c r="J2105">
        <v>1253</v>
      </c>
      <c r="K2105" t="s">
        <v>54</v>
      </c>
      <c r="L2105">
        <v>13</v>
      </c>
      <c r="M2105" t="str">
        <f t="shared" si="32"/>
        <v>6-12 Months</v>
      </c>
      <c r="N2105" s="1">
        <v>45262</v>
      </c>
      <c r="O2105">
        <v>0</v>
      </c>
      <c r="P2105">
        <v>2104</v>
      </c>
      <c r="Q2105" s="2">
        <v>0.2</v>
      </c>
      <c r="R2105" t="s">
        <v>27</v>
      </c>
      <c r="S2105">
        <v>2023</v>
      </c>
      <c r="T2105" t="s">
        <v>31</v>
      </c>
    </row>
    <row r="2106" spans="1:20" hidden="1" x14ac:dyDescent="0.3">
      <c r="A2106">
        <v>3549</v>
      </c>
      <c r="B2106">
        <v>364</v>
      </c>
      <c r="C2106" t="s">
        <v>45</v>
      </c>
      <c r="D2106" t="s">
        <v>34</v>
      </c>
      <c r="E2106" t="s">
        <v>20</v>
      </c>
      <c r="F2106" s="1">
        <v>44565</v>
      </c>
      <c r="G2106" s="1">
        <v>44881</v>
      </c>
      <c r="H2106">
        <v>4967.93</v>
      </c>
      <c r="I2106">
        <v>3192</v>
      </c>
      <c r="J2106">
        <v>-4589</v>
      </c>
      <c r="K2106" t="s">
        <v>54</v>
      </c>
      <c r="L2106">
        <v>10</v>
      </c>
      <c r="M2106" t="str">
        <f t="shared" si="32"/>
        <v>6-12 Months</v>
      </c>
      <c r="N2106" s="1">
        <v>44881</v>
      </c>
      <c r="O2106">
        <v>1</v>
      </c>
      <c r="P2106">
        <v>2105</v>
      </c>
      <c r="Q2106" s="2">
        <v>-0.92</v>
      </c>
      <c r="R2106" t="s">
        <v>27</v>
      </c>
      <c r="S2106">
        <v>2022</v>
      </c>
      <c r="T2106" t="s">
        <v>42</v>
      </c>
    </row>
    <row r="2107" spans="1:20" hidden="1" x14ac:dyDescent="0.3">
      <c r="A2107">
        <v>3552</v>
      </c>
      <c r="B2107">
        <v>474</v>
      </c>
      <c r="C2107" t="s">
        <v>45</v>
      </c>
      <c r="D2107" t="s">
        <v>29</v>
      </c>
      <c r="E2107" t="s">
        <v>20</v>
      </c>
      <c r="F2107" s="1">
        <v>44923</v>
      </c>
      <c r="G2107" s="1">
        <v>45118</v>
      </c>
      <c r="H2107">
        <v>347</v>
      </c>
      <c r="I2107">
        <v>7908</v>
      </c>
      <c r="J2107">
        <v>-7561</v>
      </c>
      <c r="K2107" t="s">
        <v>21</v>
      </c>
      <c r="L2107">
        <v>6</v>
      </c>
      <c r="M2107" t="str">
        <f t="shared" si="32"/>
        <v>12+ Months</v>
      </c>
      <c r="N2107" s="1">
        <v>45118</v>
      </c>
      <c r="O2107">
        <v>1</v>
      </c>
      <c r="P2107">
        <v>2106</v>
      </c>
      <c r="Q2107" s="2">
        <v>-21.79</v>
      </c>
      <c r="R2107" t="s">
        <v>22</v>
      </c>
      <c r="S2107">
        <v>2023</v>
      </c>
      <c r="T2107" t="s">
        <v>44</v>
      </c>
    </row>
    <row r="2108" spans="1:20" x14ac:dyDescent="0.3">
      <c r="A2108">
        <v>3553</v>
      </c>
      <c r="B2108">
        <v>234</v>
      </c>
      <c r="C2108" t="s">
        <v>53</v>
      </c>
      <c r="D2108" t="s">
        <v>25</v>
      </c>
      <c r="E2108" t="s">
        <v>20</v>
      </c>
      <c r="F2108" s="1">
        <v>44849</v>
      </c>
      <c r="G2108" s="1">
        <v>44980</v>
      </c>
      <c r="H2108">
        <v>4967.93</v>
      </c>
      <c r="I2108">
        <v>4554</v>
      </c>
      <c r="J2108">
        <v>-6268</v>
      </c>
      <c r="K2108" t="s">
        <v>35</v>
      </c>
      <c r="L2108">
        <v>4</v>
      </c>
      <c r="M2108" t="str">
        <f t="shared" si="32"/>
        <v>0-6 Months</v>
      </c>
      <c r="N2108" s="1">
        <v>44980</v>
      </c>
      <c r="O2108">
        <v>1</v>
      </c>
      <c r="P2108">
        <v>2107</v>
      </c>
      <c r="Q2108" s="2">
        <v>-1.26</v>
      </c>
      <c r="R2108" t="s">
        <v>22</v>
      </c>
      <c r="S2108">
        <v>2023</v>
      </c>
      <c r="T2108" t="s">
        <v>43</v>
      </c>
    </row>
    <row r="2109" spans="1:20" hidden="1" x14ac:dyDescent="0.3">
      <c r="A2109">
        <v>3556</v>
      </c>
      <c r="B2109">
        <v>297</v>
      </c>
      <c r="C2109" t="s">
        <v>39</v>
      </c>
      <c r="D2109" t="s">
        <v>19</v>
      </c>
      <c r="E2109" t="s">
        <v>37</v>
      </c>
      <c r="F2109" s="1">
        <v>44639</v>
      </c>
      <c r="G2109" s="1">
        <v>44728</v>
      </c>
      <c r="H2109">
        <v>8937</v>
      </c>
      <c r="I2109">
        <v>4660</v>
      </c>
      <c r="J2109">
        <v>577.01</v>
      </c>
      <c r="K2109" t="s">
        <v>54</v>
      </c>
      <c r="L2109">
        <v>2</v>
      </c>
      <c r="M2109" t="str">
        <f t="shared" si="32"/>
        <v>0-6 Months</v>
      </c>
      <c r="N2109" s="1">
        <v>44728</v>
      </c>
      <c r="O2109">
        <v>0</v>
      </c>
      <c r="P2109">
        <v>2108</v>
      </c>
      <c r="Q2109" s="2">
        <v>0.06</v>
      </c>
      <c r="R2109" t="s">
        <v>27</v>
      </c>
      <c r="S2109">
        <v>2022</v>
      </c>
      <c r="T2109" t="s">
        <v>41</v>
      </c>
    </row>
    <row r="2110" spans="1:20" hidden="1" x14ac:dyDescent="0.3">
      <c r="A2110">
        <v>3559</v>
      </c>
      <c r="B2110">
        <v>292</v>
      </c>
      <c r="C2110" t="s">
        <v>24</v>
      </c>
      <c r="D2110" t="s">
        <v>19</v>
      </c>
      <c r="E2110" t="s">
        <v>37</v>
      </c>
      <c r="F2110" s="1">
        <v>44722</v>
      </c>
      <c r="G2110" s="1">
        <v>45197</v>
      </c>
      <c r="H2110">
        <v>4887</v>
      </c>
      <c r="I2110">
        <v>898</v>
      </c>
      <c r="J2110">
        <v>3989</v>
      </c>
      <c r="K2110" t="s">
        <v>54</v>
      </c>
      <c r="L2110">
        <v>15</v>
      </c>
      <c r="M2110" t="str">
        <f t="shared" si="32"/>
        <v>6-12 Months</v>
      </c>
      <c r="N2110" s="1">
        <v>45197</v>
      </c>
      <c r="O2110">
        <v>1</v>
      </c>
      <c r="P2110">
        <v>2109</v>
      </c>
      <c r="Q2110" s="2">
        <v>0.82</v>
      </c>
      <c r="R2110" t="s">
        <v>27</v>
      </c>
      <c r="S2110">
        <v>2023</v>
      </c>
      <c r="T2110" t="s">
        <v>30</v>
      </c>
    </row>
    <row r="2111" spans="1:20" x14ac:dyDescent="0.3">
      <c r="A2111">
        <v>3560</v>
      </c>
      <c r="B2111">
        <v>487</v>
      </c>
      <c r="C2111" t="s">
        <v>45</v>
      </c>
      <c r="D2111" t="s">
        <v>29</v>
      </c>
      <c r="E2111" t="s">
        <v>26</v>
      </c>
      <c r="F2111" s="1">
        <v>44844</v>
      </c>
      <c r="G2111" s="1">
        <v>44908</v>
      </c>
      <c r="H2111">
        <v>4967.93</v>
      </c>
      <c r="I2111">
        <v>976</v>
      </c>
      <c r="J2111">
        <v>-2564</v>
      </c>
      <c r="K2111" t="s">
        <v>35</v>
      </c>
      <c r="L2111">
        <v>2</v>
      </c>
      <c r="M2111" t="str">
        <f t="shared" si="32"/>
        <v>0-6 Months</v>
      </c>
      <c r="N2111" s="1">
        <v>44908</v>
      </c>
      <c r="O2111">
        <v>0</v>
      </c>
      <c r="P2111">
        <v>2110</v>
      </c>
      <c r="Q2111" s="2">
        <v>-0.52</v>
      </c>
      <c r="R2111" t="s">
        <v>27</v>
      </c>
      <c r="S2111">
        <v>2022</v>
      </c>
      <c r="T2111" t="s">
        <v>31</v>
      </c>
    </row>
    <row r="2112" spans="1:20" x14ac:dyDescent="0.3">
      <c r="A2112">
        <v>3562</v>
      </c>
      <c r="B2112">
        <v>357</v>
      </c>
      <c r="C2112" t="s">
        <v>39</v>
      </c>
      <c r="D2112" t="s">
        <v>19</v>
      </c>
      <c r="E2112" t="s">
        <v>37</v>
      </c>
      <c r="F2112" s="1">
        <v>44850</v>
      </c>
      <c r="G2112" s="1">
        <v>45137</v>
      </c>
      <c r="H2112">
        <v>5946</v>
      </c>
      <c r="I2112">
        <v>6434</v>
      </c>
      <c r="J2112">
        <v>577.01</v>
      </c>
      <c r="K2112" t="s">
        <v>35</v>
      </c>
      <c r="L2112">
        <v>9</v>
      </c>
      <c r="M2112" t="str">
        <f t="shared" si="32"/>
        <v>6-12 Months</v>
      </c>
      <c r="N2112" s="1">
        <v>45137</v>
      </c>
      <c r="O2112">
        <v>0</v>
      </c>
      <c r="P2112">
        <v>2111</v>
      </c>
      <c r="Q2112" s="2">
        <v>0.1</v>
      </c>
      <c r="R2112" t="s">
        <v>27</v>
      </c>
      <c r="S2112">
        <v>2023</v>
      </c>
      <c r="T2112" t="s">
        <v>44</v>
      </c>
    </row>
    <row r="2113" spans="1:20" hidden="1" x14ac:dyDescent="0.3">
      <c r="A2113">
        <v>3563</v>
      </c>
      <c r="B2113">
        <v>322</v>
      </c>
      <c r="C2113" t="s">
        <v>45</v>
      </c>
      <c r="D2113" t="s">
        <v>19</v>
      </c>
      <c r="E2113" t="s">
        <v>37</v>
      </c>
      <c r="F2113" s="1">
        <v>44897</v>
      </c>
      <c r="G2113" s="1">
        <v>45269</v>
      </c>
      <c r="H2113">
        <v>4486</v>
      </c>
      <c r="I2113">
        <v>1932</v>
      </c>
      <c r="J2113">
        <v>2554</v>
      </c>
      <c r="K2113" t="s">
        <v>54</v>
      </c>
      <c r="L2113">
        <v>12</v>
      </c>
      <c r="M2113" t="str">
        <f t="shared" si="32"/>
        <v>6-12 Months</v>
      </c>
      <c r="N2113" s="1">
        <v>45269</v>
      </c>
      <c r="O2113">
        <v>0</v>
      </c>
      <c r="P2113">
        <v>2112</v>
      </c>
      <c r="Q2113" s="2">
        <v>0.56999999999999995</v>
      </c>
      <c r="R2113" t="s">
        <v>27</v>
      </c>
      <c r="S2113">
        <v>2023</v>
      </c>
      <c r="T2113" t="s">
        <v>31</v>
      </c>
    </row>
    <row r="2114" spans="1:20" hidden="1" x14ac:dyDescent="0.3">
      <c r="A2114">
        <v>3565</v>
      </c>
      <c r="B2114">
        <v>312</v>
      </c>
      <c r="C2114" t="s">
        <v>40</v>
      </c>
      <c r="D2114" t="s">
        <v>29</v>
      </c>
      <c r="E2114" t="s">
        <v>20</v>
      </c>
      <c r="F2114" s="1">
        <v>44778</v>
      </c>
      <c r="G2114" s="1">
        <v>44912</v>
      </c>
      <c r="H2114">
        <v>9631</v>
      </c>
      <c r="I2114">
        <v>4012.75</v>
      </c>
      <c r="J2114">
        <v>10524</v>
      </c>
      <c r="K2114" t="s">
        <v>21</v>
      </c>
      <c r="L2114">
        <v>4</v>
      </c>
      <c r="M2114" t="str">
        <f t="shared" ref="M2114:M2177" si="33">IF(L2114&lt;6,"0-6 Months",IF(L2114&gt;6,"6-12 Months","12+ Months"))</f>
        <v>0-6 Months</v>
      </c>
      <c r="N2114" s="1">
        <v>44912</v>
      </c>
      <c r="O2114">
        <v>0</v>
      </c>
      <c r="P2114">
        <v>2113</v>
      </c>
      <c r="Q2114" s="2">
        <v>1.0900000000000001</v>
      </c>
      <c r="R2114" t="s">
        <v>22</v>
      </c>
      <c r="S2114">
        <v>2022</v>
      </c>
      <c r="T2114" t="s">
        <v>31</v>
      </c>
    </row>
    <row r="2115" spans="1:20" hidden="1" x14ac:dyDescent="0.3">
      <c r="A2115">
        <v>3570</v>
      </c>
      <c r="B2115">
        <v>266</v>
      </c>
      <c r="C2115" t="s">
        <v>40</v>
      </c>
      <c r="D2115" t="s">
        <v>25</v>
      </c>
      <c r="E2115" t="s">
        <v>26</v>
      </c>
      <c r="F2115" s="1">
        <v>44835</v>
      </c>
      <c r="G2115" s="1">
        <v>45267</v>
      </c>
      <c r="H2115">
        <v>7523</v>
      </c>
      <c r="I2115">
        <v>2902</v>
      </c>
      <c r="J2115">
        <v>4621</v>
      </c>
      <c r="K2115" t="s">
        <v>54</v>
      </c>
      <c r="L2115">
        <v>14</v>
      </c>
      <c r="M2115" t="str">
        <f t="shared" si="33"/>
        <v>6-12 Months</v>
      </c>
      <c r="N2115" s="1">
        <v>45267</v>
      </c>
      <c r="O2115">
        <v>0</v>
      </c>
      <c r="P2115">
        <v>2114</v>
      </c>
      <c r="Q2115" s="2">
        <v>0.61</v>
      </c>
      <c r="R2115" t="s">
        <v>27</v>
      </c>
      <c r="S2115">
        <v>2023</v>
      </c>
      <c r="T2115" t="s">
        <v>31</v>
      </c>
    </row>
    <row r="2116" spans="1:20" hidden="1" x14ac:dyDescent="0.3">
      <c r="A2116">
        <v>3572</v>
      </c>
      <c r="B2116">
        <v>338</v>
      </c>
      <c r="C2116" t="s">
        <v>40</v>
      </c>
      <c r="D2116" t="s">
        <v>19</v>
      </c>
      <c r="E2116" t="s">
        <v>37</v>
      </c>
      <c r="F2116" s="1">
        <v>44886</v>
      </c>
      <c r="G2116" s="1">
        <v>45363</v>
      </c>
      <c r="H2116">
        <v>9469</v>
      </c>
      <c r="I2116">
        <v>4020</v>
      </c>
      <c r="J2116">
        <v>5449</v>
      </c>
      <c r="K2116" t="s">
        <v>21</v>
      </c>
      <c r="L2116">
        <v>15</v>
      </c>
      <c r="M2116" t="str">
        <f t="shared" si="33"/>
        <v>6-12 Months</v>
      </c>
      <c r="N2116" s="1">
        <v>45363</v>
      </c>
      <c r="O2116">
        <v>0</v>
      </c>
      <c r="P2116">
        <v>2115</v>
      </c>
      <c r="Q2116" s="2">
        <v>0.57999999999999996</v>
      </c>
      <c r="R2116" t="s">
        <v>27</v>
      </c>
      <c r="S2116">
        <v>2024</v>
      </c>
      <c r="T2116" t="s">
        <v>38</v>
      </c>
    </row>
    <row r="2117" spans="1:20" x14ac:dyDescent="0.3">
      <c r="A2117">
        <v>3574</v>
      </c>
      <c r="B2117">
        <v>435</v>
      </c>
      <c r="C2117" t="s">
        <v>24</v>
      </c>
      <c r="D2117" t="s">
        <v>25</v>
      </c>
      <c r="E2117" t="s">
        <v>26</v>
      </c>
      <c r="F2117" s="1">
        <v>44575</v>
      </c>
      <c r="G2117" s="1">
        <v>44842</v>
      </c>
      <c r="H2117">
        <v>4892</v>
      </c>
      <c r="I2117">
        <v>5999</v>
      </c>
      <c r="J2117">
        <v>-1107</v>
      </c>
      <c r="K2117" t="s">
        <v>35</v>
      </c>
      <c r="L2117">
        <v>8</v>
      </c>
      <c r="M2117" t="str">
        <f t="shared" si="33"/>
        <v>6-12 Months</v>
      </c>
      <c r="N2117" s="1">
        <v>44842</v>
      </c>
      <c r="O2117">
        <v>1</v>
      </c>
      <c r="P2117">
        <v>2116</v>
      </c>
      <c r="Q2117" s="2">
        <v>-0.23</v>
      </c>
      <c r="R2117" t="s">
        <v>27</v>
      </c>
      <c r="S2117">
        <v>2022</v>
      </c>
      <c r="T2117" t="s">
        <v>33</v>
      </c>
    </row>
    <row r="2118" spans="1:20" hidden="1" x14ac:dyDescent="0.3">
      <c r="A2118">
        <v>3575</v>
      </c>
      <c r="B2118">
        <v>239</v>
      </c>
      <c r="C2118" t="s">
        <v>45</v>
      </c>
      <c r="D2118" t="s">
        <v>25</v>
      </c>
      <c r="E2118" t="s">
        <v>26</v>
      </c>
      <c r="F2118" s="1">
        <v>44684</v>
      </c>
      <c r="G2118" s="1">
        <v>45084</v>
      </c>
      <c r="H2118">
        <v>6008</v>
      </c>
      <c r="I2118">
        <v>4012.75</v>
      </c>
      <c r="J2118">
        <v>577.01</v>
      </c>
      <c r="K2118" t="s">
        <v>54</v>
      </c>
      <c r="L2118">
        <v>13</v>
      </c>
      <c r="M2118" t="str">
        <f t="shared" si="33"/>
        <v>6-12 Months</v>
      </c>
      <c r="N2118" s="1">
        <v>45084</v>
      </c>
      <c r="O2118">
        <v>1</v>
      </c>
      <c r="P2118">
        <v>2117</v>
      </c>
      <c r="Q2118" s="2">
        <v>0.1</v>
      </c>
      <c r="R2118" t="s">
        <v>27</v>
      </c>
      <c r="S2118">
        <v>2023</v>
      </c>
      <c r="T2118" t="s">
        <v>41</v>
      </c>
    </row>
    <row r="2119" spans="1:20" hidden="1" x14ac:dyDescent="0.3">
      <c r="A2119">
        <v>3576</v>
      </c>
      <c r="B2119">
        <v>137</v>
      </c>
      <c r="C2119" t="s">
        <v>53</v>
      </c>
      <c r="D2119" t="s">
        <v>29</v>
      </c>
      <c r="E2119" t="s">
        <v>20</v>
      </c>
      <c r="F2119" s="1">
        <v>44833</v>
      </c>
      <c r="G2119" s="1">
        <v>45343</v>
      </c>
      <c r="H2119">
        <v>7522</v>
      </c>
      <c r="I2119">
        <v>2663</v>
      </c>
      <c r="J2119">
        <v>4859</v>
      </c>
      <c r="K2119" t="s">
        <v>21</v>
      </c>
      <c r="L2119">
        <v>16</v>
      </c>
      <c r="M2119" t="str">
        <f t="shared" si="33"/>
        <v>6-12 Months</v>
      </c>
      <c r="N2119" s="1">
        <v>45343</v>
      </c>
      <c r="O2119">
        <v>1</v>
      </c>
      <c r="P2119">
        <v>2118</v>
      </c>
      <c r="Q2119" s="2">
        <v>0.65</v>
      </c>
      <c r="R2119" t="s">
        <v>27</v>
      </c>
      <c r="S2119">
        <v>2024</v>
      </c>
      <c r="T2119" t="s">
        <v>43</v>
      </c>
    </row>
    <row r="2120" spans="1:20" hidden="1" x14ac:dyDescent="0.3">
      <c r="A2120">
        <v>3577</v>
      </c>
      <c r="B2120">
        <v>174</v>
      </c>
      <c r="C2120" t="s">
        <v>40</v>
      </c>
      <c r="D2120" t="s">
        <v>34</v>
      </c>
      <c r="E2120" t="s">
        <v>37</v>
      </c>
      <c r="F2120" s="1">
        <v>44871</v>
      </c>
      <c r="G2120" s="1">
        <v>44967</v>
      </c>
      <c r="H2120">
        <v>9142</v>
      </c>
      <c r="I2120">
        <v>3217</v>
      </c>
      <c r="J2120">
        <v>5925</v>
      </c>
      <c r="K2120" t="s">
        <v>54</v>
      </c>
      <c r="L2120">
        <v>3</v>
      </c>
      <c r="M2120" t="str">
        <f t="shared" si="33"/>
        <v>0-6 Months</v>
      </c>
      <c r="N2120" s="1">
        <v>44967</v>
      </c>
      <c r="O2120">
        <v>0</v>
      </c>
      <c r="P2120">
        <v>2119</v>
      </c>
      <c r="Q2120" s="2">
        <v>0.65</v>
      </c>
      <c r="R2120" t="s">
        <v>27</v>
      </c>
      <c r="S2120">
        <v>2023</v>
      </c>
      <c r="T2120" t="s">
        <v>43</v>
      </c>
    </row>
    <row r="2121" spans="1:20" x14ac:dyDescent="0.3">
      <c r="A2121">
        <v>3578</v>
      </c>
      <c r="B2121">
        <v>241</v>
      </c>
      <c r="C2121" t="s">
        <v>24</v>
      </c>
      <c r="D2121" t="s">
        <v>25</v>
      </c>
      <c r="E2121" t="s">
        <v>20</v>
      </c>
      <c r="F2121" s="1">
        <v>44671</v>
      </c>
      <c r="G2121" s="1">
        <v>44895</v>
      </c>
      <c r="H2121">
        <v>1395</v>
      </c>
      <c r="I2121">
        <v>6860</v>
      </c>
      <c r="J2121">
        <v>-5465</v>
      </c>
      <c r="K2121" t="s">
        <v>35</v>
      </c>
      <c r="L2121">
        <v>7</v>
      </c>
      <c r="M2121" t="str">
        <f t="shared" si="33"/>
        <v>6-12 Months</v>
      </c>
      <c r="N2121" s="1">
        <v>44895</v>
      </c>
      <c r="O2121">
        <v>1</v>
      </c>
      <c r="P2121">
        <v>2120</v>
      </c>
      <c r="Q2121" s="2">
        <v>-3.92</v>
      </c>
      <c r="R2121" t="s">
        <v>22</v>
      </c>
      <c r="S2121">
        <v>2022</v>
      </c>
      <c r="T2121" t="s">
        <v>42</v>
      </c>
    </row>
    <row r="2122" spans="1:20" hidden="1" x14ac:dyDescent="0.3">
      <c r="A2122">
        <v>3579</v>
      </c>
      <c r="B2122">
        <v>191</v>
      </c>
      <c r="C2122" t="s">
        <v>24</v>
      </c>
      <c r="D2122" t="s">
        <v>19</v>
      </c>
      <c r="E2122" t="s">
        <v>26</v>
      </c>
      <c r="F2122" s="1">
        <v>44871</v>
      </c>
      <c r="G2122" s="1">
        <v>45066</v>
      </c>
      <c r="H2122">
        <v>5865</v>
      </c>
      <c r="I2122">
        <v>6112</v>
      </c>
      <c r="J2122">
        <v>-247</v>
      </c>
      <c r="K2122" t="s">
        <v>21</v>
      </c>
      <c r="L2122">
        <v>6</v>
      </c>
      <c r="M2122" t="str">
        <f t="shared" si="33"/>
        <v>12+ Months</v>
      </c>
      <c r="N2122" s="1">
        <v>45066</v>
      </c>
      <c r="O2122">
        <v>0</v>
      </c>
      <c r="P2122">
        <v>2121</v>
      </c>
      <c r="Q2122" s="2">
        <v>-0.04</v>
      </c>
      <c r="R2122" t="s">
        <v>27</v>
      </c>
      <c r="S2122">
        <v>2023</v>
      </c>
      <c r="T2122" t="s">
        <v>28</v>
      </c>
    </row>
    <row r="2123" spans="1:20" hidden="1" x14ac:dyDescent="0.3">
      <c r="A2123">
        <v>3580</v>
      </c>
      <c r="B2123">
        <v>163</v>
      </c>
      <c r="C2123" t="s">
        <v>24</v>
      </c>
      <c r="D2123" t="s">
        <v>19</v>
      </c>
      <c r="E2123" t="s">
        <v>20</v>
      </c>
      <c r="F2123" s="1">
        <v>44760</v>
      </c>
      <c r="G2123" s="1">
        <v>44886</v>
      </c>
      <c r="H2123">
        <v>2290</v>
      </c>
      <c r="I2123">
        <v>4475</v>
      </c>
      <c r="J2123">
        <v>-2185</v>
      </c>
      <c r="K2123" t="s">
        <v>54</v>
      </c>
      <c r="L2123">
        <v>4</v>
      </c>
      <c r="M2123" t="str">
        <f t="shared" si="33"/>
        <v>0-6 Months</v>
      </c>
      <c r="N2123" s="1">
        <v>44886</v>
      </c>
      <c r="O2123">
        <v>0</v>
      </c>
      <c r="P2123">
        <v>2122</v>
      </c>
      <c r="Q2123" s="2">
        <v>-0.95</v>
      </c>
      <c r="R2123" t="s">
        <v>27</v>
      </c>
      <c r="S2123">
        <v>2022</v>
      </c>
      <c r="T2123" t="s">
        <v>42</v>
      </c>
    </row>
    <row r="2124" spans="1:20" x14ac:dyDescent="0.3">
      <c r="A2124">
        <v>3582</v>
      </c>
      <c r="B2124">
        <v>475</v>
      </c>
      <c r="C2124" t="s">
        <v>40</v>
      </c>
      <c r="D2124" t="s">
        <v>19</v>
      </c>
      <c r="E2124" t="s">
        <v>20</v>
      </c>
      <c r="F2124" s="1">
        <v>44666</v>
      </c>
      <c r="G2124" s="1">
        <v>44888</v>
      </c>
      <c r="H2124">
        <v>8956</v>
      </c>
      <c r="I2124">
        <v>3840</v>
      </c>
      <c r="J2124">
        <v>5116</v>
      </c>
      <c r="K2124" t="s">
        <v>35</v>
      </c>
      <c r="L2124">
        <v>7</v>
      </c>
      <c r="M2124" t="str">
        <f t="shared" si="33"/>
        <v>6-12 Months</v>
      </c>
      <c r="N2124" s="1">
        <v>44888</v>
      </c>
      <c r="O2124">
        <v>1</v>
      </c>
      <c r="P2124">
        <v>2123</v>
      </c>
      <c r="Q2124" s="2">
        <v>0.56999999999999995</v>
      </c>
      <c r="R2124" t="s">
        <v>27</v>
      </c>
      <c r="S2124">
        <v>2022</v>
      </c>
      <c r="T2124" t="s">
        <v>42</v>
      </c>
    </row>
    <row r="2125" spans="1:20" hidden="1" x14ac:dyDescent="0.3">
      <c r="A2125">
        <v>3584</v>
      </c>
      <c r="B2125">
        <v>307</v>
      </c>
      <c r="C2125" t="s">
        <v>24</v>
      </c>
      <c r="D2125" t="s">
        <v>25</v>
      </c>
      <c r="E2125" t="s">
        <v>20</v>
      </c>
      <c r="F2125" s="1">
        <v>44617</v>
      </c>
      <c r="G2125" s="1">
        <v>44682</v>
      </c>
      <c r="H2125">
        <v>4967.93</v>
      </c>
      <c r="I2125">
        <v>4985</v>
      </c>
      <c r="J2125">
        <v>-6670</v>
      </c>
      <c r="K2125" t="s">
        <v>54</v>
      </c>
      <c r="L2125">
        <v>2</v>
      </c>
      <c r="M2125" t="str">
        <f t="shared" si="33"/>
        <v>0-6 Months</v>
      </c>
      <c r="N2125" s="1">
        <v>44682</v>
      </c>
      <c r="O2125">
        <v>0</v>
      </c>
      <c r="P2125">
        <v>2124</v>
      </c>
      <c r="Q2125" s="2">
        <v>-1.34</v>
      </c>
      <c r="R2125" t="s">
        <v>22</v>
      </c>
      <c r="S2125">
        <v>2022</v>
      </c>
      <c r="T2125" t="s">
        <v>28</v>
      </c>
    </row>
    <row r="2126" spans="1:20" hidden="1" x14ac:dyDescent="0.3">
      <c r="A2126">
        <v>3586</v>
      </c>
      <c r="B2126">
        <v>119</v>
      </c>
      <c r="C2126" t="s">
        <v>53</v>
      </c>
      <c r="D2126" t="s">
        <v>29</v>
      </c>
      <c r="E2126" t="s">
        <v>26</v>
      </c>
      <c r="F2126" s="1">
        <v>44680</v>
      </c>
      <c r="G2126" s="1">
        <v>45022</v>
      </c>
      <c r="H2126">
        <v>3463</v>
      </c>
      <c r="I2126">
        <v>3067</v>
      </c>
      <c r="J2126">
        <v>396</v>
      </c>
      <c r="K2126" t="s">
        <v>54</v>
      </c>
      <c r="L2126">
        <v>11</v>
      </c>
      <c r="M2126" t="str">
        <f t="shared" si="33"/>
        <v>6-12 Months</v>
      </c>
      <c r="N2126" s="1">
        <v>45022</v>
      </c>
      <c r="O2126">
        <v>0</v>
      </c>
      <c r="P2126">
        <v>2125</v>
      </c>
      <c r="Q2126" s="2">
        <v>0.11</v>
      </c>
      <c r="R2126" t="s">
        <v>27</v>
      </c>
      <c r="S2126">
        <v>2023</v>
      </c>
      <c r="T2126" t="s">
        <v>32</v>
      </c>
    </row>
    <row r="2127" spans="1:20" hidden="1" x14ac:dyDescent="0.3">
      <c r="A2127">
        <v>3589</v>
      </c>
      <c r="B2127">
        <v>173</v>
      </c>
      <c r="C2127" t="s">
        <v>53</v>
      </c>
      <c r="D2127" t="s">
        <v>29</v>
      </c>
      <c r="E2127" t="s">
        <v>26</v>
      </c>
      <c r="F2127" s="1">
        <v>44631</v>
      </c>
      <c r="G2127" s="1">
        <v>44770</v>
      </c>
      <c r="H2127">
        <v>2325</v>
      </c>
      <c r="I2127">
        <v>532</v>
      </c>
      <c r="J2127">
        <v>1793</v>
      </c>
      <c r="K2127" t="s">
        <v>54</v>
      </c>
      <c r="L2127">
        <v>4</v>
      </c>
      <c r="M2127" t="str">
        <f t="shared" si="33"/>
        <v>0-6 Months</v>
      </c>
      <c r="N2127" s="1">
        <v>44770</v>
      </c>
      <c r="O2127">
        <v>0</v>
      </c>
      <c r="P2127">
        <v>2126</v>
      </c>
      <c r="Q2127" s="2">
        <v>0.77</v>
      </c>
      <c r="R2127" t="s">
        <v>27</v>
      </c>
      <c r="S2127">
        <v>2022</v>
      </c>
      <c r="T2127" t="s">
        <v>44</v>
      </c>
    </row>
    <row r="2128" spans="1:20" hidden="1" x14ac:dyDescent="0.3">
      <c r="A2128">
        <v>3590</v>
      </c>
      <c r="B2128">
        <v>397</v>
      </c>
      <c r="C2128" t="s">
        <v>45</v>
      </c>
      <c r="D2128" t="s">
        <v>25</v>
      </c>
      <c r="E2128" t="s">
        <v>26</v>
      </c>
      <c r="F2128" s="1">
        <v>44836</v>
      </c>
      <c r="G2128" s="1">
        <v>45272</v>
      </c>
      <c r="H2128">
        <v>857</v>
      </c>
      <c r="I2128">
        <v>6521</v>
      </c>
      <c r="J2128">
        <v>-5664</v>
      </c>
      <c r="K2128" t="s">
        <v>54</v>
      </c>
      <c r="L2128">
        <v>14</v>
      </c>
      <c r="M2128" t="str">
        <f t="shared" si="33"/>
        <v>6-12 Months</v>
      </c>
      <c r="N2128" s="1">
        <v>45272</v>
      </c>
      <c r="O2128">
        <v>0</v>
      </c>
      <c r="P2128">
        <v>2127</v>
      </c>
      <c r="Q2128" s="2">
        <v>-6.61</v>
      </c>
      <c r="R2128" t="s">
        <v>22</v>
      </c>
      <c r="S2128">
        <v>2023</v>
      </c>
      <c r="T2128" t="s">
        <v>31</v>
      </c>
    </row>
    <row r="2129" spans="1:20" x14ac:dyDescent="0.3">
      <c r="A2129">
        <v>3591</v>
      </c>
      <c r="B2129">
        <v>432</v>
      </c>
      <c r="C2129" t="s">
        <v>24</v>
      </c>
      <c r="D2129" t="s">
        <v>25</v>
      </c>
      <c r="E2129" t="s">
        <v>26</v>
      </c>
      <c r="F2129" s="1">
        <v>44781</v>
      </c>
      <c r="G2129" s="1">
        <v>44843</v>
      </c>
      <c r="H2129">
        <v>981</v>
      </c>
      <c r="I2129">
        <v>5521</v>
      </c>
      <c r="J2129">
        <v>-4540</v>
      </c>
      <c r="K2129" t="s">
        <v>35</v>
      </c>
      <c r="L2129">
        <v>2</v>
      </c>
      <c r="M2129" t="str">
        <f t="shared" si="33"/>
        <v>0-6 Months</v>
      </c>
      <c r="N2129" s="1">
        <v>44843</v>
      </c>
      <c r="O2129">
        <v>0</v>
      </c>
      <c r="P2129">
        <v>2128</v>
      </c>
      <c r="Q2129" s="2">
        <v>-4.63</v>
      </c>
      <c r="R2129" t="s">
        <v>22</v>
      </c>
      <c r="S2129">
        <v>2022</v>
      </c>
      <c r="T2129" t="s">
        <v>33</v>
      </c>
    </row>
    <row r="2130" spans="1:20" x14ac:dyDescent="0.3">
      <c r="A2130">
        <v>3594</v>
      </c>
      <c r="B2130">
        <v>128</v>
      </c>
      <c r="C2130" t="s">
        <v>24</v>
      </c>
      <c r="D2130" t="s">
        <v>29</v>
      </c>
      <c r="E2130" t="s">
        <v>26</v>
      </c>
      <c r="F2130" s="1">
        <v>44727</v>
      </c>
      <c r="G2130" s="1">
        <v>45255</v>
      </c>
      <c r="H2130">
        <v>6549</v>
      </c>
      <c r="I2130">
        <v>2608</v>
      </c>
      <c r="J2130">
        <v>3941</v>
      </c>
      <c r="K2130" t="s">
        <v>35</v>
      </c>
      <c r="L2130">
        <v>17</v>
      </c>
      <c r="M2130" t="str">
        <f t="shared" si="33"/>
        <v>6-12 Months</v>
      </c>
      <c r="N2130" s="1">
        <v>45255</v>
      </c>
      <c r="O2130">
        <v>1</v>
      </c>
      <c r="P2130">
        <v>2129</v>
      </c>
      <c r="Q2130" s="2">
        <v>0.6</v>
      </c>
      <c r="R2130" t="s">
        <v>27</v>
      </c>
      <c r="S2130">
        <v>2023</v>
      </c>
      <c r="T2130" t="s">
        <v>42</v>
      </c>
    </row>
    <row r="2131" spans="1:20" hidden="1" x14ac:dyDescent="0.3">
      <c r="A2131">
        <v>3595</v>
      </c>
      <c r="B2131">
        <v>303</v>
      </c>
      <c r="C2131" t="s">
        <v>40</v>
      </c>
      <c r="D2131" t="s">
        <v>19</v>
      </c>
      <c r="E2131" t="s">
        <v>37</v>
      </c>
      <c r="F2131" s="1">
        <v>44767</v>
      </c>
      <c r="G2131" s="1">
        <v>44801</v>
      </c>
      <c r="H2131">
        <v>8603</v>
      </c>
      <c r="I2131">
        <v>1336</v>
      </c>
      <c r="J2131">
        <v>7267</v>
      </c>
      <c r="K2131" t="s">
        <v>21</v>
      </c>
      <c r="L2131">
        <v>1</v>
      </c>
      <c r="M2131" t="str">
        <f t="shared" si="33"/>
        <v>0-6 Months</v>
      </c>
      <c r="N2131" s="1">
        <v>44801</v>
      </c>
      <c r="O2131">
        <v>1</v>
      </c>
      <c r="P2131">
        <v>2130</v>
      </c>
      <c r="Q2131" s="2">
        <v>0.84</v>
      </c>
      <c r="R2131" t="s">
        <v>27</v>
      </c>
      <c r="S2131">
        <v>2022</v>
      </c>
      <c r="T2131" t="s">
        <v>36</v>
      </c>
    </row>
    <row r="2132" spans="1:20" hidden="1" x14ac:dyDescent="0.3">
      <c r="A2132">
        <v>3596</v>
      </c>
      <c r="B2132">
        <v>380</v>
      </c>
      <c r="C2132" t="s">
        <v>39</v>
      </c>
      <c r="D2132" t="s">
        <v>25</v>
      </c>
      <c r="E2132" t="s">
        <v>20</v>
      </c>
      <c r="F2132" s="1">
        <v>44671</v>
      </c>
      <c r="G2132" s="1">
        <v>44933</v>
      </c>
      <c r="H2132">
        <v>1928</v>
      </c>
      <c r="I2132">
        <v>6942</v>
      </c>
      <c r="J2132">
        <v>-5014</v>
      </c>
      <c r="K2132" t="s">
        <v>54</v>
      </c>
      <c r="L2132">
        <v>8</v>
      </c>
      <c r="M2132" t="str">
        <f t="shared" si="33"/>
        <v>6-12 Months</v>
      </c>
      <c r="N2132" s="1">
        <v>44933</v>
      </c>
      <c r="O2132">
        <v>1</v>
      </c>
      <c r="P2132">
        <v>2131</v>
      </c>
      <c r="Q2132" s="2">
        <v>-2.6</v>
      </c>
      <c r="R2132" t="s">
        <v>22</v>
      </c>
      <c r="S2132">
        <v>2023</v>
      </c>
      <c r="T2132" t="s">
        <v>23</v>
      </c>
    </row>
    <row r="2133" spans="1:20" hidden="1" x14ac:dyDescent="0.3">
      <c r="A2133">
        <v>3600</v>
      </c>
      <c r="B2133">
        <v>150</v>
      </c>
      <c r="C2133" t="s">
        <v>45</v>
      </c>
      <c r="D2133" t="s">
        <v>34</v>
      </c>
      <c r="E2133" t="s">
        <v>26</v>
      </c>
      <c r="F2133" s="1">
        <v>44629</v>
      </c>
      <c r="G2133" s="1">
        <v>45195</v>
      </c>
      <c r="H2133">
        <v>5163</v>
      </c>
      <c r="I2133">
        <v>2029</v>
      </c>
      <c r="J2133">
        <v>3134</v>
      </c>
      <c r="K2133" t="s">
        <v>21</v>
      </c>
      <c r="L2133">
        <v>18</v>
      </c>
      <c r="M2133" t="str">
        <f t="shared" si="33"/>
        <v>6-12 Months</v>
      </c>
      <c r="N2133" s="1">
        <v>45195</v>
      </c>
      <c r="O2133">
        <v>0</v>
      </c>
      <c r="P2133">
        <v>2132</v>
      </c>
      <c r="Q2133" s="2">
        <v>0.61</v>
      </c>
      <c r="R2133" t="s">
        <v>27</v>
      </c>
      <c r="S2133">
        <v>2023</v>
      </c>
      <c r="T2133" t="s">
        <v>30</v>
      </c>
    </row>
    <row r="2134" spans="1:20" hidden="1" x14ac:dyDescent="0.3">
      <c r="A2134">
        <v>3601</v>
      </c>
      <c r="B2134">
        <v>321</v>
      </c>
      <c r="C2134" t="s">
        <v>45</v>
      </c>
      <c r="D2134" t="s">
        <v>19</v>
      </c>
      <c r="E2134" t="s">
        <v>20</v>
      </c>
      <c r="F2134" s="1">
        <v>44604</v>
      </c>
      <c r="G2134" s="1">
        <v>45118</v>
      </c>
      <c r="H2134">
        <v>1526</v>
      </c>
      <c r="I2134">
        <v>4012.75</v>
      </c>
      <c r="J2134">
        <v>2095</v>
      </c>
      <c r="K2134" t="s">
        <v>54</v>
      </c>
      <c r="L2134">
        <v>16</v>
      </c>
      <c r="M2134" t="str">
        <f t="shared" si="33"/>
        <v>6-12 Months</v>
      </c>
      <c r="N2134" s="1">
        <v>45118</v>
      </c>
      <c r="O2134">
        <v>0</v>
      </c>
      <c r="P2134">
        <v>2133</v>
      </c>
      <c r="Q2134" s="2">
        <v>1.37</v>
      </c>
      <c r="R2134" t="s">
        <v>22</v>
      </c>
      <c r="S2134">
        <v>2023</v>
      </c>
      <c r="T2134" t="s">
        <v>44</v>
      </c>
    </row>
    <row r="2135" spans="1:20" hidden="1" x14ac:dyDescent="0.3">
      <c r="A2135">
        <v>3602</v>
      </c>
      <c r="B2135">
        <v>292</v>
      </c>
      <c r="C2135" t="s">
        <v>39</v>
      </c>
      <c r="D2135" t="s">
        <v>29</v>
      </c>
      <c r="E2135" t="s">
        <v>37</v>
      </c>
      <c r="F2135" s="1">
        <v>44705</v>
      </c>
      <c r="G2135" s="1">
        <v>45184</v>
      </c>
      <c r="H2135">
        <v>6359</v>
      </c>
      <c r="I2135">
        <v>4813</v>
      </c>
      <c r="J2135">
        <v>1546</v>
      </c>
      <c r="K2135" t="s">
        <v>21</v>
      </c>
      <c r="L2135">
        <v>15</v>
      </c>
      <c r="M2135" t="str">
        <f t="shared" si="33"/>
        <v>6-12 Months</v>
      </c>
      <c r="N2135" s="1">
        <v>45184</v>
      </c>
      <c r="O2135">
        <v>0</v>
      </c>
      <c r="P2135">
        <v>2134</v>
      </c>
      <c r="Q2135" s="2">
        <v>0.24</v>
      </c>
      <c r="R2135" t="s">
        <v>27</v>
      </c>
      <c r="S2135">
        <v>2023</v>
      </c>
      <c r="T2135" t="s">
        <v>30</v>
      </c>
    </row>
    <row r="2136" spans="1:20" hidden="1" x14ac:dyDescent="0.3">
      <c r="A2136">
        <v>3603</v>
      </c>
      <c r="B2136">
        <v>263</v>
      </c>
      <c r="C2136" t="s">
        <v>53</v>
      </c>
      <c r="D2136" t="s">
        <v>29</v>
      </c>
      <c r="E2136" t="s">
        <v>20</v>
      </c>
      <c r="F2136" s="1">
        <v>44655</v>
      </c>
      <c r="G2136" s="1">
        <v>45085</v>
      </c>
      <c r="H2136">
        <v>8171</v>
      </c>
      <c r="I2136">
        <v>5133</v>
      </c>
      <c r="J2136">
        <v>3038</v>
      </c>
      <c r="K2136" t="s">
        <v>54</v>
      </c>
      <c r="L2136">
        <v>14</v>
      </c>
      <c r="M2136" t="str">
        <f t="shared" si="33"/>
        <v>6-12 Months</v>
      </c>
      <c r="N2136" s="1">
        <v>45085</v>
      </c>
      <c r="O2136">
        <v>0</v>
      </c>
      <c r="P2136">
        <v>2135</v>
      </c>
      <c r="Q2136" s="2">
        <v>0.37</v>
      </c>
      <c r="R2136" t="s">
        <v>27</v>
      </c>
      <c r="S2136">
        <v>2023</v>
      </c>
      <c r="T2136" t="s">
        <v>41</v>
      </c>
    </row>
    <row r="2137" spans="1:20" x14ac:dyDescent="0.3">
      <c r="A2137">
        <v>3604</v>
      </c>
      <c r="B2137">
        <v>420</v>
      </c>
      <c r="C2137" t="s">
        <v>45</v>
      </c>
      <c r="D2137" t="s">
        <v>19</v>
      </c>
      <c r="E2137" t="s">
        <v>20</v>
      </c>
      <c r="F2137" s="1">
        <v>44907</v>
      </c>
      <c r="G2137" s="1">
        <v>45159</v>
      </c>
      <c r="H2137">
        <v>3739</v>
      </c>
      <c r="I2137">
        <v>7032</v>
      </c>
      <c r="J2137">
        <v>-3293</v>
      </c>
      <c r="K2137" t="s">
        <v>35</v>
      </c>
      <c r="L2137">
        <v>8</v>
      </c>
      <c r="M2137" t="str">
        <f t="shared" si="33"/>
        <v>6-12 Months</v>
      </c>
      <c r="N2137" s="1">
        <v>45159</v>
      </c>
      <c r="O2137">
        <v>1</v>
      </c>
      <c r="P2137">
        <v>2136</v>
      </c>
      <c r="Q2137" s="2">
        <v>-0.88</v>
      </c>
      <c r="R2137" t="s">
        <v>27</v>
      </c>
      <c r="S2137">
        <v>2023</v>
      </c>
      <c r="T2137" t="s">
        <v>36</v>
      </c>
    </row>
    <row r="2138" spans="1:20" hidden="1" x14ac:dyDescent="0.3">
      <c r="A2138">
        <v>3607</v>
      </c>
      <c r="B2138">
        <v>193</v>
      </c>
      <c r="C2138" t="s">
        <v>24</v>
      </c>
      <c r="D2138" t="s">
        <v>19</v>
      </c>
      <c r="E2138" t="s">
        <v>26</v>
      </c>
      <c r="F2138" s="1">
        <v>44753</v>
      </c>
      <c r="G2138" s="1">
        <v>44900</v>
      </c>
      <c r="H2138">
        <v>8311</v>
      </c>
      <c r="I2138">
        <v>5970</v>
      </c>
      <c r="J2138">
        <v>2341</v>
      </c>
      <c r="K2138" t="s">
        <v>54</v>
      </c>
      <c r="L2138">
        <v>4</v>
      </c>
      <c r="M2138" t="str">
        <f t="shared" si="33"/>
        <v>0-6 Months</v>
      </c>
      <c r="N2138" s="1">
        <v>44900</v>
      </c>
      <c r="O2138">
        <v>0</v>
      </c>
      <c r="P2138">
        <v>2137</v>
      </c>
      <c r="Q2138" s="2">
        <v>0.28000000000000003</v>
      </c>
      <c r="R2138" t="s">
        <v>27</v>
      </c>
      <c r="S2138">
        <v>2022</v>
      </c>
      <c r="T2138" t="s">
        <v>31</v>
      </c>
    </row>
    <row r="2139" spans="1:20" hidden="1" x14ac:dyDescent="0.3">
      <c r="A2139">
        <v>3608</v>
      </c>
      <c r="B2139">
        <v>144</v>
      </c>
      <c r="C2139" t="s">
        <v>24</v>
      </c>
      <c r="D2139" t="s">
        <v>29</v>
      </c>
      <c r="E2139" t="s">
        <v>37</v>
      </c>
      <c r="F2139" s="1">
        <v>44587</v>
      </c>
      <c r="G2139" s="1">
        <v>44978</v>
      </c>
      <c r="H2139">
        <v>6582</v>
      </c>
      <c r="I2139">
        <v>3299</v>
      </c>
      <c r="J2139">
        <v>3283</v>
      </c>
      <c r="K2139" t="s">
        <v>54</v>
      </c>
      <c r="L2139">
        <v>12</v>
      </c>
      <c r="M2139" t="str">
        <f t="shared" si="33"/>
        <v>6-12 Months</v>
      </c>
      <c r="N2139" s="1">
        <v>44978</v>
      </c>
      <c r="O2139">
        <v>0</v>
      </c>
      <c r="P2139">
        <v>2138</v>
      </c>
      <c r="Q2139" s="2">
        <v>0.5</v>
      </c>
      <c r="R2139" t="s">
        <v>27</v>
      </c>
      <c r="S2139">
        <v>2023</v>
      </c>
      <c r="T2139" t="s">
        <v>43</v>
      </c>
    </row>
    <row r="2140" spans="1:20" hidden="1" x14ac:dyDescent="0.3">
      <c r="A2140">
        <v>3609</v>
      </c>
      <c r="B2140">
        <v>366</v>
      </c>
      <c r="C2140" t="s">
        <v>24</v>
      </c>
      <c r="D2140" t="s">
        <v>29</v>
      </c>
      <c r="E2140" t="s">
        <v>20</v>
      </c>
      <c r="F2140" s="1">
        <v>44668</v>
      </c>
      <c r="G2140" s="1">
        <v>44815</v>
      </c>
      <c r="H2140">
        <v>5828</v>
      </c>
      <c r="I2140">
        <v>6492</v>
      </c>
      <c r="J2140">
        <v>577.01</v>
      </c>
      <c r="K2140" t="s">
        <v>21</v>
      </c>
      <c r="L2140">
        <v>4</v>
      </c>
      <c r="M2140" t="str">
        <f t="shared" si="33"/>
        <v>0-6 Months</v>
      </c>
      <c r="N2140" s="1">
        <v>44815</v>
      </c>
      <c r="O2140">
        <v>1</v>
      </c>
      <c r="P2140">
        <v>2139</v>
      </c>
      <c r="Q2140" s="2">
        <v>0.1</v>
      </c>
      <c r="R2140" t="s">
        <v>27</v>
      </c>
      <c r="S2140">
        <v>2022</v>
      </c>
      <c r="T2140" t="s">
        <v>30</v>
      </c>
    </row>
    <row r="2141" spans="1:20" hidden="1" x14ac:dyDescent="0.3">
      <c r="A2141">
        <v>3613</v>
      </c>
      <c r="B2141">
        <v>461</v>
      </c>
      <c r="C2141" t="s">
        <v>45</v>
      </c>
      <c r="D2141" t="s">
        <v>19</v>
      </c>
      <c r="E2141" t="s">
        <v>26</v>
      </c>
      <c r="F2141" s="1">
        <v>44907</v>
      </c>
      <c r="G2141" s="1">
        <v>45054</v>
      </c>
      <c r="H2141">
        <v>4091</v>
      </c>
      <c r="I2141">
        <v>3075</v>
      </c>
      <c r="J2141">
        <v>1016</v>
      </c>
      <c r="K2141" t="s">
        <v>21</v>
      </c>
      <c r="L2141">
        <v>4</v>
      </c>
      <c r="M2141" t="str">
        <f t="shared" si="33"/>
        <v>0-6 Months</v>
      </c>
      <c r="N2141" s="1">
        <v>45054</v>
      </c>
      <c r="O2141">
        <v>1</v>
      </c>
      <c r="P2141">
        <v>2140</v>
      </c>
      <c r="Q2141" s="2">
        <v>0.25</v>
      </c>
      <c r="R2141" t="s">
        <v>27</v>
      </c>
      <c r="S2141">
        <v>2023</v>
      </c>
      <c r="T2141" t="s">
        <v>28</v>
      </c>
    </row>
    <row r="2142" spans="1:20" hidden="1" x14ac:dyDescent="0.3">
      <c r="A2142">
        <v>3614</v>
      </c>
      <c r="B2142">
        <v>275</v>
      </c>
      <c r="C2142" t="s">
        <v>39</v>
      </c>
      <c r="D2142" t="s">
        <v>34</v>
      </c>
      <c r="E2142" t="s">
        <v>26</v>
      </c>
      <c r="F2142" s="1">
        <v>44579</v>
      </c>
      <c r="G2142" s="1">
        <v>45177</v>
      </c>
      <c r="H2142">
        <v>5129</v>
      </c>
      <c r="I2142">
        <v>3294</v>
      </c>
      <c r="J2142">
        <v>1835</v>
      </c>
      <c r="K2142" t="s">
        <v>54</v>
      </c>
      <c r="L2142">
        <v>19</v>
      </c>
      <c r="M2142" t="str">
        <f t="shared" si="33"/>
        <v>6-12 Months</v>
      </c>
      <c r="N2142" s="1">
        <v>45177</v>
      </c>
      <c r="O2142">
        <v>0</v>
      </c>
      <c r="P2142">
        <v>2141</v>
      </c>
      <c r="Q2142" s="2">
        <v>0.36</v>
      </c>
      <c r="R2142" t="s">
        <v>27</v>
      </c>
      <c r="S2142">
        <v>2023</v>
      </c>
      <c r="T2142" t="s">
        <v>30</v>
      </c>
    </row>
    <row r="2143" spans="1:20" hidden="1" x14ac:dyDescent="0.3">
      <c r="A2143">
        <v>3616</v>
      </c>
      <c r="B2143">
        <v>212</v>
      </c>
      <c r="C2143" t="s">
        <v>45</v>
      </c>
      <c r="D2143" t="s">
        <v>25</v>
      </c>
      <c r="E2143" t="s">
        <v>26</v>
      </c>
      <c r="F2143" s="1">
        <v>44735</v>
      </c>
      <c r="G2143" s="1">
        <v>45102</v>
      </c>
      <c r="H2143">
        <v>2643</v>
      </c>
      <c r="I2143">
        <v>4990</v>
      </c>
      <c r="J2143">
        <v>-2347</v>
      </c>
      <c r="K2143" t="s">
        <v>54</v>
      </c>
      <c r="L2143">
        <v>12</v>
      </c>
      <c r="M2143" t="str">
        <f t="shared" si="33"/>
        <v>6-12 Months</v>
      </c>
      <c r="N2143" s="1">
        <v>45102</v>
      </c>
      <c r="O2143">
        <v>0</v>
      </c>
      <c r="P2143">
        <v>2142</v>
      </c>
      <c r="Q2143" s="2">
        <v>-0.89</v>
      </c>
      <c r="R2143" t="s">
        <v>27</v>
      </c>
      <c r="S2143">
        <v>2023</v>
      </c>
      <c r="T2143" t="s">
        <v>41</v>
      </c>
    </row>
    <row r="2144" spans="1:20" hidden="1" x14ac:dyDescent="0.3">
      <c r="A2144">
        <v>3617</v>
      </c>
      <c r="B2144">
        <v>183</v>
      </c>
      <c r="C2144" t="s">
        <v>40</v>
      </c>
      <c r="D2144" t="s">
        <v>25</v>
      </c>
      <c r="E2144" t="s">
        <v>20</v>
      </c>
      <c r="F2144" s="1">
        <v>44803</v>
      </c>
      <c r="G2144" s="1">
        <v>44867</v>
      </c>
      <c r="H2144">
        <v>9635</v>
      </c>
      <c r="I2144">
        <v>3918</v>
      </c>
      <c r="J2144">
        <v>5717</v>
      </c>
      <c r="K2144" t="s">
        <v>54</v>
      </c>
      <c r="L2144">
        <v>2</v>
      </c>
      <c r="M2144" t="str">
        <f t="shared" si="33"/>
        <v>0-6 Months</v>
      </c>
      <c r="N2144" s="1">
        <v>44867</v>
      </c>
      <c r="O2144">
        <v>0</v>
      </c>
      <c r="P2144">
        <v>2143</v>
      </c>
      <c r="Q2144" s="2">
        <v>0.59</v>
      </c>
      <c r="R2144" t="s">
        <v>27</v>
      </c>
      <c r="S2144">
        <v>2022</v>
      </c>
      <c r="T2144" t="s">
        <v>42</v>
      </c>
    </row>
    <row r="2145" spans="1:20" hidden="1" x14ac:dyDescent="0.3">
      <c r="A2145">
        <v>3619</v>
      </c>
      <c r="B2145">
        <v>140</v>
      </c>
      <c r="C2145" t="s">
        <v>24</v>
      </c>
      <c r="D2145" t="s">
        <v>25</v>
      </c>
      <c r="E2145" t="s">
        <v>37</v>
      </c>
      <c r="F2145" s="1">
        <v>44654</v>
      </c>
      <c r="G2145" s="1">
        <v>44851</v>
      </c>
      <c r="H2145">
        <v>4319</v>
      </c>
      <c r="I2145">
        <v>4192</v>
      </c>
      <c r="J2145">
        <v>127</v>
      </c>
      <c r="K2145" t="s">
        <v>54</v>
      </c>
      <c r="L2145">
        <v>6</v>
      </c>
      <c r="M2145" t="str">
        <f t="shared" si="33"/>
        <v>12+ Months</v>
      </c>
      <c r="N2145" s="1">
        <v>44851</v>
      </c>
      <c r="O2145">
        <v>0</v>
      </c>
      <c r="P2145">
        <v>2144</v>
      </c>
      <c r="Q2145" s="2">
        <v>0.03</v>
      </c>
      <c r="R2145" t="s">
        <v>27</v>
      </c>
      <c r="S2145">
        <v>2022</v>
      </c>
      <c r="T2145" t="s">
        <v>33</v>
      </c>
    </row>
    <row r="2146" spans="1:20" hidden="1" x14ac:dyDescent="0.3">
      <c r="A2146">
        <v>3620</v>
      </c>
      <c r="B2146">
        <v>228</v>
      </c>
      <c r="C2146" t="s">
        <v>39</v>
      </c>
      <c r="D2146" t="s">
        <v>25</v>
      </c>
      <c r="E2146" t="s">
        <v>20</v>
      </c>
      <c r="F2146" s="1">
        <v>44817</v>
      </c>
      <c r="G2146" s="1">
        <v>45146</v>
      </c>
      <c r="H2146">
        <v>7939</v>
      </c>
      <c r="I2146">
        <v>4012.75</v>
      </c>
      <c r="J2146">
        <v>8501</v>
      </c>
      <c r="K2146" t="s">
        <v>54</v>
      </c>
      <c r="L2146">
        <v>10</v>
      </c>
      <c r="M2146" t="str">
        <f t="shared" si="33"/>
        <v>6-12 Months</v>
      </c>
      <c r="N2146" s="1">
        <v>45146</v>
      </c>
      <c r="O2146">
        <v>1</v>
      </c>
      <c r="P2146">
        <v>2145</v>
      </c>
      <c r="Q2146" s="2">
        <v>1.07</v>
      </c>
      <c r="R2146" t="s">
        <v>22</v>
      </c>
      <c r="S2146">
        <v>2023</v>
      </c>
      <c r="T2146" t="s">
        <v>36</v>
      </c>
    </row>
    <row r="2147" spans="1:20" hidden="1" x14ac:dyDescent="0.3">
      <c r="A2147">
        <v>3621</v>
      </c>
      <c r="B2147">
        <v>169</v>
      </c>
      <c r="C2147" t="s">
        <v>45</v>
      </c>
      <c r="D2147" t="s">
        <v>19</v>
      </c>
      <c r="E2147" t="s">
        <v>37</v>
      </c>
      <c r="F2147" s="1">
        <v>44570</v>
      </c>
      <c r="G2147" s="1">
        <v>44865</v>
      </c>
      <c r="H2147">
        <v>4967.93</v>
      </c>
      <c r="I2147">
        <v>3428</v>
      </c>
      <c r="J2147">
        <v>577.01</v>
      </c>
      <c r="K2147" t="s">
        <v>21</v>
      </c>
      <c r="L2147">
        <v>9</v>
      </c>
      <c r="M2147" t="str">
        <f t="shared" si="33"/>
        <v>6-12 Months</v>
      </c>
      <c r="N2147" s="1">
        <v>44865</v>
      </c>
      <c r="O2147">
        <v>0</v>
      </c>
      <c r="P2147">
        <v>2146</v>
      </c>
      <c r="Q2147" s="2">
        <v>0.12</v>
      </c>
      <c r="R2147" t="s">
        <v>27</v>
      </c>
      <c r="S2147">
        <v>2022</v>
      </c>
      <c r="T2147" t="s">
        <v>33</v>
      </c>
    </row>
    <row r="2148" spans="1:20" hidden="1" x14ac:dyDescent="0.3">
      <c r="A2148">
        <v>3623</v>
      </c>
      <c r="B2148">
        <v>134</v>
      </c>
      <c r="C2148" t="s">
        <v>24</v>
      </c>
      <c r="D2148" t="s">
        <v>25</v>
      </c>
      <c r="E2148" t="s">
        <v>26</v>
      </c>
      <c r="F2148" s="1">
        <v>44919</v>
      </c>
      <c r="G2148" s="1">
        <v>45269</v>
      </c>
      <c r="H2148">
        <v>1585</v>
      </c>
      <c r="I2148">
        <v>7210</v>
      </c>
      <c r="J2148">
        <v>-5625</v>
      </c>
      <c r="K2148" t="s">
        <v>54</v>
      </c>
      <c r="L2148">
        <v>11</v>
      </c>
      <c r="M2148" t="str">
        <f t="shared" si="33"/>
        <v>6-12 Months</v>
      </c>
      <c r="N2148" s="1">
        <v>45269</v>
      </c>
      <c r="O2148">
        <v>1</v>
      </c>
      <c r="P2148">
        <v>2147</v>
      </c>
      <c r="Q2148" s="2">
        <v>-3.55</v>
      </c>
      <c r="R2148" t="s">
        <v>22</v>
      </c>
      <c r="S2148">
        <v>2023</v>
      </c>
      <c r="T2148" t="s">
        <v>31</v>
      </c>
    </row>
    <row r="2149" spans="1:20" x14ac:dyDescent="0.3">
      <c r="A2149">
        <v>3624</v>
      </c>
      <c r="B2149">
        <v>190</v>
      </c>
      <c r="C2149" t="s">
        <v>39</v>
      </c>
      <c r="D2149" t="s">
        <v>34</v>
      </c>
      <c r="E2149" t="s">
        <v>20</v>
      </c>
      <c r="F2149" s="1">
        <v>44787</v>
      </c>
      <c r="G2149" s="1">
        <v>45084</v>
      </c>
      <c r="H2149">
        <v>5237</v>
      </c>
      <c r="I2149">
        <v>3149</v>
      </c>
      <c r="J2149">
        <v>2088</v>
      </c>
      <c r="K2149" t="s">
        <v>35</v>
      </c>
      <c r="L2149">
        <v>9</v>
      </c>
      <c r="M2149" t="str">
        <f t="shared" si="33"/>
        <v>6-12 Months</v>
      </c>
      <c r="N2149" s="1">
        <v>45084</v>
      </c>
      <c r="O2149">
        <v>1</v>
      </c>
      <c r="P2149">
        <v>2148</v>
      </c>
      <c r="Q2149" s="2">
        <v>0.4</v>
      </c>
      <c r="R2149" t="s">
        <v>27</v>
      </c>
      <c r="S2149">
        <v>2023</v>
      </c>
      <c r="T2149" t="s">
        <v>41</v>
      </c>
    </row>
    <row r="2150" spans="1:20" hidden="1" x14ac:dyDescent="0.3">
      <c r="A2150">
        <v>3626</v>
      </c>
      <c r="B2150">
        <v>404</v>
      </c>
      <c r="C2150" t="s">
        <v>45</v>
      </c>
      <c r="D2150" t="s">
        <v>29</v>
      </c>
      <c r="E2150" t="s">
        <v>26</v>
      </c>
      <c r="F2150" s="1">
        <v>44916</v>
      </c>
      <c r="G2150" s="1">
        <v>45437</v>
      </c>
      <c r="H2150">
        <v>9768</v>
      </c>
      <c r="I2150">
        <v>4012.75</v>
      </c>
      <c r="J2150">
        <v>10402</v>
      </c>
      <c r="K2150" t="s">
        <v>54</v>
      </c>
      <c r="L2150">
        <v>17</v>
      </c>
      <c r="M2150" t="str">
        <f t="shared" si="33"/>
        <v>6-12 Months</v>
      </c>
      <c r="N2150" s="1">
        <v>45437</v>
      </c>
      <c r="O2150">
        <v>0</v>
      </c>
      <c r="P2150">
        <v>2149</v>
      </c>
      <c r="Q2150" s="2">
        <v>1.06</v>
      </c>
      <c r="R2150" t="s">
        <v>22</v>
      </c>
      <c r="S2150">
        <v>2024</v>
      </c>
      <c r="T2150" t="s">
        <v>28</v>
      </c>
    </row>
    <row r="2151" spans="1:20" hidden="1" x14ac:dyDescent="0.3">
      <c r="A2151">
        <v>3628</v>
      </c>
      <c r="B2151">
        <v>306</v>
      </c>
      <c r="C2151" t="s">
        <v>24</v>
      </c>
      <c r="D2151" t="s">
        <v>19</v>
      </c>
      <c r="E2151" t="s">
        <v>37</v>
      </c>
      <c r="F2151" s="1">
        <v>44799</v>
      </c>
      <c r="G2151" s="1">
        <v>45067</v>
      </c>
      <c r="H2151">
        <v>99</v>
      </c>
      <c r="I2151">
        <v>7823</v>
      </c>
      <c r="J2151">
        <v>-7724</v>
      </c>
      <c r="K2151" t="s">
        <v>54</v>
      </c>
      <c r="L2151">
        <v>8</v>
      </c>
      <c r="M2151" t="str">
        <f t="shared" si="33"/>
        <v>6-12 Months</v>
      </c>
      <c r="N2151" s="1">
        <v>45067</v>
      </c>
      <c r="O2151">
        <v>1</v>
      </c>
      <c r="P2151">
        <v>2150</v>
      </c>
      <c r="Q2151" s="2">
        <v>-78.02</v>
      </c>
      <c r="R2151" t="s">
        <v>22</v>
      </c>
      <c r="S2151">
        <v>2023</v>
      </c>
      <c r="T2151" t="s">
        <v>28</v>
      </c>
    </row>
    <row r="2152" spans="1:20" x14ac:dyDescent="0.3">
      <c r="A2152">
        <v>3629</v>
      </c>
      <c r="B2152">
        <v>337</v>
      </c>
      <c r="C2152" t="s">
        <v>39</v>
      </c>
      <c r="D2152" t="s">
        <v>25</v>
      </c>
      <c r="E2152" t="s">
        <v>37</v>
      </c>
      <c r="F2152" s="1">
        <v>44698</v>
      </c>
      <c r="G2152" s="1">
        <v>45022</v>
      </c>
      <c r="H2152">
        <v>9868</v>
      </c>
      <c r="I2152">
        <v>3413</v>
      </c>
      <c r="J2152">
        <v>6455</v>
      </c>
      <c r="K2152" t="s">
        <v>35</v>
      </c>
      <c r="L2152">
        <v>10</v>
      </c>
      <c r="M2152" t="str">
        <f t="shared" si="33"/>
        <v>6-12 Months</v>
      </c>
      <c r="N2152" s="1">
        <v>45022</v>
      </c>
      <c r="O2152">
        <v>1</v>
      </c>
      <c r="P2152">
        <v>2151</v>
      </c>
      <c r="Q2152" s="2">
        <v>0.65</v>
      </c>
      <c r="R2152" t="s">
        <v>27</v>
      </c>
      <c r="S2152">
        <v>2023</v>
      </c>
      <c r="T2152" t="s">
        <v>32</v>
      </c>
    </row>
    <row r="2153" spans="1:20" hidden="1" x14ac:dyDescent="0.3">
      <c r="A2153">
        <v>3631</v>
      </c>
      <c r="B2153">
        <v>274</v>
      </c>
      <c r="C2153" t="s">
        <v>39</v>
      </c>
      <c r="D2153" t="s">
        <v>25</v>
      </c>
      <c r="E2153" t="s">
        <v>37</v>
      </c>
      <c r="F2153" s="1">
        <v>44603</v>
      </c>
      <c r="G2153" s="1">
        <v>45042</v>
      </c>
      <c r="H2153">
        <v>9931</v>
      </c>
      <c r="I2153">
        <v>3429</v>
      </c>
      <c r="J2153">
        <v>577.01</v>
      </c>
      <c r="K2153" t="s">
        <v>54</v>
      </c>
      <c r="L2153">
        <v>14</v>
      </c>
      <c r="M2153" t="str">
        <f t="shared" si="33"/>
        <v>6-12 Months</v>
      </c>
      <c r="N2153" s="1">
        <v>45042</v>
      </c>
      <c r="O2153">
        <v>0</v>
      </c>
      <c r="P2153">
        <v>2152</v>
      </c>
      <c r="Q2153" s="2">
        <v>0.06</v>
      </c>
      <c r="R2153" t="s">
        <v>27</v>
      </c>
      <c r="S2153">
        <v>2023</v>
      </c>
      <c r="T2153" t="s">
        <v>32</v>
      </c>
    </row>
    <row r="2154" spans="1:20" x14ac:dyDescent="0.3">
      <c r="A2154">
        <v>3632</v>
      </c>
      <c r="B2154">
        <v>490</v>
      </c>
      <c r="C2154" t="s">
        <v>45</v>
      </c>
      <c r="D2154" t="s">
        <v>25</v>
      </c>
      <c r="E2154" t="s">
        <v>26</v>
      </c>
      <c r="F2154" s="1">
        <v>44836</v>
      </c>
      <c r="G2154" s="1">
        <v>45385</v>
      </c>
      <c r="H2154">
        <v>4967.93</v>
      </c>
      <c r="I2154">
        <v>7492</v>
      </c>
      <c r="J2154">
        <v>-8501</v>
      </c>
      <c r="K2154" t="s">
        <v>35</v>
      </c>
      <c r="L2154">
        <v>18</v>
      </c>
      <c r="M2154" t="str">
        <f t="shared" si="33"/>
        <v>6-12 Months</v>
      </c>
      <c r="N2154" s="1">
        <v>45385</v>
      </c>
      <c r="O2154">
        <v>0</v>
      </c>
      <c r="P2154">
        <v>2153</v>
      </c>
      <c r="Q2154" s="2">
        <v>-1.71</v>
      </c>
      <c r="R2154" t="s">
        <v>22</v>
      </c>
      <c r="S2154">
        <v>2024</v>
      </c>
      <c r="T2154" t="s">
        <v>32</v>
      </c>
    </row>
    <row r="2155" spans="1:20" hidden="1" x14ac:dyDescent="0.3">
      <c r="A2155">
        <v>3633</v>
      </c>
      <c r="B2155">
        <v>201</v>
      </c>
      <c r="C2155" t="s">
        <v>24</v>
      </c>
      <c r="D2155" t="s">
        <v>25</v>
      </c>
      <c r="E2155" t="s">
        <v>37</v>
      </c>
      <c r="F2155" s="1">
        <v>44747</v>
      </c>
      <c r="G2155" s="1">
        <v>45209</v>
      </c>
      <c r="H2155">
        <v>7695</v>
      </c>
      <c r="I2155">
        <v>1282</v>
      </c>
      <c r="J2155">
        <v>577.01</v>
      </c>
      <c r="K2155" t="s">
        <v>54</v>
      </c>
      <c r="L2155">
        <v>15</v>
      </c>
      <c r="M2155" t="str">
        <f t="shared" si="33"/>
        <v>6-12 Months</v>
      </c>
      <c r="N2155" s="1">
        <v>45209</v>
      </c>
      <c r="O2155">
        <v>0</v>
      </c>
      <c r="P2155">
        <v>2154</v>
      </c>
      <c r="Q2155" s="2">
        <v>7.0000000000000007E-2</v>
      </c>
      <c r="R2155" t="s">
        <v>27</v>
      </c>
      <c r="S2155">
        <v>2023</v>
      </c>
      <c r="T2155" t="s">
        <v>33</v>
      </c>
    </row>
    <row r="2156" spans="1:20" hidden="1" x14ac:dyDescent="0.3">
      <c r="A2156">
        <v>3634</v>
      </c>
      <c r="B2156">
        <v>342</v>
      </c>
      <c r="C2156" t="s">
        <v>53</v>
      </c>
      <c r="D2156" t="s">
        <v>34</v>
      </c>
      <c r="E2156" t="s">
        <v>37</v>
      </c>
      <c r="F2156" s="1">
        <v>44733</v>
      </c>
      <c r="G2156" s="1">
        <v>45199</v>
      </c>
      <c r="H2156">
        <v>7919</v>
      </c>
      <c r="I2156">
        <v>3148</v>
      </c>
      <c r="J2156">
        <v>4771</v>
      </c>
      <c r="K2156" t="s">
        <v>21</v>
      </c>
      <c r="L2156">
        <v>15</v>
      </c>
      <c r="M2156" t="str">
        <f t="shared" si="33"/>
        <v>6-12 Months</v>
      </c>
      <c r="N2156" s="1">
        <v>45199</v>
      </c>
      <c r="O2156">
        <v>0</v>
      </c>
      <c r="P2156">
        <v>2155</v>
      </c>
      <c r="Q2156" s="2">
        <v>0.6</v>
      </c>
      <c r="R2156" t="s">
        <v>27</v>
      </c>
      <c r="S2156">
        <v>2023</v>
      </c>
      <c r="T2156" t="s">
        <v>30</v>
      </c>
    </row>
    <row r="2157" spans="1:20" x14ac:dyDescent="0.3">
      <c r="A2157">
        <v>3635</v>
      </c>
      <c r="B2157">
        <v>126</v>
      </c>
      <c r="C2157" t="s">
        <v>24</v>
      </c>
      <c r="D2157" t="s">
        <v>29</v>
      </c>
      <c r="E2157" t="s">
        <v>26</v>
      </c>
      <c r="F2157" s="1">
        <v>44568</v>
      </c>
      <c r="G2157" s="1">
        <v>44699</v>
      </c>
      <c r="H2157">
        <v>7391</v>
      </c>
      <c r="I2157">
        <v>2051</v>
      </c>
      <c r="J2157">
        <v>5340</v>
      </c>
      <c r="K2157" t="s">
        <v>35</v>
      </c>
      <c r="L2157">
        <v>4</v>
      </c>
      <c r="M2157" t="str">
        <f t="shared" si="33"/>
        <v>0-6 Months</v>
      </c>
      <c r="N2157" s="1">
        <v>44699</v>
      </c>
      <c r="O2157">
        <v>0</v>
      </c>
      <c r="P2157">
        <v>2156</v>
      </c>
      <c r="Q2157" s="2">
        <v>0.72</v>
      </c>
      <c r="R2157" t="s">
        <v>27</v>
      </c>
      <c r="S2157">
        <v>2022</v>
      </c>
      <c r="T2157" t="s">
        <v>28</v>
      </c>
    </row>
    <row r="2158" spans="1:20" x14ac:dyDescent="0.3">
      <c r="A2158">
        <v>3638</v>
      </c>
      <c r="B2158">
        <v>416</v>
      </c>
      <c r="C2158" t="s">
        <v>40</v>
      </c>
      <c r="D2158" t="s">
        <v>34</v>
      </c>
      <c r="E2158" t="s">
        <v>26</v>
      </c>
      <c r="F2158" s="1">
        <v>44893</v>
      </c>
      <c r="G2158" s="1">
        <v>45181</v>
      </c>
      <c r="H2158">
        <v>8664</v>
      </c>
      <c r="I2158">
        <v>4012.75</v>
      </c>
      <c r="J2158">
        <v>9266</v>
      </c>
      <c r="K2158" t="s">
        <v>35</v>
      </c>
      <c r="L2158">
        <v>9</v>
      </c>
      <c r="M2158" t="str">
        <f t="shared" si="33"/>
        <v>6-12 Months</v>
      </c>
      <c r="N2158" s="1">
        <v>45181</v>
      </c>
      <c r="O2158">
        <v>1</v>
      </c>
      <c r="P2158">
        <v>2157</v>
      </c>
      <c r="Q2158" s="2">
        <v>1.07</v>
      </c>
      <c r="R2158" t="s">
        <v>22</v>
      </c>
      <c r="S2158">
        <v>2023</v>
      </c>
      <c r="T2158" t="s">
        <v>30</v>
      </c>
    </row>
    <row r="2159" spans="1:20" hidden="1" x14ac:dyDescent="0.3">
      <c r="A2159">
        <v>3640</v>
      </c>
      <c r="B2159">
        <v>127</v>
      </c>
      <c r="C2159" t="s">
        <v>45</v>
      </c>
      <c r="D2159" t="s">
        <v>19</v>
      </c>
      <c r="E2159" t="s">
        <v>20</v>
      </c>
      <c r="F2159" s="1">
        <v>44618</v>
      </c>
      <c r="G2159" s="1">
        <v>44735</v>
      </c>
      <c r="H2159">
        <v>5610</v>
      </c>
      <c r="I2159">
        <v>7846</v>
      </c>
      <c r="J2159">
        <v>-2236</v>
      </c>
      <c r="K2159" t="s">
        <v>54</v>
      </c>
      <c r="L2159">
        <v>3</v>
      </c>
      <c r="M2159" t="str">
        <f t="shared" si="33"/>
        <v>0-6 Months</v>
      </c>
      <c r="N2159" s="1">
        <v>44735</v>
      </c>
      <c r="O2159">
        <v>0</v>
      </c>
      <c r="P2159">
        <v>2158</v>
      </c>
      <c r="Q2159" s="2">
        <v>-0.4</v>
      </c>
      <c r="R2159" t="s">
        <v>27</v>
      </c>
      <c r="S2159">
        <v>2022</v>
      </c>
      <c r="T2159" t="s">
        <v>41</v>
      </c>
    </row>
    <row r="2160" spans="1:20" hidden="1" x14ac:dyDescent="0.3">
      <c r="A2160">
        <v>3641</v>
      </c>
      <c r="B2160">
        <v>158</v>
      </c>
      <c r="C2160" t="s">
        <v>53</v>
      </c>
      <c r="D2160" t="s">
        <v>19</v>
      </c>
      <c r="E2160" t="s">
        <v>26</v>
      </c>
      <c r="F2160" s="1">
        <v>44863</v>
      </c>
      <c r="G2160" s="1">
        <v>45028</v>
      </c>
      <c r="H2160">
        <v>2829</v>
      </c>
      <c r="I2160">
        <v>2752</v>
      </c>
      <c r="J2160">
        <v>577.01</v>
      </c>
      <c r="K2160" t="s">
        <v>54</v>
      </c>
      <c r="L2160">
        <v>5</v>
      </c>
      <c r="M2160" t="str">
        <f t="shared" si="33"/>
        <v>0-6 Months</v>
      </c>
      <c r="N2160" s="1">
        <v>45028</v>
      </c>
      <c r="O2160">
        <v>1</v>
      </c>
      <c r="P2160">
        <v>2159</v>
      </c>
      <c r="Q2160" s="2">
        <v>0.2</v>
      </c>
      <c r="R2160" t="s">
        <v>27</v>
      </c>
      <c r="S2160">
        <v>2023</v>
      </c>
      <c r="T2160" t="s">
        <v>32</v>
      </c>
    </row>
    <row r="2161" spans="1:20" x14ac:dyDescent="0.3">
      <c r="A2161">
        <v>3642</v>
      </c>
      <c r="B2161">
        <v>450</v>
      </c>
      <c r="C2161" t="s">
        <v>39</v>
      </c>
      <c r="D2161" t="s">
        <v>25</v>
      </c>
      <c r="E2161" t="s">
        <v>37</v>
      </c>
      <c r="F2161" s="1">
        <v>44689</v>
      </c>
      <c r="G2161" s="1">
        <v>44781</v>
      </c>
      <c r="H2161">
        <v>7987</v>
      </c>
      <c r="I2161">
        <v>7863</v>
      </c>
      <c r="J2161">
        <v>124</v>
      </c>
      <c r="K2161" t="s">
        <v>35</v>
      </c>
      <c r="L2161">
        <v>3</v>
      </c>
      <c r="M2161" t="str">
        <f t="shared" si="33"/>
        <v>0-6 Months</v>
      </c>
      <c r="N2161" s="1">
        <v>44781</v>
      </c>
      <c r="O2161">
        <v>0</v>
      </c>
      <c r="P2161">
        <v>2160</v>
      </c>
      <c r="Q2161" s="2">
        <v>0.02</v>
      </c>
      <c r="R2161" t="s">
        <v>27</v>
      </c>
      <c r="S2161">
        <v>2022</v>
      </c>
      <c r="T2161" t="s">
        <v>36</v>
      </c>
    </row>
    <row r="2162" spans="1:20" hidden="1" x14ac:dyDescent="0.3">
      <c r="A2162">
        <v>3644</v>
      </c>
      <c r="B2162">
        <v>222</v>
      </c>
      <c r="C2162" t="s">
        <v>39</v>
      </c>
      <c r="D2162" t="s">
        <v>25</v>
      </c>
      <c r="E2162" t="s">
        <v>26</v>
      </c>
      <c r="F2162" s="1">
        <v>44575</v>
      </c>
      <c r="G2162" s="1">
        <v>44992</v>
      </c>
      <c r="H2162">
        <v>8134</v>
      </c>
      <c r="I2162">
        <v>4012.75</v>
      </c>
      <c r="J2162">
        <v>8945</v>
      </c>
      <c r="K2162" t="s">
        <v>21</v>
      </c>
      <c r="L2162">
        <v>13</v>
      </c>
      <c r="M2162" t="str">
        <f t="shared" si="33"/>
        <v>6-12 Months</v>
      </c>
      <c r="N2162" s="1">
        <v>44992</v>
      </c>
      <c r="O2162">
        <v>0</v>
      </c>
      <c r="P2162">
        <v>2161</v>
      </c>
      <c r="Q2162" s="2">
        <v>1.1000000000000001</v>
      </c>
      <c r="R2162" t="s">
        <v>22</v>
      </c>
      <c r="S2162">
        <v>2023</v>
      </c>
      <c r="T2162" t="s">
        <v>38</v>
      </c>
    </row>
    <row r="2163" spans="1:20" hidden="1" x14ac:dyDescent="0.3">
      <c r="A2163">
        <v>3646</v>
      </c>
      <c r="B2163">
        <v>410</v>
      </c>
      <c r="C2163" t="s">
        <v>40</v>
      </c>
      <c r="D2163" t="s">
        <v>34</v>
      </c>
      <c r="E2163" t="s">
        <v>26</v>
      </c>
      <c r="F2163" s="1">
        <v>44894</v>
      </c>
      <c r="G2163" s="1">
        <v>45266</v>
      </c>
      <c r="H2163">
        <v>5778</v>
      </c>
      <c r="I2163">
        <v>4034</v>
      </c>
      <c r="J2163">
        <v>1744</v>
      </c>
      <c r="K2163" t="s">
        <v>21</v>
      </c>
      <c r="L2163">
        <v>12</v>
      </c>
      <c r="M2163" t="str">
        <f t="shared" si="33"/>
        <v>6-12 Months</v>
      </c>
      <c r="N2163" s="1">
        <v>45266</v>
      </c>
      <c r="O2163">
        <v>1</v>
      </c>
      <c r="P2163">
        <v>2162</v>
      </c>
      <c r="Q2163" s="2">
        <v>0.3</v>
      </c>
      <c r="R2163" t="s">
        <v>27</v>
      </c>
      <c r="S2163">
        <v>2023</v>
      </c>
      <c r="T2163" t="s">
        <v>31</v>
      </c>
    </row>
    <row r="2164" spans="1:20" x14ac:dyDescent="0.3">
      <c r="A2164">
        <v>3647</v>
      </c>
      <c r="B2164">
        <v>452</v>
      </c>
      <c r="C2164" t="s">
        <v>45</v>
      </c>
      <c r="D2164" t="s">
        <v>29</v>
      </c>
      <c r="E2164" t="s">
        <v>20</v>
      </c>
      <c r="F2164" s="1">
        <v>44646</v>
      </c>
      <c r="G2164" s="1">
        <v>45053</v>
      </c>
      <c r="H2164">
        <v>8972</v>
      </c>
      <c r="I2164">
        <v>3628</v>
      </c>
      <c r="J2164">
        <v>5344</v>
      </c>
      <c r="K2164" t="s">
        <v>35</v>
      </c>
      <c r="L2164">
        <v>13</v>
      </c>
      <c r="M2164" t="str">
        <f t="shared" si="33"/>
        <v>6-12 Months</v>
      </c>
      <c r="N2164" s="1">
        <v>45053</v>
      </c>
      <c r="O2164">
        <v>1</v>
      </c>
      <c r="P2164">
        <v>2163</v>
      </c>
      <c r="Q2164" s="2">
        <v>0.6</v>
      </c>
      <c r="R2164" t="s">
        <v>27</v>
      </c>
      <c r="S2164">
        <v>2023</v>
      </c>
      <c r="T2164" t="s">
        <v>28</v>
      </c>
    </row>
    <row r="2165" spans="1:20" hidden="1" x14ac:dyDescent="0.3">
      <c r="A2165">
        <v>3648</v>
      </c>
      <c r="B2165">
        <v>137</v>
      </c>
      <c r="C2165" t="s">
        <v>39</v>
      </c>
      <c r="D2165" t="s">
        <v>34</v>
      </c>
      <c r="E2165" t="s">
        <v>20</v>
      </c>
      <c r="F2165" s="1">
        <v>44584</v>
      </c>
      <c r="G2165" s="1">
        <v>44883</v>
      </c>
      <c r="H2165">
        <v>207</v>
      </c>
      <c r="I2165">
        <v>925</v>
      </c>
      <c r="J2165">
        <v>577.01</v>
      </c>
      <c r="K2165" t="s">
        <v>54</v>
      </c>
      <c r="L2165">
        <v>9</v>
      </c>
      <c r="M2165" t="str">
        <f t="shared" si="33"/>
        <v>6-12 Months</v>
      </c>
      <c r="N2165" s="1">
        <v>44883</v>
      </c>
      <c r="O2165">
        <v>0</v>
      </c>
      <c r="P2165">
        <v>2164</v>
      </c>
      <c r="Q2165" s="2">
        <v>2.79</v>
      </c>
      <c r="R2165" t="s">
        <v>22</v>
      </c>
      <c r="S2165">
        <v>2022</v>
      </c>
      <c r="T2165" t="s">
        <v>42</v>
      </c>
    </row>
    <row r="2166" spans="1:20" x14ac:dyDescent="0.3">
      <c r="A2166">
        <v>3649</v>
      </c>
      <c r="B2166">
        <v>180</v>
      </c>
      <c r="C2166" t="s">
        <v>24</v>
      </c>
      <c r="D2166" t="s">
        <v>29</v>
      </c>
      <c r="E2166" t="s">
        <v>20</v>
      </c>
      <c r="F2166" s="1">
        <v>44696</v>
      </c>
      <c r="G2166" s="1">
        <v>45133</v>
      </c>
      <c r="H2166">
        <v>6481</v>
      </c>
      <c r="I2166">
        <v>4012.75</v>
      </c>
      <c r="J2166">
        <v>6972</v>
      </c>
      <c r="K2166" t="s">
        <v>35</v>
      </c>
      <c r="L2166">
        <v>14</v>
      </c>
      <c r="M2166" t="str">
        <f t="shared" si="33"/>
        <v>6-12 Months</v>
      </c>
      <c r="N2166" s="1">
        <v>45133</v>
      </c>
      <c r="O2166">
        <v>1</v>
      </c>
      <c r="P2166">
        <v>2165</v>
      </c>
      <c r="Q2166" s="2">
        <v>1.08</v>
      </c>
      <c r="R2166" t="s">
        <v>22</v>
      </c>
      <c r="S2166">
        <v>2023</v>
      </c>
      <c r="T2166" t="s">
        <v>44</v>
      </c>
    </row>
    <row r="2167" spans="1:20" hidden="1" x14ac:dyDescent="0.3">
      <c r="A2167">
        <v>3652</v>
      </c>
      <c r="B2167">
        <v>172</v>
      </c>
      <c r="C2167" t="s">
        <v>24</v>
      </c>
      <c r="D2167" t="s">
        <v>29</v>
      </c>
      <c r="E2167" t="s">
        <v>20</v>
      </c>
      <c r="F2167" s="1">
        <v>44846</v>
      </c>
      <c r="G2167" s="1">
        <v>45134</v>
      </c>
      <c r="H2167">
        <v>4967.93</v>
      </c>
      <c r="I2167">
        <v>4012.75</v>
      </c>
      <c r="J2167">
        <v>-147</v>
      </c>
      <c r="K2167" t="s">
        <v>21</v>
      </c>
      <c r="L2167">
        <v>9</v>
      </c>
      <c r="M2167" t="str">
        <f t="shared" si="33"/>
        <v>6-12 Months</v>
      </c>
      <c r="N2167" s="1">
        <v>45134</v>
      </c>
      <c r="O2167">
        <v>1</v>
      </c>
      <c r="P2167">
        <v>2166</v>
      </c>
      <c r="Q2167" s="2">
        <v>-0.03</v>
      </c>
      <c r="R2167" t="s">
        <v>27</v>
      </c>
      <c r="S2167">
        <v>2023</v>
      </c>
      <c r="T2167" t="s">
        <v>44</v>
      </c>
    </row>
    <row r="2168" spans="1:20" hidden="1" x14ac:dyDescent="0.3">
      <c r="A2168">
        <v>3653</v>
      </c>
      <c r="B2168">
        <v>298</v>
      </c>
      <c r="C2168" t="s">
        <v>39</v>
      </c>
      <c r="D2168" t="s">
        <v>25</v>
      </c>
      <c r="E2168" t="s">
        <v>20</v>
      </c>
      <c r="F2168" s="1">
        <v>44656</v>
      </c>
      <c r="G2168" s="1">
        <v>44823</v>
      </c>
      <c r="H2168">
        <v>7856</v>
      </c>
      <c r="I2168">
        <v>871</v>
      </c>
      <c r="J2168">
        <v>6985</v>
      </c>
      <c r="K2168" t="s">
        <v>21</v>
      </c>
      <c r="L2168">
        <v>5</v>
      </c>
      <c r="M2168" t="str">
        <f t="shared" si="33"/>
        <v>0-6 Months</v>
      </c>
      <c r="N2168" s="1">
        <v>44823</v>
      </c>
      <c r="O2168">
        <v>1</v>
      </c>
      <c r="P2168">
        <v>2167</v>
      </c>
      <c r="Q2168" s="2">
        <v>0.89</v>
      </c>
      <c r="R2168" t="s">
        <v>27</v>
      </c>
      <c r="S2168">
        <v>2022</v>
      </c>
      <c r="T2168" t="s">
        <v>30</v>
      </c>
    </row>
    <row r="2169" spans="1:20" hidden="1" x14ac:dyDescent="0.3">
      <c r="A2169">
        <v>3655</v>
      </c>
      <c r="B2169">
        <v>195</v>
      </c>
      <c r="C2169" t="s">
        <v>24</v>
      </c>
      <c r="D2169" t="s">
        <v>34</v>
      </c>
      <c r="E2169" t="s">
        <v>26</v>
      </c>
      <c r="F2169" s="1">
        <v>44923</v>
      </c>
      <c r="G2169" s="1">
        <v>45149</v>
      </c>
      <c r="H2169">
        <v>4967.93</v>
      </c>
      <c r="I2169">
        <v>2599</v>
      </c>
      <c r="J2169">
        <v>-3751</v>
      </c>
      <c r="K2169" t="s">
        <v>54</v>
      </c>
      <c r="L2169">
        <v>7</v>
      </c>
      <c r="M2169" t="str">
        <f t="shared" si="33"/>
        <v>6-12 Months</v>
      </c>
      <c r="N2169" s="1">
        <v>45149</v>
      </c>
      <c r="O2169">
        <v>0</v>
      </c>
      <c r="P2169">
        <v>2168</v>
      </c>
      <c r="Q2169" s="2">
        <v>-0.76</v>
      </c>
      <c r="R2169" t="s">
        <v>27</v>
      </c>
      <c r="S2169">
        <v>2023</v>
      </c>
      <c r="T2169" t="s">
        <v>36</v>
      </c>
    </row>
    <row r="2170" spans="1:20" hidden="1" x14ac:dyDescent="0.3">
      <c r="A2170">
        <v>3656</v>
      </c>
      <c r="B2170">
        <v>465</v>
      </c>
      <c r="C2170" t="s">
        <v>53</v>
      </c>
      <c r="D2170" t="s">
        <v>34</v>
      </c>
      <c r="E2170" t="s">
        <v>20</v>
      </c>
      <c r="F2170" s="1">
        <v>44890</v>
      </c>
      <c r="G2170" s="1">
        <v>45301</v>
      </c>
      <c r="H2170">
        <v>8205</v>
      </c>
      <c r="I2170">
        <v>3602</v>
      </c>
      <c r="J2170">
        <v>4603</v>
      </c>
      <c r="K2170" t="s">
        <v>54</v>
      </c>
      <c r="L2170">
        <v>13</v>
      </c>
      <c r="M2170" t="str">
        <f t="shared" si="33"/>
        <v>6-12 Months</v>
      </c>
      <c r="N2170" s="1">
        <v>45301</v>
      </c>
      <c r="O2170">
        <v>0</v>
      </c>
      <c r="P2170">
        <v>2169</v>
      </c>
      <c r="Q2170" s="2">
        <v>0.56000000000000005</v>
      </c>
      <c r="R2170" t="s">
        <v>27</v>
      </c>
      <c r="S2170">
        <v>2024</v>
      </c>
      <c r="T2170" t="s">
        <v>23</v>
      </c>
    </row>
    <row r="2171" spans="1:20" hidden="1" x14ac:dyDescent="0.3">
      <c r="A2171">
        <v>3657</v>
      </c>
      <c r="B2171">
        <v>360</v>
      </c>
      <c r="C2171" t="s">
        <v>45</v>
      </c>
      <c r="D2171" t="s">
        <v>34</v>
      </c>
      <c r="E2171" t="s">
        <v>26</v>
      </c>
      <c r="F2171" s="1">
        <v>44701</v>
      </c>
      <c r="G2171" s="1">
        <v>45080</v>
      </c>
      <c r="H2171">
        <v>5515</v>
      </c>
      <c r="I2171">
        <v>3682</v>
      </c>
      <c r="J2171">
        <v>1833</v>
      </c>
      <c r="K2171" t="s">
        <v>21</v>
      </c>
      <c r="L2171">
        <v>12</v>
      </c>
      <c r="M2171" t="str">
        <f t="shared" si="33"/>
        <v>6-12 Months</v>
      </c>
      <c r="N2171" s="1">
        <v>45080</v>
      </c>
      <c r="O2171">
        <v>0</v>
      </c>
      <c r="P2171">
        <v>2170</v>
      </c>
      <c r="Q2171" s="2">
        <v>0.33</v>
      </c>
      <c r="R2171" t="s">
        <v>27</v>
      </c>
      <c r="S2171">
        <v>2023</v>
      </c>
      <c r="T2171" t="s">
        <v>41</v>
      </c>
    </row>
    <row r="2172" spans="1:20" hidden="1" x14ac:dyDescent="0.3">
      <c r="A2172">
        <v>3660</v>
      </c>
      <c r="B2172">
        <v>201</v>
      </c>
      <c r="C2172" t="s">
        <v>53</v>
      </c>
      <c r="D2172" t="s">
        <v>19</v>
      </c>
      <c r="E2172" t="s">
        <v>37</v>
      </c>
      <c r="F2172" s="1">
        <v>44726</v>
      </c>
      <c r="G2172" s="1">
        <v>44826</v>
      </c>
      <c r="H2172">
        <v>1180</v>
      </c>
      <c r="I2172">
        <v>6654</v>
      </c>
      <c r="J2172">
        <v>577.01</v>
      </c>
      <c r="K2172" t="s">
        <v>21</v>
      </c>
      <c r="L2172">
        <v>3</v>
      </c>
      <c r="M2172" t="str">
        <f t="shared" si="33"/>
        <v>0-6 Months</v>
      </c>
      <c r="N2172" s="1">
        <v>44826</v>
      </c>
      <c r="O2172">
        <v>1</v>
      </c>
      <c r="P2172">
        <v>2171</v>
      </c>
      <c r="Q2172" s="2">
        <v>0.49</v>
      </c>
      <c r="R2172" t="s">
        <v>27</v>
      </c>
      <c r="S2172">
        <v>2022</v>
      </c>
      <c r="T2172" t="s">
        <v>30</v>
      </c>
    </row>
    <row r="2173" spans="1:20" x14ac:dyDescent="0.3">
      <c r="A2173">
        <v>3661</v>
      </c>
      <c r="B2173">
        <v>287</v>
      </c>
      <c r="C2173" t="s">
        <v>53</v>
      </c>
      <c r="D2173" t="s">
        <v>29</v>
      </c>
      <c r="E2173" t="s">
        <v>20</v>
      </c>
      <c r="F2173" s="1">
        <v>44888</v>
      </c>
      <c r="G2173" s="1">
        <v>45394</v>
      </c>
      <c r="H2173">
        <v>8711</v>
      </c>
      <c r="I2173">
        <v>4377</v>
      </c>
      <c r="J2173">
        <v>4334</v>
      </c>
      <c r="K2173" t="s">
        <v>35</v>
      </c>
      <c r="L2173">
        <v>16</v>
      </c>
      <c r="M2173" t="str">
        <f t="shared" si="33"/>
        <v>6-12 Months</v>
      </c>
      <c r="N2173" s="1">
        <v>45394</v>
      </c>
      <c r="O2173">
        <v>0</v>
      </c>
      <c r="P2173">
        <v>2172</v>
      </c>
      <c r="Q2173" s="2">
        <v>0.5</v>
      </c>
      <c r="R2173" t="s">
        <v>27</v>
      </c>
      <c r="S2173">
        <v>2024</v>
      </c>
      <c r="T2173" t="s">
        <v>32</v>
      </c>
    </row>
    <row r="2174" spans="1:20" hidden="1" x14ac:dyDescent="0.3">
      <c r="A2174">
        <v>3662</v>
      </c>
      <c r="B2174">
        <v>276</v>
      </c>
      <c r="C2174" t="s">
        <v>39</v>
      </c>
      <c r="D2174" t="s">
        <v>29</v>
      </c>
      <c r="E2174" t="s">
        <v>26</v>
      </c>
      <c r="F2174" s="1">
        <v>44589</v>
      </c>
      <c r="G2174" s="1">
        <v>45177</v>
      </c>
      <c r="H2174">
        <v>7166</v>
      </c>
      <c r="I2174">
        <v>4012.75</v>
      </c>
      <c r="J2174">
        <v>7565</v>
      </c>
      <c r="K2174" t="s">
        <v>54</v>
      </c>
      <c r="L2174">
        <v>19</v>
      </c>
      <c r="M2174" t="str">
        <f t="shared" si="33"/>
        <v>6-12 Months</v>
      </c>
      <c r="N2174" s="1">
        <v>45177</v>
      </c>
      <c r="O2174">
        <v>1</v>
      </c>
      <c r="P2174">
        <v>2173</v>
      </c>
      <c r="Q2174" s="2">
        <v>1.06</v>
      </c>
      <c r="R2174" t="s">
        <v>22</v>
      </c>
      <c r="S2174">
        <v>2023</v>
      </c>
      <c r="T2174" t="s">
        <v>30</v>
      </c>
    </row>
    <row r="2175" spans="1:20" x14ac:dyDescent="0.3">
      <c r="A2175">
        <v>3666</v>
      </c>
      <c r="B2175">
        <v>128</v>
      </c>
      <c r="C2175" t="s">
        <v>39</v>
      </c>
      <c r="D2175" t="s">
        <v>25</v>
      </c>
      <c r="E2175" t="s">
        <v>37</v>
      </c>
      <c r="F2175" s="1">
        <v>44880</v>
      </c>
      <c r="G2175" s="1">
        <v>44934</v>
      </c>
      <c r="H2175">
        <v>2478</v>
      </c>
      <c r="I2175">
        <v>6404</v>
      </c>
      <c r="J2175">
        <v>-3926</v>
      </c>
      <c r="K2175" t="s">
        <v>35</v>
      </c>
      <c r="L2175">
        <v>1</v>
      </c>
      <c r="M2175" t="str">
        <f t="shared" si="33"/>
        <v>0-6 Months</v>
      </c>
      <c r="N2175" s="1">
        <v>44934</v>
      </c>
      <c r="O2175">
        <v>0</v>
      </c>
      <c r="P2175">
        <v>2174</v>
      </c>
      <c r="Q2175" s="2">
        <v>-1.58</v>
      </c>
      <c r="R2175" t="s">
        <v>22</v>
      </c>
      <c r="S2175">
        <v>2023</v>
      </c>
      <c r="T2175" t="s">
        <v>23</v>
      </c>
    </row>
    <row r="2176" spans="1:20" hidden="1" x14ac:dyDescent="0.3">
      <c r="A2176">
        <v>3667</v>
      </c>
      <c r="B2176">
        <v>374</v>
      </c>
      <c r="C2176" t="s">
        <v>40</v>
      </c>
      <c r="D2176" t="s">
        <v>34</v>
      </c>
      <c r="E2176" t="s">
        <v>37</v>
      </c>
      <c r="F2176" s="1">
        <v>44859</v>
      </c>
      <c r="G2176" s="1">
        <v>45343</v>
      </c>
      <c r="H2176">
        <v>6871</v>
      </c>
      <c r="I2176">
        <v>2141</v>
      </c>
      <c r="J2176">
        <v>4730</v>
      </c>
      <c r="K2176" t="s">
        <v>54</v>
      </c>
      <c r="L2176">
        <v>15</v>
      </c>
      <c r="M2176" t="str">
        <f t="shared" si="33"/>
        <v>6-12 Months</v>
      </c>
      <c r="N2176" s="1">
        <v>45343</v>
      </c>
      <c r="O2176">
        <v>0</v>
      </c>
      <c r="P2176">
        <v>2175</v>
      </c>
      <c r="Q2176" s="2">
        <v>0.69</v>
      </c>
      <c r="R2176" t="s">
        <v>27</v>
      </c>
      <c r="S2176">
        <v>2024</v>
      </c>
      <c r="T2176" t="s">
        <v>43</v>
      </c>
    </row>
    <row r="2177" spans="1:20" x14ac:dyDescent="0.3">
      <c r="A2177">
        <v>3668</v>
      </c>
      <c r="B2177">
        <v>142</v>
      </c>
      <c r="C2177" t="s">
        <v>39</v>
      </c>
      <c r="D2177" t="s">
        <v>25</v>
      </c>
      <c r="E2177" t="s">
        <v>26</v>
      </c>
      <c r="F2177" s="1">
        <v>44707</v>
      </c>
      <c r="G2177" s="1">
        <v>44885</v>
      </c>
      <c r="H2177">
        <v>4967.93</v>
      </c>
      <c r="I2177">
        <v>5523</v>
      </c>
      <c r="J2177">
        <v>577.01</v>
      </c>
      <c r="K2177" t="s">
        <v>35</v>
      </c>
      <c r="L2177">
        <v>5</v>
      </c>
      <c r="M2177" t="str">
        <f t="shared" si="33"/>
        <v>0-6 Months</v>
      </c>
      <c r="N2177" s="1">
        <v>44885</v>
      </c>
      <c r="O2177">
        <v>0</v>
      </c>
      <c r="P2177">
        <v>2176</v>
      </c>
      <c r="Q2177" s="2">
        <v>0.12</v>
      </c>
      <c r="R2177" t="s">
        <v>27</v>
      </c>
      <c r="S2177">
        <v>2022</v>
      </c>
      <c r="T2177" t="s">
        <v>42</v>
      </c>
    </row>
    <row r="2178" spans="1:20" hidden="1" x14ac:dyDescent="0.3">
      <c r="A2178">
        <v>3669</v>
      </c>
      <c r="B2178">
        <v>191</v>
      </c>
      <c r="C2178" t="s">
        <v>24</v>
      </c>
      <c r="D2178" t="s">
        <v>19</v>
      </c>
      <c r="E2178" t="s">
        <v>37</v>
      </c>
      <c r="F2178" s="1">
        <v>44738</v>
      </c>
      <c r="G2178" s="1">
        <v>45218</v>
      </c>
      <c r="H2178">
        <v>1060</v>
      </c>
      <c r="I2178">
        <v>2978</v>
      </c>
      <c r="J2178">
        <v>-1918</v>
      </c>
      <c r="K2178" t="s">
        <v>54</v>
      </c>
      <c r="L2178">
        <v>15</v>
      </c>
      <c r="M2178" t="str">
        <f t="shared" ref="M2178:M2241" si="34">IF(L2178&lt;6,"0-6 Months",IF(L2178&gt;6,"6-12 Months","12+ Months"))</f>
        <v>6-12 Months</v>
      </c>
      <c r="N2178" s="1">
        <v>45218</v>
      </c>
      <c r="O2178">
        <v>1</v>
      </c>
      <c r="P2178">
        <v>2177</v>
      </c>
      <c r="Q2178" s="2">
        <v>-1.81</v>
      </c>
      <c r="R2178" t="s">
        <v>22</v>
      </c>
      <c r="S2178">
        <v>2023</v>
      </c>
      <c r="T2178" t="s">
        <v>33</v>
      </c>
    </row>
    <row r="2179" spans="1:20" hidden="1" x14ac:dyDescent="0.3">
      <c r="A2179">
        <v>3670</v>
      </c>
      <c r="B2179">
        <v>274</v>
      </c>
      <c r="C2179" t="s">
        <v>45</v>
      </c>
      <c r="D2179" t="s">
        <v>25</v>
      </c>
      <c r="E2179" t="s">
        <v>20</v>
      </c>
      <c r="F2179" s="1">
        <v>44797</v>
      </c>
      <c r="G2179" s="1">
        <v>45191</v>
      </c>
      <c r="H2179">
        <v>6676</v>
      </c>
      <c r="I2179">
        <v>5524</v>
      </c>
      <c r="J2179">
        <v>1152</v>
      </c>
      <c r="K2179" t="s">
        <v>21</v>
      </c>
      <c r="L2179">
        <v>12</v>
      </c>
      <c r="M2179" t="str">
        <f t="shared" si="34"/>
        <v>6-12 Months</v>
      </c>
      <c r="N2179" s="1">
        <v>45191</v>
      </c>
      <c r="O2179">
        <v>0</v>
      </c>
      <c r="P2179">
        <v>2178</v>
      </c>
      <c r="Q2179" s="2">
        <v>0.17</v>
      </c>
      <c r="R2179" t="s">
        <v>27</v>
      </c>
      <c r="S2179">
        <v>2023</v>
      </c>
      <c r="T2179" t="s">
        <v>30</v>
      </c>
    </row>
    <row r="2180" spans="1:20" x14ac:dyDescent="0.3">
      <c r="A2180">
        <v>3671</v>
      </c>
      <c r="B2180">
        <v>495</v>
      </c>
      <c r="C2180" t="s">
        <v>39</v>
      </c>
      <c r="D2180" t="s">
        <v>34</v>
      </c>
      <c r="E2180" t="s">
        <v>20</v>
      </c>
      <c r="F2180" s="1">
        <v>44746</v>
      </c>
      <c r="G2180" s="1">
        <v>44783</v>
      </c>
      <c r="H2180">
        <v>4967.93</v>
      </c>
      <c r="I2180">
        <v>4012.75</v>
      </c>
      <c r="J2180">
        <v>-1131</v>
      </c>
      <c r="K2180" t="s">
        <v>35</v>
      </c>
      <c r="L2180">
        <v>1</v>
      </c>
      <c r="M2180" t="str">
        <f t="shared" si="34"/>
        <v>0-6 Months</v>
      </c>
      <c r="N2180" s="1">
        <v>44783</v>
      </c>
      <c r="O2180">
        <v>0</v>
      </c>
      <c r="P2180">
        <v>2179</v>
      </c>
      <c r="Q2180" s="2">
        <v>-0.23</v>
      </c>
      <c r="R2180" t="s">
        <v>27</v>
      </c>
      <c r="S2180">
        <v>2022</v>
      </c>
      <c r="T2180" t="s">
        <v>36</v>
      </c>
    </row>
    <row r="2181" spans="1:20" hidden="1" x14ac:dyDescent="0.3">
      <c r="A2181">
        <v>3673</v>
      </c>
      <c r="B2181">
        <v>306</v>
      </c>
      <c r="C2181" t="s">
        <v>45</v>
      </c>
      <c r="D2181" t="s">
        <v>29</v>
      </c>
      <c r="E2181" t="s">
        <v>26</v>
      </c>
      <c r="F2181" s="1">
        <v>44915</v>
      </c>
      <c r="G2181" s="1">
        <v>45385</v>
      </c>
      <c r="H2181">
        <v>5096</v>
      </c>
      <c r="I2181">
        <v>5237</v>
      </c>
      <c r="J2181">
        <v>577.01</v>
      </c>
      <c r="K2181" t="s">
        <v>21</v>
      </c>
      <c r="L2181">
        <v>15</v>
      </c>
      <c r="M2181" t="str">
        <f t="shared" si="34"/>
        <v>6-12 Months</v>
      </c>
      <c r="N2181" s="1">
        <v>45385</v>
      </c>
      <c r="O2181">
        <v>0</v>
      </c>
      <c r="P2181">
        <v>2180</v>
      </c>
      <c r="Q2181" s="2">
        <v>0.11</v>
      </c>
      <c r="R2181" t="s">
        <v>27</v>
      </c>
      <c r="S2181">
        <v>2024</v>
      </c>
      <c r="T2181" t="s">
        <v>32</v>
      </c>
    </row>
    <row r="2182" spans="1:20" hidden="1" x14ac:dyDescent="0.3">
      <c r="A2182">
        <v>3674</v>
      </c>
      <c r="B2182">
        <v>153</v>
      </c>
      <c r="C2182" t="s">
        <v>24</v>
      </c>
      <c r="D2182" t="s">
        <v>34</v>
      </c>
      <c r="E2182" t="s">
        <v>20</v>
      </c>
      <c r="F2182" s="1">
        <v>44725</v>
      </c>
      <c r="G2182" s="1">
        <v>44805</v>
      </c>
      <c r="H2182">
        <v>8371</v>
      </c>
      <c r="I2182">
        <v>2989</v>
      </c>
      <c r="J2182">
        <v>5382</v>
      </c>
      <c r="K2182" t="s">
        <v>54</v>
      </c>
      <c r="L2182">
        <v>2</v>
      </c>
      <c r="M2182" t="str">
        <f t="shared" si="34"/>
        <v>0-6 Months</v>
      </c>
      <c r="N2182" s="1">
        <v>44805</v>
      </c>
      <c r="O2182">
        <v>1</v>
      </c>
      <c r="P2182">
        <v>2181</v>
      </c>
      <c r="Q2182" s="2">
        <v>0.64</v>
      </c>
      <c r="R2182" t="s">
        <v>27</v>
      </c>
      <c r="S2182">
        <v>2022</v>
      </c>
      <c r="T2182" t="s">
        <v>30</v>
      </c>
    </row>
    <row r="2183" spans="1:20" x14ac:dyDescent="0.3">
      <c r="A2183">
        <v>3676</v>
      </c>
      <c r="B2183">
        <v>221</v>
      </c>
      <c r="C2183" t="s">
        <v>45</v>
      </c>
      <c r="D2183" t="s">
        <v>19</v>
      </c>
      <c r="E2183" t="s">
        <v>26</v>
      </c>
      <c r="F2183" s="1">
        <v>44862</v>
      </c>
      <c r="G2183" s="1">
        <v>45389</v>
      </c>
      <c r="H2183">
        <v>3885</v>
      </c>
      <c r="I2183">
        <v>2584</v>
      </c>
      <c r="J2183">
        <v>577.01</v>
      </c>
      <c r="K2183" t="s">
        <v>35</v>
      </c>
      <c r="L2183">
        <v>17</v>
      </c>
      <c r="M2183" t="str">
        <f t="shared" si="34"/>
        <v>6-12 Months</v>
      </c>
      <c r="N2183" s="1">
        <v>45389</v>
      </c>
      <c r="O2183">
        <v>1</v>
      </c>
      <c r="P2183">
        <v>2182</v>
      </c>
      <c r="Q2183" s="2">
        <v>0.15</v>
      </c>
      <c r="R2183" t="s">
        <v>27</v>
      </c>
      <c r="S2183">
        <v>2024</v>
      </c>
      <c r="T2183" t="s">
        <v>32</v>
      </c>
    </row>
    <row r="2184" spans="1:20" x14ac:dyDescent="0.3">
      <c r="A2184">
        <v>3677</v>
      </c>
      <c r="B2184">
        <v>233</v>
      </c>
      <c r="C2184" t="s">
        <v>45</v>
      </c>
      <c r="D2184" t="s">
        <v>19</v>
      </c>
      <c r="E2184" t="s">
        <v>20</v>
      </c>
      <c r="F2184" s="1">
        <v>44749</v>
      </c>
      <c r="G2184" s="1">
        <v>45110</v>
      </c>
      <c r="H2184">
        <v>1846</v>
      </c>
      <c r="I2184">
        <v>919</v>
      </c>
      <c r="J2184">
        <v>927</v>
      </c>
      <c r="K2184" t="s">
        <v>35</v>
      </c>
      <c r="L2184">
        <v>11</v>
      </c>
      <c r="M2184" t="str">
        <f t="shared" si="34"/>
        <v>6-12 Months</v>
      </c>
      <c r="N2184" s="1">
        <v>45110</v>
      </c>
      <c r="O2184">
        <v>1</v>
      </c>
      <c r="P2184">
        <v>2183</v>
      </c>
      <c r="Q2184" s="2">
        <v>0.5</v>
      </c>
      <c r="R2184" t="s">
        <v>27</v>
      </c>
      <c r="S2184">
        <v>2023</v>
      </c>
      <c r="T2184" t="s">
        <v>44</v>
      </c>
    </row>
    <row r="2185" spans="1:20" hidden="1" x14ac:dyDescent="0.3">
      <c r="A2185">
        <v>3678</v>
      </c>
      <c r="B2185">
        <v>111</v>
      </c>
      <c r="C2185" t="s">
        <v>24</v>
      </c>
      <c r="D2185" t="s">
        <v>19</v>
      </c>
      <c r="E2185" t="s">
        <v>26</v>
      </c>
      <c r="F2185" s="1">
        <v>44571</v>
      </c>
      <c r="G2185" s="1">
        <v>44875</v>
      </c>
      <c r="H2185">
        <v>2001</v>
      </c>
      <c r="I2185">
        <v>941</v>
      </c>
      <c r="J2185">
        <v>1060</v>
      </c>
      <c r="K2185" t="s">
        <v>54</v>
      </c>
      <c r="L2185">
        <v>10</v>
      </c>
      <c r="M2185" t="str">
        <f t="shared" si="34"/>
        <v>6-12 Months</v>
      </c>
      <c r="N2185" s="1">
        <v>44875</v>
      </c>
      <c r="O2185">
        <v>1</v>
      </c>
      <c r="P2185">
        <v>2184</v>
      </c>
      <c r="Q2185" s="2">
        <v>0.53</v>
      </c>
      <c r="R2185" t="s">
        <v>27</v>
      </c>
      <c r="S2185">
        <v>2022</v>
      </c>
      <c r="T2185" t="s">
        <v>42</v>
      </c>
    </row>
    <row r="2186" spans="1:20" hidden="1" x14ac:dyDescent="0.3">
      <c r="A2186">
        <v>3679</v>
      </c>
      <c r="B2186">
        <v>244</v>
      </c>
      <c r="C2186" t="s">
        <v>53</v>
      </c>
      <c r="D2186" t="s">
        <v>25</v>
      </c>
      <c r="E2186" t="s">
        <v>37</v>
      </c>
      <c r="F2186" s="1">
        <v>44603</v>
      </c>
      <c r="G2186" s="1">
        <v>44943</v>
      </c>
      <c r="H2186">
        <v>745</v>
      </c>
      <c r="I2186">
        <v>3</v>
      </c>
      <c r="J2186">
        <v>742</v>
      </c>
      <c r="K2186" t="s">
        <v>54</v>
      </c>
      <c r="L2186">
        <v>11</v>
      </c>
      <c r="M2186" t="str">
        <f t="shared" si="34"/>
        <v>6-12 Months</v>
      </c>
      <c r="N2186" s="1">
        <v>44943</v>
      </c>
      <c r="O2186">
        <v>0</v>
      </c>
      <c r="P2186">
        <v>2185</v>
      </c>
      <c r="Q2186" s="2">
        <v>1</v>
      </c>
      <c r="R2186" t="s">
        <v>27</v>
      </c>
      <c r="S2186">
        <v>2023</v>
      </c>
      <c r="T2186" t="s">
        <v>23</v>
      </c>
    </row>
    <row r="2187" spans="1:20" hidden="1" x14ac:dyDescent="0.3">
      <c r="A2187">
        <v>3682</v>
      </c>
      <c r="B2187">
        <v>119</v>
      </c>
      <c r="C2187" t="s">
        <v>45</v>
      </c>
      <c r="D2187" t="s">
        <v>25</v>
      </c>
      <c r="E2187" t="s">
        <v>26</v>
      </c>
      <c r="F2187" s="1">
        <v>44587</v>
      </c>
      <c r="G2187" s="1">
        <v>45186</v>
      </c>
      <c r="H2187">
        <v>3885</v>
      </c>
      <c r="I2187">
        <v>5754</v>
      </c>
      <c r="J2187">
        <v>577.01</v>
      </c>
      <c r="K2187" t="s">
        <v>54</v>
      </c>
      <c r="L2187">
        <v>19</v>
      </c>
      <c r="M2187" t="str">
        <f t="shared" si="34"/>
        <v>6-12 Months</v>
      </c>
      <c r="N2187" s="1">
        <v>45186</v>
      </c>
      <c r="O2187">
        <v>0</v>
      </c>
      <c r="P2187">
        <v>2186</v>
      </c>
      <c r="Q2187" s="2">
        <v>0.15</v>
      </c>
      <c r="R2187" t="s">
        <v>27</v>
      </c>
      <c r="S2187">
        <v>2023</v>
      </c>
      <c r="T2187" t="s">
        <v>30</v>
      </c>
    </row>
    <row r="2188" spans="1:20" hidden="1" x14ac:dyDescent="0.3">
      <c r="A2188">
        <v>3685</v>
      </c>
      <c r="B2188">
        <v>302</v>
      </c>
      <c r="C2188" t="s">
        <v>40</v>
      </c>
      <c r="D2188" t="s">
        <v>25</v>
      </c>
      <c r="E2188" t="s">
        <v>20</v>
      </c>
      <c r="F2188" s="1">
        <v>44673</v>
      </c>
      <c r="G2188" s="1">
        <v>45220</v>
      </c>
      <c r="H2188">
        <v>4967.93</v>
      </c>
      <c r="I2188">
        <v>3138</v>
      </c>
      <c r="J2188">
        <v>-4273</v>
      </c>
      <c r="K2188" t="s">
        <v>54</v>
      </c>
      <c r="L2188">
        <v>17</v>
      </c>
      <c r="M2188" t="str">
        <f t="shared" si="34"/>
        <v>6-12 Months</v>
      </c>
      <c r="N2188" s="1">
        <v>45220</v>
      </c>
      <c r="O2188">
        <v>0</v>
      </c>
      <c r="P2188">
        <v>2187</v>
      </c>
      <c r="Q2188" s="2">
        <v>-0.86</v>
      </c>
      <c r="R2188" t="s">
        <v>27</v>
      </c>
      <c r="S2188">
        <v>2023</v>
      </c>
      <c r="T2188" t="s">
        <v>33</v>
      </c>
    </row>
    <row r="2189" spans="1:20" x14ac:dyDescent="0.3">
      <c r="A2189">
        <v>3687</v>
      </c>
      <c r="B2189">
        <v>326</v>
      </c>
      <c r="C2189" t="s">
        <v>39</v>
      </c>
      <c r="D2189" t="s">
        <v>25</v>
      </c>
      <c r="E2189" t="s">
        <v>20</v>
      </c>
      <c r="F2189" s="1">
        <v>44890</v>
      </c>
      <c r="G2189" s="1">
        <v>45449</v>
      </c>
      <c r="H2189">
        <v>1047</v>
      </c>
      <c r="I2189">
        <v>4484</v>
      </c>
      <c r="J2189">
        <v>-3437</v>
      </c>
      <c r="K2189" t="s">
        <v>35</v>
      </c>
      <c r="L2189">
        <v>18</v>
      </c>
      <c r="M2189" t="str">
        <f t="shared" si="34"/>
        <v>6-12 Months</v>
      </c>
      <c r="N2189" s="1">
        <v>45449</v>
      </c>
      <c r="O2189">
        <v>0</v>
      </c>
      <c r="P2189">
        <v>2188</v>
      </c>
      <c r="Q2189" s="2">
        <v>-3.28</v>
      </c>
      <c r="R2189" t="s">
        <v>22</v>
      </c>
      <c r="S2189">
        <v>2024</v>
      </c>
      <c r="T2189" t="s">
        <v>41</v>
      </c>
    </row>
    <row r="2190" spans="1:20" hidden="1" x14ac:dyDescent="0.3">
      <c r="A2190">
        <v>3689</v>
      </c>
      <c r="B2190">
        <v>431</v>
      </c>
      <c r="C2190" t="s">
        <v>24</v>
      </c>
      <c r="D2190" t="s">
        <v>34</v>
      </c>
      <c r="E2190" t="s">
        <v>26</v>
      </c>
      <c r="F2190" s="1">
        <v>44825</v>
      </c>
      <c r="G2190" s="1">
        <v>44927</v>
      </c>
      <c r="H2190">
        <v>4967.93</v>
      </c>
      <c r="I2190">
        <v>2274</v>
      </c>
      <c r="J2190">
        <v>-2450</v>
      </c>
      <c r="K2190" t="s">
        <v>54</v>
      </c>
      <c r="L2190">
        <v>3</v>
      </c>
      <c r="M2190" t="str">
        <f t="shared" si="34"/>
        <v>0-6 Months</v>
      </c>
      <c r="N2190" s="1">
        <v>44927</v>
      </c>
      <c r="O2190">
        <v>0</v>
      </c>
      <c r="P2190">
        <v>2189</v>
      </c>
      <c r="Q2190" s="2">
        <v>-0.49</v>
      </c>
      <c r="R2190" t="s">
        <v>27</v>
      </c>
      <c r="S2190">
        <v>2023</v>
      </c>
      <c r="T2190" t="s">
        <v>23</v>
      </c>
    </row>
    <row r="2191" spans="1:20" hidden="1" x14ac:dyDescent="0.3">
      <c r="A2191">
        <v>3691</v>
      </c>
      <c r="B2191">
        <v>227</v>
      </c>
      <c r="C2191" t="s">
        <v>45</v>
      </c>
      <c r="D2191" t="s">
        <v>25</v>
      </c>
      <c r="E2191" t="s">
        <v>37</v>
      </c>
      <c r="F2191" s="1">
        <v>44569</v>
      </c>
      <c r="G2191" s="1">
        <v>44795</v>
      </c>
      <c r="H2191">
        <v>4967.93</v>
      </c>
      <c r="I2191">
        <v>926</v>
      </c>
      <c r="J2191">
        <v>-1438</v>
      </c>
      <c r="K2191" t="s">
        <v>21</v>
      </c>
      <c r="L2191">
        <v>7</v>
      </c>
      <c r="M2191" t="str">
        <f t="shared" si="34"/>
        <v>6-12 Months</v>
      </c>
      <c r="N2191" s="1">
        <v>44795</v>
      </c>
      <c r="O2191">
        <v>0</v>
      </c>
      <c r="P2191">
        <v>2190</v>
      </c>
      <c r="Q2191" s="2">
        <v>-0.28999999999999998</v>
      </c>
      <c r="R2191" t="s">
        <v>27</v>
      </c>
      <c r="S2191">
        <v>2022</v>
      </c>
      <c r="T2191" t="s">
        <v>36</v>
      </c>
    </row>
    <row r="2192" spans="1:20" hidden="1" x14ac:dyDescent="0.3">
      <c r="A2192">
        <v>3692</v>
      </c>
      <c r="B2192">
        <v>396</v>
      </c>
      <c r="C2192" t="s">
        <v>53</v>
      </c>
      <c r="D2192" t="s">
        <v>19</v>
      </c>
      <c r="E2192" t="s">
        <v>26</v>
      </c>
      <c r="F2192" s="1">
        <v>44701</v>
      </c>
      <c r="G2192" s="1">
        <v>44912</v>
      </c>
      <c r="H2192">
        <v>9239</v>
      </c>
      <c r="I2192">
        <v>1803</v>
      </c>
      <c r="J2192">
        <v>7436</v>
      </c>
      <c r="K2192" t="s">
        <v>54</v>
      </c>
      <c r="L2192">
        <v>6</v>
      </c>
      <c r="M2192" t="str">
        <f t="shared" si="34"/>
        <v>12+ Months</v>
      </c>
      <c r="N2192" s="1">
        <v>44912</v>
      </c>
      <c r="O2192">
        <v>0</v>
      </c>
      <c r="P2192">
        <v>2191</v>
      </c>
      <c r="Q2192" s="2">
        <v>0.8</v>
      </c>
      <c r="R2192" t="s">
        <v>27</v>
      </c>
      <c r="S2192">
        <v>2022</v>
      </c>
      <c r="T2192" t="s">
        <v>31</v>
      </c>
    </row>
    <row r="2193" spans="1:20" x14ac:dyDescent="0.3">
      <c r="A2193">
        <v>3693</v>
      </c>
      <c r="B2193">
        <v>134</v>
      </c>
      <c r="C2193" t="s">
        <v>53</v>
      </c>
      <c r="D2193" t="s">
        <v>25</v>
      </c>
      <c r="E2193" t="s">
        <v>37</v>
      </c>
      <c r="F2193" s="1">
        <v>44643</v>
      </c>
      <c r="G2193" s="1">
        <v>45166</v>
      </c>
      <c r="H2193">
        <v>7483</v>
      </c>
      <c r="I2193">
        <v>6350</v>
      </c>
      <c r="J2193">
        <v>1133</v>
      </c>
      <c r="K2193" t="s">
        <v>35</v>
      </c>
      <c r="L2193">
        <v>17</v>
      </c>
      <c r="M2193" t="str">
        <f t="shared" si="34"/>
        <v>6-12 Months</v>
      </c>
      <c r="N2193" s="1">
        <v>45166</v>
      </c>
      <c r="O2193">
        <v>1</v>
      </c>
      <c r="P2193">
        <v>2192</v>
      </c>
      <c r="Q2193" s="2">
        <v>0.15</v>
      </c>
      <c r="R2193" t="s">
        <v>27</v>
      </c>
      <c r="S2193">
        <v>2023</v>
      </c>
      <c r="T2193" t="s">
        <v>36</v>
      </c>
    </row>
    <row r="2194" spans="1:20" hidden="1" x14ac:dyDescent="0.3">
      <c r="A2194">
        <v>3694</v>
      </c>
      <c r="B2194">
        <v>206</v>
      </c>
      <c r="C2194" t="s">
        <v>24</v>
      </c>
      <c r="D2194" t="s">
        <v>19</v>
      </c>
      <c r="E2194" t="s">
        <v>37</v>
      </c>
      <c r="F2194" s="1">
        <v>44659</v>
      </c>
      <c r="G2194" s="1">
        <v>44823</v>
      </c>
      <c r="H2194">
        <v>4727</v>
      </c>
      <c r="I2194">
        <v>7917</v>
      </c>
      <c r="J2194">
        <v>-3190</v>
      </c>
      <c r="K2194" t="s">
        <v>54</v>
      </c>
      <c r="L2194">
        <v>5</v>
      </c>
      <c r="M2194" t="str">
        <f t="shared" si="34"/>
        <v>0-6 Months</v>
      </c>
      <c r="N2194" s="1">
        <v>44823</v>
      </c>
      <c r="O2194">
        <v>0</v>
      </c>
      <c r="P2194">
        <v>2193</v>
      </c>
      <c r="Q2194" s="2">
        <v>-0.67</v>
      </c>
      <c r="R2194" t="s">
        <v>27</v>
      </c>
      <c r="S2194">
        <v>2022</v>
      </c>
      <c r="T2194" t="s">
        <v>30</v>
      </c>
    </row>
    <row r="2195" spans="1:20" hidden="1" x14ac:dyDescent="0.3">
      <c r="A2195">
        <v>3696</v>
      </c>
      <c r="B2195">
        <v>151</v>
      </c>
      <c r="C2195" t="s">
        <v>53</v>
      </c>
      <c r="D2195" t="s">
        <v>19</v>
      </c>
      <c r="E2195" t="s">
        <v>26</v>
      </c>
      <c r="F2195" s="1">
        <v>44897</v>
      </c>
      <c r="G2195" s="1">
        <v>45025</v>
      </c>
      <c r="H2195">
        <v>8724</v>
      </c>
      <c r="I2195">
        <v>4598</v>
      </c>
      <c r="J2195">
        <v>4126</v>
      </c>
      <c r="K2195" t="s">
        <v>54</v>
      </c>
      <c r="L2195">
        <v>4</v>
      </c>
      <c r="M2195" t="str">
        <f t="shared" si="34"/>
        <v>0-6 Months</v>
      </c>
      <c r="N2195" s="1">
        <v>45025</v>
      </c>
      <c r="O2195">
        <v>1</v>
      </c>
      <c r="P2195">
        <v>2194</v>
      </c>
      <c r="Q2195" s="2">
        <v>0.47</v>
      </c>
      <c r="R2195" t="s">
        <v>27</v>
      </c>
      <c r="S2195">
        <v>2023</v>
      </c>
      <c r="T2195" t="s">
        <v>32</v>
      </c>
    </row>
    <row r="2196" spans="1:20" hidden="1" x14ac:dyDescent="0.3">
      <c r="A2196">
        <v>3697</v>
      </c>
      <c r="B2196">
        <v>367</v>
      </c>
      <c r="C2196" t="s">
        <v>45</v>
      </c>
      <c r="D2196" t="s">
        <v>19</v>
      </c>
      <c r="E2196" t="s">
        <v>37</v>
      </c>
      <c r="F2196" s="1">
        <v>44719</v>
      </c>
      <c r="G2196" s="1">
        <v>44804</v>
      </c>
      <c r="H2196">
        <v>7308</v>
      </c>
      <c r="I2196">
        <v>6021</v>
      </c>
      <c r="J2196">
        <v>1287</v>
      </c>
      <c r="K2196" t="s">
        <v>21</v>
      </c>
      <c r="L2196">
        <v>2</v>
      </c>
      <c r="M2196" t="str">
        <f t="shared" si="34"/>
        <v>0-6 Months</v>
      </c>
      <c r="N2196" s="1">
        <v>44804</v>
      </c>
      <c r="O2196">
        <v>0</v>
      </c>
      <c r="P2196">
        <v>2195</v>
      </c>
      <c r="Q2196" s="2">
        <v>0.18</v>
      </c>
      <c r="R2196" t="s">
        <v>27</v>
      </c>
      <c r="S2196">
        <v>2022</v>
      </c>
      <c r="T2196" t="s">
        <v>36</v>
      </c>
    </row>
    <row r="2197" spans="1:20" x14ac:dyDescent="0.3">
      <c r="A2197">
        <v>3698</v>
      </c>
      <c r="B2197">
        <v>435</v>
      </c>
      <c r="C2197" t="s">
        <v>53</v>
      </c>
      <c r="D2197" t="s">
        <v>34</v>
      </c>
      <c r="E2197" t="s">
        <v>20</v>
      </c>
      <c r="F2197" s="1">
        <v>44791</v>
      </c>
      <c r="G2197" s="1">
        <v>45028</v>
      </c>
      <c r="H2197">
        <v>7922</v>
      </c>
      <c r="I2197">
        <v>4847</v>
      </c>
      <c r="J2197">
        <v>3075</v>
      </c>
      <c r="K2197" t="s">
        <v>35</v>
      </c>
      <c r="L2197">
        <v>7</v>
      </c>
      <c r="M2197" t="str">
        <f t="shared" si="34"/>
        <v>6-12 Months</v>
      </c>
      <c r="N2197" s="1">
        <v>45028</v>
      </c>
      <c r="O2197">
        <v>1</v>
      </c>
      <c r="P2197">
        <v>2196</v>
      </c>
      <c r="Q2197" s="2">
        <v>0.39</v>
      </c>
      <c r="R2197" t="s">
        <v>27</v>
      </c>
      <c r="S2197">
        <v>2023</v>
      </c>
      <c r="T2197" t="s">
        <v>32</v>
      </c>
    </row>
    <row r="2198" spans="1:20" hidden="1" x14ac:dyDescent="0.3">
      <c r="A2198">
        <v>3702</v>
      </c>
      <c r="B2198">
        <v>492</v>
      </c>
      <c r="C2198" t="s">
        <v>53</v>
      </c>
      <c r="D2198" t="s">
        <v>19</v>
      </c>
      <c r="E2198" t="s">
        <v>26</v>
      </c>
      <c r="F2198" s="1">
        <v>44694</v>
      </c>
      <c r="G2198" s="1">
        <v>44915</v>
      </c>
      <c r="H2198">
        <v>4669</v>
      </c>
      <c r="I2198">
        <v>6364</v>
      </c>
      <c r="J2198">
        <v>-1695</v>
      </c>
      <c r="K2198" t="s">
        <v>21</v>
      </c>
      <c r="L2198">
        <v>7</v>
      </c>
      <c r="M2198" t="str">
        <f t="shared" si="34"/>
        <v>6-12 Months</v>
      </c>
      <c r="N2198" s="1">
        <v>44915</v>
      </c>
      <c r="O2198">
        <v>0</v>
      </c>
      <c r="P2198">
        <v>2197</v>
      </c>
      <c r="Q2198" s="2">
        <v>-0.36</v>
      </c>
      <c r="R2198" t="s">
        <v>27</v>
      </c>
      <c r="S2198">
        <v>2022</v>
      </c>
      <c r="T2198" t="s">
        <v>31</v>
      </c>
    </row>
    <row r="2199" spans="1:20" hidden="1" x14ac:dyDescent="0.3">
      <c r="A2199">
        <v>3703</v>
      </c>
      <c r="B2199">
        <v>197</v>
      </c>
      <c r="C2199" t="s">
        <v>53</v>
      </c>
      <c r="D2199" t="s">
        <v>34</v>
      </c>
      <c r="E2199" t="s">
        <v>26</v>
      </c>
      <c r="F2199" s="1">
        <v>44923</v>
      </c>
      <c r="G2199" s="1">
        <v>45366</v>
      </c>
      <c r="H2199">
        <v>1079</v>
      </c>
      <c r="I2199">
        <v>3961</v>
      </c>
      <c r="J2199">
        <v>-2882</v>
      </c>
      <c r="K2199" t="s">
        <v>54</v>
      </c>
      <c r="L2199">
        <v>14</v>
      </c>
      <c r="M2199" t="str">
        <f t="shared" si="34"/>
        <v>6-12 Months</v>
      </c>
      <c r="N2199" s="1">
        <v>45366</v>
      </c>
      <c r="O2199">
        <v>0</v>
      </c>
      <c r="P2199">
        <v>2198</v>
      </c>
      <c r="Q2199" s="2">
        <v>-2.67</v>
      </c>
      <c r="R2199" t="s">
        <v>22</v>
      </c>
      <c r="S2199">
        <v>2024</v>
      </c>
      <c r="T2199" t="s">
        <v>38</v>
      </c>
    </row>
    <row r="2200" spans="1:20" hidden="1" x14ac:dyDescent="0.3">
      <c r="A2200">
        <v>3704</v>
      </c>
      <c r="B2200">
        <v>449</v>
      </c>
      <c r="C2200" t="s">
        <v>40</v>
      </c>
      <c r="D2200" t="s">
        <v>19</v>
      </c>
      <c r="E2200" t="s">
        <v>37</v>
      </c>
      <c r="F2200" s="1">
        <v>44714</v>
      </c>
      <c r="G2200" s="1">
        <v>44781</v>
      </c>
      <c r="H2200">
        <v>636</v>
      </c>
      <c r="I2200">
        <v>245</v>
      </c>
      <c r="J2200">
        <v>391</v>
      </c>
      <c r="K2200" t="s">
        <v>21</v>
      </c>
      <c r="L2200">
        <v>2</v>
      </c>
      <c r="M2200" t="str">
        <f t="shared" si="34"/>
        <v>0-6 Months</v>
      </c>
      <c r="N2200" s="1">
        <v>44781</v>
      </c>
      <c r="O2200">
        <v>1</v>
      </c>
      <c r="P2200">
        <v>2199</v>
      </c>
      <c r="Q2200" s="2">
        <v>0.61</v>
      </c>
      <c r="R2200" t="s">
        <v>27</v>
      </c>
      <c r="S2200">
        <v>2022</v>
      </c>
      <c r="T2200" t="s">
        <v>36</v>
      </c>
    </row>
    <row r="2201" spans="1:20" hidden="1" x14ac:dyDescent="0.3">
      <c r="A2201">
        <v>3706</v>
      </c>
      <c r="B2201">
        <v>439</v>
      </c>
      <c r="C2201" t="s">
        <v>24</v>
      </c>
      <c r="D2201" t="s">
        <v>34</v>
      </c>
      <c r="E2201" t="s">
        <v>20</v>
      </c>
      <c r="F2201" s="1">
        <v>44690</v>
      </c>
      <c r="G2201" s="1">
        <v>45164</v>
      </c>
      <c r="H2201">
        <v>8324</v>
      </c>
      <c r="I2201">
        <v>2459</v>
      </c>
      <c r="J2201">
        <v>5865</v>
      </c>
      <c r="K2201" t="s">
        <v>54</v>
      </c>
      <c r="L2201">
        <v>15</v>
      </c>
      <c r="M2201" t="str">
        <f t="shared" si="34"/>
        <v>6-12 Months</v>
      </c>
      <c r="N2201" s="1">
        <v>45164</v>
      </c>
      <c r="O2201">
        <v>1</v>
      </c>
      <c r="P2201">
        <v>2200</v>
      </c>
      <c r="Q2201" s="2">
        <v>0.7</v>
      </c>
      <c r="R2201" t="s">
        <v>27</v>
      </c>
      <c r="S2201">
        <v>2023</v>
      </c>
      <c r="T2201" t="s">
        <v>36</v>
      </c>
    </row>
    <row r="2202" spans="1:20" hidden="1" x14ac:dyDescent="0.3">
      <c r="A2202">
        <v>3707</v>
      </c>
      <c r="B2202">
        <v>188</v>
      </c>
      <c r="C2202" t="s">
        <v>40</v>
      </c>
      <c r="D2202" t="s">
        <v>29</v>
      </c>
      <c r="E2202" t="s">
        <v>26</v>
      </c>
      <c r="F2202" s="1">
        <v>44788</v>
      </c>
      <c r="G2202" s="1">
        <v>45206</v>
      </c>
      <c r="H2202">
        <v>4521</v>
      </c>
      <c r="I2202">
        <v>575</v>
      </c>
      <c r="J2202">
        <v>3946</v>
      </c>
      <c r="K2202" t="s">
        <v>21</v>
      </c>
      <c r="L2202">
        <v>13</v>
      </c>
      <c r="M2202" t="str">
        <f t="shared" si="34"/>
        <v>6-12 Months</v>
      </c>
      <c r="N2202" s="1">
        <v>45206</v>
      </c>
      <c r="O2202">
        <v>0</v>
      </c>
      <c r="P2202">
        <v>2201</v>
      </c>
      <c r="Q2202" s="2">
        <v>0.87</v>
      </c>
      <c r="R2202" t="s">
        <v>27</v>
      </c>
      <c r="S2202">
        <v>2023</v>
      </c>
      <c r="T2202" t="s">
        <v>33</v>
      </c>
    </row>
    <row r="2203" spans="1:20" hidden="1" x14ac:dyDescent="0.3">
      <c r="A2203">
        <v>3709</v>
      </c>
      <c r="B2203">
        <v>367</v>
      </c>
      <c r="C2203" t="s">
        <v>40</v>
      </c>
      <c r="D2203" t="s">
        <v>19</v>
      </c>
      <c r="E2203" t="s">
        <v>37</v>
      </c>
      <c r="F2203" s="1">
        <v>44799</v>
      </c>
      <c r="G2203" s="1">
        <v>45222</v>
      </c>
      <c r="H2203">
        <v>209</v>
      </c>
      <c r="I2203">
        <v>1641</v>
      </c>
      <c r="J2203">
        <v>-1432</v>
      </c>
      <c r="K2203" t="s">
        <v>21</v>
      </c>
      <c r="L2203">
        <v>13</v>
      </c>
      <c r="M2203" t="str">
        <f t="shared" si="34"/>
        <v>6-12 Months</v>
      </c>
      <c r="N2203" s="1">
        <v>45222</v>
      </c>
      <c r="O2203">
        <v>0</v>
      </c>
      <c r="P2203">
        <v>2202</v>
      </c>
      <c r="Q2203" s="2">
        <v>-6.85</v>
      </c>
      <c r="R2203" t="s">
        <v>22</v>
      </c>
      <c r="S2203">
        <v>2023</v>
      </c>
      <c r="T2203" t="s">
        <v>33</v>
      </c>
    </row>
    <row r="2204" spans="1:20" hidden="1" x14ac:dyDescent="0.3">
      <c r="A2204">
        <v>3711</v>
      </c>
      <c r="B2204">
        <v>446</v>
      </c>
      <c r="C2204" t="s">
        <v>24</v>
      </c>
      <c r="D2204" t="s">
        <v>29</v>
      </c>
      <c r="E2204" t="s">
        <v>26</v>
      </c>
      <c r="F2204" s="1">
        <v>44730</v>
      </c>
      <c r="G2204" s="1">
        <v>45283</v>
      </c>
      <c r="H2204">
        <v>1728</v>
      </c>
      <c r="I2204">
        <v>4241</v>
      </c>
      <c r="J2204">
        <v>-2513</v>
      </c>
      <c r="K2204" t="s">
        <v>21</v>
      </c>
      <c r="L2204">
        <v>18</v>
      </c>
      <c r="M2204" t="str">
        <f t="shared" si="34"/>
        <v>6-12 Months</v>
      </c>
      <c r="N2204" s="1">
        <v>45283</v>
      </c>
      <c r="O2204">
        <v>1</v>
      </c>
      <c r="P2204">
        <v>2203</v>
      </c>
      <c r="Q2204" s="2">
        <v>-1.45</v>
      </c>
      <c r="R2204" t="s">
        <v>22</v>
      </c>
      <c r="S2204">
        <v>2023</v>
      </c>
      <c r="T2204" t="s">
        <v>31</v>
      </c>
    </row>
    <row r="2205" spans="1:20" hidden="1" x14ac:dyDescent="0.3">
      <c r="A2205">
        <v>3712</v>
      </c>
      <c r="B2205">
        <v>301</v>
      </c>
      <c r="C2205" t="s">
        <v>39</v>
      </c>
      <c r="D2205" t="s">
        <v>19</v>
      </c>
      <c r="E2205" t="s">
        <v>26</v>
      </c>
      <c r="F2205" s="1">
        <v>44574</v>
      </c>
      <c r="G2205" s="1">
        <v>44707</v>
      </c>
      <c r="H2205">
        <v>4967.93</v>
      </c>
      <c r="I2205">
        <v>3504</v>
      </c>
      <c r="J2205">
        <v>-4839</v>
      </c>
      <c r="K2205" t="s">
        <v>21</v>
      </c>
      <c r="L2205">
        <v>4</v>
      </c>
      <c r="M2205" t="str">
        <f t="shared" si="34"/>
        <v>0-6 Months</v>
      </c>
      <c r="N2205" s="1">
        <v>44707</v>
      </c>
      <c r="O2205">
        <v>1</v>
      </c>
      <c r="P2205">
        <v>2204</v>
      </c>
      <c r="Q2205" s="2">
        <v>-0.97</v>
      </c>
      <c r="R2205" t="s">
        <v>27</v>
      </c>
      <c r="S2205">
        <v>2022</v>
      </c>
      <c r="T2205" t="s">
        <v>28</v>
      </c>
    </row>
    <row r="2206" spans="1:20" hidden="1" x14ac:dyDescent="0.3">
      <c r="A2206">
        <v>3714</v>
      </c>
      <c r="B2206">
        <v>134</v>
      </c>
      <c r="C2206" t="s">
        <v>40</v>
      </c>
      <c r="D2206" t="s">
        <v>19</v>
      </c>
      <c r="E2206" t="s">
        <v>37</v>
      </c>
      <c r="F2206" s="1">
        <v>44798</v>
      </c>
      <c r="G2206" s="1">
        <v>44907</v>
      </c>
      <c r="H2206">
        <v>5167</v>
      </c>
      <c r="I2206">
        <v>5162</v>
      </c>
      <c r="J2206">
        <v>577.01</v>
      </c>
      <c r="K2206" t="s">
        <v>54</v>
      </c>
      <c r="L2206">
        <v>3</v>
      </c>
      <c r="M2206" t="str">
        <f t="shared" si="34"/>
        <v>0-6 Months</v>
      </c>
      <c r="N2206" s="1">
        <v>44907</v>
      </c>
      <c r="O2206">
        <v>0</v>
      </c>
      <c r="P2206">
        <v>2205</v>
      </c>
      <c r="Q2206" s="2">
        <v>0.11</v>
      </c>
      <c r="R2206" t="s">
        <v>27</v>
      </c>
      <c r="S2206">
        <v>2022</v>
      </c>
      <c r="T2206" t="s">
        <v>31</v>
      </c>
    </row>
    <row r="2207" spans="1:20" hidden="1" x14ac:dyDescent="0.3">
      <c r="A2207">
        <v>3715</v>
      </c>
      <c r="B2207">
        <v>274</v>
      </c>
      <c r="C2207" t="s">
        <v>40</v>
      </c>
      <c r="D2207" t="s">
        <v>34</v>
      </c>
      <c r="E2207" t="s">
        <v>26</v>
      </c>
      <c r="F2207" s="1">
        <v>44656</v>
      </c>
      <c r="G2207" s="1">
        <v>45244</v>
      </c>
      <c r="H2207">
        <v>50</v>
      </c>
      <c r="I2207">
        <v>6555</v>
      </c>
      <c r="J2207">
        <v>-6505</v>
      </c>
      <c r="K2207" t="s">
        <v>21</v>
      </c>
      <c r="L2207">
        <v>19</v>
      </c>
      <c r="M2207" t="str">
        <f t="shared" si="34"/>
        <v>6-12 Months</v>
      </c>
      <c r="N2207" s="1">
        <v>45244</v>
      </c>
      <c r="O2207">
        <v>0</v>
      </c>
      <c r="P2207">
        <v>2206</v>
      </c>
      <c r="Q2207" s="2">
        <v>-130.1</v>
      </c>
      <c r="R2207" t="s">
        <v>22</v>
      </c>
      <c r="S2207">
        <v>2023</v>
      </c>
      <c r="T2207" t="s">
        <v>42</v>
      </c>
    </row>
    <row r="2208" spans="1:20" hidden="1" x14ac:dyDescent="0.3">
      <c r="A2208">
        <v>3716</v>
      </c>
      <c r="B2208">
        <v>312</v>
      </c>
      <c r="C2208" t="s">
        <v>40</v>
      </c>
      <c r="D2208" t="s">
        <v>25</v>
      </c>
      <c r="E2208" t="s">
        <v>37</v>
      </c>
      <c r="F2208" s="1">
        <v>44632</v>
      </c>
      <c r="G2208" s="1">
        <v>44832</v>
      </c>
      <c r="H2208">
        <v>6690</v>
      </c>
      <c r="I2208">
        <v>2574</v>
      </c>
      <c r="J2208">
        <v>4116</v>
      </c>
      <c r="K2208" t="s">
        <v>54</v>
      </c>
      <c r="L2208">
        <v>6</v>
      </c>
      <c r="M2208" t="str">
        <f t="shared" si="34"/>
        <v>12+ Months</v>
      </c>
      <c r="N2208" s="1">
        <v>44832</v>
      </c>
      <c r="O2208">
        <v>0</v>
      </c>
      <c r="P2208">
        <v>2207</v>
      </c>
      <c r="Q2208" s="2">
        <v>0.62</v>
      </c>
      <c r="R2208" t="s">
        <v>27</v>
      </c>
      <c r="S2208">
        <v>2022</v>
      </c>
      <c r="T2208" t="s">
        <v>30</v>
      </c>
    </row>
    <row r="2209" spans="1:20" hidden="1" x14ac:dyDescent="0.3">
      <c r="A2209">
        <v>3717</v>
      </c>
      <c r="B2209">
        <v>244</v>
      </c>
      <c r="C2209" t="s">
        <v>24</v>
      </c>
      <c r="D2209" t="s">
        <v>34</v>
      </c>
      <c r="E2209" t="s">
        <v>26</v>
      </c>
      <c r="F2209" s="1">
        <v>44568</v>
      </c>
      <c r="G2209" s="1">
        <v>44744</v>
      </c>
      <c r="H2209">
        <v>2960</v>
      </c>
      <c r="I2209">
        <v>4012.75</v>
      </c>
      <c r="J2209">
        <v>3159</v>
      </c>
      <c r="K2209" t="s">
        <v>21</v>
      </c>
      <c r="L2209">
        <v>5</v>
      </c>
      <c r="M2209" t="str">
        <f t="shared" si="34"/>
        <v>0-6 Months</v>
      </c>
      <c r="N2209" s="1">
        <v>44744</v>
      </c>
      <c r="O2209">
        <v>1</v>
      </c>
      <c r="P2209">
        <v>2208</v>
      </c>
      <c r="Q2209" s="2">
        <v>1.07</v>
      </c>
      <c r="R2209" t="s">
        <v>22</v>
      </c>
      <c r="S2209">
        <v>2022</v>
      </c>
      <c r="T2209" t="s">
        <v>44</v>
      </c>
    </row>
    <row r="2210" spans="1:20" hidden="1" x14ac:dyDescent="0.3">
      <c r="A2210">
        <v>3718</v>
      </c>
      <c r="B2210">
        <v>403</v>
      </c>
      <c r="C2210" t="s">
        <v>53</v>
      </c>
      <c r="D2210" t="s">
        <v>34</v>
      </c>
      <c r="E2210" t="s">
        <v>20</v>
      </c>
      <c r="F2210" s="1">
        <v>44680</v>
      </c>
      <c r="G2210" s="1">
        <v>45144</v>
      </c>
      <c r="H2210">
        <v>3129</v>
      </c>
      <c r="I2210">
        <v>2883</v>
      </c>
      <c r="J2210">
        <v>246</v>
      </c>
      <c r="K2210" t="s">
        <v>54</v>
      </c>
      <c r="L2210">
        <v>15</v>
      </c>
      <c r="M2210" t="str">
        <f t="shared" si="34"/>
        <v>6-12 Months</v>
      </c>
      <c r="N2210" s="1">
        <v>45144</v>
      </c>
      <c r="O2210">
        <v>0</v>
      </c>
      <c r="P2210">
        <v>2209</v>
      </c>
      <c r="Q2210" s="2">
        <v>0.08</v>
      </c>
      <c r="R2210" t="s">
        <v>27</v>
      </c>
      <c r="S2210">
        <v>2023</v>
      </c>
      <c r="T2210" t="s">
        <v>36</v>
      </c>
    </row>
    <row r="2211" spans="1:20" hidden="1" x14ac:dyDescent="0.3">
      <c r="A2211">
        <v>3720</v>
      </c>
      <c r="B2211">
        <v>307</v>
      </c>
      <c r="C2211" t="s">
        <v>53</v>
      </c>
      <c r="D2211" t="s">
        <v>25</v>
      </c>
      <c r="E2211" t="s">
        <v>20</v>
      </c>
      <c r="F2211" s="1">
        <v>44706</v>
      </c>
      <c r="G2211" s="1">
        <v>44969</v>
      </c>
      <c r="H2211">
        <v>3868</v>
      </c>
      <c r="I2211">
        <v>305</v>
      </c>
      <c r="J2211">
        <v>3563</v>
      </c>
      <c r="K2211" t="s">
        <v>54</v>
      </c>
      <c r="L2211">
        <v>8</v>
      </c>
      <c r="M2211" t="str">
        <f t="shared" si="34"/>
        <v>6-12 Months</v>
      </c>
      <c r="N2211" s="1">
        <v>44969</v>
      </c>
      <c r="O2211">
        <v>1</v>
      </c>
      <c r="P2211">
        <v>2210</v>
      </c>
      <c r="Q2211" s="2">
        <v>0.92</v>
      </c>
      <c r="R2211" t="s">
        <v>27</v>
      </c>
      <c r="S2211">
        <v>2023</v>
      </c>
      <c r="T2211" t="s">
        <v>43</v>
      </c>
    </row>
    <row r="2212" spans="1:20" hidden="1" x14ac:dyDescent="0.3">
      <c r="A2212">
        <v>3723</v>
      </c>
      <c r="B2212">
        <v>205</v>
      </c>
      <c r="C2212" t="s">
        <v>45</v>
      </c>
      <c r="D2212" t="s">
        <v>25</v>
      </c>
      <c r="E2212" t="s">
        <v>37</v>
      </c>
      <c r="F2212" s="1">
        <v>44917</v>
      </c>
      <c r="G2212" s="1">
        <v>45073</v>
      </c>
      <c r="H2212">
        <v>4945</v>
      </c>
      <c r="I2212">
        <v>5806</v>
      </c>
      <c r="J2212">
        <v>-861</v>
      </c>
      <c r="K2212" t="s">
        <v>54</v>
      </c>
      <c r="L2212">
        <v>5</v>
      </c>
      <c r="M2212" t="str">
        <f t="shared" si="34"/>
        <v>0-6 Months</v>
      </c>
      <c r="N2212" s="1">
        <v>45073</v>
      </c>
      <c r="O2212">
        <v>1</v>
      </c>
      <c r="P2212">
        <v>2211</v>
      </c>
      <c r="Q2212" s="2">
        <v>-0.17</v>
      </c>
      <c r="R2212" t="s">
        <v>27</v>
      </c>
      <c r="S2212">
        <v>2023</v>
      </c>
      <c r="T2212" t="s">
        <v>28</v>
      </c>
    </row>
    <row r="2213" spans="1:20" hidden="1" x14ac:dyDescent="0.3">
      <c r="A2213">
        <v>3724</v>
      </c>
      <c r="B2213">
        <v>124</v>
      </c>
      <c r="C2213" t="s">
        <v>45</v>
      </c>
      <c r="D2213" t="s">
        <v>25</v>
      </c>
      <c r="E2213" t="s">
        <v>26</v>
      </c>
      <c r="F2213" s="1">
        <v>44698</v>
      </c>
      <c r="G2213" s="1">
        <v>45121</v>
      </c>
      <c r="H2213">
        <v>4278</v>
      </c>
      <c r="I2213">
        <v>1908</v>
      </c>
      <c r="J2213">
        <v>2370</v>
      </c>
      <c r="K2213" t="s">
        <v>54</v>
      </c>
      <c r="L2213">
        <v>13</v>
      </c>
      <c r="M2213" t="str">
        <f t="shared" si="34"/>
        <v>6-12 Months</v>
      </c>
      <c r="N2213" s="1">
        <v>45121</v>
      </c>
      <c r="O2213">
        <v>1</v>
      </c>
      <c r="P2213">
        <v>2212</v>
      </c>
      <c r="Q2213" s="2">
        <v>0.55000000000000004</v>
      </c>
      <c r="R2213" t="s">
        <v>27</v>
      </c>
      <c r="S2213">
        <v>2023</v>
      </c>
      <c r="T2213" t="s">
        <v>44</v>
      </c>
    </row>
    <row r="2214" spans="1:20" hidden="1" x14ac:dyDescent="0.3">
      <c r="A2214">
        <v>3725</v>
      </c>
      <c r="B2214">
        <v>305</v>
      </c>
      <c r="C2214" t="s">
        <v>45</v>
      </c>
      <c r="D2214" t="s">
        <v>19</v>
      </c>
      <c r="E2214" t="s">
        <v>26</v>
      </c>
      <c r="F2214" s="1">
        <v>44745</v>
      </c>
      <c r="G2214" s="1">
        <v>45201</v>
      </c>
      <c r="H2214">
        <v>457</v>
      </c>
      <c r="I2214">
        <v>2744</v>
      </c>
      <c r="J2214">
        <v>-2287</v>
      </c>
      <c r="K2214" t="s">
        <v>54</v>
      </c>
      <c r="L2214">
        <v>14</v>
      </c>
      <c r="M2214" t="str">
        <f t="shared" si="34"/>
        <v>6-12 Months</v>
      </c>
      <c r="N2214" s="1">
        <v>45201</v>
      </c>
      <c r="O2214">
        <v>1</v>
      </c>
      <c r="P2214">
        <v>2213</v>
      </c>
      <c r="Q2214" s="2">
        <v>-5</v>
      </c>
      <c r="R2214" t="s">
        <v>22</v>
      </c>
      <c r="S2214">
        <v>2023</v>
      </c>
      <c r="T2214" t="s">
        <v>33</v>
      </c>
    </row>
    <row r="2215" spans="1:20" hidden="1" x14ac:dyDescent="0.3">
      <c r="A2215">
        <v>3726</v>
      </c>
      <c r="B2215">
        <v>183</v>
      </c>
      <c r="C2215" t="s">
        <v>45</v>
      </c>
      <c r="D2215" t="s">
        <v>29</v>
      </c>
      <c r="E2215" t="s">
        <v>20</v>
      </c>
      <c r="F2215" s="1">
        <v>44680</v>
      </c>
      <c r="G2215" s="1">
        <v>44848</v>
      </c>
      <c r="H2215">
        <v>2272</v>
      </c>
      <c r="I2215">
        <v>2469</v>
      </c>
      <c r="J2215">
        <v>577.01</v>
      </c>
      <c r="K2215" t="s">
        <v>54</v>
      </c>
      <c r="L2215">
        <v>5</v>
      </c>
      <c r="M2215" t="str">
        <f t="shared" si="34"/>
        <v>0-6 Months</v>
      </c>
      <c r="N2215" s="1">
        <v>44848</v>
      </c>
      <c r="O2215">
        <v>1</v>
      </c>
      <c r="P2215">
        <v>2214</v>
      </c>
      <c r="Q2215" s="2">
        <v>0.25</v>
      </c>
      <c r="R2215" t="s">
        <v>27</v>
      </c>
      <c r="S2215">
        <v>2022</v>
      </c>
      <c r="T2215" t="s">
        <v>33</v>
      </c>
    </row>
    <row r="2216" spans="1:20" hidden="1" x14ac:dyDescent="0.3">
      <c r="A2216">
        <v>3727</v>
      </c>
      <c r="B2216">
        <v>417</v>
      </c>
      <c r="C2216" t="s">
        <v>45</v>
      </c>
      <c r="D2216" t="s">
        <v>34</v>
      </c>
      <c r="E2216" t="s">
        <v>20</v>
      </c>
      <c r="F2216" s="1">
        <v>44730</v>
      </c>
      <c r="G2216" s="1">
        <v>45156</v>
      </c>
      <c r="H2216">
        <v>5906</v>
      </c>
      <c r="I2216">
        <v>1723</v>
      </c>
      <c r="J2216">
        <v>4183</v>
      </c>
      <c r="K2216" t="s">
        <v>54</v>
      </c>
      <c r="L2216">
        <v>14</v>
      </c>
      <c r="M2216" t="str">
        <f t="shared" si="34"/>
        <v>6-12 Months</v>
      </c>
      <c r="N2216" s="1">
        <v>45156</v>
      </c>
      <c r="O2216">
        <v>1</v>
      </c>
      <c r="P2216">
        <v>2215</v>
      </c>
      <c r="Q2216" s="2">
        <v>0.71</v>
      </c>
      <c r="R2216" t="s">
        <v>27</v>
      </c>
      <c r="S2216">
        <v>2023</v>
      </c>
      <c r="T2216" t="s">
        <v>36</v>
      </c>
    </row>
    <row r="2217" spans="1:20" x14ac:dyDescent="0.3">
      <c r="A2217">
        <v>3728</v>
      </c>
      <c r="B2217">
        <v>413</v>
      </c>
      <c r="C2217" t="s">
        <v>24</v>
      </c>
      <c r="D2217" t="s">
        <v>19</v>
      </c>
      <c r="E2217" t="s">
        <v>37</v>
      </c>
      <c r="F2217" s="1">
        <v>44588</v>
      </c>
      <c r="G2217" s="1">
        <v>44681</v>
      </c>
      <c r="H2217">
        <v>4300</v>
      </c>
      <c r="I2217">
        <v>1602</v>
      </c>
      <c r="J2217">
        <v>2698</v>
      </c>
      <c r="K2217" t="s">
        <v>35</v>
      </c>
      <c r="L2217">
        <v>3</v>
      </c>
      <c r="M2217" t="str">
        <f t="shared" si="34"/>
        <v>0-6 Months</v>
      </c>
      <c r="N2217" s="1">
        <v>44681</v>
      </c>
      <c r="O2217">
        <v>0</v>
      </c>
      <c r="P2217">
        <v>2216</v>
      </c>
      <c r="Q2217" s="2">
        <v>0.63</v>
      </c>
      <c r="R2217" t="s">
        <v>27</v>
      </c>
      <c r="S2217">
        <v>2022</v>
      </c>
      <c r="T2217" t="s">
        <v>32</v>
      </c>
    </row>
    <row r="2218" spans="1:20" x14ac:dyDescent="0.3">
      <c r="A2218">
        <v>3729</v>
      </c>
      <c r="B2218">
        <v>423</v>
      </c>
      <c r="C2218" t="s">
        <v>53</v>
      </c>
      <c r="D2218" t="s">
        <v>29</v>
      </c>
      <c r="E2218" t="s">
        <v>20</v>
      </c>
      <c r="F2218" s="1">
        <v>44594</v>
      </c>
      <c r="G2218" s="1">
        <v>45135</v>
      </c>
      <c r="H2218">
        <v>3322</v>
      </c>
      <c r="I2218">
        <v>3528</v>
      </c>
      <c r="J2218">
        <v>-206</v>
      </c>
      <c r="K2218" t="s">
        <v>35</v>
      </c>
      <c r="L2218">
        <v>17</v>
      </c>
      <c r="M2218" t="str">
        <f t="shared" si="34"/>
        <v>6-12 Months</v>
      </c>
      <c r="N2218" s="1">
        <v>45135</v>
      </c>
      <c r="O2218">
        <v>0</v>
      </c>
      <c r="P2218">
        <v>2217</v>
      </c>
      <c r="Q2218" s="2">
        <v>-0.06</v>
      </c>
      <c r="R2218" t="s">
        <v>27</v>
      </c>
      <c r="S2218">
        <v>2023</v>
      </c>
      <c r="T2218" t="s">
        <v>44</v>
      </c>
    </row>
    <row r="2219" spans="1:20" hidden="1" x14ac:dyDescent="0.3">
      <c r="A2219">
        <v>3733</v>
      </c>
      <c r="B2219">
        <v>245</v>
      </c>
      <c r="C2219" t="s">
        <v>53</v>
      </c>
      <c r="D2219" t="s">
        <v>25</v>
      </c>
      <c r="E2219" t="s">
        <v>20</v>
      </c>
      <c r="F2219" s="1">
        <v>44762</v>
      </c>
      <c r="G2219" s="1">
        <v>44868</v>
      </c>
      <c r="H2219">
        <v>9846</v>
      </c>
      <c r="I2219">
        <v>5783</v>
      </c>
      <c r="J2219">
        <v>577.01</v>
      </c>
      <c r="K2219" t="s">
        <v>54</v>
      </c>
      <c r="L2219">
        <v>3</v>
      </c>
      <c r="M2219" t="str">
        <f t="shared" si="34"/>
        <v>0-6 Months</v>
      </c>
      <c r="N2219" s="1">
        <v>44868</v>
      </c>
      <c r="O2219">
        <v>0</v>
      </c>
      <c r="P2219">
        <v>2218</v>
      </c>
      <c r="Q2219" s="2">
        <v>0.06</v>
      </c>
      <c r="R2219" t="s">
        <v>27</v>
      </c>
      <c r="S2219">
        <v>2022</v>
      </c>
      <c r="T2219" t="s">
        <v>42</v>
      </c>
    </row>
    <row r="2220" spans="1:20" x14ac:dyDescent="0.3">
      <c r="A2220">
        <v>3734</v>
      </c>
      <c r="B2220">
        <v>215</v>
      </c>
      <c r="C2220" t="s">
        <v>39</v>
      </c>
      <c r="D2220" t="s">
        <v>19</v>
      </c>
      <c r="E2220" t="s">
        <v>26</v>
      </c>
      <c r="F2220" s="1">
        <v>44924</v>
      </c>
      <c r="G2220" s="1">
        <v>45413</v>
      </c>
      <c r="H2220">
        <v>9644</v>
      </c>
      <c r="I2220">
        <v>4012.75</v>
      </c>
      <c r="J2220">
        <v>9947</v>
      </c>
      <c r="K2220" t="s">
        <v>35</v>
      </c>
      <c r="L2220">
        <v>16</v>
      </c>
      <c r="M2220" t="str">
        <f t="shared" si="34"/>
        <v>6-12 Months</v>
      </c>
      <c r="N2220" s="1">
        <v>45413</v>
      </c>
      <c r="O2220">
        <v>0</v>
      </c>
      <c r="P2220">
        <v>2219</v>
      </c>
      <c r="Q2220" s="2">
        <v>1.03</v>
      </c>
      <c r="R2220" t="s">
        <v>22</v>
      </c>
      <c r="S2220">
        <v>2024</v>
      </c>
      <c r="T2220" t="s">
        <v>28</v>
      </c>
    </row>
    <row r="2221" spans="1:20" x14ac:dyDescent="0.3">
      <c r="A2221">
        <v>3735</v>
      </c>
      <c r="B2221">
        <v>154</v>
      </c>
      <c r="C2221" t="s">
        <v>39</v>
      </c>
      <c r="D2221" t="s">
        <v>34</v>
      </c>
      <c r="E2221" t="s">
        <v>26</v>
      </c>
      <c r="F2221" s="1">
        <v>44727</v>
      </c>
      <c r="G2221" s="1">
        <v>44802</v>
      </c>
      <c r="H2221">
        <v>4967.93</v>
      </c>
      <c r="I2221">
        <v>4012.75</v>
      </c>
      <c r="J2221">
        <v>-486</v>
      </c>
      <c r="K2221" t="s">
        <v>35</v>
      </c>
      <c r="L2221">
        <v>2</v>
      </c>
      <c r="M2221" t="str">
        <f t="shared" si="34"/>
        <v>0-6 Months</v>
      </c>
      <c r="N2221" s="1">
        <v>44802</v>
      </c>
      <c r="O2221">
        <v>0</v>
      </c>
      <c r="P2221">
        <v>2220</v>
      </c>
      <c r="Q2221" s="2">
        <v>-0.1</v>
      </c>
      <c r="R2221" t="s">
        <v>27</v>
      </c>
      <c r="S2221">
        <v>2022</v>
      </c>
      <c r="T2221" t="s">
        <v>36</v>
      </c>
    </row>
    <row r="2222" spans="1:20" hidden="1" x14ac:dyDescent="0.3">
      <c r="A2222">
        <v>3736</v>
      </c>
      <c r="B2222">
        <v>285</v>
      </c>
      <c r="C2222" t="s">
        <v>40</v>
      </c>
      <c r="D2222" t="s">
        <v>29</v>
      </c>
      <c r="E2222" t="s">
        <v>20</v>
      </c>
      <c r="F2222" s="1">
        <v>44628</v>
      </c>
      <c r="G2222" s="1">
        <v>45149</v>
      </c>
      <c r="H2222">
        <v>1693</v>
      </c>
      <c r="I2222">
        <v>1822</v>
      </c>
      <c r="J2222">
        <v>-129</v>
      </c>
      <c r="K2222" t="s">
        <v>54</v>
      </c>
      <c r="L2222">
        <v>17</v>
      </c>
      <c r="M2222" t="str">
        <f t="shared" si="34"/>
        <v>6-12 Months</v>
      </c>
      <c r="N2222" s="1">
        <v>45149</v>
      </c>
      <c r="O2222">
        <v>0</v>
      </c>
      <c r="P2222">
        <v>2221</v>
      </c>
      <c r="Q2222" s="2">
        <v>-0.08</v>
      </c>
      <c r="R2222" t="s">
        <v>27</v>
      </c>
      <c r="S2222">
        <v>2023</v>
      </c>
      <c r="T2222" t="s">
        <v>36</v>
      </c>
    </row>
    <row r="2223" spans="1:20" hidden="1" x14ac:dyDescent="0.3">
      <c r="A2223">
        <v>3737</v>
      </c>
      <c r="B2223">
        <v>122</v>
      </c>
      <c r="C2223" t="s">
        <v>45</v>
      </c>
      <c r="D2223" t="s">
        <v>34</v>
      </c>
      <c r="E2223" t="s">
        <v>37</v>
      </c>
      <c r="F2223" s="1">
        <v>44631</v>
      </c>
      <c r="G2223" s="1">
        <v>44958</v>
      </c>
      <c r="H2223">
        <v>5197</v>
      </c>
      <c r="I2223">
        <v>4012.75</v>
      </c>
      <c r="J2223">
        <v>5737</v>
      </c>
      <c r="K2223" t="s">
        <v>54</v>
      </c>
      <c r="L2223">
        <v>10</v>
      </c>
      <c r="M2223" t="str">
        <f t="shared" si="34"/>
        <v>6-12 Months</v>
      </c>
      <c r="N2223" s="1">
        <v>44958</v>
      </c>
      <c r="O2223">
        <v>1</v>
      </c>
      <c r="P2223">
        <v>2222</v>
      </c>
      <c r="Q2223" s="2">
        <v>1.1000000000000001</v>
      </c>
      <c r="R2223" t="s">
        <v>22</v>
      </c>
      <c r="S2223">
        <v>2023</v>
      </c>
      <c r="T2223" t="s">
        <v>43</v>
      </c>
    </row>
    <row r="2224" spans="1:20" hidden="1" x14ac:dyDescent="0.3">
      <c r="A2224">
        <v>3741</v>
      </c>
      <c r="B2224">
        <v>464</v>
      </c>
      <c r="C2224" t="s">
        <v>39</v>
      </c>
      <c r="D2224" t="s">
        <v>19</v>
      </c>
      <c r="E2224" t="s">
        <v>37</v>
      </c>
      <c r="F2224" s="1">
        <v>44608</v>
      </c>
      <c r="G2224" s="1">
        <v>44750</v>
      </c>
      <c r="H2224">
        <v>3540</v>
      </c>
      <c r="I2224">
        <v>5437</v>
      </c>
      <c r="J2224">
        <v>-1897</v>
      </c>
      <c r="K2224" t="s">
        <v>21</v>
      </c>
      <c r="L2224">
        <v>4</v>
      </c>
      <c r="M2224" t="str">
        <f t="shared" si="34"/>
        <v>0-6 Months</v>
      </c>
      <c r="N2224" s="1">
        <v>44750</v>
      </c>
      <c r="O2224">
        <v>0</v>
      </c>
      <c r="P2224">
        <v>2223</v>
      </c>
      <c r="Q2224" s="2">
        <v>-0.54</v>
      </c>
      <c r="R2224" t="s">
        <v>27</v>
      </c>
      <c r="S2224">
        <v>2022</v>
      </c>
      <c r="T2224" t="s">
        <v>44</v>
      </c>
    </row>
    <row r="2225" spans="1:20" hidden="1" x14ac:dyDescent="0.3">
      <c r="A2225">
        <v>3742</v>
      </c>
      <c r="B2225">
        <v>212</v>
      </c>
      <c r="C2225" t="s">
        <v>24</v>
      </c>
      <c r="D2225" t="s">
        <v>25</v>
      </c>
      <c r="E2225" t="s">
        <v>37</v>
      </c>
      <c r="F2225" s="1">
        <v>44565</v>
      </c>
      <c r="G2225" s="1">
        <v>45156</v>
      </c>
      <c r="H2225">
        <v>5035</v>
      </c>
      <c r="I2225">
        <v>5</v>
      </c>
      <c r="J2225">
        <v>5030</v>
      </c>
      <c r="K2225" t="s">
        <v>54</v>
      </c>
      <c r="L2225">
        <v>19</v>
      </c>
      <c r="M2225" t="str">
        <f t="shared" si="34"/>
        <v>6-12 Months</v>
      </c>
      <c r="N2225" s="1">
        <v>45156</v>
      </c>
      <c r="O2225">
        <v>0</v>
      </c>
      <c r="P2225">
        <v>2224</v>
      </c>
      <c r="Q2225" s="2">
        <v>1</v>
      </c>
      <c r="R2225" t="s">
        <v>27</v>
      </c>
      <c r="S2225">
        <v>2023</v>
      </c>
      <c r="T2225" t="s">
        <v>36</v>
      </c>
    </row>
    <row r="2226" spans="1:20" hidden="1" x14ac:dyDescent="0.3">
      <c r="A2226">
        <v>3743</v>
      </c>
      <c r="B2226">
        <v>442</v>
      </c>
      <c r="C2226" t="s">
        <v>40</v>
      </c>
      <c r="D2226" t="s">
        <v>34</v>
      </c>
      <c r="E2226" t="s">
        <v>37</v>
      </c>
      <c r="F2226" s="1">
        <v>44638</v>
      </c>
      <c r="G2226" s="1">
        <v>44859</v>
      </c>
      <c r="H2226">
        <v>4967.93</v>
      </c>
      <c r="I2226">
        <v>4315</v>
      </c>
      <c r="J2226">
        <v>-4576</v>
      </c>
      <c r="K2226" t="s">
        <v>54</v>
      </c>
      <c r="L2226">
        <v>7</v>
      </c>
      <c r="M2226" t="str">
        <f t="shared" si="34"/>
        <v>6-12 Months</v>
      </c>
      <c r="N2226" s="1">
        <v>44859</v>
      </c>
      <c r="O2226">
        <v>1</v>
      </c>
      <c r="P2226">
        <v>2225</v>
      </c>
      <c r="Q2226" s="2">
        <v>-0.92</v>
      </c>
      <c r="R2226" t="s">
        <v>27</v>
      </c>
      <c r="S2226">
        <v>2022</v>
      </c>
      <c r="T2226" t="s">
        <v>33</v>
      </c>
    </row>
    <row r="2227" spans="1:20" x14ac:dyDescent="0.3">
      <c r="A2227">
        <v>3746</v>
      </c>
      <c r="B2227">
        <v>153</v>
      </c>
      <c r="C2227" t="s">
        <v>39</v>
      </c>
      <c r="D2227" t="s">
        <v>25</v>
      </c>
      <c r="E2227" t="s">
        <v>37</v>
      </c>
      <c r="F2227" s="1">
        <v>44796</v>
      </c>
      <c r="G2227" s="1">
        <v>44859</v>
      </c>
      <c r="H2227">
        <v>1388</v>
      </c>
      <c r="I2227">
        <v>7409</v>
      </c>
      <c r="J2227">
        <v>-6021</v>
      </c>
      <c r="K2227" t="s">
        <v>35</v>
      </c>
      <c r="L2227">
        <v>2</v>
      </c>
      <c r="M2227" t="str">
        <f t="shared" si="34"/>
        <v>0-6 Months</v>
      </c>
      <c r="N2227" s="1">
        <v>44859</v>
      </c>
      <c r="O2227">
        <v>1</v>
      </c>
      <c r="P2227">
        <v>2226</v>
      </c>
      <c r="Q2227" s="2">
        <v>-4.34</v>
      </c>
      <c r="R2227" t="s">
        <v>22</v>
      </c>
      <c r="S2227">
        <v>2022</v>
      </c>
      <c r="T2227" t="s">
        <v>33</v>
      </c>
    </row>
    <row r="2228" spans="1:20" hidden="1" x14ac:dyDescent="0.3">
      <c r="A2228">
        <v>3749</v>
      </c>
      <c r="B2228">
        <v>485</v>
      </c>
      <c r="C2228" t="s">
        <v>39</v>
      </c>
      <c r="D2228" t="s">
        <v>29</v>
      </c>
      <c r="E2228" t="s">
        <v>37</v>
      </c>
      <c r="F2228" s="1">
        <v>44661</v>
      </c>
      <c r="G2228" s="1">
        <v>45162</v>
      </c>
      <c r="H2228">
        <v>9613</v>
      </c>
      <c r="I2228">
        <v>1850</v>
      </c>
      <c r="J2228">
        <v>7763</v>
      </c>
      <c r="K2228" t="s">
        <v>54</v>
      </c>
      <c r="L2228">
        <v>16</v>
      </c>
      <c r="M2228" t="str">
        <f t="shared" si="34"/>
        <v>6-12 Months</v>
      </c>
      <c r="N2228" s="1">
        <v>45162</v>
      </c>
      <c r="O2228">
        <v>0</v>
      </c>
      <c r="P2228">
        <v>2227</v>
      </c>
      <c r="Q2228" s="2">
        <v>0.81</v>
      </c>
      <c r="R2228" t="s">
        <v>27</v>
      </c>
      <c r="S2228">
        <v>2023</v>
      </c>
      <c r="T2228" t="s">
        <v>36</v>
      </c>
    </row>
    <row r="2229" spans="1:20" hidden="1" x14ac:dyDescent="0.3">
      <c r="A2229">
        <v>3750</v>
      </c>
      <c r="B2229">
        <v>113</v>
      </c>
      <c r="C2229" t="s">
        <v>45</v>
      </c>
      <c r="D2229" t="s">
        <v>19</v>
      </c>
      <c r="E2229" t="s">
        <v>20</v>
      </c>
      <c r="F2229" s="1">
        <v>44662</v>
      </c>
      <c r="G2229" s="1">
        <v>44717</v>
      </c>
      <c r="H2229">
        <v>4967.93</v>
      </c>
      <c r="I2229">
        <v>1510</v>
      </c>
      <c r="J2229">
        <v>-2385</v>
      </c>
      <c r="K2229" t="s">
        <v>21</v>
      </c>
      <c r="L2229">
        <v>1</v>
      </c>
      <c r="M2229" t="str">
        <f t="shared" si="34"/>
        <v>0-6 Months</v>
      </c>
      <c r="N2229" s="1">
        <v>44717</v>
      </c>
      <c r="O2229">
        <v>0</v>
      </c>
      <c r="P2229">
        <v>2228</v>
      </c>
      <c r="Q2229" s="2">
        <v>-0.48</v>
      </c>
      <c r="R2229" t="s">
        <v>27</v>
      </c>
      <c r="S2229">
        <v>2022</v>
      </c>
      <c r="T2229" t="s">
        <v>41</v>
      </c>
    </row>
    <row r="2230" spans="1:20" hidden="1" x14ac:dyDescent="0.3">
      <c r="A2230">
        <v>3751</v>
      </c>
      <c r="B2230">
        <v>202</v>
      </c>
      <c r="C2230" t="s">
        <v>53</v>
      </c>
      <c r="D2230" t="s">
        <v>19</v>
      </c>
      <c r="E2230" t="s">
        <v>37</v>
      </c>
      <c r="F2230" s="1">
        <v>44803</v>
      </c>
      <c r="G2230" s="1">
        <v>45244</v>
      </c>
      <c r="H2230">
        <v>4444</v>
      </c>
      <c r="I2230">
        <v>5880</v>
      </c>
      <c r="J2230">
        <v>-1436</v>
      </c>
      <c r="K2230" t="s">
        <v>54</v>
      </c>
      <c r="L2230">
        <v>14</v>
      </c>
      <c r="M2230" t="str">
        <f t="shared" si="34"/>
        <v>6-12 Months</v>
      </c>
      <c r="N2230" s="1">
        <v>45244</v>
      </c>
      <c r="O2230">
        <v>1</v>
      </c>
      <c r="P2230">
        <v>2229</v>
      </c>
      <c r="Q2230" s="2">
        <v>-0.32</v>
      </c>
      <c r="R2230" t="s">
        <v>27</v>
      </c>
      <c r="S2230">
        <v>2023</v>
      </c>
      <c r="T2230" t="s">
        <v>42</v>
      </c>
    </row>
    <row r="2231" spans="1:20" hidden="1" x14ac:dyDescent="0.3">
      <c r="A2231">
        <v>3752</v>
      </c>
      <c r="B2231">
        <v>197</v>
      </c>
      <c r="C2231" t="s">
        <v>24</v>
      </c>
      <c r="D2231" t="s">
        <v>19</v>
      </c>
      <c r="E2231" t="s">
        <v>20</v>
      </c>
      <c r="F2231" s="1">
        <v>44605</v>
      </c>
      <c r="G2231" s="1">
        <v>45160</v>
      </c>
      <c r="H2231">
        <v>5265</v>
      </c>
      <c r="I2231">
        <v>4509</v>
      </c>
      <c r="J2231">
        <v>756</v>
      </c>
      <c r="K2231" t="s">
        <v>54</v>
      </c>
      <c r="L2231">
        <v>18</v>
      </c>
      <c r="M2231" t="str">
        <f t="shared" si="34"/>
        <v>6-12 Months</v>
      </c>
      <c r="N2231" s="1">
        <v>45160</v>
      </c>
      <c r="O2231">
        <v>0</v>
      </c>
      <c r="P2231">
        <v>2230</v>
      </c>
      <c r="Q2231" s="2">
        <v>0.14000000000000001</v>
      </c>
      <c r="R2231" t="s">
        <v>27</v>
      </c>
      <c r="S2231">
        <v>2023</v>
      </c>
      <c r="T2231" t="s">
        <v>36</v>
      </c>
    </row>
    <row r="2232" spans="1:20" hidden="1" x14ac:dyDescent="0.3">
      <c r="A2232">
        <v>3755</v>
      </c>
      <c r="B2232">
        <v>182</v>
      </c>
      <c r="C2232" t="s">
        <v>40</v>
      </c>
      <c r="D2232" t="s">
        <v>34</v>
      </c>
      <c r="E2232" t="s">
        <v>26</v>
      </c>
      <c r="F2232" s="1">
        <v>44903</v>
      </c>
      <c r="G2232" s="1">
        <v>45387</v>
      </c>
      <c r="H2232">
        <v>7799</v>
      </c>
      <c r="I2232">
        <v>3916</v>
      </c>
      <c r="J2232">
        <v>3883</v>
      </c>
      <c r="K2232" t="s">
        <v>54</v>
      </c>
      <c r="L2232">
        <v>15</v>
      </c>
      <c r="M2232" t="str">
        <f t="shared" si="34"/>
        <v>6-12 Months</v>
      </c>
      <c r="N2232" s="1">
        <v>45387</v>
      </c>
      <c r="O2232">
        <v>1</v>
      </c>
      <c r="P2232">
        <v>2231</v>
      </c>
      <c r="Q2232" s="2">
        <v>0.5</v>
      </c>
      <c r="R2232" t="s">
        <v>27</v>
      </c>
      <c r="S2232">
        <v>2024</v>
      </c>
      <c r="T2232" t="s">
        <v>32</v>
      </c>
    </row>
    <row r="2233" spans="1:20" hidden="1" x14ac:dyDescent="0.3">
      <c r="A2233">
        <v>3756</v>
      </c>
      <c r="B2233">
        <v>174</v>
      </c>
      <c r="C2233" t="s">
        <v>39</v>
      </c>
      <c r="D2233" t="s">
        <v>29</v>
      </c>
      <c r="E2233" t="s">
        <v>26</v>
      </c>
      <c r="F2233" s="1">
        <v>44719</v>
      </c>
      <c r="G2233" s="1">
        <v>44958</v>
      </c>
      <c r="H2233">
        <v>318</v>
      </c>
      <c r="I2233">
        <v>480</v>
      </c>
      <c r="J2233">
        <v>-162</v>
      </c>
      <c r="K2233" t="s">
        <v>54</v>
      </c>
      <c r="L2233">
        <v>7</v>
      </c>
      <c r="M2233" t="str">
        <f t="shared" si="34"/>
        <v>6-12 Months</v>
      </c>
      <c r="N2233" s="1">
        <v>44958</v>
      </c>
      <c r="O2233">
        <v>1</v>
      </c>
      <c r="P2233">
        <v>2232</v>
      </c>
      <c r="Q2233" s="2">
        <v>-0.51</v>
      </c>
      <c r="R2233" t="s">
        <v>27</v>
      </c>
      <c r="S2233">
        <v>2023</v>
      </c>
      <c r="T2233" t="s">
        <v>43</v>
      </c>
    </row>
    <row r="2234" spans="1:20" hidden="1" x14ac:dyDescent="0.3">
      <c r="A2234">
        <v>3757</v>
      </c>
      <c r="B2234">
        <v>497</v>
      </c>
      <c r="C2234" t="s">
        <v>45</v>
      </c>
      <c r="D2234" t="s">
        <v>25</v>
      </c>
      <c r="E2234" t="s">
        <v>26</v>
      </c>
      <c r="F2234" s="1">
        <v>44741</v>
      </c>
      <c r="G2234" s="1">
        <v>44943</v>
      </c>
      <c r="H2234">
        <v>4411</v>
      </c>
      <c r="I2234">
        <v>4012.75</v>
      </c>
      <c r="J2234">
        <v>4551</v>
      </c>
      <c r="K2234" t="s">
        <v>21</v>
      </c>
      <c r="L2234">
        <v>6</v>
      </c>
      <c r="M2234" t="str">
        <f t="shared" si="34"/>
        <v>12+ Months</v>
      </c>
      <c r="N2234" s="1">
        <v>44943</v>
      </c>
      <c r="O2234">
        <v>0</v>
      </c>
      <c r="P2234">
        <v>2233</v>
      </c>
      <c r="Q2234" s="2">
        <v>1.03</v>
      </c>
      <c r="R2234" t="s">
        <v>22</v>
      </c>
      <c r="S2234">
        <v>2023</v>
      </c>
      <c r="T2234" t="s">
        <v>23</v>
      </c>
    </row>
    <row r="2235" spans="1:20" hidden="1" x14ac:dyDescent="0.3">
      <c r="A2235">
        <v>3758</v>
      </c>
      <c r="B2235">
        <v>332</v>
      </c>
      <c r="C2235" t="s">
        <v>40</v>
      </c>
      <c r="D2235" t="s">
        <v>34</v>
      </c>
      <c r="E2235" t="s">
        <v>37</v>
      </c>
      <c r="F2235" s="1">
        <v>44882</v>
      </c>
      <c r="G2235" s="1">
        <v>45037</v>
      </c>
      <c r="H2235">
        <v>1743</v>
      </c>
      <c r="I2235">
        <v>4460</v>
      </c>
      <c r="J2235">
        <v>-2717</v>
      </c>
      <c r="K2235" t="s">
        <v>54</v>
      </c>
      <c r="L2235">
        <v>5</v>
      </c>
      <c r="M2235" t="str">
        <f t="shared" si="34"/>
        <v>0-6 Months</v>
      </c>
      <c r="N2235" s="1">
        <v>45037</v>
      </c>
      <c r="O2235">
        <v>0</v>
      </c>
      <c r="P2235">
        <v>2234</v>
      </c>
      <c r="Q2235" s="2">
        <v>-1.56</v>
      </c>
      <c r="R2235" t="s">
        <v>22</v>
      </c>
      <c r="S2235">
        <v>2023</v>
      </c>
      <c r="T2235" t="s">
        <v>32</v>
      </c>
    </row>
    <row r="2236" spans="1:20" hidden="1" x14ac:dyDescent="0.3">
      <c r="A2236">
        <v>3760</v>
      </c>
      <c r="B2236">
        <v>274</v>
      </c>
      <c r="C2236" t="s">
        <v>53</v>
      </c>
      <c r="D2236" t="s">
        <v>25</v>
      </c>
      <c r="E2236" t="s">
        <v>26</v>
      </c>
      <c r="F2236" s="1">
        <v>44663</v>
      </c>
      <c r="G2236" s="1">
        <v>45195</v>
      </c>
      <c r="H2236">
        <v>4967.93</v>
      </c>
      <c r="I2236">
        <v>25</v>
      </c>
      <c r="J2236">
        <v>-1208</v>
      </c>
      <c r="K2236" t="s">
        <v>54</v>
      </c>
      <c r="L2236">
        <v>17</v>
      </c>
      <c r="M2236" t="str">
        <f t="shared" si="34"/>
        <v>6-12 Months</v>
      </c>
      <c r="N2236" s="1">
        <v>45195</v>
      </c>
      <c r="O2236">
        <v>1</v>
      </c>
      <c r="P2236">
        <v>2235</v>
      </c>
      <c r="Q2236" s="2">
        <v>-0.24</v>
      </c>
      <c r="R2236" t="s">
        <v>27</v>
      </c>
      <c r="S2236">
        <v>2023</v>
      </c>
      <c r="T2236" t="s">
        <v>30</v>
      </c>
    </row>
    <row r="2237" spans="1:20" hidden="1" x14ac:dyDescent="0.3">
      <c r="A2237">
        <v>3761</v>
      </c>
      <c r="B2237">
        <v>398</v>
      </c>
      <c r="C2237" t="s">
        <v>45</v>
      </c>
      <c r="D2237" t="s">
        <v>19</v>
      </c>
      <c r="E2237" t="s">
        <v>26</v>
      </c>
      <c r="F2237" s="1">
        <v>44751</v>
      </c>
      <c r="G2237" s="1">
        <v>45162</v>
      </c>
      <c r="H2237">
        <v>4007</v>
      </c>
      <c r="I2237">
        <v>2498</v>
      </c>
      <c r="J2237">
        <v>1509</v>
      </c>
      <c r="K2237" t="s">
        <v>54</v>
      </c>
      <c r="L2237">
        <v>13</v>
      </c>
      <c r="M2237" t="str">
        <f t="shared" si="34"/>
        <v>6-12 Months</v>
      </c>
      <c r="N2237" s="1">
        <v>45162</v>
      </c>
      <c r="O2237">
        <v>1</v>
      </c>
      <c r="P2237">
        <v>2236</v>
      </c>
      <c r="Q2237" s="2">
        <v>0.38</v>
      </c>
      <c r="R2237" t="s">
        <v>27</v>
      </c>
      <c r="S2237">
        <v>2023</v>
      </c>
      <c r="T2237" t="s">
        <v>36</v>
      </c>
    </row>
    <row r="2238" spans="1:20" hidden="1" x14ac:dyDescent="0.3">
      <c r="A2238">
        <v>3762</v>
      </c>
      <c r="B2238">
        <v>269</v>
      </c>
      <c r="C2238" t="s">
        <v>45</v>
      </c>
      <c r="D2238" t="s">
        <v>25</v>
      </c>
      <c r="E2238" t="s">
        <v>37</v>
      </c>
      <c r="F2238" s="1">
        <v>44601</v>
      </c>
      <c r="G2238" s="1">
        <v>44885</v>
      </c>
      <c r="H2238">
        <v>1347</v>
      </c>
      <c r="I2238">
        <v>7470</v>
      </c>
      <c r="J2238">
        <v>-6123</v>
      </c>
      <c r="K2238" t="s">
        <v>21</v>
      </c>
      <c r="L2238">
        <v>9</v>
      </c>
      <c r="M2238" t="str">
        <f t="shared" si="34"/>
        <v>6-12 Months</v>
      </c>
      <c r="N2238" s="1">
        <v>44885</v>
      </c>
      <c r="O2238">
        <v>0</v>
      </c>
      <c r="P2238">
        <v>2237</v>
      </c>
      <c r="Q2238" s="2">
        <v>-4.55</v>
      </c>
      <c r="R2238" t="s">
        <v>22</v>
      </c>
      <c r="S2238">
        <v>2022</v>
      </c>
      <c r="T2238" t="s">
        <v>42</v>
      </c>
    </row>
    <row r="2239" spans="1:20" hidden="1" x14ac:dyDescent="0.3">
      <c r="A2239">
        <v>3763</v>
      </c>
      <c r="B2239">
        <v>232</v>
      </c>
      <c r="C2239" t="s">
        <v>39</v>
      </c>
      <c r="D2239" t="s">
        <v>25</v>
      </c>
      <c r="E2239" t="s">
        <v>26</v>
      </c>
      <c r="F2239" s="1">
        <v>44788</v>
      </c>
      <c r="G2239" s="1">
        <v>44921</v>
      </c>
      <c r="H2239">
        <v>8904</v>
      </c>
      <c r="I2239">
        <v>2245</v>
      </c>
      <c r="J2239">
        <v>6659</v>
      </c>
      <c r="K2239" t="s">
        <v>54</v>
      </c>
      <c r="L2239">
        <v>4</v>
      </c>
      <c r="M2239" t="str">
        <f t="shared" si="34"/>
        <v>0-6 Months</v>
      </c>
      <c r="N2239" s="1">
        <v>44921</v>
      </c>
      <c r="O2239">
        <v>1</v>
      </c>
      <c r="P2239">
        <v>2238</v>
      </c>
      <c r="Q2239" s="2">
        <v>0.75</v>
      </c>
      <c r="R2239" t="s">
        <v>27</v>
      </c>
      <c r="S2239">
        <v>2022</v>
      </c>
      <c r="T2239" t="s">
        <v>31</v>
      </c>
    </row>
    <row r="2240" spans="1:20" hidden="1" x14ac:dyDescent="0.3">
      <c r="A2240">
        <v>3764</v>
      </c>
      <c r="B2240">
        <v>170</v>
      </c>
      <c r="C2240" t="s">
        <v>40</v>
      </c>
      <c r="D2240" t="s">
        <v>29</v>
      </c>
      <c r="E2240" t="s">
        <v>20</v>
      </c>
      <c r="F2240" s="1">
        <v>44858</v>
      </c>
      <c r="G2240" s="1">
        <v>45032</v>
      </c>
      <c r="H2240">
        <v>4967.93</v>
      </c>
      <c r="I2240">
        <v>6095</v>
      </c>
      <c r="J2240">
        <v>-6424</v>
      </c>
      <c r="K2240" t="s">
        <v>54</v>
      </c>
      <c r="L2240">
        <v>5</v>
      </c>
      <c r="M2240" t="str">
        <f t="shared" si="34"/>
        <v>0-6 Months</v>
      </c>
      <c r="N2240" s="1">
        <v>45032</v>
      </c>
      <c r="O2240">
        <v>0</v>
      </c>
      <c r="P2240">
        <v>2239</v>
      </c>
      <c r="Q2240" s="2">
        <v>-1.29</v>
      </c>
      <c r="R2240" t="s">
        <v>22</v>
      </c>
      <c r="S2240">
        <v>2023</v>
      </c>
      <c r="T2240" t="s">
        <v>32</v>
      </c>
    </row>
    <row r="2241" spans="1:20" hidden="1" x14ac:dyDescent="0.3">
      <c r="A2241">
        <v>3765</v>
      </c>
      <c r="B2241">
        <v>135</v>
      </c>
      <c r="C2241" t="s">
        <v>40</v>
      </c>
      <c r="D2241" t="s">
        <v>29</v>
      </c>
      <c r="E2241" t="s">
        <v>37</v>
      </c>
      <c r="F2241" s="1">
        <v>44731</v>
      </c>
      <c r="G2241" s="1">
        <v>45030</v>
      </c>
      <c r="H2241">
        <v>5082</v>
      </c>
      <c r="I2241">
        <v>1895</v>
      </c>
      <c r="J2241">
        <v>3187</v>
      </c>
      <c r="K2241" t="s">
        <v>21</v>
      </c>
      <c r="L2241">
        <v>9</v>
      </c>
      <c r="M2241" t="str">
        <f t="shared" si="34"/>
        <v>6-12 Months</v>
      </c>
      <c r="N2241" s="1">
        <v>45030</v>
      </c>
      <c r="O2241">
        <v>0</v>
      </c>
      <c r="P2241">
        <v>2240</v>
      </c>
      <c r="Q2241" s="2">
        <v>0.63</v>
      </c>
      <c r="R2241" t="s">
        <v>27</v>
      </c>
      <c r="S2241">
        <v>2023</v>
      </c>
      <c r="T2241" t="s">
        <v>32</v>
      </c>
    </row>
    <row r="2242" spans="1:20" hidden="1" x14ac:dyDescent="0.3">
      <c r="A2242">
        <v>3766</v>
      </c>
      <c r="B2242">
        <v>239</v>
      </c>
      <c r="C2242" t="s">
        <v>53</v>
      </c>
      <c r="D2242" t="s">
        <v>34</v>
      </c>
      <c r="E2242" t="s">
        <v>20</v>
      </c>
      <c r="F2242" s="1">
        <v>44760</v>
      </c>
      <c r="G2242" s="1">
        <v>45337</v>
      </c>
      <c r="H2242">
        <v>5620</v>
      </c>
      <c r="I2242">
        <v>1992</v>
      </c>
      <c r="J2242">
        <v>3628</v>
      </c>
      <c r="K2242" t="s">
        <v>54</v>
      </c>
      <c r="L2242">
        <v>18</v>
      </c>
      <c r="M2242" t="str">
        <f t="shared" ref="M2242:M2305" si="35">IF(L2242&lt;6,"0-6 Months",IF(L2242&gt;6,"6-12 Months","12+ Months"))</f>
        <v>6-12 Months</v>
      </c>
      <c r="N2242" s="1">
        <v>45337</v>
      </c>
      <c r="O2242">
        <v>0</v>
      </c>
      <c r="P2242">
        <v>2241</v>
      </c>
      <c r="Q2242" s="2">
        <v>0.65</v>
      </c>
      <c r="R2242" t="s">
        <v>27</v>
      </c>
      <c r="S2242">
        <v>2024</v>
      </c>
      <c r="T2242" t="s">
        <v>43</v>
      </c>
    </row>
    <row r="2243" spans="1:20" hidden="1" x14ac:dyDescent="0.3">
      <c r="A2243">
        <v>3767</v>
      </c>
      <c r="B2243">
        <v>458</v>
      </c>
      <c r="C2243" t="s">
        <v>45</v>
      </c>
      <c r="D2243" t="s">
        <v>29</v>
      </c>
      <c r="E2243" t="s">
        <v>20</v>
      </c>
      <c r="F2243" s="1">
        <v>44619</v>
      </c>
      <c r="G2243" s="1">
        <v>44909</v>
      </c>
      <c r="H2243">
        <v>1035</v>
      </c>
      <c r="I2243">
        <v>4492</v>
      </c>
      <c r="J2243">
        <v>-3457</v>
      </c>
      <c r="K2243" t="s">
        <v>54</v>
      </c>
      <c r="L2243">
        <v>9</v>
      </c>
      <c r="M2243" t="str">
        <f t="shared" si="35"/>
        <v>6-12 Months</v>
      </c>
      <c r="N2243" s="1">
        <v>44909</v>
      </c>
      <c r="O2243">
        <v>1</v>
      </c>
      <c r="P2243">
        <v>2242</v>
      </c>
      <c r="Q2243" s="2">
        <v>-3.34</v>
      </c>
      <c r="R2243" t="s">
        <v>22</v>
      </c>
      <c r="S2243">
        <v>2022</v>
      </c>
      <c r="T2243" t="s">
        <v>31</v>
      </c>
    </row>
    <row r="2244" spans="1:20" hidden="1" x14ac:dyDescent="0.3">
      <c r="A2244">
        <v>3768</v>
      </c>
      <c r="B2244">
        <v>110</v>
      </c>
      <c r="C2244" t="s">
        <v>45</v>
      </c>
      <c r="D2244" t="s">
        <v>25</v>
      </c>
      <c r="E2244" t="s">
        <v>26</v>
      </c>
      <c r="F2244" s="1">
        <v>44631</v>
      </c>
      <c r="G2244" s="1">
        <v>44707</v>
      </c>
      <c r="H2244">
        <v>5065</v>
      </c>
      <c r="I2244">
        <v>4987</v>
      </c>
      <c r="J2244">
        <v>78</v>
      </c>
      <c r="K2244" t="s">
        <v>54</v>
      </c>
      <c r="L2244">
        <v>2</v>
      </c>
      <c r="M2244" t="str">
        <f t="shared" si="35"/>
        <v>0-6 Months</v>
      </c>
      <c r="N2244" s="1">
        <v>44707</v>
      </c>
      <c r="O2244">
        <v>1</v>
      </c>
      <c r="P2244">
        <v>2243</v>
      </c>
      <c r="Q2244" s="2">
        <v>0.02</v>
      </c>
      <c r="R2244" t="s">
        <v>27</v>
      </c>
      <c r="S2244">
        <v>2022</v>
      </c>
      <c r="T2244" t="s">
        <v>28</v>
      </c>
    </row>
    <row r="2245" spans="1:20" hidden="1" x14ac:dyDescent="0.3">
      <c r="A2245">
        <v>3769</v>
      </c>
      <c r="B2245">
        <v>335</v>
      </c>
      <c r="C2245" t="s">
        <v>24</v>
      </c>
      <c r="D2245" t="s">
        <v>34</v>
      </c>
      <c r="E2245" t="s">
        <v>26</v>
      </c>
      <c r="F2245" s="1">
        <v>44722</v>
      </c>
      <c r="G2245" s="1">
        <v>44927</v>
      </c>
      <c r="H2245">
        <v>4967.93</v>
      </c>
      <c r="I2245">
        <v>4012.75</v>
      </c>
      <c r="J2245">
        <v>-1012</v>
      </c>
      <c r="K2245" t="s">
        <v>21</v>
      </c>
      <c r="L2245">
        <v>6</v>
      </c>
      <c r="M2245" t="str">
        <f t="shared" si="35"/>
        <v>12+ Months</v>
      </c>
      <c r="N2245" s="1">
        <v>44927</v>
      </c>
      <c r="O2245">
        <v>1</v>
      </c>
      <c r="P2245">
        <v>2244</v>
      </c>
      <c r="Q2245" s="2">
        <v>-0.2</v>
      </c>
      <c r="R2245" t="s">
        <v>27</v>
      </c>
      <c r="S2245">
        <v>2023</v>
      </c>
      <c r="T2245" t="s">
        <v>23</v>
      </c>
    </row>
    <row r="2246" spans="1:20" hidden="1" x14ac:dyDescent="0.3">
      <c r="A2246">
        <v>3770</v>
      </c>
      <c r="B2246">
        <v>404</v>
      </c>
      <c r="C2246" t="s">
        <v>39</v>
      </c>
      <c r="D2246" t="s">
        <v>34</v>
      </c>
      <c r="E2246" t="s">
        <v>26</v>
      </c>
      <c r="F2246" s="1">
        <v>44680</v>
      </c>
      <c r="G2246" s="1">
        <v>45157</v>
      </c>
      <c r="H2246">
        <v>1724</v>
      </c>
      <c r="I2246">
        <v>7580</v>
      </c>
      <c r="J2246">
        <v>-5856</v>
      </c>
      <c r="K2246" t="s">
        <v>54</v>
      </c>
      <c r="L2246">
        <v>15</v>
      </c>
      <c r="M2246" t="str">
        <f t="shared" si="35"/>
        <v>6-12 Months</v>
      </c>
      <c r="N2246" s="1">
        <v>45157</v>
      </c>
      <c r="O2246">
        <v>0</v>
      </c>
      <c r="P2246">
        <v>2245</v>
      </c>
      <c r="Q2246" s="2">
        <v>-3.4</v>
      </c>
      <c r="R2246" t="s">
        <v>22</v>
      </c>
      <c r="S2246">
        <v>2023</v>
      </c>
      <c r="T2246" t="s">
        <v>36</v>
      </c>
    </row>
    <row r="2247" spans="1:20" hidden="1" x14ac:dyDescent="0.3">
      <c r="A2247">
        <v>3772</v>
      </c>
      <c r="B2247">
        <v>188</v>
      </c>
      <c r="C2247" t="s">
        <v>45</v>
      </c>
      <c r="D2247" t="s">
        <v>29</v>
      </c>
      <c r="E2247" t="s">
        <v>26</v>
      </c>
      <c r="F2247" s="1">
        <v>44789</v>
      </c>
      <c r="G2247" s="1">
        <v>45144</v>
      </c>
      <c r="H2247">
        <v>4967.93</v>
      </c>
      <c r="I2247">
        <v>905</v>
      </c>
      <c r="J2247">
        <v>-1795</v>
      </c>
      <c r="K2247" t="s">
        <v>54</v>
      </c>
      <c r="L2247">
        <v>11</v>
      </c>
      <c r="M2247" t="str">
        <f t="shared" si="35"/>
        <v>6-12 Months</v>
      </c>
      <c r="N2247" s="1">
        <v>45144</v>
      </c>
      <c r="O2247">
        <v>0</v>
      </c>
      <c r="P2247">
        <v>2246</v>
      </c>
      <c r="Q2247" s="2">
        <v>-0.36</v>
      </c>
      <c r="R2247" t="s">
        <v>27</v>
      </c>
      <c r="S2247">
        <v>2023</v>
      </c>
      <c r="T2247" t="s">
        <v>36</v>
      </c>
    </row>
    <row r="2248" spans="1:20" x14ac:dyDescent="0.3">
      <c r="A2248">
        <v>3773</v>
      </c>
      <c r="B2248">
        <v>177</v>
      </c>
      <c r="C2248" t="s">
        <v>39</v>
      </c>
      <c r="D2248" t="s">
        <v>25</v>
      </c>
      <c r="E2248" t="s">
        <v>26</v>
      </c>
      <c r="F2248" s="1">
        <v>44767</v>
      </c>
      <c r="G2248" s="1">
        <v>45345</v>
      </c>
      <c r="H2248">
        <v>7896</v>
      </c>
      <c r="I2248">
        <v>2580</v>
      </c>
      <c r="J2248">
        <v>5316</v>
      </c>
      <c r="K2248" t="s">
        <v>35</v>
      </c>
      <c r="L2248">
        <v>18</v>
      </c>
      <c r="M2248" t="str">
        <f t="shared" si="35"/>
        <v>6-12 Months</v>
      </c>
      <c r="N2248" s="1">
        <v>45345</v>
      </c>
      <c r="O2248">
        <v>0</v>
      </c>
      <c r="P2248">
        <v>2247</v>
      </c>
      <c r="Q2248" s="2">
        <v>0.67</v>
      </c>
      <c r="R2248" t="s">
        <v>27</v>
      </c>
      <c r="S2248">
        <v>2024</v>
      </c>
      <c r="T2248" t="s">
        <v>43</v>
      </c>
    </row>
    <row r="2249" spans="1:20" hidden="1" x14ac:dyDescent="0.3">
      <c r="A2249">
        <v>3774</v>
      </c>
      <c r="B2249">
        <v>361</v>
      </c>
      <c r="C2249" t="s">
        <v>40</v>
      </c>
      <c r="D2249" t="s">
        <v>29</v>
      </c>
      <c r="E2249" t="s">
        <v>26</v>
      </c>
      <c r="F2249" s="1">
        <v>44886</v>
      </c>
      <c r="G2249" s="1">
        <v>45192</v>
      </c>
      <c r="H2249">
        <v>4967.93</v>
      </c>
      <c r="I2249">
        <v>6326</v>
      </c>
      <c r="J2249">
        <v>-8237</v>
      </c>
      <c r="K2249" t="s">
        <v>54</v>
      </c>
      <c r="L2249">
        <v>10</v>
      </c>
      <c r="M2249" t="str">
        <f t="shared" si="35"/>
        <v>6-12 Months</v>
      </c>
      <c r="N2249" s="1">
        <v>45192</v>
      </c>
      <c r="O2249">
        <v>0</v>
      </c>
      <c r="P2249">
        <v>2248</v>
      </c>
      <c r="Q2249" s="2">
        <v>-1.66</v>
      </c>
      <c r="R2249" t="s">
        <v>22</v>
      </c>
      <c r="S2249">
        <v>2023</v>
      </c>
      <c r="T2249" t="s">
        <v>30</v>
      </c>
    </row>
    <row r="2250" spans="1:20" hidden="1" x14ac:dyDescent="0.3">
      <c r="A2250">
        <v>3775</v>
      </c>
      <c r="B2250">
        <v>101</v>
      </c>
      <c r="C2250" t="s">
        <v>40</v>
      </c>
      <c r="D2250" t="s">
        <v>25</v>
      </c>
      <c r="E2250" t="s">
        <v>26</v>
      </c>
      <c r="F2250" s="1">
        <v>44744</v>
      </c>
      <c r="G2250" s="1">
        <v>45021</v>
      </c>
      <c r="H2250">
        <v>6644</v>
      </c>
      <c r="I2250">
        <v>4827</v>
      </c>
      <c r="J2250">
        <v>1817</v>
      </c>
      <c r="K2250" t="s">
        <v>54</v>
      </c>
      <c r="L2250">
        <v>9</v>
      </c>
      <c r="M2250" t="str">
        <f t="shared" si="35"/>
        <v>6-12 Months</v>
      </c>
      <c r="N2250" s="1">
        <v>45021</v>
      </c>
      <c r="O2250">
        <v>1</v>
      </c>
      <c r="P2250">
        <v>2249</v>
      </c>
      <c r="Q2250" s="2">
        <v>0.27</v>
      </c>
      <c r="R2250" t="s">
        <v>27</v>
      </c>
      <c r="S2250">
        <v>2023</v>
      </c>
      <c r="T2250" t="s">
        <v>32</v>
      </c>
    </row>
    <row r="2251" spans="1:20" hidden="1" x14ac:dyDescent="0.3">
      <c r="A2251">
        <v>3776</v>
      </c>
      <c r="B2251">
        <v>470</v>
      </c>
      <c r="C2251" t="s">
        <v>53</v>
      </c>
      <c r="D2251" t="s">
        <v>29</v>
      </c>
      <c r="E2251" t="s">
        <v>37</v>
      </c>
      <c r="F2251" s="1">
        <v>44902</v>
      </c>
      <c r="G2251" s="1">
        <v>45501</v>
      </c>
      <c r="H2251">
        <v>324</v>
      </c>
      <c r="I2251">
        <v>6935</v>
      </c>
      <c r="J2251">
        <v>-6611</v>
      </c>
      <c r="K2251" t="s">
        <v>54</v>
      </c>
      <c r="L2251">
        <v>19</v>
      </c>
      <c r="M2251" t="str">
        <f t="shared" si="35"/>
        <v>6-12 Months</v>
      </c>
      <c r="N2251" s="1">
        <v>45501</v>
      </c>
      <c r="O2251">
        <v>1</v>
      </c>
      <c r="P2251">
        <v>2250</v>
      </c>
      <c r="Q2251" s="2">
        <v>-20.399999999999999</v>
      </c>
      <c r="R2251" t="s">
        <v>22</v>
      </c>
      <c r="S2251">
        <v>2024</v>
      </c>
      <c r="T2251" t="s">
        <v>44</v>
      </c>
    </row>
    <row r="2252" spans="1:20" x14ac:dyDescent="0.3">
      <c r="A2252">
        <v>3778</v>
      </c>
      <c r="B2252">
        <v>172</v>
      </c>
      <c r="C2252" t="s">
        <v>39</v>
      </c>
      <c r="D2252" t="s">
        <v>19</v>
      </c>
      <c r="E2252" t="s">
        <v>20</v>
      </c>
      <c r="F2252" s="1">
        <v>44578</v>
      </c>
      <c r="G2252" s="1">
        <v>45002</v>
      </c>
      <c r="H2252">
        <v>7748</v>
      </c>
      <c r="I2252">
        <v>4012.75</v>
      </c>
      <c r="J2252">
        <v>8302</v>
      </c>
      <c r="K2252" t="s">
        <v>35</v>
      </c>
      <c r="L2252">
        <v>14</v>
      </c>
      <c r="M2252" t="str">
        <f t="shared" si="35"/>
        <v>6-12 Months</v>
      </c>
      <c r="N2252" s="1">
        <v>45002</v>
      </c>
      <c r="O2252">
        <v>1</v>
      </c>
      <c r="P2252">
        <v>2251</v>
      </c>
      <c r="Q2252" s="2">
        <v>1.07</v>
      </c>
      <c r="R2252" t="s">
        <v>22</v>
      </c>
      <c r="S2252">
        <v>2023</v>
      </c>
      <c r="T2252" t="s">
        <v>38</v>
      </c>
    </row>
    <row r="2253" spans="1:20" hidden="1" x14ac:dyDescent="0.3">
      <c r="A2253">
        <v>3779</v>
      </c>
      <c r="B2253">
        <v>413</v>
      </c>
      <c r="C2253" t="s">
        <v>39</v>
      </c>
      <c r="D2253" t="s">
        <v>29</v>
      </c>
      <c r="E2253" t="s">
        <v>20</v>
      </c>
      <c r="F2253" s="1">
        <v>44711</v>
      </c>
      <c r="G2253" s="1">
        <v>45245</v>
      </c>
      <c r="H2253">
        <v>3134</v>
      </c>
      <c r="I2253">
        <v>1226</v>
      </c>
      <c r="J2253">
        <v>1908</v>
      </c>
      <c r="K2253" t="s">
        <v>54</v>
      </c>
      <c r="L2253">
        <v>17</v>
      </c>
      <c r="M2253" t="str">
        <f t="shared" si="35"/>
        <v>6-12 Months</v>
      </c>
      <c r="N2253" s="1">
        <v>45245</v>
      </c>
      <c r="O2253">
        <v>0</v>
      </c>
      <c r="P2253">
        <v>2252</v>
      </c>
      <c r="Q2253" s="2">
        <v>0.61</v>
      </c>
      <c r="R2253" t="s">
        <v>27</v>
      </c>
      <c r="S2253">
        <v>2023</v>
      </c>
      <c r="T2253" t="s">
        <v>42</v>
      </c>
    </row>
    <row r="2254" spans="1:20" x14ac:dyDescent="0.3">
      <c r="A2254">
        <v>3783</v>
      </c>
      <c r="B2254">
        <v>367</v>
      </c>
      <c r="C2254" t="s">
        <v>45</v>
      </c>
      <c r="D2254" t="s">
        <v>25</v>
      </c>
      <c r="E2254" t="s">
        <v>26</v>
      </c>
      <c r="F2254" s="1">
        <v>44925</v>
      </c>
      <c r="G2254" s="1">
        <v>45456</v>
      </c>
      <c r="H2254">
        <v>1394</v>
      </c>
      <c r="I2254">
        <v>6798</v>
      </c>
      <c r="J2254">
        <v>-5404</v>
      </c>
      <c r="K2254" t="s">
        <v>35</v>
      </c>
      <c r="L2254">
        <v>17</v>
      </c>
      <c r="M2254" t="str">
        <f t="shared" si="35"/>
        <v>6-12 Months</v>
      </c>
      <c r="N2254" s="1">
        <v>45456</v>
      </c>
      <c r="O2254">
        <v>0</v>
      </c>
      <c r="P2254">
        <v>2253</v>
      </c>
      <c r="Q2254" s="2">
        <v>-3.88</v>
      </c>
      <c r="R2254" t="s">
        <v>22</v>
      </c>
      <c r="S2254">
        <v>2024</v>
      </c>
      <c r="T2254" t="s">
        <v>41</v>
      </c>
    </row>
    <row r="2255" spans="1:20" hidden="1" x14ac:dyDescent="0.3">
      <c r="A2255">
        <v>3784</v>
      </c>
      <c r="B2255">
        <v>190</v>
      </c>
      <c r="C2255" t="s">
        <v>39</v>
      </c>
      <c r="D2255" t="s">
        <v>25</v>
      </c>
      <c r="E2255" t="s">
        <v>37</v>
      </c>
      <c r="F2255" s="1">
        <v>44757</v>
      </c>
      <c r="G2255" s="1">
        <v>44979</v>
      </c>
      <c r="H2255">
        <v>9094</v>
      </c>
      <c r="I2255">
        <v>3891</v>
      </c>
      <c r="J2255">
        <v>5203</v>
      </c>
      <c r="K2255" t="s">
        <v>54</v>
      </c>
      <c r="L2255">
        <v>7</v>
      </c>
      <c r="M2255" t="str">
        <f t="shared" si="35"/>
        <v>6-12 Months</v>
      </c>
      <c r="N2255" s="1">
        <v>44979</v>
      </c>
      <c r="O2255">
        <v>1</v>
      </c>
      <c r="P2255">
        <v>2254</v>
      </c>
      <c r="Q2255" s="2">
        <v>0.56999999999999995</v>
      </c>
      <c r="R2255" t="s">
        <v>27</v>
      </c>
      <c r="S2255">
        <v>2023</v>
      </c>
      <c r="T2255" t="s">
        <v>43</v>
      </c>
    </row>
    <row r="2256" spans="1:20" hidden="1" x14ac:dyDescent="0.3">
      <c r="A2256">
        <v>3785</v>
      </c>
      <c r="B2256">
        <v>139</v>
      </c>
      <c r="C2256" t="s">
        <v>45</v>
      </c>
      <c r="D2256" t="s">
        <v>34</v>
      </c>
      <c r="E2256" t="s">
        <v>20</v>
      </c>
      <c r="F2256" s="1">
        <v>44648</v>
      </c>
      <c r="G2256" s="1">
        <v>45216</v>
      </c>
      <c r="H2256">
        <v>4702</v>
      </c>
      <c r="I2256">
        <v>1148</v>
      </c>
      <c r="J2256">
        <v>3554</v>
      </c>
      <c r="K2256" t="s">
        <v>54</v>
      </c>
      <c r="L2256">
        <v>18</v>
      </c>
      <c r="M2256" t="str">
        <f t="shared" si="35"/>
        <v>6-12 Months</v>
      </c>
      <c r="N2256" s="1">
        <v>45216</v>
      </c>
      <c r="O2256">
        <v>0</v>
      </c>
      <c r="P2256">
        <v>2255</v>
      </c>
      <c r="Q2256" s="2">
        <v>0.76</v>
      </c>
      <c r="R2256" t="s">
        <v>27</v>
      </c>
      <c r="S2256">
        <v>2023</v>
      </c>
      <c r="T2256" t="s">
        <v>33</v>
      </c>
    </row>
    <row r="2257" spans="1:20" hidden="1" x14ac:dyDescent="0.3">
      <c r="A2257">
        <v>3786</v>
      </c>
      <c r="B2257">
        <v>258</v>
      </c>
      <c r="C2257" t="s">
        <v>40</v>
      </c>
      <c r="D2257" t="s">
        <v>25</v>
      </c>
      <c r="E2257" t="s">
        <v>26</v>
      </c>
      <c r="F2257" s="1">
        <v>44820</v>
      </c>
      <c r="G2257" s="1">
        <v>44985</v>
      </c>
      <c r="H2257">
        <v>4967.93</v>
      </c>
      <c r="I2257">
        <v>509</v>
      </c>
      <c r="J2257">
        <v>-1043</v>
      </c>
      <c r="K2257" t="s">
        <v>54</v>
      </c>
      <c r="L2257">
        <v>5</v>
      </c>
      <c r="M2257" t="str">
        <f t="shared" si="35"/>
        <v>0-6 Months</v>
      </c>
      <c r="N2257" s="1">
        <v>44985</v>
      </c>
      <c r="O2257">
        <v>0</v>
      </c>
      <c r="P2257">
        <v>2256</v>
      </c>
      <c r="Q2257" s="2">
        <v>-0.21</v>
      </c>
      <c r="R2257" t="s">
        <v>27</v>
      </c>
      <c r="S2257">
        <v>2023</v>
      </c>
      <c r="T2257" t="s">
        <v>43</v>
      </c>
    </row>
    <row r="2258" spans="1:20" hidden="1" x14ac:dyDescent="0.3">
      <c r="A2258">
        <v>3790</v>
      </c>
      <c r="B2258">
        <v>182</v>
      </c>
      <c r="C2258" t="s">
        <v>39</v>
      </c>
      <c r="D2258" t="s">
        <v>29</v>
      </c>
      <c r="E2258" t="s">
        <v>20</v>
      </c>
      <c r="F2258" s="1">
        <v>44897</v>
      </c>
      <c r="G2258" s="1">
        <v>45197</v>
      </c>
      <c r="H2258">
        <v>2053</v>
      </c>
      <c r="I2258">
        <v>5876</v>
      </c>
      <c r="J2258">
        <v>-3823</v>
      </c>
      <c r="K2258" t="s">
        <v>21</v>
      </c>
      <c r="L2258">
        <v>9</v>
      </c>
      <c r="M2258" t="str">
        <f t="shared" si="35"/>
        <v>6-12 Months</v>
      </c>
      <c r="N2258" s="1">
        <v>45197</v>
      </c>
      <c r="O2258">
        <v>0</v>
      </c>
      <c r="P2258">
        <v>2257</v>
      </c>
      <c r="Q2258" s="2">
        <v>-1.86</v>
      </c>
      <c r="R2258" t="s">
        <v>22</v>
      </c>
      <c r="S2258">
        <v>2023</v>
      </c>
      <c r="T2258" t="s">
        <v>30</v>
      </c>
    </row>
    <row r="2259" spans="1:20" hidden="1" x14ac:dyDescent="0.3">
      <c r="A2259">
        <v>3791</v>
      </c>
      <c r="B2259">
        <v>114</v>
      </c>
      <c r="C2259" t="s">
        <v>53</v>
      </c>
      <c r="D2259" t="s">
        <v>25</v>
      </c>
      <c r="E2259" t="s">
        <v>37</v>
      </c>
      <c r="F2259" s="1">
        <v>44607</v>
      </c>
      <c r="G2259" s="1">
        <v>44962</v>
      </c>
      <c r="H2259">
        <v>3551</v>
      </c>
      <c r="I2259">
        <v>5539</v>
      </c>
      <c r="J2259">
        <v>-1988</v>
      </c>
      <c r="K2259" t="s">
        <v>54</v>
      </c>
      <c r="L2259">
        <v>11</v>
      </c>
      <c r="M2259" t="str">
        <f t="shared" si="35"/>
        <v>6-12 Months</v>
      </c>
      <c r="N2259" s="1">
        <v>44962</v>
      </c>
      <c r="O2259">
        <v>0</v>
      </c>
      <c r="P2259">
        <v>2258</v>
      </c>
      <c r="Q2259" s="2">
        <v>-0.56000000000000005</v>
      </c>
      <c r="R2259" t="s">
        <v>27</v>
      </c>
      <c r="S2259">
        <v>2023</v>
      </c>
      <c r="T2259" t="s">
        <v>43</v>
      </c>
    </row>
    <row r="2260" spans="1:20" hidden="1" x14ac:dyDescent="0.3">
      <c r="A2260">
        <v>3792</v>
      </c>
      <c r="B2260">
        <v>244</v>
      </c>
      <c r="C2260" t="s">
        <v>53</v>
      </c>
      <c r="D2260" t="s">
        <v>25</v>
      </c>
      <c r="E2260" t="s">
        <v>37</v>
      </c>
      <c r="F2260" s="1">
        <v>44656</v>
      </c>
      <c r="G2260" s="1">
        <v>44781</v>
      </c>
      <c r="H2260">
        <v>5224</v>
      </c>
      <c r="I2260">
        <v>7480</v>
      </c>
      <c r="J2260">
        <v>-2256</v>
      </c>
      <c r="K2260" t="s">
        <v>54</v>
      </c>
      <c r="L2260">
        <v>4</v>
      </c>
      <c r="M2260" t="str">
        <f t="shared" si="35"/>
        <v>0-6 Months</v>
      </c>
      <c r="N2260" s="1">
        <v>44781</v>
      </c>
      <c r="O2260">
        <v>0</v>
      </c>
      <c r="P2260">
        <v>2259</v>
      </c>
      <c r="Q2260" s="2">
        <v>-0.43</v>
      </c>
      <c r="R2260" t="s">
        <v>27</v>
      </c>
      <c r="S2260">
        <v>2022</v>
      </c>
      <c r="T2260" t="s">
        <v>36</v>
      </c>
    </row>
    <row r="2261" spans="1:20" hidden="1" x14ac:dyDescent="0.3">
      <c r="A2261">
        <v>3793</v>
      </c>
      <c r="B2261">
        <v>149</v>
      </c>
      <c r="C2261" t="s">
        <v>40</v>
      </c>
      <c r="D2261" t="s">
        <v>29</v>
      </c>
      <c r="E2261" t="s">
        <v>20</v>
      </c>
      <c r="F2261" s="1">
        <v>44793</v>
      </c>
      <c r="G2261" s="1">
        <v>44838</v>
      </c>
      <c r="H2261">
        <v>9064</v>
      </c>
      <c r="I2261">
        <v>5713</v>
      </c>
      <c r="J2261">
        <v>3351</v>
      </c>
      <c r="K2261" t="s">
        <v>54</v>
      </c>
      <c r="L2261">
        <v>1</v>
      </c>
      <c r="M2261" t="str">
        <f t="shared" si="35"/>
        <v>0-6 Months</v>
      </c>
      <c r="N2261" s="1">
        <v>44838</v>
      </c>
      <c r="O2261">
        <v>0</v>
      </c>
      <c r="P2261">
        <v>2260</v>
      </c>
      <c r="Q2261" s="2">
        <v>0.37</v>
      </c>
      <c r="R2261" t="s">
        <v>27</v>
      </c>
      <c r="S2261">
        <v>2022</v>
      </c>
      <c r="T2261" t="s">
        <v>33</v>
      </c>
    </row>
    <row r="2262" spans="1:20" hidden="1" x14ac:dyDescent="0.3">
      <c r="A2262">
        <v>3794</v>
      </c>
      <c r="B2262">
        <v>161</v>
      </c>
      <c r="C2262" t="s">
        <v>45</v>
      </c>
      <c r="D2262" t="s">
        <v>34</v>
      </c>
      <c r="E2262" t="s">
        <v>37</v>
      </c>
      <c r="F2262" s="1">
        <v>44851</v>
      </c>
      <c r="G2262" s="1">
        <v>44983</v>
      </c>
      <c r="H2262">
        <v>4967.93</v>
      </c>
      <c r="I2262">
        <v>6788</v>
      </c>
      <c r="J2262">
        <v>-8599</v>
      </c>
      <c r="K2262" t="s">
        <v>54</v>
      </c>
      <c r="L2262">
        <v>4</v>
      </c>
      <c r="M2262" t="str">
        <f t="shared" si="35"/>
        <v>0-6 Months</v>
      </c>
      <c r="N2262" s="1">
        <v>44983</v>
      </c>
      <c r="O2262">
        <v>0</v>
      </c>
      <c r="P2262">
        <v>2261</v>
      </c>
      <c r="Q2262" s="2">
        <v>-1.73</v>
      </c>
      <c r="R2262" t="s">
        <v>22</v>
      </c>
      <c r="S2262">
        <v>2023</v>
      </c>
      <c r="T2262" t="s">
        <v>43</v>
      </c>
    </row>
    <row r="2263" spans="1:20" hidden="1" x14ac:dyDescent="0.3">
      <c r="A2263">
        <v>3796</v>
      </c>
      <c r="B2263">
        <v>265</v>
      </c>
      <c r="C2263" t="s">
        <v>45</v>
      </c>
      <c r="D2263" t="s">
        <v>29</v>
      </c>
      <c r="E2263" t="s">
        <v>20</v>
      </c>
      <c r="F2263" s="1">
        <v>44850</v>
      </c>
      <c r="G2263" s="1">
        <v>45426</v>
      </c>
      <c r="H2263">
        <v>5179</v>
      </c>
      <c r="I2263">
        <v>5784</v>
      </c>
      <c r="J2263">
        <v>-605</v>
      </c>
      <c r="K2263" t="s">
        <v>54</v>
      </c>
      <c r="L2263">
        <v>18</v>
      </c>
      <c r="M2263" t="str">
        <f t="shared" si="35"/>
        <v>6-12 Months</v>
      </c>
      <c r="N2263" s="1">
        <v>45426</v>
      </c>
      <c r="O2263">
        <v>0</v>
      </c>
      <c r="P2263">
        <v>2262</v>
      </c>
      <c r="Q2263" s="2">
        <v>-0.12</v>
      </c>
      <c r="R2263" t="s">
        <v>27</v>
      </c>
      <c r="S2263">
        <v>2024</v>
      </c>
      <c r="T2263" t="s">
        <v>28</v>
      </c>
    </row>
    <row r="2264" spans="1:20" x14ac:dyDescent="0.3">
      <c r="A2264">
        <v>3797</v>
      </c>
      <c r="B2264">
        <v>475</v>
      </c>
      <c r="C2264" t="s">
        <v>40</v>
      </c>
      <c r="D2264" t="s">
        <v>29</v>
      </c>
      <c r="E2264" t="s">
        <v>26</v>
      </c>
      <c r="F2264" s="1">
        <v>44579</v>
      </c>
      <c r="G2264" s="1">
        <v>44807</v>
      </c>
      <c r="H2264">
        <v>4967.93</v>
      </c>
      <c r="I2264">
        <v>2689</v>
      </c>
      <c r="J2264">
        <v>-3375</v>
      </c>
      <c r="K2264" t="s">
        <v>35</v>
      </c>
      <c r="L2264">
        <v>7</v>
      </c>
      <c r="M2264" t="str">
        <f t="shared" si="35"/>
        <v>6-12 Months</v>
      </c>
      <c r="N2264" s="1">
        <v>44807</v>
      </c>
      <c r="O2264">
        <v>0</v>
      </c>
      <c r="P2264">
        <v>2263</v>
      </c>
      <c r="Q2264" s="2">
        <v>-0.68</v>
      </c>
      <c r="R2264" t="s">
        <v>27</v>
      </c>
      <c r="S2264">
        <v>2022</v>
      </c>
      <c r="T2264" t="s">
        <v>30</v>
      </c>
    </row>
    <row r="2265" spans="1:20" hidden="1" x14ac:dyDescent="0.3">
      <c r="A2265">
        <v>3798</v>
      </c>
      <c r="B2265">
        <v>452</v>
      </c>
      <c r="C2265" t="s">
        <v>45</v>
      </c>
      <c r="D2265" t="s">
        <v>19</v>
      </c>
      <c r="E2265" t="s">
        <v>20</v>
      </c>
      <c r="F2265" s="1">
        <v>44828</v>
      </c>
      <c r="G2265" s="1">
        <v>44925</v>
      </c>
      <c r="H2265">
        <v>4057</v>
      </c>
      <c r="I2265">
        <v>6534</v>
      </c>
      <c r="J2265">
        <v>-2477</v>
      </c>
      <c r="K2265" t="s">
        <v>54</v>
      </c>
      <c r="L2265">
        <v>3</v>
      </c>
      <c r="M2265" t="str">
        <f t="shared" si="35"/>
        <v>0-6 Months</v>
      </c>
      <c r="N2265" s="1">
        <v>44925</v>
      </c>
      <c r="O2265">
        <v>1</v>
      </c>
      <c r="P2265">
        <v>2264</v>
      </c>
      <c r="Q2265" s="2">
        <v>-0.61</v>
      </c>
      <c r="R2265" t="s">
        <v>27</v>
      </c>
      <c r="S2265">
        <v>2022</v>
      </c>
      <c r="T2265" t="s">
        <v>31</v>
      </c>
    </row>
    <row r="2266" spans="1:20" hidden="1" x14ac:dyDescent="0.3">
      <c r="A2266">
        <v>3800</v>
      </c>
      <c r="B2266">
        <v>491</v>
      </c>
      <c r="C2266" t="s">
        <v>53</v>
      </c>
      <c r="D2266" t="s">
        <v>29</v>
      </c>
      <c r="E2266" t="s">
        <v>37</v>
      </c>
      <c r="F2266" s="1">
        <v>44774</v>
      </c>
      <c r="G2266" s="1">
        <v>45285</v>
      </c>
      <c r="H2266">
        <v>4563</v>
      </c>
      <c r="I2266">
        <v>2217</v>
      </c>
      <c r="J2266">
        <v>2346</v>
      </c>
      <c r="K2266" t="s">
        <v>54</v>
      </c>
      <c r="L2266">
        <v>16</v>
      </c>
      <c r="M2266" t="str">
        <f t="shared" si="35"/>
        <v>6-12 Months</v>
      </c>
      <c r="N2266" s="1">
        <v>45285</v>
      </c>
      <c r="O2266">
        <v>1</v>
      </c>
      <c r="P2266">
        <v>2265</v>
      </c>
      <c r="Q2266" s="2">
        <v>0.51</v>
      </c>
      <c r="R2266" t="s">
        <v>27</v>
      </c>
      <c r="S2266">
        <v>2023</v>
      </c>
      <c r="T2266" t="s">
        <v>31</v>
      </c>
    </row>
    <row r="2267" spans="1:20" hidden="1" x14ac:dyDescent="0.3">
      <c r="A2267">
        <v>3801</v>
      </c>
      <c r="B2267">
        <v>309</v>
      </c>
      <c r="C2267" t="s">
        <v>53</v>
      </c>
      <c r="D2267" t="s">
        <v>29</v>
      </c>
      <c r="E2267" t="s">
        <v>26</v>
      </c>
      <c r="F2267" s="1">
        <v>44658</v>
      </c>
      <c r="G2267" s="1">
        <v>45175</v>
      </c>
      <c r="H2267">
        <v>4883</v>
      </c>
      <c r="I2267">
        <v>3992</v>
      </c>
      <c r="J2267">
        <v>891</v>
      </c>
      <c r="K2267" t="s">
        <v>54</v>
      </c>
      <c r="L2267">
        <v>16</v>
      </c>
      <c r="M2267" t="str">
        <f t="shared" si="35"/>
        <v>6-12 Months</v>
      </c>
      <c r="N2267" s="1">
        <v>45175</v>
      </c>
      <c r="O2267">
        <v>0</v>
      </c>
      <c r="P2267">
        <v>2266</v>
      </c>
      <c r="Q2267" s="2">
        <v>0.18</v>
      </c>
      <c r="R2267" t="s">
        <v>27</v>
      </c>
      <c r="S2267">
        <v>2023</v>
      </c>
      <c r="T2267" t="s">
        <v>30</v>
      </c>
    </row>
    <row r="2268" spans="1:20" hidden="1" x14ac:dyDescent="0.3">
      <c r="A2268">
        <v>3802</v>
      </c>
      <c r="B2268">
        <v>117</v>
      </c>
      <c r="C2268" t="s">
        <v>40</v>
      </c>
      <c r="D2268" t="s">
        <v>34</v>
      </c>
      <c r="E2268" t="s">
        <v>26</v>
      </c>
      <c r="F2268" s="1">
        <v>44791</v>
      </c>
      <c r="G2268" s="1">
        <v>45027</v>
      </c>
      <c r="H2268">
        <v>4967.93</v>
      </c>
      <c r="I2268">
        <v>110</v>
      </c>
      <c r="J2268">
        <v>577.01</v>
      </c>
      <c r="K2268" t="s">
        <v>54</v>
      </c>
      <c r="L2268">
        <v>7</v>
      </c>
      <c r="M2268" t="str">
        <f t="shared" si="35"/>
        <v>6-12 Months</v>
      </c>
      <c r="N2268" s="1">
        <v>45027</v>
      </c>
      <c r="O2268">
        <v>0</v>
      </c>
      <c r="P2268">
        <v>2267</v>
      </c>
      <c r="Q2268" s="2">
        <v>0.12</v>
      </c>
      <c r="R2268" t="s">
        <v>27</v>
      </c>
      <c r="S2268">
        <v>2023</v>
      </c>
      <c r="T2268" t="s">
        <v>32</v>
      </c>
    </row>
    <row r="2269" spans="1:20" hidden="1" x14ac:dyDescent="0.3">
      <c r="A2269">
        <v>3803</v>
      </c>
      <c r="B2269">
        <v>368</v>
      </c>
      <c r="C2269" t="s">
        <v>53</v>
      </c>
      <c r="D2269" t="s">
        <v>29</v>
      </c>
      <c r="E2269" t="s">
        <v>20</v>
      </c>
      <c r="F2269" s="1">
        <v>44699</v>
      </c>
      <c r="G2269" s="1">
        <v>45109</v>
      </c>
      <c r="H2269">
        <v>4967.93</v>
      </c>
      <c r="I2269">
        <v>4012.75</v>
      </c>
      <c r="J2269">
        <v>-24</v>
      </c>
      <c r="K2269" t="s">
        <v>54</v>
      </c>
      <c r="L2269">
        <v>13</v>
      </c>
      <c r="M2269" t="str">
        <f t="shared" si="35"/>
        <v>6-12 Months</v>
      </c>
      <c r="N2269" s="1">
        <v>45109</v>
      </c>
      <c r="O2269">
        <v>0</v>
      </c>
      <c r="P2269">
        <v>2268</v>
      </c>
      <c r="Q2269" s="2">
        <v>0</v>
      </c>
      <c r="R2269" t="s">
        <v>27</v>
      </c>
      <c r="S2269">
        <v>2023</v>
      </c>
      <c r="T2269" t="s">
        <v>44</v>
      </c>
    </row>
    <row r="2270" spans="1:20" hidden="1" x14ac:dyDescent="0.3">
      <c r="A2270">
        <v>3804</v>
      </c>
      <c r="B2270">
        <v>250</v>
      </c>
      <c r="C2270" t="s">
        <v>39</v>
      </c>
      <c r="D2270" t="s">
        <v>25</v>
      </c>
      <c r="E2270" t="s">
        <v>20</v>
      </c>
      <c r="F2270" s="1">
        <v>44642</v>
      </c>
      <c r="G2270" s="1">
        <v>45214</v>
      </c>
      <c r="H2270">
        <v>4967.93</v>
      </c>
      <c r="I2270">
        <v>6199</v>
      </c>
      <c r="J2270">
        <v>-7307</v>
      </c>
      <c r="K2270" t="s">
        <v>54</v>
      </c>
      <c r="L2270">
        <v>18</v>
      </c>
      <c r="M2270" t="str">
        <f t="shared" si="35"/>
        <v>6-12 Months</v>
      </c>
      <c r="N2270" s="1">
        <v>45214</v>
      </c>
      <c r="O2270">
        <v>0</v>
      </c>
      <c r="P2270">
        <v>2269</v>
      </c>
      <c r="Q2270" s="2">
        <v>-1.47</v>
      </c>
      <c r="R2270" t="s">
        <v>22</v>
      </c>
      <c r="S2270">
        <v>2023</v>
      </c>
      <c r="T2270" t="s">
        <v>33</v>
      </c>
    </row>
    <row r="2271" spans="1:20" hidden="1" x14ac:dyDescent="0.3">
      <c r="A2271">
        <v>3805</v>
      </c>
      <c r="B2271">
        <v>211</v>
      </c>
      <c r="C2271" t="s">
        <v>53</v>
      </c>
      <c r="D2271" t="s">
        <v>25</v>
      </c>
      <c r="E2271" t="s">
        <v>37</v>
      </c>
      <c r="F2271" s="1">
        <v>44908</v>
      </c>
      <c r="G2271" s="1">
        <v>45241</v>
      </c>
      <c r="H2271">
        <v>5590</v>
      </c>
      <c r="I2271">
        <v>6917</v>
      </c>
      <c r="J2271">
        <v>-1327</v>
      </c>
      <c r="K2271" t="s">
        <v>21</v>
      </c>
      <c r="L2271">
        <v>10</v>
      </c>
      <c r="M2271" t="str">
        <f t="shared" si="35"/>
        <v>6-12 Months</v>
      </c>
      <c r="N2271" s="1">
        <v>45241</v>
      </c>
      <c r="O2271">
        <v>1</v>
      </c>
      <c r="P2271">
        <v>2270</v>
      </c>
      <c r="Q2271" s="2">
        <v>-0.24</v>
      </c>
      <c r="R2271" t="s">
        <v>27</v>
      </c>
      <c r="S2271">
        <v>2023</v>
      </c>
      <c r="T2271" t="s">
        <v>42</v>
      </c>
    </row>
    <row r="2272" spans="1:20" hidden="1" x14ac:dyDescent="0.3">
      <c r="A2272">
        <v>3806</v>
      </c>
      <c r="B2272">
        <v>321</v>
      </c>
      <c r="C2272" t="s">
        <v>40</v>
      </c>
      <c r="D2272" t="s">
        <v>34</v>
      </c>
      <c r="E2272" t="s">
        <v>20</v>
      </c>
      <c r="F2272" s="1">
        <v>44750</v>
      </c>
      <c r="G2272" s="1">
        <v>44863</v>
      </c>
      <c r="H2272">
        <v>7631</v>
      </c>
      <c r="I2272">
        <v>2094</v>
      </c>
      <c r="J2272">
        <v>5537</v>
      </c>
      <c r="K2272" t="s">
        <v>54</v>
      </c>
      <c r="L2272">
        <v>3</v>
      </c>
      <c r="M2272" t="str">
        <f t="shared" si="35"/>
        <v>0-6 Months</v>
      </c>
      <c r="N2272" s="1">
        <v>44863</v>
      </c>
      <c r="O2272">
        <v>1</v>
      </c>
      <c r="P2272">
        <v>2271</v>
      </c>
      <c r="Q2272" s="2">
        <v>0.73</v>
      </c>
      <c r="R2272" t="s">
        <v>27</v>
      </c>
      <c r="S2272">
        <v>2022</v>
      </c>
      <c r="T2272" t="s">
        <v>33</v>
      </c>
    </row>
    <row r="2273" spans="1:20" hidden="1" x14ac:dyDescent="0.3">
      <c r="A2273">
        <v>3807</v>
      </c>
      <c r="B2273">
        <v>208</v>
      </c>
      <c r="C2273" t="s">
        <v>39</v>
      </c>
      <c r="D2273" t="s">
        <v>34</v>
      </c>
      <c r="E2273" t="s">
        <v>26</v>
      </c>
      <c r="F2273" s="1">
        <v>44752</v>
      </c>
      <c r="G2273" s="1">
        <v>45230</v>
      </c>
      <c r="H2273">
        <v>2119</v>
      </c>
      <c r="I2273">
        <v>3587</v>
      </c>
      <c r="J2273">
        <v>-1468</v>
      </c>
      <c r="K2273" t="s">
        <v>21</v>
      </c>
      <c r="L2273">
        <v>15</v>
      </c>
      <c r="M2273" t="str">
        <f t="shared" si="35"/>
        <v>6-12 Months</v>
      </c>
      <c r="N2273" s="1">
        <v>45230</v>
      </c>
      <c r="O2273">
        <v>0</v>
      </c>
      <c r="P2273">
        <v>2272</v>
      </c>
      <c r="Q2273" s="2">
        <v>-0.69</v>
      </c>
      <c r="R2273" t="s">
        <v>27</v>
      </c>
      <c r="S2273">
        <v>2023</v>
      </c>
      <c r="T2273" t="s">
        <v>33</v>
      </c>
    </row>
    <row r="2274" spans="1:20" hidden="1" x14ac:dyDescent="0.3">
      <c r="A2274">
        <v>3808</v>
      </c>
      <c r="B2274">
        <v>278</v>
      </c>
      <c r="C2274" t="s">
        <v>39</v>
      </c>
      <c r="D2274" t="s">
        <v>19</v>
      </c>
      <c r="E2274" t="s">
        <v>26</v>
      </c>
      <c r="F2274" s="1">
        <v>44741</v>
      </c>
      <c r="G2274" s="1">
        <v>44897</v>
      </c>
      <c r="H2274">
        <v>854</v>
      </c>
      <c r="I2274">
        <v>2746</v>
      </c>
      <c r="J2274">
        <v>-1892</v>
      </c>
      <c r="K2274" t="s">
        <v>21</v>
      </c>
      <c r="L2274">
        <v>5</v>
      </c>
      <c r="M2274" t="str">
        <f t="shared" si="35"/>
        <v>0-6 Months</v>
      </c>
      <c r="N2274" s="1">
        <v>44897</v>
      </c>
      <c r="O2274">
        <v>0</v>
      </c>
      <c r="P2274">
        <v>2273</v>
      </c>
      <c r="Q2274" s="2">
        <v>-2.2200000000000002</v>
      </c>
      <c r="R2274" t="s">
        <v>22</v>
      </c>
      <c r="S2274">
        <v>2022</v>
      </c>
      <c r="T2274" t="s">
        <v>31</v>
      </c>
    </row>
    <row r="2275" spans="1:20" x14ac:dyDescent="0.3">
      <c r="A2275">
        <v>3809</v>
      </c>
      <c r="B2275">
        <v>381</v>
      </c>
      <c r="C2275" t="s">
        <v>39</v>
      </c>
      <c r="D2275" t="s">
        <v>34</v>
      </c>
      <c r="E2275" t="s">
        <v>26</v>
      </c>
      <c r="F2275" s="1">
        <v>44642</v>
      </c>
      <c r="G2275" s="1">
        <v>44745</v>
      </c>
      <c r="H2275">
        <v>1141</v>
      </c>
      <c r="I2275">
        <v>3195</v>
      </c>
      <c r="J2275">
        <v>-2054</v>
      </c>
      <c r="K2275" t="s">
        <v>35</v>
      </c>
      <c r="L2275">
        <v>3</v>
      </c>
      <c r="M2275" t="str">
        <f t="shared" si="35"/>
        <v>0-6 Months</v>
      </c>
      <c r="N2275" s="1">
        <v>44745</v>
      </c>
      <c r="O2275">
        <v>0</v>
      </c>
      <c r="P2275">
        <v>2274</v>
      </c>
      <c r="Q2275" s="2">
        <v>-1.8</v>
      </c>
      <c r="R2275" t="s">
        <v>22</v>
      </c>
      <c r="S2275">
        <v>2022</v>
      </c>
      <c r="T2275" t="s">
        <v>44</v>
      </c>
    </row>
    <row r="2276" spans="1:20" hidden="1" x14ac:dyDescent="0.3">
      <c r="A2276">
        <v>3810</v>
      </c>
      <c r="B2276">
        <v>167</v>
      </c>
      <c r="C2276" t="s">
        <v>24</v>
      </c>
      <c r="D2276" t="s">
        <v>29</v>
      </c>
      <c r="E2276" t="s">
        <v>37</v>
      </c>
      <c r="F2276" s="1">
        <v>44697</v>
      </c>
      <c r="G2276" s="1">
        <v>45188</v>
      </c>
      <c r="H2276">
        <v>6730</v>
      </c>
      <c r="I2276">
        <v>5098</v>
      </c>
      <c r="J2276">
        <v>577.01</v>
      </c>
      <c r="K2276" t="s">
        <v>54</v>
      </c>
      <c r="L2276">
        <v>16</v>
      </c>
      <c r="M2276" t="str">
        <f t="shared" si="35"/>
        <v>6-12 Months</v>
      </c>
      <c r="N2276" s="1">
        <v>45188</v>
      </c>
      <c r="O2276">
        <v>1</v>
      </c>
      <c r="P2276">
        <v>2275</v>
      </c>
      <c r="Q2276" s="2">
        <v>0.09</v>
      </c>
      <c r="R2276" t="s">
        <v>27</v>
      </c>
      <c r="S2276">
        <v>2023</v>
      </c>
      <c r="T2276" t="s">
        <v>30</v>
      </c>
    </row>
    <row r="2277" spans="1:20" x14ac:dyDescent="0.3">
      <c r="A2277">
        <v>3812</v>
      </c>
      <c r="B2277">
        <v>336</v>
      </c>
      <c r="C2277" t="s">
        <v>40</v>
      </c>
      <c r="D2277" t="s">
        <v>19</v>
      </c>
      <c r="E2277" t="s">
        <v>37</v>
      </c>
      <c r="F2277" s="1">
        <v>44624</v>
      </c>
      <c r="G2277" s="1">
        <v>44873</v>
      </c>
      <c r="H2277">
        <v>4967.93</v>
      </c>
      <c r="I2277">
        <v>4012.75</v>
      </c>
      <c r="J2277">
        <v>-529</v>
      </c>
      <c r="K2277" t="s">
        <v>35</v>
      </c>
      <c r="L2277">
        <v>8</v>
      </c>
      <c r="M2277" t="str">
        <f t="shared" si="35"/>
        <v>6-12 Months</v>
      </c>
      <c r="N2277" s="1">
        <v>44873</v>
      </c>
      <c r="O2277">
        <v>1</v>
      </c>
      <c r="P2277">
        <v>2276</v>
      </c>
      <c r="Q2277" s="2">
        <v>-0.11</v>
      </c>
      <c r="R2277" t="s">
        <v>27</v>
      </c>
      <c r="S2277">
        <v>2022</v>
      </c>
      <c r="T2277" t="s">
        <v>42</v>
      </c>
    </row>
    <row r="2278" spans="1:20" hidden="1" x14ac:dyDescent="0.3">
      <c r="A2278">
        <v>3813</v>
      </c>
      <c r="B2278">
        <v>254</v>
      </c>
      <c r="C2278" t="s">
        <v>24</v>
      </c>
      <c r="D2278" t="s">
        <v>19</v>
      </c>
      <c r="E2278" t="s">
        <v>20</v>
      </c>
      <c r="F2278" s="1">
        <v>44915</v>
      </c>
      <c r="G2278" s="1">
        <v>45287</v>
      </c>
      <c r="H2278">
        <v>9354</v>
      </c>
      <c r="I2278">
        <v>5041</v>
      </c>
      <c r="J2278">
        <v>4313</v>
      </c>
      <c r="K2278" t="s">
        <v>54</v>
      </c>
      <c r="L2278">
        <v>12</v>
      </c>
      <c r="M2278" t="str">
        <f t="shared" si="35"/>
        <v>6-12 Months</v>
      </c>
      <c r="N2278" s="1">
        <v>45287</v>
      </c>
      <c r="O2278">
        <v>0</v>
      </c>
      <c r="P2278">
        <v>2277</v>
      </c>
      <c r="Q2278" s="2">
        <v>0.46</v>
      </c>
      <c r="R2278" t="s">
        <v>27</v>
      </c>
      <c r="S2278">
        <v>2023</v>
      </c>
      <c r="T2278" t="s">
        <v>31</v>
      </c>
    </row>
    <row r="2279" spans="1:20" hidden="1" x14ac:dyDescent="0.3">
      <c r="A2279">
        <v>3814</v>
      </c>
      <c r="B2279">
        <v>176</v>
      </c>
      <c r="C2279" t="s">
        <v>53</v>
      </c>
      <c r="D2279" t="s">
        <v>19</v>
      </c>
      <c r="E2279" t="s">
        <v>37</v>
      </c>
      <c r="F2279" s="1">
        <v>44881</v>
      </c>
      <c r="G2279" s="1">
        <v>45301</v>
      </c>
      <c r="H2279">
        <v>5444</v>
      </c>
      <c r="I2279">
        <v>7834</v>
      </c>
      <c r="J2279">
        <v>-2390</v>
      </c>
      <c r="K2279" t="s">
        <v>21</v>
      </c>
      <c r="L2279">
        <v>13</v>
      </c>
      <c r="M2279" t="str">
        <f t="shared" si="35"/>
        <v>6-12 Months</v>
      </c>
      <c r="N2279" s="1">
        <v>45301</v>
      </c>
      <c r="O2279">
        <v>0</v>
      </c>
      <c r="P2279">
        <v>2278</v>
      </c>
      <c r="Q2279" s="2">
        <v>-0.44</v>
      </c>
      <c r="R2279" t="s">
        <v>27</v>
      </c>
      <c r="S2279">
        <v>2024</v>
      </c>
      <c r="T2279" t="s">
        <v>23</v>
      </c>
    </row>
    <row r="2280" spans="1:20" hidden="1" x14ac:dyDescent="0.3">
      <c r="A2280">
        <v>3815</v>
      </c>
      <c r="B2280">
        <v>364</v>
      </c>
      <c r="C2280" t="s">
        <v>45</v>
      </c>
      <c r="D2280" t="s">
        <v>25</v>
      </c>
      <c r="E2280" t="s">
        <v>37</v>
      </c>
      <c r="F2280" s="1">
        <v>44627</v>
      </c>
      <c r="G2280" s="1">
        <v>44825</v>
      </c>
      <c r="H2280">
        <v>9264</v>
      </c>
      <c r="I2280">
        <v>2739</v>
      </c>
      <c r="J2280">
        <v>577.01</v>
      </c>
      <c r="K2280" t="s">
        <v>21</v>
      </c>
      <c r="L2280">
        <v>6</v>
      </c>
      <c r="M2280" t="str">
        <f t="shared" si="35"/>
        <v>12+ Months</v>
      </c>
      <c r="N2280" s="1">
        <v>44825</v>
      </c>
      <c r="O2280">
        <v>1</v>
      </c>
      <c r="P2280">
        <v>2279</v>
      </c>
      <c r="Q2280" s="2">
        <v>0.06</v>
      </c>
      <c r="R2280" t="s">
        <v>27</v>
      </c>
      <c r="S2280">
        <v>2022</v>
      </c>
      <c r="T2280" t="s">
        <v>30</v>
      </c>
    </row>
    <row r="2281" spans="1:20" hidden="1" x14ac:dyDescent="0.3">
      <c r="A2281">
        <v>3816</v>
      </c>
      <c r="B2281">
        <v>117</v>
      </c>
      <c r="C2281" t="s">
        <v>53</v>
      </c>
      <c r="D2281" t="s">
        <v>34</v>
      </c>
      <c r="E2281" t="s">
        <v>37</v>
      </c>
      <c r="F2281" s="1">
        <v>44606</v>
      </c>
      <c r="G2281" s="1">
        <v>44888</v>
      </c>
      <c r="H2281">
        <v>9188</v>
      </c>
      <c r="I2281">
        <v>435</v>
      </c>
      <c r="J2281">
        <v>8753</v>
      </c>
      <c r="K2281" t="s">
        <v>54</v>
      </c>
      <c r="L2281">
        <v>9</v>
      </c>
      <c r="M2281" t="str">
        <f t="shared" si="35"/>
        <v>6-12 Months</v>
      </c>
      <c r="N2281" s="1">
        <v>44888</v>
      </c>
      <c r="O2281">
        <v>1</v>
      </c>
      <c r="P2281">
        <v>2280</v>
      </c>
      <c r="Q2281" s="2">
        <v>0.95</v>
      </c>
      <c r="R2281" t="s">
        <v>27</v>
      </c>
      <c r="S2281">
        <v>2022</v>
      </c>
      <c r="T2281" t="s">
        <v>42</v>
      </c>
    </row>
    <row r="2282" spans="1:20" hidden="1" x14ac:dyDescent="0.3">
      <c r="A2282">
        <v>3817</v>
      </c>
      <c r="B2282">
        <v>376</v>
      </c>
      <c r="C2282" t="s">
        <v>53</v>
      </c>
      <c r="D2282" t="s">
        <v>25</v>
      </c>
      <c r="E2282" t="s">
        <v>26</v>
      </c>
      <c r="F2282" s="1">
        <v>44582</v>
      </c>
      <c r="G2282" s="1">
        <v>44741</v>
      </c>
      <c r="H2282">
        <v>2245</v>
      </c>
      <c r="I2282">
        <v>6560</v>
      </c>
      <c r="J2282">
        <v>-4315</v>
      </c>
      <c r="K2282" t="s">
        <v>21</v>
      </c>
      <c r="L2282">
        <v>5</v>
      </c>
      <c r="M2282" t="str">
        <f t="shared" si="35"/>
        <v>0-6 Months</v>
      </c>
      <c r="N2282" s="1">
        <v>44741</v>
      </c>
      <c r="O2282">
        <v>0</v>
      </c>
      <c r="P2282">
        <v>2281</v>
      </c>
      <c r="Q2282" s="2">
        <v>-1.92</v>
      </c>
      <c r="R2282" t="s">
        <v>22</v>
      </c>
      <c r="S2282">
        <v>2022</v>
      </c>
      <c r="T2282" t="s">
        <v>41</v>
      </c>
    </row>
    <row r="2283" spans="1:20" hidden="1" x14ac:dyDescent="0.3">
      <c r="A2283">
        <v>3819</v>
      </c>
      <c r="B2283">
        <v>373</v>
      </c>
      <c r="C2283" t="s">
        <v>40</v>
      </c>
      <c r="D2283" t="s">
        <v>25</v>
      </c>
      <c r="E2283" t="s">
        <v>26</v>
      </c>
      <c r="F2283" s="1">
        <v>44579</v>
      </c>
      <c r="G2283" s="1">
        <v>44777</v>
      </c>
      <c r="H2283">
        <v>4472</v>
      </c>
      <c r="I2283">
        <v>5629</v>
      </c>
      <c r="J2283">
        <v>-1157</v>
      </c>
      <c r="K2283" t="s">
        <v>54</v>
      </c>
      <c r="L2283">
        <v>6</v>
      </c>
      <c r="M2283" t="str">
        <f t="shared" si="35"/>
        <v>12+ Months</v>
      </c>
      <c r="N2283" s="1">
        <v>44777</v>
      </c>
      <c r="O2283">
        <v>0</v>
      </c>
      <c r="P2283">
        <v>2282</v>
      </c>
      <c r="Q2283" s="2">
        <v>-0.26</v>
      </c>
      <c r="R2283" t="s">
        <v>27</v>
      </c>
      <c r="S2283">
        <v>2022</v>
      </c>
      <c r="T2283" t="s">
        <v>36</v>
      </c>
    </row>
    <row r="2284" spans="1:20" x14ac:dyDescent="0.3">
      <c r="A2284">
        <v>3820</v>
      </c>
      <c r="B2284">
        <v>295</v>
      </c>
      <c r="C2284" t="s">
        <v>53</v>
      </c>
      <c r="D2284" t="s">
        <v>34</v>
      </c>
      <c r="E2284" t="s">
        <v>20</v>
      </c>
      <c r="F2284" s="1">
        <v>44732</v>
      </c>
      <c r="G2284" s="1">
        <v>45130</v>
      </c>
      <c r="H2284">
        <v>7597</v>
      </c>
      <c r="I2284">
        <v>788</v>
      </c>
      <c r="J2284">
        <v>6809</v>
      </c>
      <c r="K2284" t="s">
        <v>35</v>
      </c>
      <c r="L2284">
        <v>13</v>
      </c>
      <c r="M2284" t="str">
        <f t="shared" si="35"/>
        <v>6-12 Months</v>
      </c>
      <c r="N2284" s="1">
        <v>45130</v>
      </c>
      <c r="O2284">
        <v>0</v>
      </c>
      <c r="P2284">
        <v>2283</v>
      </c>
      <c r="Q2284" s="2">
        <v>0.9</v>
      </c>
      <c r="R2284" t="s">
        <v>27</v>
      </c>
      <c r="S2284">
        <v>2023</v>
      </c>
      <c r="T2284" t="s">
        <v>44</v>
      </c>
    </row>
    <row r="2285" spans="1:20" x14ac:dyDescent="0.3">
      <c r="A2285">
        <v>3821</v>
      </c>
      <c r="B2285">
        <v>286</v>
      </c>
      <c r="C2285" t="s">
        <v>45</v>
      </c>
      <c r="D2285" t="s">
        <v>29</v>
      </c>
      <c r="E2285" t="s">
        <v>20</v>
      </c>
      <c r="F2285" s="1">
        <v>44687</v>
      </c>
      <c r="G2285" s="1">
        <v>44743</v>
      </c>
      <c r="H2285">
        <v>2596</v>
      </c>
      <c r="I2285">
        <v>1291</v>
      </c>
      <c r="J2285">
        <v>1305</v>
      </c>
      <c r="K2285" t="s">
        <v>35</v>
      </c>
      <c r="L2285">
        <v>1</v>
      </c>
      <c r="M2285" t="str">
        <f t="shared" si="35"/>
        <v>0-6 Months</v>
      </c>
      <c r="N2285" s="1">
        <v>44743</v>
      </c>
      <c r="O2285">
        <v>1</v>
      </c>
      <c r="P2285">
        <v>2284</v>
      </c>
      <c r="Q2285" s="2">
        <v>0.5</v>
      </c>
      <c r="R2285" t="s">
        <v>27</v>
      </c>
      <c r="S2285">
        <v>2022</v>
      </c>
      <c r="T2285" t="s">
        <v>44</v>
      </c>
    </row>
    <row r="2286" spans="1:20" x14ac:dyDescent="0.3">
      <c r="A2286">
        <v>3823</v>
      </c>
      <c r="B2286">
        <v>152</v>
      </c>
      <c r="C2286" t="s">
        <v>24</v>
      </c>
      <c r="D2286" t="s">
        <v>25</v>
      </c>
      <c r="E2286" t="s">
        <v>26</v>
      </c>
      <c r="F2286" s="1">
        <v>44916</v>
      </c>
      <c r="G2286" s="1">
        <v>45192</v>
      </c>
      <c r="H2286">
        <v>9790</v>
      </c>
      <c r="I2286">
        <v>7633</v>
      </c>
      <c r="J2286">
        <v>2157</v>
      </c>
      <c r="K2286" t="s">
        <v>35</v>
      </c>
      <c r="L2286">
        <v>9</v>
      </c>
      <c r="M2286" t="str">
        <f t="shared" si="35"/>
        <v>6-12 Months</v>
      </c>
      <c r="N2286" s="1">
        <v>45192</v>
      </c>
      <c r="O2286">
        <v>0</v>
      </c>
      <c r="P2286">
        <v>2285</v>
      </c>
      <c r="Q2286" s="2">
        <v>0.22</v>
      </c>
      <c r="R2286" t="s">
        <v>27</v>
      </c>
      <c r="S2286">
        <v>2023</v>
      </c>
      <c r="T2286" t="s">
        <v>30</v>
      </c>
    </row>
    <row r="2287" spans="1:20" hidden="1" x14ac:dyDescent="0.3">
      <c r="A2287">
        <v>3827</v>
      </c>
      <c r="B2287">
        <v>425</v>
      </c>
      <c r="C2287" t="s">
        <v>40</v>
      </c>
      <c r="D2287" t="s">
        <v>34</v>
      </c>
      <c r="E2287" t="s">
        <v>20</v>
      </c>
      <c r="F2287" s="1">
        <v>44577</v>
      </c>
      <c r="G2287" s="1">
        <v>44780</v>
      </c>
      <c r="H2287">
        <v>2870</v>
      </c>
      <c r="I2287">
        <v>5397</v>
      </c>
      <c r="J2287">
        <v>-2527</v>
      </c>
      <c r="K2287" t="s">
        <v>54</v>
      </c>
      <c r="L2287">
        <v>6</v>
      </c>
      <c r="M2287" t="str">
        <f t="shared" si="35"/>
        <v>12+ Months</v>
      </c>
      <c r="N2287" s="1">
        <v>44780</v>
      </c>
      <c r="O2287">
        <v>0</v>
      </c>
      <c r="P2287">
        <v>2286</v>
      </c>
      <c r="Q2287" s="2">
        <v>-0.88</v>
      </c>
      <c r="R2287" t="s">
        <v>27</v>
      </c>
      <c r="S2287">
        <v>2022</v>
      </c>
      <c r="T2287" t="s">
        <v>36</v>
      </c>
    </row>
    <row r="2288" spans="1:20" x14ac:dyDescent="0.3">
      <c r="A2288">
        <v>3828</v>
      </c>
      <c r="B2288">
        <v>325</v>
      </c>
      <c r="C2288" t="s">
        <v>53</v>
      </c>
      <c r="D2288" t="s">
        <v>29</v>
      </c>
      <c r="E2288" t="s">
        <v>26</v>
      </c>
      <c r="F2288" s="1">
        <v>44565</v>
      </c>
      <c r="G2288" s="1">
        <v>44972</v>
      </c>
      <c r="H2288">
        <v>4967.93</v>
      </c>
      <c r="I2288">
        <v>1991</v>
      </c>
      <c r="J2288">
        <v>-3744</v>
      </c>
      <c r="K2288" t="s">
        <v>35</v>
      </c>
      <c r="L2288">
        <v>13</v>
      </c>
      <c r="M2288" t="str">
        <f t="shared" si="35"/>
        <v>6-12 Months</v>
      </c>
      <c r="N2288" s="1">
        <v>44972</v>
      </c>
      <c r="O2288">
        <v>0</v>
      </c>
      <c r="P2288">
        <v>2287</v>
      </c>
      <c r="Q2288" s="2">
        <v>-0.75</v>
      </c>
      <c r="R2288" t="s">
        <v>27</v>
      </c>
      <c r="S2288">
        <v>2023</v>
      </c>
      <c r="T2288" t="s">
        <v>43</v>
      </c>
    </row>
    <row r="2289" spans="1:20" hidden="1" x14ac:dyDescent="0.3">
      <c r="A2289">
        <v>3829</v>
      </c>
      <c r="B2289">
        <v>482</v>
      </c>
      <c r="C2289" t="s">
        <v>39</v>
      </c>
      <c r="D2289" t="s">
        <v>34</v>
      </c>
      <c r="E2289" t="s">
        <v>26</v>
      </c>
      <c r="F2289" s="1">
        <v>44916</v>
      </c>
      <c r="G2289" s="1">
        <v>45069</v>
      </c>
      <c r="H2289">
        <v>4188</v>
      </c>
      <c r="I2289">
        <v>2822</v>
      </c>
      <c r="J2289">
        <v>1366</v>
      </c>
      <c r="K2289" t="s">
        <v>21</v>
      </c>
      <c r="L2289">
        <v>5</v>
      </c>
      <c r="M2289" t="str">
        <f t="shared" si="35"/>
        <v>0-6 Months</v>
      </c>
      <c r="N2289" s="1">
        <v>45069</v>
      </c>
      <c r="O2289">
        <v>1</v>
      </c>
      <c r="P2289">
        <v>2288</v>
      </c>
      <c r="Q2289" s="2">
        <v>0.33</v>
      </c>
      <c r="R2289" t="s">
        <v>27</v>
      </c>
      <c r="S2289">
        <v>2023</v>
      </c>
      <c r="T2289" t="s">
        <v>28</v>
      </c>
    </row>
    <row r="2290" spans="1:20" x14ac:dyDescent="0.3">
      <c r="A2290">
        <v>3830</v>
      </c>
      <c r="B2290">
        <v>289</v>
      </c>
      <c r="C2290" t="s">
        <v>39</v>
      </c>
      <c r="D2290" t="s">
        <v>25</v>
      </c>
      <c r="E2290" t="s">
        <v>26</v>
      </c>
      <c r="F2290" s="1">
        <v>44835</v>
      </c>
      <c r="G2290" s="1">
        <v>45252</v>
      </c>
      <c r="H2290">
        <v>5258</v>
      </c>
      <c r="I2290">
        <v>7734</v>
      </c>
      <c r="J2290">
        <v>-2476</v>
      </c>
      <c r="K2290" t="s">
        <v>35</v>
      </c>
      <c r="L2290">
        <v>13</v>
      </c>
      <c r="M2290" t="str">
        <f t="shared" si="35"/>
        <v>6-12 Months</v>
      </c>
      <c r="N2290" s="1">
        <v>45252</v>
      </c>
      <c r="O2290">
        <v>0</v>
      </c>
      <c r="P2290">
        <v>2289</v>
      </c>
      <c r="Q2290" s="2">
        <v>-0.47</v>
      </c>
      <c r="R2290" t="s">
        <v>27</v>
      </c>
      <c r="S2290">
        <v>2023</v>
      </c>
      <c r="T2290" t="s">
        <v>42</v>
      </c>
    </row>
    <row r="2291" spans="1:20" hidden="1" x14ac:dyDescent="0.3">
      <c r="A2291">
        <v>3831</v>
      </c>
      <c r="B2291">
        <v>212</v>
      </c>
      <c r="C2291" t="s">
        <v>24</v>
      </c>
      <c r="D2291" t="s">
        <v>19</v>
      </c>
      <c r="E2291" t="s">
        <v>20</v>
      </c>
      <c r="F2291" s="1">
        <v>44851</v>
      </c>
      <c r="G2291" s="1">
        <v>44954</v>
      </c>
      <c r="H2291">
        <v>4363</v>
      </c>
      <c r="I2291">
        <v>6809</v>
      </c>
      <c r="J2291">
        <v>-2446</v>
      </c>
      <c r="K2291" t="s">
        <v>21</v>
      </c>
      <c r="L2291">
        <v>3</v>
      </c>
      <c r="M2291" t="str">
        <f t="shared" si="35"/>
        <v>0-6 Months</v>
      </c>
      <c r="N2291" s="1">
        <v>44954</v>
      </c>
      <c r="O2291">
        <v>1</v>
      </c>
      <c r="P2291">
        <v>2290</v>
      </c>
      <c r="Q2291" s="2">
        <v>-0.56000000000000005</v>
      </c>
      <c r="R2291" t="s">
        <v>27</v>
      </c>
      <c r="S2291">
        <v>2023</v>
      </c>
      <c r="T2291" t="s">
        <v>23</v>
      </c>
    </row>
    <row r="2292" spans="1:20" hidden="1" x14ac:dyDescent="0.3">
      <c r="A2292">
        <v>3832</v>
      </c>
      <c r="B2292">
        <v>249</v>
      </c>
      <c r="C2292" t="s">
        <v>45</v>
      </c>
      <c r="D2292" t="s">
        <v>29</v>
      </c>
      <c r="E2292" t="s">
        <v>26</v>
      </c>
      <c r="F2292" s="1">
        <v>44627</v>
      </c>
      <c r="G2292" s="1">
        <v>45032</v>
      </c>
      <c r="H2292">
        <v>5444</v>
      </c>
      <c r="I2292">
        <v>5922</v>
      </c>
      <c r="J2292">
        <v>-478</v>
      </c>
      <c r="K2292" t="s">
        <v>21</v>
      </c>
      <c r="L2292">
        <v>13</v>
      </c>
      <c r="M2292" t="str">
        <f t="shared" si="35"/>
        <v>6-12 Months</v>
      </c>
      <c r="N2292" s="1">
        <v>45032</v>
      </c>
      <c r="O2292">
        <v>0</v>
      </c>
      <c r="P2292">
        <v>2291</v>
      </c>
      <c r="Q2292" s="2">
        <v>-0.09</v>
      </c>
      <c r="R2292" t="s">
        <v>27</v>
      </c>
      <c r="S2292">
        <v>2023</v>
      </c>
      <c r="T2292" t="s">
        <v>32</v>
      </c>
    </row>
    <row r="2293" spans="1:20" hidden="1" x14ac:dyDescent="0.3">
      <c r="A2293">
        <v>3833</v>
      </c>
      <c r="B2293">
        <v>282</v>
      </c>
      <c r="C2293" t="s">
        <v>53</v>
      </c>
      <c r="D2293" t="s">
        <v>25</v>
      </c>
      <c r="E2293" t="s">
        <v>20</v>
      </c>
      <c r="F2293" s="1">
        <v>44599</v>
      </c>
      <c r="G2293" s="1">
        <v>44766</v>
      </c>
      <c r="H2293">
        <v>509</v>
      </c>
      <c r="I2293">
        <v>1607</v>
      </c>
      <c r="J2293">
        <v>-1098</v>
      </c>
      <c r="K2293" t="s">
        <v>54</v>
      </c>
      <c r="L2293">
        <v>5</v>
      </c>
      <c r="M2293" t="str">
        <f t="shared" si="35"/>
        <v>0-6 Months</v>
      </c>
      <c r="N2293" s="1">
        <v>44766</v>
      </c>
      <c r="O2293">
        <v>0</v>
      </c>
      <c r="P2293">
        <v>2292</v>
      </c>
      <c r="Q2293" s="2">
        <v>-2.16</v>
      </c>
      <c r="R2293" t="s">
        <v>22</v>
      </c>
      <c r="S2293">
        <v>2022</v>
      </c>
      <c r="T2293" t="s">
        <v>44</v>
      </c>
    </row>
    <row r="2294" spans="1:20" x14ac:dyDescent="0.3">
      <c r="A2294">
        <v>3835</v>
      </c>
      <c r="B2294">
        <v>288</v>
      </c>
      <c r="C2294" t="s">
        <v>39</v>
      </c>
      <c r="D2294" t="s">
        <v>34</v>
      </c>
      <c r="E2294" t="s">
        <v>20</v>
      </c>
      <c r="F2294" s="1">
        <v>44783</v>
      </c>
      <c r="G2294" s="1">
        <v>44955</v>
      </c>
      <c r="H2294">
        <v>4967.93</v>
      </c>
      <c r="I2294">
        <v>1635</v>
      </c>
      <c r="J2294">
        <v>-1683</v>
      </c>
      <c r="K2294" t="s">
        <v>35</v>
      </c>
      <c r="L2294">
        <v>5</v>
      </c>
      <c r="M2294" t="str">
        <f t="shared" si="35"/>
        <v>0-6 Months</v>
      </c>
      <c r="N2294" s="1">
        <v>44955</v>
      </c>
      <c r="O2294">
        <v>0</v>
      </c>
      <c r="P2294">
        <v>2293</v>
      </c>
      <c r="Q2294" s="2">
        <v>-0.34</v>
      </c>
      <c r="R2294" t="s">
        <v>27</v>
      </c>
      <c r="S2294">
        <v>2023</v>
      </c>
      <c r="T2294" t="s">
        <v>23</v>
      </c>
    </row>
    <row r="2295" spans="1:20" x14ac:dyDescent="0.3">
      <c r="A2295">
        <v>3836</v>
      </c>
      <c r="B2295">
        <v>226</v>
      </c>
      <c r="C2295" t="s">
        <v>39</v>
      </c>
      <c r="D2295" t="s">
        <v>34</v>
      </c>
      <c r="E2295" t="s">
        <v>26</v>
      </c>
      <c r="F2295" s="1">
        <v>44908</v>
      </c>
      <c r="G2295" s="1">
        <v>45054</v>
      </c>
      <c r="H2295">
        <v>4747</v>
      </c>
      <c r="I2295">
        <v>1335</v>
      </c>
      <c r="J2295">
        <v>3412</v>
      </c>
      <c r="K2295" t="s">
        <v>35</v>
      </c>
      <c r="L2295">
        <v>4</v>
      </c>
      <c r="M2295" t="str">
        <f t="shared" si="35"/>
        <v>0-6 Months</v>
      </c>
      <c r="N2295" s="1">
        <v>45054</v>
      </c>
      <c r="O2295">
        <v>1</v>
      </c>
      <c r="P2295">
        <v>2294</v>
      </c>
      <c r="Q2295" s="2">
        <v>0.72</v>
      </c>
      <c r="R2295" t="s">
        <v>27</v>
      </c>
      <c r="S2295">
        <v>2023</v>
      </c>
      <c r="T2295" t="s">
        <v>28</v>
      </c>
    </row>
    <row r="2296" spans="1:20" hidden="1" x14ac:dyDescent="0.3">
      <c r="A2296">
        <v>3837</v>
      </c>
      <c r="B2296">
        <v>268</v>
      </c>
      <c r="C2296" t="s">
        <v>39</v>
      </c>
      <c r="D2296" t="s">
        <v>25</v>
      </c>
      <c r="E2296" t="s">
        <v>26</v>
      </c>
      <c r="F2296" s="1">
        <v>44579</v>
      </c>
      <c r="G2296" s="1">
        <v>45009</v>
      </c>
      <c r="H2296">
        <v>7476</v>
      </c>
      <c r="I2296">
        <v>5421</v>
      </c>
      <c r="J2296">
        <v>2055</v>
      </c>
      <c r="K2296" t="s">
        <v>54</v>
      </c>
      <c r="L2296">
        <v>14</v>
      </c>
      <c r="M2296" t="str">
        <f t="shared" si="35"/>
        <v>6-12 Months</v>
      </c>
      <c r="N2296" s="1">
        <v>45009</v>
      </c>
      <c r="O2296">
        <v>1</v>
      </c>
      <c r="P2296">
        <v>2295</v>
      </c>
      <c r="Q2296" s="2">
        <v>0.27</v>
      </c>
      <c r="R2296" t="s">
        <v>27</v>
      </c>
      <c r="S2296">
        <v>2023</v>
      </c>
      <c r="T2296" t="s">
        <v>38</v>
      </c>
    </row>
    <row r="2297" spans="1:20" hidden="1" x14ac:dyDescent="0.3">
      <c r="A2297">
        <v>3838</v>
      </c>
      <c r="B2297">
        <v>126</v>
      </c>
      <c r="C2297" t="s">
        <v>53</v>
      </c>
      <c r="D2297" t="s">
        <v>34</v>
      </c>
      <c r="E2297" t="s">
        <v>37</v>
      </c>
      <c r="F2297" s="1">
        <v>44630</v>
      </c>
      <c r="G2297" s="1">
        <v>45014</v>
      </c>
      <c r="H2297">
        <v>2979</v>
      </c>
      <c r="I2297">
        <v>6968</v>
      </c>
      <c r="J2297">
        <v>-3989</v>
      </c>
      <c r="K2297" t="s">
        <v>21</v>
      </c>
      <c r="L2297">
        <v>12</v>
      </c>
      <c r="M2297" t="str">
        <f t="shared" si="35"/>
        <v>6-12 Months</v>
      </c>
      <c r="N2297" s="1">
        <v>45014</v>
      </c>
      <c r="O2297">
        <v>0</v>
      </c>
      <c r="P2297">
        <v>2296</v>
      </c>
      <c r="Q2297" s="2">
        <v>-1.34</v>
      </c>
      <c r="R2297" t="s">
        <v>22</v>
      </c>
      <c r="S2297">
        <v>2023</v>
      </c>
      <c r="T2297" t="s">
        <v>38</v>
      </c>
    </row>
    <row r="2298" spans="1:20" hidden="1" x14ac:dyDescent="0.3">
      <c r="A2298">
        <v>3839</v>
      </c>
      <c r="B2298">
        <v>169</v>
      </c>
      <c r="C2298" t="s">
        <v>45</v>
      </c>
      <c r="D2298" t="s">
        <v>25</v>
      </c>
      <c r="E2298" t="s">
        <v>20</v>
      </c>
      <c r="F2298" s="1">
        <v>44785</v>
      </c>
      <c r="G2298" s="1">
        <v>45235</v>
      </c>
      <c r="H2298">
        <v>7749</v>
      </c>
      <c r="I2298">
        <v>239</v>
      </c>
      <c r="J2298">
        <v>7510</v>
      </c>
      <c r="K2298" t="s">
        <v>54</v>
      </c>
      <c r="L2298">
        <v>14</v>
      </c>
      <c r="M2298" t="str">
        <f t="shared" si="35"/>
        <v>6-12 Months</v>
      </c>
      <c r="N2298" s="1">
        <v>45235</v>
      </c>
      <c r="O2298">
        <v>1</v>
      </c>
      <c r="P2298">
        <v>2297</v>
      </c>
      <c r="Q2298" s="2">
        <v>0.97</v>
      </c>
      <c r="R2298" t="s">
        <v>27</v>
      </c>
      <c r="S2298">
        <v>2023</v>
      </c>
      <c r="T2298" t="s">
        <v>42</v>
      </c>
    </row>
    <row r="2299" spans="1:20" hidden="1" x14ac:dyDescent="0.3">
      <c r="A2299">
        <v>3840</v>
      </c>
      <c r="B2299">
        <v>336</v>
      </c>
      <c r="C2299" t="s">
        <v>24</v>
      </c>
      <c r="D2299" t="s">
        <v>19</v>
      </c>
      <c r="E2299" t="s">
        <v>20</v>
      </c>
      <c r="F2299" s="1">
        <v>44625</v>
      </c>
      <c r="G2299" s="1">
        <v>44850</v>
      </c>
      <c r="H2299">
        <v>5454</v>
      </c>
      <c r="I2299">
        <v>4012.75</v>
      </c>
      <c r="J2299">
        <v>6007</v>
      </c>
      <c r="K2299" t="s">
        <v>21</v>
      </c>
      <c r="L2299">
        <v>7</v>
      </c>
      <c r="M2299" t="str">
        <f t="shared" si="35"/>
        <v>6-12 Months</v>
      </c>
      <c r="N2299" s="1">
        <v>44850</v>
      </c>
      <c r="O2299">
        <v>0</v>
      </c>
      <c r="P2299">
        <v>2298</v>
      </c>
      <c r="Q2299" s="2">
        <v>1.1000000000000001</v>
      </c>
      <c r="R2299" t="s">
        <v>22</v>
      </c>
      <c r="S2299">
        <v>2022</v>
      </c>
      <c r="T2299" t="s">
        <v>33</v>
      </c>
    </row>
    <row r="2300" spans="1:20" hidden="1" x14ac:dyDescent="0.3">
      <c r="A2300">
        <v>3842</v>
      </c>
      <c r="B2300">
        <v>411</v>
      </c>
      <c r="C2300" t="s">
        <v>40</v>
      </c>
      <c r="D2300" t="s">
        <v>25</v>
      </c>
      <c r="E2300" t="s">
        <v>37</v>
      </c>
      <c r="F2300" s="1">
        <v>44747</v>
      </c>
      <c r="G2300" s="1">
        <v>44868</v>
      </c>
      <c r="H2300">
        <v>312</v>
      </c>
      <c r="I2300">
        <v>7331</v>
      </c>
      <c r="J2300">
        <v>577.01</v>
      </c>
      <c r="K2300" t="s">
        <v>21</v>
      </c>
      <c r="L2300">
        <v>3</v>
      </c>
      <c r="M2300" t="str">
        <f t="shared" si="35"/>
        <v>0-6 Months</v>
      </c>
      <c r="N2300" s="1">
        <v>44868</v>
      </c>
      <c r="O2300">
        <v>0</v>
      </c>
      <c r="P2300">
        <v>2299</v>
      </c>
      <c r="Q2300" s="2">
        <v>1.85</v>
      </c>
      <c r="R2300" t="s">
        <v>22</v>
      </c>
      <c r="S2300">
        <v>2022</v>
      </c>
      <c r="T2300" t="s">
        <v>42</v>
      </c>
    </row>
    <row r="2301" spans="1:20" x14ac:dyDescent="0.3">
      <c r="A2301">
        <v>3843</v>
      </c>
      <c r="B2301">
        <v>500</v>
      </c>
      <c r="C2301" t="s">
        <v>39</v>
      </c>
      <c r="D2301" t="s">
        <v>19</v>
      </c>
      <c r="E2301" t="s">
        <v>20</v>
      </c>
      <c r="F2301" s="1">
        <v>44786</v>
      </c>
      <c r="G2301" s="1">
        <v>45046</v>
      </c>
      <c r="H2301">
        <v>8749</v>
      </c>
      <c r="I2301">
        <v>711</v>
      </c>
      <c r="J2301">
        <v>8038</v>
      </c>
      <c r="K2301" t="s">
        <v>35</v>
      </c>
      <c r="L2301">
        <v>8</v>
      </c>
      <c r="M2301" t="str">
        <f t="shared" si="35"/>
        <v>6-12 Months</v>
      </c>
      <c r="N2301" s="1">
        <v>45046</v>
      </c>
      <c r="O2301">
        <v>0</v>
      </c>
      <c r="P2301">
        <v>2300</v>
      </c>
      <c r="Q2301" s="2">
        <v>0.92</v>
      </c>
      <c r="R2301" t="s">
        <v>27</v>
      </c>
      <c r="S2301">
        <v>2023</v>
      </c>
      <c r="T2301" t="s">
        <v>32</v>
      </c>
    </row>
    <row r="2302" spans="1:20" hidden="1" x14ac:dyDescent="0.3">
      <c r="A2302">
        <v>3844</v>
      </c>
      <c r="B2302">
        <v>273</v>
      </c>
      <c r="C2302" t="s">
        <v>39</v>
      </c>
      <c r="D2302" t="s">
        <v>29</v>
      </c>
      <c r="E2302" t="s">
        <v>37</v>
      </c>
      <c r="F2302" s="1">
        <v>44594</v>
      </c>
      <c r="G2302" s="1">
        <v>45141</v>
      </c>
      <c r="H2302">
        <v>2699</v>
      </c>
      <c r="I2302">
        <v>7477</v>
      </c>
      <c r="J2302">
        <v>-4778</v>
      </c>
      <c r="K2302" t="s">
        <v>21</v>
      </c>
      <c r="L2302">
        <v>18</v>
      </c>
      <c r="M2302" t="str">
        <f t="shared" si="35"/>
        <v>6-12 Months</v>
      </c>
      <c r="N2302" s="1">
        <v>45141</v>
      </c>
      <c r="O2302">
        <v>0</v>
      </c>
      <c r="P2302">
        <v>2301</v>
      </c>
      <c r="Q2302" s="2">
        <v>-1.77</v>
      </c>
      <c r="R2302" t="s">
        <v>22</v>
      </c>
      <c r="S2302">
        <v>2023</v>
      </c>
      <c r="T2302" t="s">
        <v>36</v>
      </c>
    </row>
    <row r="2303" spans="1:20" x14ac:dyDescent="0.3">
      <c r="A2303">
        <v>3846</v>
      </c>
      <c r="B2303">
        <v>314</v>
      </c>
      <c r="C2303" t="s">
        <v>53</v>
      </c>
      <c r="D2303" t="s">
        <v>25</v>
      </c>
      <c r="E2303" t="s">
        <v>20</v>
      </c>
      <c r="F2303" s="1">
        <v>44696</v>
      </c>
      <c r="G2303" s="1">
        <v>45103</v>
      </c>
      <c r="H2303">
        <v>5901</v>
      </c>
      <c r="I2303">
        <v>4012.75</v>
      </c>
      <c r="J2303">
        <v>6876</v>
      </c>
      <c r="K2303" t="s">
        <v>35</v>
      </c>
      <c r="L2303">
        <v>13</v>
      </c>
      <c r="M2303" t="str">
        <f t="shared" si="35"/>
        <v>6-12 Months</v>
      </c>
      <c r="N2303" s="1">
        <v>45103</v>
      </c>
      <c r="O2303">
        <v>1</v>
      </c>
      <c r="P2303">
        <v>2302</v>
      </c>
      <c r="Q2303" s="2">
        <v>1.17</v>
      </c>
      <c r="R2303" t="s">
        <v>22</v>
      </c>
      <c r="S2303">
        <v>2023</v>
      </c>
      <c r="T2303" t="s">
        <v>41</v>
      </c>
    </row>
    <row r="2304" spans="1:20" hidden="1" x14ac:dyDescent="0.3">
      <c r="A2304">
        <v>3847</v>
      </c>
      <c r="B2304">
        <v>139</v>
      </c>
      <c r="C2304" t="s">
        <v>24</v>
      </c>
      <c r="D2304" t="s">
        <v>34</v>
      </c>
      <c r="E2304" t="s">
        <v>37</v>
      </c>
      <c r="F2304" s="1">
        <v>44567</v>
      </c>
      <c r="G2304" s="1">
        <v>44915</v>
      </c>
      <c r="H2304">
        <v>4967.93</v>
      </c>
      <c r="I2304">
        <v>449</v>
      </c>
      <c r="J2304">
        <v>-2025</v>
      </c>
      <c r="K2304" t="s">
        <v>21</v>
      </c>
      <c r="L2304">
        <v>11</v>
      </c>
      <c r="M2304" t="str">
        <f t="shared" si="35"/>
        <v>6-12 Months</v>
      </c>
      <c r="N2304" s="1">
        <v>44915</v>
      </c>
      <c r="O2304">
        <v>0</v>
      </c>
      <c r="P2304">
        <v>2303</v>
      </c>
      <c r="Q2304" s="2">
        <v>-0.41</v>
      </c>
      <c r="R2304" t="s">
        <v>27</v>
      </c>
      <c r="S2304">
        <v>2022</v>
      </c>
      <c r="T2304" t="s">
        <v>31</v>
      </c>
    </row>
    <row r="2305" spans="1:20" hidden="1" x14ac:dyDescent="0.3">
      <c r="A2305">
        <v>3848</v>
      </c>
      <c r="B2305">
        <v>205</v>
      </c>
      <c r="C2305" t="s">
        <v>53</v>
      </c>
      <c r="D2305" t="s">
        <v>34</v>
      </c>
      <c r="E2305" t="s">
        <v>37</v>
      </c>
      <c r="F2305" s="1">
        <v>44868</v>
      </c>
      <c r="G2305" s="1">
        <v>45080</v>
      </c>
      <c r="H2305">
        <v>2316</v>
      </c>
      <c r="I2305">
        <v>5637</v>
      </c>
      <c r="J2305">
        <v>-3321</v>
      </c>
      <c r="K2305" t="s">
        <v>54</v>
      </c>
      <c r="L2305">
        <v>7</v>
      </c>
      <c r="M2305" t="str">
        <f t="shared" si="35"/>
        <v>6-12 Months</v>
      </c>
      <c r="N2305" s="1">
        <v>45080</v>
      </c>
      <c r="O2305">
        <v>0</v>
      </c>
      <c r="P2305">
        <v>2304</v>
      </c>
      <c r="Q2305" s="2">
        <v>-1.43</v>
      </c>
      <c r="R2305" t="s">
        <v>22</v>
      </c>
      <c r="S2305">
        <v>2023</v>
      </c>
      <c r="T2305" t="s">
        <v>41</v>
      </c>
    </row>
    <row r="2306" spans="1:20" hidden="1" x14ac:dyDescent="0.3">
      <c r="A2306">
        <v>3849</v>
      </c>
      <c r="B2306">
        <v>357</v>
      </c>
      <c r="C2306" t="s">
        <v>39</v>
      </c>
      <c r="D2306" t="s">
        <v>34</v>
      </c>
      <c r="E2306" t="s">
        <v>26</v>
      </c>
      <c r="F2306" s="1">
        <v>44801</v>
      </c>
      <c r="G2306" s="1">
        <v>45387</v>
      </c>
      <c r="H2306">
        <v>7451</v>
      </c>
      <c r="I2306">
        <v>4372</v>
      </c>
      <c r="J2306">
        <v>3079</v>
      </c>
      <c r="K2306" t="s">
        <v>21</v>
      </c>
      <c r="L2306">
        <v>19</v>
      </c>
      <c r="M2306" t="str">
        <f t="shared" ref="M2306:M2369" si="36">IF(L2306&lt;6,"0-6 Months",IF(L2306&gt;6,"6-12 Months","12+ Months"))</f>
        <v>6-12 Months</v>
      </c>
      <c r="N2306" s="1">
        <v>45387</v>
      </c>
      <c r="O2306">
        <v>1</v>
      </c>
      <c r="P2306">
        <v>2305</v>
      </c>
      <c r="Q2306" s="2">
        <v>0.41</v>
      </c>
      <c r="R2306" t="s">
        <v>27</v>
      </c>
      <c r="S2306">
        <v>2024</v>
      </c>
      <c r="T2306" t="s">
        <v>32</v>
      </c>
    </row>
    <row r="2307" spans="1:20" x14ac:dyDescent="0.3">
      <c r="A2307">
        <v>3850</v>
      </c>
      <c r="B2307">
        <v>337</v>
      </c>
      <c r="C2307" t="s">
        <v>53</v>
      </c>
      <c r="D2307" t="s">
        <v>34</v>
      </c>
      <c r="E2307" t="s">
        <v>37</v>
      </c>
      <c r="F2307" s="1">
        <v>44778</v>
      </c>
      <c r="G2307" s="1">
        <v>45226</v>
      </c>
      <c r="H2307">
        <v>9789</v>
      </c>
      <c r="I2307">
        <v>7652</v>
      </c>
      <c r="J2307">
        <v>2137</v>
      </c>
      <c r="K2307" t="s">
        <v>35</v>
      </c>
      <c r="L2307">
        <v>14</v>
      </c>
      <c r="M2307" t="str">
        <f t="shared" si="36"/>
        <v>6-12 Months</v>
      </c>
      <c r="N2307" s="1">
        <v>45226</v>
      </c>
      <c r="O2307">
        <v>1</v>
      </c>
      <c r="P2307">
        <v>2306</v>
      </c>
      <c r="Q2307" s="2">
        <v>0.22</v>
      </c>
      <c r="R2307" t="s">
        <v>27</v>
      </c>
      <c r="S2307">
        <v>2023</v>
      </c>
      <c r="T2307" t="s">
        <v>33</v>
      </c>
    </row>
    <row r="2308" spans="1:20" hidden="1" x14ac:dyDescent="0.3">
      <c r="A2308">
        <v>3852</v>
      </c>
      <c r="B2308">
        <v>366</v>
      </c>
      <c r="C2308" t="s">
        <v>39</v>
      </c>
      <c r="D2308" t="s">
        <v>34</v>
      </c>
      <c r="E2308" t="s">
        <v>37</v>
      </c>
      <c r="F2308" s="1">
        <v>44818</v>
      </c>
      <c r="G2308" s="1">
        <v>44969</v>
      </c>
      <c r="H2308">
        <v>4967.93</v>
      </c>
      <c r="I2308">
        <v>6539</v>
      </c>
      <c r="J2308">
        <v>-6935</v>
      </c>
      <c r="K2308" t="s">
        <v>54</v>
      </c>
      <c r="L2308">
        <v>4</v>
      </c>
      <c r="M2308" t="str">
        <f t="shared" si="36"/>
        <v>0-6 Months</v>
      </c>
      <c r="N2308" s="1">
        <v>44969</v>
      </c>
      <c r="O2308">
        <v>0</v>
      </c>
      <c r="P2308">
        <v>2307</v>
      </c>
      <c r="Q2308" s="2">
        <v>-1.4</v>
      </c>
      <c r="R2308" t="s">
        <v>22</v>
      </c>
      <c r="S2308">
        <v>2023</v>
      </c>
      <c r="T2308" t="s">
        <v>43</v>
      </c>
    </row>
    <row r="2309" spans="1:20" hidden="1" x14ac:dyDescent="0.3">
      <c r="A2309">
        <v>3853</v>
      </c>
      <c r="B2309">
        <v>308</v>
      </c>
      <c r="C2309" t="s">
        <v>53</v>
      </c>
      <c r="D2309" t="s">
        <v>34</v>
      </c>
      <c r="E2309" t="s">
        <v>26</v>
      </c>
      <c r="F2309" s="1">
        <v>44803</v>
      </c>
      <c r="G2309" s="1">
        <v>45269</v>
      </c>
      <c r="H2309">
        <v>4392</v>
      </c>
      <c r="I2309">
        <v>257</v>
      </c>
      <c r="J2309">
        <v>4135</v>
      </c>
      <c r="K2309" t="s">
        <v>54</v>
      </c>
      <c r="L2309">
        <v>15</v>
      </c>
      <c r="M2309" t="str">
        <f t="shared" si="36"/>
        <v>6-12 Months</v>
      </c>
      <c r="N2309" s="1">
        <v>45269</v>
      </c>
      <c r="O2309">
        <v>0</v>
      </c>
      <c r="P2309">
        <v>2308</v>
      </c>
      <c r="Q2309" s="2">
        <v>0.94</v>
      </c>
      <c r="R2309" t="s">
        <v>27</v>
      </c>
      <c r="S2309">
        <v>2023</v>
      </c>
      <c r="T2309" t="s">
        <v>31</v>
      </c>
    </row>
    <row r="2310" spans="1:20" x14ac:dyDescent="0.3">
      <c r="A2310">
        <v>3854</v>
      </c>
      <c r="B2310">
        <v>481</v>
      </c>
      <c r="C2310" t="s">
        <v>39</v>
      </c>
      <c r="D2310" t="s">
        <v>19</v>
      </c>
      <c r="E2310" t="s">
        <v>37</v>
      </c>
      <c r="F2310" s="1">
        <v>44856</v>
      </c>
      <c r="G2310" s="1">
        <v>45184</v>
      </c>
      <c r="H2310">
        <v>757</v>
      </c>
      <c r="I2310">
        <v>920</v>
      </c>
      <c r="J2310">
        <v>-163</v>
      </c>
      <c r="K2310" t="s">
        <v>35</v>
      </c>
      <c r="L2310">
        <v>10</v>
      </c>
      <c r="M2310" t="str">
        <f t="shared" si="36"/>
        <v>6-12 Months</v>
      </c>
      <c r="N2310" s="1">
        <v>45184</v>
      </c>
      <c r="O2310">
        <v>0</v>
      </c>
      <c r="P2310">
        <v>2309</v>
      </c>
      <c r="Q2310" s="2">
        <v>-0.22</v>
      </c>
      <c r="R2310" t="s">
        <v>27</v>
      </c>
      <c r="S2310">
        <v>2023</v>
      </c>
      <c r="T2310" t="s">
        <v>30</v>
      </c>
    </row>
    <row r="2311" spans="1:20" hidden="1" x14ac:dyDescent="0.3">
      <c r="A2311">
        <v>3855</v>
      </c>
      <c r="B2311">
        <v>190</v>
      </c>
      <c r="C2311" t="s">
        <v>45</v>
      </c>
      <c r="D2311" t="s">
        <v>19</v>
      </c>
      <c r="E2311" t="s">
        <v>37</v>
      </c>
      <c r="F2311" s="1">
        <v>44612</v>
      </c>
      <c r="G2311" s="1">
        <v>44774</v>
      </c>
      <c r="H2311">
        <v>2001</v>
      </c>
      <c r="I2311">
        <v>5651</v>
      </c>
      <c r="J2311">
        <v>-3650</v>
      </c>
      <c r="K2311" t="s">
        <v>21</v>
      </c>
      <c r="L2311">
        <v>5</v>
      </c>
      <c r="M2311" t="str">
        <f t="shared" si="36"/>
        <v>0-6 Months</v>
      </c>
      <c r="N2311" s="1">
        <v>44774</v>
      </c>
      <c r="O2311">
        <v>1</v>
      </c>
      <c r="P2311">
        <v>2310</v>
      </c>
      <c r="Q2311" s="2">
        <v>-1.82</v>
      </c>
      <c r="R2311" t="s">
        <v>22</v>
      </c>
      <c r="S2311">
        <v>2022</v>
      </c>
      <c r="T2311" t="s">
        <v>36</v>
      </c>
    </row>
    <row r="2312" spans="1:20" hidden="1" x14ac:dyDescent="0.3">
      <c r="A2312">
        <v>3857</v>
      </c>
      <c r="B2312">
        <v>171</v>
      </c>
      <c r="C2312" t="s">
        <v>45</v>
      </c>
      <c r="D2312" t="s">
        <v>29</v>
      </c>
      <c r="E2312" t="s">
        <v>37</v>
      </c>
      <c r="F2312" s="1">
        <v>44586</v>
      </c>
      <c r="G2312" s="1">
        <v>45053</v>
      </c>
      <c r="H2312">
        <v>4144</v>
      </c>
      <c r="I2312">
        <v>852</v>
      </c>
      <c r="J2312">
        <v>577.01</v>
      </c>
      <c r="K2312" t="s">
        <v>54</v>
      </c>
      <c r="L2312">
        <v>15</v>
      </c>
      <c r="M2312" t="str">
        <f t="shared" si="36"/>
        <v>6-12 Months</v>
      </c>
      <c r="N2312" s="1">
        <v>45053</v>
      </c>
      <c r="O2312">
        <v>1</v>
      </c>
      <c r="P2312">
        <v>2311</v>
      </c>
      <c r="Q2312" s="2">
        <v>0.14000000000000001</v>
      </c>
      <c r="R2312" t="s">
        <v>27</v>
      </c>
      <c r="S2312">
        <v>2023</v>
      </c>
      <c r="T2312" t="s">
        <v>28</v>
      </c>
    </row>
    <row r="2313" spans="1:20" x14ac:dyDescent="0.3">
      <c r="A2313">
        <v>3859</v>
      </c>
      <c r="B2313">
        <v>131</v>
      </c>
      <c r="C2313" t="s">
        <v>45</v>
      </c>
      <c r="D2313" t="s">
        <v>34</v>
      </c>
      <c r="E2313" t="s">
        <v>26</v>
      </c>
      <c r="F2313" s="1">
        <v>44565</v>
      </c>
      <c r="G2313" s="1">
        <v>45107</v>
      </c>
      <c r="H2313">
        <v>4967.93</v>
      </c>
      <c r="I2313">
        <v>1340</v>
      </c>
      <c r="J2313">
        <v>-2091</v>
      </c>
      <c r="K2313" t="s">
        <v>35</v>
      </c>
      <c r="L2313">
        <v>17</v>
      </c>
      <c r="M2313" t="str">
        <f t="shared" si="36"/>
        <v>6-12 Months</v>
      </c>
      <c r="N2313" s="1">
        <v>45107</v>
      </c>
      <c r="O2313">
        <v>0</v>
      </c>
      <c r="P2313">
        <v>2312</v>
      </c>
      <c r="Q2313" s="2">
        <v>-0.42</v>
      </c>
      <c r="R2313" t="s">
        <v>27</v>
      </c>
      <c r="S2313">
        <v>2023</v>
      </c>
      <c r="T2313" t="s">
        <v>41</v>
      </c>
    </row>
    <row r="2314" spans="1:20" x14ac:dyDescent="0.3">
      <c r="A2314">
        <v>3860</v>
      </c>
      <c r="B2314">
        <v>387</v>
      </c>
      <c r="C2314" t="s">
        <v>53</v>
      </c>
      <c r="D2314" t="s">
        <v>29</v>
      </c>
      <c r="E2314" t="s">
        <v>20</v>
      </c>
      <c r="F2314" s="1">
        <v>44897</v>
      </c>
      <c r="G2314" s="1">
        <v>45041</v>
      </c>
      <c r="H2314">
        <v>4967.93</v>
      </c>
      <c r="I2314">
        <v>1284</v>
      </c>
      <c r="J2314">
        <v>-2514</v>
      </c>
      <c r="K2314" t="s">
        <v>35</v>
      </c>
      <c r="L2314">
        <v>4</v>
      </c>
      <c r="M2314" t="str">
        <f t="shared" si="36"/>
        <v>0-6 Months</v>
      </c>
      <c r="N2314" s="1">
        <v>45041</v>
      </c>
      <c r="O2314">
        <v>1</v>
      </c>
      <c r="P2314">
        <v>2313</v>
      </c>
      <c r="Q2314" s="2">
        <v>-0.51</v>
      </c>
      <c r="R2314" t="s">
        <v>27</v>
      </c>
      <c r="S2314">
        <v>2023</v>
      </c>
      <c r="T2314" t="s">
        <v>32</v>
      </c>
    </row>
    <row r="2315" spans="1:20" hidden="1" x14ac:dyDescent="0.3">
      <c r="A2315">
        <v>3861</v>
      </c>
      <c r="B2315">
        <v>387</v>
      </c>
      <c r="C2315" t="s">
        <v>45</v>
      </c>
      <c r="D2315" t="s">
        <v>34</v>
      </c>
      <c r="E2315" t="s">
        <v>20</v>
      </c>
      <c r="F2315" s="1">
        <v>44809</v>
      </c>
      <c r="G2315" s="1">
        <v>45332</v>
      </c>
      <c r="H2315">
        <v>6051</v>
      </c>
      <c r="I2315">
        <v>4012.75</v>
      </c>
      <c r="J2315">
        <v>6173</v>
      </c>
      <c r="K2315" t="s">
        <v>21</v>
      </c>
      <c r="L2315">
        <v>17</v>
      </c>
      <c r="M2315" t="str">
        <f t="shared" si="36"/>
        <v>6-12 Months</v>
      </c>
      <c r="N2315" s="1">
        <v>45332</v>
      </c>
      <c r="O2315">
        <v>1</v>
      </c>
      <c r="P2315">
        <v>2314</v>
      </c>
      <c r="Q2315" s="2">
        <v>1.02</v>
      </c>
      <c r="R2315" t="s">
        <v>22</v>
      </c>
      <c r="S2315">
        <v>2024</v>
      </c>
      <c r="T2315" t="s">
        <v>43</v>
      </c>
    </row>
    <row r="2316" spans="1:20" hidden="1" x14ac:dyDescent="0.3">
      <c r="A2316">
        <v>3862</v>
      </c>
      <c r="B2316">
        <v>106</v>
      </c>
      <c r="C2316" t="s">
        <v>45</v>
      </c>
      <c r="D2316" t="s">
        <v>29</v>
      </c>
      <c r="E2316" t="s">
        <v>37</v>
      </c>
      <c r="F2316" s="1">
        <v>44704</v>
      </c>
      <c r="G2316" s="1">
        <v>44754</v>
      </c>
      <c r="H2316">
        <v>1656</v>
      </c>
      <c r="I2316">
        <v>4646</v>
      </c>
      <c r="J2316">
        <v>-2990</v>
      </c>
      <c r="K2316" t="s">
        <v>54</v>
      </c>
      <c r="L2316">
        <v>1</v>
      </c>
      <c r="M2316" t="str">
        <f t="shared" si="36"/>
        <v>0-6 Months</v>
      </c>
      <c r="N2316" s="1">
        <v>44754</v>
      </c>
      <c r="O2316">
        <v>1</v>
      </c>
      <c r="P2316">
        <v>2315</v>
      </c>
      <c r="Q2316" s="2">
        <v>-1.81</v>
      </c>
      <c r="R2316" t="s">
        <v>22</v>
      </c>
      <c r="S2316">
        <v>2022</v>
      </c>
      <c r="T2316" t="s">
        <v>44</v>
      </c>
    </row>
    <row r="2317" spans="1:20" hidden="1" x14ac:dyDescent="0.3">
      <c r="A2317">
        <v>3864</v>
      </c>
      <c r="B2317">
        <v>310</v>
      </c>
      <c r="C2317" t="s">
        <v>45</v>
      </c>
      <c r="D2317" t="s">
        <v>34</v>
      </c>
      <c r="E2317" t="s">
        <v>26</v>
      </c>
      <c r="F2317" s="1">
        <v>44646</v>
      </c>
      <c r="G2317" s="1">
        <v>45196</v>
      </c>
      <c r="H2317">
        <v>8115</v>
      </c>
      <c r="I2317">
        <v>7101</v>
      </c>
      <c r="J2317">
        <v>577.01</v>
      </c>
      <c r="K2317" t="s">
        <v>54</v>
      </c>
      <c r="L2317">
        <v>18</v>
      </c>
      <c r="M2317" t="str">
        <f t="shared" si="36"/>
        <v>6-12 Months</v>
      </c>
      <c r="N2317" s="1">
        <v>45196</v>
      </c>
      <c r="O2317">
        <v>1</v>
      </c>
      <c r="P2317">
        <v>2316</v>
      </c>
      <c r="Q2317" s="2">
        <v>7.0000000000000007E-2</v>
      </c>
      <c r="R2317" t="s">
        <v>27</v>
      </c>
      <c r="S2317">
        <v>2023</v>
      </c>
      <c r="T2317" t="s">
        <v>30</v>
      </c>
    </row>
    <row r="2318" spans="1:20" x14ac:dyDescent="0.3">
      <c r="A2318">
        <v>3865</v>
      </c>
      <c r="B2318">
        <v>388</v>
      </c>
      <c r="C2318" t="s">
        <v>45</v>
      </c>
      <c r="D2318" t="s">
        <v>19</v>
      </c>
      <c r="E2318" t="s">
        <v>26</v>
      </c>
      <c r="F2318" s="1">
        <v>44717</v>
      </c>
      <c r="G2318" s="1">
        <v>45135</v>
      </c>
      <c r="H2318">
        <v>2087</v>
      </c>
      <c r="I2318">
        <v>4012.75</v>
      </c>
      <c r="J2318">
        <v>2302</v>
      </c>
      <c r="K2318" t="s">
        <v>35</v>
      </c>
      <c r="L2318">
        <v>13</v>
      </c>
      <c r="M2318" t="str">
        <f t="shared" si="36"/>
        <v>6-12 Months</v>
      </c>
      <c r="N2318" s="1">
        <v>45135</v>
      </c>
      <c r="O2318">
        <v>0</v>
      </c>
      <c r="P2318">
        <v>2317</v>
      </c>
      <c r="Q2318" s="2">
        <v>1.1000000000000001</v>
      </c>
      <c r="R2318" t="s">
        <v>22</v>
      </c>
      <c r="S2318">
        <v>2023</v>
      </c>
      <c r="T2318" t="s">
        <v>44</v>
      </c>
    </row>
    <row r="2319" spans="1:20" x14ac:dyDescent="0.3">
      <c r="A2319">
        <v>3866</v>
      </c>
      <c r="B2319">
        <v>453</v>
      </c>
      <c r="C2319" t="s">
        <v>40</v>
      </c>
      <c r="D2319" t="s">
        <v>25</v>
      </c>
      <c r="E2319" t="s">
        <v>26</v>
      </c>
      <c r="F2319" s="1">
        <v>44895</v>
      </c>
      <c r="G2319" s="1">
        <v>45435</v>
      </c>
      <c r="H2319">
        <v>8264</v>
      </c>
      <c r="I2319">
        <v>2155</v>
      </c>
      <c r="J2319">
        <v>6109</v>
      </c>
      <c r="K2319" t="s">
        <v>35</v>
      </c>
      <c r="L2319">
        <v>17</v>
      </c>
      <c r="M2319" t="str">
        <f t="shared" si="36"/>
        <v>6-12 Months</v>
      </c>
      <c r="N2319" s="1">
        <v>45435</v>
      </c>
      <c r="O2319">
        <v>1</v>
      </c>
      <c r="P2319">
        <v>2318</v>
      </c>
      <c r="Q2319" s="2">
        <v>0.74</v>
      </c>
      <c r="R2319" t="s">
        <v>27</v>
      </c>
      <c r="S2319">
        <v>2024</v>
      </c>
      <c r="T2319" t="s">
        <v>28</v>
      </c>
    </row>
    <row r="2320" spans="1:20" hidden="1" x14ac:dyDescent="0.3">
      <c r="A2320">
        <v>3867</v>
      </c>
      <c r="B2320">
        <v>149</v>
      </c>
      <c r="C2320" t="s">
        <v>24</v>
      </c>
      <c r="D2320" t="s">
        <v>19</v>
      </c>
      <c r="E2320" t="s">
        <v>37</v>
      </c>
      <c r="F2320" s="1">
        <v>44628</v>
      </c>
      <c r="G2320" s="1">
        <v>45140</v>
      </c>
      <c r="H2320">
        <v>5647</v>
      </c>
      <c r="I2320">
        <v>1534</v>
      </c>
      <c r="J2320">
        <v>4113</v>
      </c>
      <c r="K2320" t="s">
        <v>21</v>
      </c>
      <c r="L2320">
        <v>16</v>
      </c>
      <c r="M2320" t="str">
        <f t="shared" si="36"/>
        <v>6-12 Months</v>
      </c>
      <c r="N2320" s="1">
        <v>45140</v>
      </c>
      <c r="O2320">
        <v>0</v>
      </c>
      <c r="P2320">
        <v>2319</v>
      </c>
      <c r="Q2320" s="2">
        <v>0.73</v>
      </c>
      <c r="R2320" t="s">
        <v>27</v>
      </c>
      <c r="S2320">
        <v>2023</v>
      </c>
      <c r="T2320" t="s">
        <v>36</v>
      </c>
    </row>
    <row r="2321" spans="1:20" hidden="1" x14ac:dyDescent="0.3">
      <c r="A2321">
        <v>3868</v>
      </c>
      <c r="B2321">
        <v>486</v>
      </c>
      <c r="C2321" t="s">
        <v>24</v>
      </c>
      <c r="D2321" t="s">
        <v>34</v>
      </c>
      <c r="E2321" t="s">
        <v>37</v>
      </c>
      <c r="F2321" s="1">
        <v>44595</v>
      </c>
      <c r="G2321" s="1">
        <v>44691</v>
      </c>
      <c r="H2321">
        <v>1794</v>
      </c>
      <c r="I2321">
        <v>1308</v>
      </c>
      <c r="J2321">
        <v>486</v>
      </c>
      <c r="K2321" t="s">
        <v>54</v>
      </c>
      <c r="L2321">
        <v>3</v>
      </c>
      <c r="M2321" t="str">
        <f t="shared" si="36"/>
        <v>0-6 Months</v>
      </c>
      <c r="N2321" s="1">
        <v>44691</v>
      </c>
      <c r="O2321">
        <v>0</v>
      </c>
      <c r="P2321">
        <v>2320</v>
      </c>
      <c r="Q2321" s="2">
        <v>0.27</v>
      </c>
      <c r="R2321" t="s">
        <v>27</v>
      </c>
      <c r="S2321">
        <v>2022</v>
      </c>
      <c r="T2321" t="s">
        <v>28</v>
      </c>
    </row>
    <row r="2322" spans="1:20" hidden="1" x14ac:dyDescent="0.3">
      <c r="A2322">
        <v>3872</v>
      </c>
      <c r="B2322">
        <v>149</v>
      </c>
      <c r="C2322" t="s">
        <v>40</v>
      </c>
      <c r="D2322" t="s">
        <v>19</v>
      </c>
      <c r="E2322" t="s">
        <v>26</v>
      </c>
      <c r="F2322" s="1">
        <v>44753</v>
      </c>
      <c r="G2322" s="1">
        <v>45118</v>
      </c>
      <c r="H2322">
        <v>7168</v>
      </c>
      <c r="I2322">
        <v>451</v>
      </c>
      <c r="J2322">
        <v>6717</v>
      </c>
      <c r="K2322" t="s">
        <v>54</v>
      </c>
      <c r="L2322">
        <v>12</v>
      </c>
      <c r="M2322" t="str">
        <f t="shared" si="36"/>
        <v>6-12 Months</v>
      </c>
      <c r="N2322" s="1">
        <v>45118</v>
      </c>
      <c r="O2322">
        <v>1</v>
      </c>
      <c r="P2322">
        <v>2321</v>
      </c>
      <c r="Q2322" s="2">
        <v>0.94</v>
      </c>
      <c r="R2322" t="s">
        <v>27</v>
      </c>
      <c r="S2322">
        <v>2023</v>
      </c>
      <c r="T2322" t="s">
        <v>44</v>
      </c>
    </row>
    <row r="2323" spans="1:20" x14ac:dyDescent="0.3">
      <c r="A2323">
        <v>3873</v>
      </c>
      <c r="B2323">
        <v>445</v>
      </c>
      <c r="C2323" t="s">
        <v>39</v>
      </c>
      <c r="D2323" t="s">
        <v>34</v>
      </c>
      <c r="E2323" t="s">
        <v>20</v>
      </c>
      <c r="F2323" s="1">
        <v>44803</v>
      </c>
      <c r="G2323" s="1">
        <v>45007</v>
      </c>
      <c r="H2323">
        <v>4967.93</v>
      </c>
      <c r="I2323">
        <v>5872</v>
      </c>
      <c r="J2323">
        <v>-7672</v>
      </c>
      <c r="K2323" t="s">
        <v>35</v>
      </c>
      <c r="L2323">
        <v>6</v>
      </c>
      <c r="M2323" t="str">
        <f t="shared" si="36"/>
        <v>12+ Months</v>
      </c>
      <c r="N2323" s="1">
        <v>45007</v>
      </c>
      <c r="O2323">
        <v>0</v>
      </c>
      <c r="P2323">
        <v>2322</v>
      </c>
      <c r="Q2323" s="2">
        <v>-1.54</v>
      </c>
      <c r="R2323" t="s">
        <v>22</v>
      </c>
      <c r="S2323">
        <v>2023</v>
      </c>
      <c r="T2323" t="s">
        <v>38</v>
      </c>
    </row>
    <row r="2324" spans="1:20" x14ac:dyDescent="0.3">
      <c r="A2324">
        <v>3874</v>
      </c>
      <c r="B2324">
        <v>136</v>
      </c>
      <c r="C2324" t="s">
        <v>45</v>
      </c>
      <c r="D2324" t="s">
        <v>25</v>
      </c>
      <c r="E2324" t="s">
        <v>26</v>
      </c>
      <c r="F2324" s="1">
        <v>44747</v>
      </c>
      <c r="G2324" s="1">
        <v>44789</v>
      </c>
      <c r="H2324">
        <v>90</v>
      </c>
      <c r="I2324">
        <v>3234</v>
      </c>
      <c r="J2324">
        <v>577.01</v>
      </c>
      <c r="K2324" t="s">
        <v>35</v>
      </c>
      <c r="L2324">
        <v>1</v>
      </c>
      <c r="M2324" t="str">
        <f t="shared" si="36"/>
        <v>0-6 Months</v>
      </c>
      <c r="N2324" s="1">
        <v>44789</v>
      </c>
      <c r="O2324">
        <v>0</v>
      </c>
      <c r="P2324">
        <v>2323</v>
      </c>
      <c r="Q2324" s="2">
        <v>6.41</v>
      </c>
      <c r="R2324" t="s">
        <v>22</v>
      </c>
      <c r="S2324">
        <v>2022</v>
      </c>
      <c r="T2324" t="s">
        <v>36</v>
      </c>
    </row>
    <row r="2325" spans="1:20" x14ac:dyDescent="0.3">
      <c r="A2325">
        <v>3875</v>
      </c>
      <c r="B2325">
        <v>394</v>
      </c>
      <c r="C2325" t="s">
        <v>24</v>
      </c>
      <c r="D2325" t="s">
        <v>25</v>
      </c>
      <c r="E2325" t="s">
        <v>37</v>
      </c>
      <c r="F2325" s="1">
        <v>44695</v>
      </c>
      <c r="G2325" s="1">
        <v>45116</v>
      </c>
      <c r="H2325">
        <v>1578</v>
      </c>
      <c r="I2325">
        <v>4183</v>
      </c>
      <c r="J2325">
        <v>-2605</v>
      </c>
      <c r="K2325" t="s">
        <v>35</v>
      </c>
      <c r="L2325">
        <v>13</v>
      </c>
      <c r="M2325" t="str">
        <f t="shared" si="36"/>
        <v>6-12 Months</v>
      </c>
      <c r="N2325" s="1">
        <v>45116</v>
      </c>
      <c r="O2325">
        <v>0</v>
      </c>
      <c r="P2325">
        <v>2324</v>
      </c>
      <c r="Q2325" s="2">
        <v>-1.65</v>
      </c>
      <c r="R2325" t="s">
        <v>22</v>
      </c>
      <c r="S2325">
        <v>2023</v>
      </c>
      <c r="T2325" t="s">
        <v>44</v>
      </c>
    </row>
    <row r="2326" spans="1:20" hidden="1" x14ac:dyDescent="0.3">
      <c r="A2326">
        <v>3877</v>
      </c>
      <c r="B2326">
        <v>498</v>
      </c>
      <c r="C2326" t="s">
        <v>53</v>
      </c>
      <c r="D2326" t="s">
        <v>25</v>
      </c>
      <c r="E2326" t="s">
        <v>20</v>
      </c>
      <c r="F2326" s="1">
        <v>44819</v>
      </c>
      <c r="G2326" s="1">
        <v>45241</v>
      </c>
      <c r="H2326">
        <v>7533</v>
      </c>
      <c r="I2326">
        <v>6653</v>
      </c>
      <c r="J2326">
        <v>880</v>
      </c>
      <c r="K2326" t="s">
        <v>54</v>
      </c>
      <c r="L2326">
        <v>13</v>
      </c>
      <c r="M2326" t="str">
        <f t="shared" si="36"/>
        <v>6-12 Months</v>
      </c>
      <c r="N2326" s="1">
        <v>45241</v>
      </c>
      <c r="O2326">
        <v>1</v>
      </c>
      <c r="P2326">
        <v>2325</v>
      </c>
      <c r="Q2326" s="2">
        <v>0.12</v>
      </c>
      <c r="R2326" t="s">
        <v>27</v>
      </c>
      <c r="S2326">
        <v>2023</v>
      </c>
      <c r="T2326" t="s">
        <v>42</v>
      </c>
    </row>
    <row r="2327" spans="1:20" hidden="1" x14ac:dyDescent="0.3">
      <c r="A2327">
        <v>3878</v>
      </c>
      <c r="B2327">
        <v>377</v>
      </c>
      <c r="C2327" t="s">
        <v>45</v>
      </c>
      <c r="D2327" t="s">
        <v>29</v>
      </c>
      <c r="E2327" t="s">
        <v>20</v>
      </c>
      <c r="F2327" s="1">
        <v>44735</v>
      </c>
      <c r="G2327" s="1">
        <v>45335</v>
      </c>
      <c r="H2327">
        <v>4967.93</v>
      </c>
      <c r="I2327">
        <v>648</v>
      </c>
      <c r="J2327">
        <v>-1649</v>
      </c>
      <c r="K2327" t="s">
        <v>21</v>
      </c>
      <c r="L2327">
        <v>19</v>
      </c>
      <c r="M2327" t="str">
        <f t="shared" si="36"/>
        <v>6-12 Months</v>
      </c>
      <c r="N2327" s="1">
        <v>45335</v>
      </c>
      <c r="O2327">
        <v>0</v>
      </c>
      <c r="P2327">
        <v>2326</v>
      </c>
      <c r="Q2327" s="2">
        <v>-0.33</v>
      </c>
      <c r="R2327" t="s">
        <v>27</v>
      </c>
      <c r="S2327">
        <v>2024</v>
      </c>
      <c r="T2327" t="s">
        <v>43</v>
      </c>
    </row>
    <row r="2328" spans="1:20" hidden="1" x14ac:dyDescent="0.3">
      <c r="A2328">
        <v>3879</v>
      </c>
      <c r="B2328">
        <v>194</v>
      </c>
      <c r="C2328" t="s">
        <v>39</v>
      </c>
      <c r="D2328" t="s">
        <v>19</v>
      </c>
      <c r="E2328" t="s">
        <v>20</v>
      </c>
      <c r="F2328" s="1">
        <v>44583</v>
      </c>
      <c r="G2328" s="1">
        <v>45125</v>
      </c>
      <c r="H2328">
        <v>6262</v>
      </c>
      <c r="I2328">
        <v>4012.75</v>
      </c>
      <c r="J2328">
        <v>6794</v>
      </c>
      <c r="K2328" t="s">
        <v>21</v>
      </c>
      <c r="L2328">
        <v>17</v>
      </c>
      <c r="M2328" t="str">
        <f t="shared" si="36"/>
        <v>6-12 Months</v>
      </c>
      <c r="N2328" s="1">
        <v>45125</v>
      </c>
      <c r="O2328">
        <v>1</v>
      </c>
      <c r="P2328">
        <v>2327</v>
      </c>
      <c r="Q2328" s="2">
        <v>1.08</v>
      </c>
      <c r="R2328" t="s">
        <v>22</v>
      </c>
      <c r="S2328">
        <v>2023</v>
      </c>
      <c r="T2328" t="s">
        <v>44</v>
      </c>
    </row>
    <row r="2329" spans="1:20" hidden="1" x14ac:dyDescent="0.3">
      <c r="A2329">
        <v>3880</v>
      </c>
      <c r="B2329">
        <v>228</v>
      </c>
      <c r="C2329" t="s">
        <v>53</v>
      </c>
      <c r="D2329" t="s">
        <v>29</v>
      </c>
      <c r="E2329" t="s">
        <v>37</v>
      </c>
      <c r="F2329" s="1">
        <v>44870</v>
      </c>
      <c r="G2329" s="1">
        <v>45340</v>
      </c>
      <c r="H2329">
        <v>5855</v>
      </c>
      <c r="I2329">
        <v>7106</v>
      </c>
      <c r="J2329">
        <v>-1251</v>
      </c>
      <c r="K2329" t="s">
        <v>21</v>
      </c>
      <c r="L2329">
        <v>15</v>
      </c>
      <c r="M2329" t="str">
        <f t="shared" si="36"/>
        <v>6-12 Months</v>
      </c>
      <c r="N2329" s="1">
        <v>45340</v>
      </c>
      <c r="O2329">
        <v>0</v>
      </c>
      <c r="P2329">
        <v>2328</v>
      </c>
      <c r="Q2329" s="2">
        <v>-0.21</v>
      </c>
      <c r="R2329" t="s">
        <v>27</v>
      </c>
      <c r="S2329">
        <v>2024</v>
      </c>
      <c r="T2329" t="s">
        <v>43</v>
      </c>
    </row>
    <row r="2330" spans="1:20" hidden="1" x14ac:dyDescent="0.3">
      <c r="A2330">
        <v>3881</v>
      </c>
      <c r="B2330">
        <v>387</v>
      </c>
      <c r="C2330" t="s">
        <v>39</v>
      </c>
      <c r="D2330" t="s">
        <v>29</v>
      </c>
      <c r="E2330" t="s">
        <v>37</v>
      </c>
      <c r="F2330" s="1">
        <v>44878</v>
      </c>
      <c r="G2330" s="1">
        <v>45439</v>
      </c>
      <c r="H2330">
        <v>4344</v>
      </c>
      <c r="I2330">
        <v>4637</v>
      </c>
      <c r="J2330">
        <v>-293</v>
      </c>
      <c r="K2330" t="s">
        <v>54</v>
      </c>
      <c r="L2330">
        <v>18</v>
      </c>
      <c r="M2330" t="str">
        <f t="shared" si="36"/>
        <v>6-12 Months</v>
      </c>
      <c r="N2330" s="1">
        <v>45439</v>
      </c>
      <c r="O2330">
        <v>0</v>
      </c>
      <c r="P2330">
        <v>2329</v>
      </c>
      <c r="Q2330" s="2">
        <v>-7.0000000000000007E-2</v>
      </c>
      <c r="R2330" t="s">
        <v>27</v>
      </c>
      <c r="S2330">
        <v>2024</v>
      </c>
      <c r="T2330" t="s">
        <v>28</v>
      </c>
    </row>
    <row r="2331" spans="1:20" hidden="1" x14ac:dyDescent="0.3">
      <c r="A2331">
        <v>3882</v>
      </c>
      <c r="B2331">
        <v>157</v>
      </c>
      <c r="C2331" t="s">
        <v>40</v>
      </c>
      <c r="D2331" t="s">
        <v>25</v>
      </c>
      <c r="E2331" t="s">
        <v>20</v>
      </c>
      <c r="F2331" s="1">
        <v>44874</v>
      </c>
      <c r="G2331" s="1">
        <v>45413</v>
      </c>
      <c r="H2331">
        <v>1450</v>
      </c>
      <c r="I2331">
        <v>3307</v>
      </c>
      <c r="J2331">
        <v>-1857</v>
      </c>
      <c r="K2331" t="s">
        <v>54</v>
      </c>
      <c r="L2331">
        <v>17</v>
      </c>
      <c r="M2331" t="str">
        <f t="shared" si="36"/>
        <v>6-12 Months</v>
      </c>
      <c r="N2331" s="1">
        <v>45413</v>
      </c>
      <c r="O2331">
        <v>1</v>
      </c>
      <c r="P2331">
        <v>2330</v>
      </c>
      <c r="Q2331" s="2">
        <v>-1.28</v>
      </c>
      <c r="R2331" t="s">
        <v>22</v>
      </c>
      <c r="S2331">
        <v>2024</v>
      </c>
      <c r="T2331" t="s">
        <v>28</v>
      </c>
    </row>
    <row r="2332" spans="1:20" hidden="1" x14ac:dyDescent="0.3">
      <c r="A2332">
        <v>3883</v>
      </c>
      <c r="B2332">
        <v>226</v>
      </c>
      <c r="C2332" t="s">
        <v>53</v>
      </c>
      <c r="D2332" t="s">
        <v>34</v>
      </c>
      <c r="E2332" t="s">
        <v>26</v>
      </c>
      <c r="F2332" s="1">
        <v>44834</v>
      </c>
      <c r="G2332" s="1">
        <v>45063</v>
      </c>
      <c r="H2332">
        <v>6489</v>
      </c>
      <c r="I2332">
        <v>3401</v>
      </c>
      <c r="J2332">
        <v>3088</v>
      </c>
      <c r="K2332" t="s">
        <v>54</v>
      </c>
      <c r="L2332">
        <v>7</v>
      </c>
      <c r="M2332" t="str">
        <f t="shared" si="36"/>
        <v>6-12 Months</v>
      </c>
      <c r="N2332" s="1">
        <v>45063</v>
      </c>
      <c r="O2332">
        <v>0</v>
      </c>
      <c r="P2332">
        <v>2331</v>
      </c>
      <c r="Q2332" s="2">
        <v>0.48</v>
      </c>
      <c r="R2332" t="s">
        <v>27</v>
      </c>
      <c r="S2332">
        <v>2023</v>
      </c>
      <c r="T2332" t="s">
        <v>28</v>
      </c>
    </row>
    <row r="2333" spans="1:20" hidden="1" x14ac:dyDescent="0.3">
      <c r="A2333">
        <v>3887</v>
      </c>
      <c r="B2333">
        <v>346</v>
      </c>
      <c r="C2333" t="s">
        <v>39</v>
      </c>
      <c r="D2333" t="s">
        <v>19</v>
      </c>
      <c r="E2333" t="s">
        <v>37</v>
      </c>
      <c r="F2333" s="1">
        <v>44720</v>
      </c>
      <c r="G2333" s="1">
        <v>45201</v>
      </c>
      <c r="H2333">
        <v>7392</v>
      </c>
      <c r="I2333">
        <v>5720</v>
      </c>
      <c r="J2333">
        <v>577.01</v>
      </c>
      <c r="K2333" t="s">
        <v>54</v>
      </c>
      <c r="L2333">
        <v>15</v>
      </c>
      <c r="M2333" t="str">
        <f t="shared" si="36"/>
        <v>6-12 Months</v>
      </c>
      <c r="N2333" s="1">
        <v>45201</v>
      </c>
      <c r="O2333">
        <v>0</v>
      </c>
      <c r="P2333">
        <v>2332</v>
      </c>
      <c r="Q2333" s="2">
        <v>0.08</v>
      </c>
      <c r="R2333" t="s">
        <v>27</v>
      </c>
      <c r="S2333">
        <v>2023</v>
      </c>
      <c r="T2333" t="s">
        <v>33</v>
      </c>
    </row>
    <row r="2334" spans="1:20" hidden="1" x14ac:dyDescent="0.3">
      <c r="A2334">
        <v>3888</v>
      </c>
      <c r="B2334">
        <v>249</v>
      </c>
      <c r="C2334" t="s">
        <v>53</v>
      </c>
      <c r="D2334" t="s">
        <v>34</v>
      </c>
      <c r="E2334" t="s">
        <v>20</v>
      </c>
      <c r="F2334" s="1">
        <v>44825</v>
      </c>
      <c r="G2334" s="1">
        <v>44969</v>
      </c>
      <c r="H2334">
        <v>7497</v>
      </c>
      <c r="I2334">
        <v>364</v>
      </c>
      <c r="J2334">
        <v>7133</v>
      </c>
      <c r="K2334" t="s">
        <v>54</v>
      </c>
      <c r="L2334">
        <v>4</v>
      </c>
      <c r="M2334" t="str">
        <f t="shared" si="36"/>
        <v>0-6 Months</v>
      </c>
      <c r="N2334" s="1">
        <v>44969</v>
      </c>
      <c r="O2334">
        <v>0</v>
      </c>
      <c r="P2334">
        <v>2333</v>
      </c>
      <c r="Q2334" s="2">
        <v>0.95</v>
      </c>
      <c r="R2334" t="s">
        <v>27</v>
      </c>
      <c r="S2334">
        <v>2023</v>
      </c>
      <c r="T2334" t="s">
        <v>43</v>
      </c>
    </row>
    <row r="2335" spans="1:20" x14ac:dyDescent="0.3">
      <c r="A2335">
        <v>3890</v>
      </c>
      <c r="B2335">
        <v>255</v>
      </c>
      <c r="C2335" t="s">
        <v>24</v>
      </c>
      <c r="D2335" t="s">
        <v>34</v>
      </c>
      <c r="E2335" t="s">
        <v>37</v>
      </c>
      <c r="F2335" s="1">
        <v>44699</v>
      </c>
      <c r="G2335" s="1">
        <v>44958</v>
      </c>
      <c r="H2335">
        <v>4967.93</v>
      </c>
      <c r="I2335">
        <v>5413</v>
      </c>
      <c r="J2335">
        <v>-5959</v>
      </c>
      <c r="K2335" t="s">
        <v>35</v>
      </c>
      <c r="L2335">
        <v>8</v>
      </c>
      <c r="M2335" t="str">
        <f t="shared" si="36"/>
        <v>6-12 Months</v>
      </c>
      <c r="N2335" s="1">
        <v>44958</v>
      </c>
      <c r="O2335">
        <v>0</v>
      </c>
      <c r="P2335">
        <v>2334</v>
      </c>
      <c r="Q2335" s="2">
        <v>-1.2</v>
      </c>
      <c r="R2335" t="s">
        <v>22</v>
      </c>
      <c r="S2335">
        <v>2023</v>
      </c>
      <c r="T2335" t="s">
        <v>43</v>
      </c>
    </row>
    <row r="2336" spans="1:20" hidden="1" x14ac:dyDescent="0.3">
      <c r="A2336">
        <v>3894</v>
      </c>
      <c r="B2336">
        <v>381</v>
      </c>
      <c r="C2336" t="s">
        <v>39</v>
      </c>
      <c r="D2336" t="s">
        <v>25</v>
      </c>
      <c r="E2336" t="s">
        <v>20</v>
      </c>
      <c r="F2336" s="1">
        <v>44652</v>
      </c>
      <c r="G2336" s="1">
        <v>44869</v>
      </c>
      <c r="H2336">
        <v>7162</v>
      </c>
      <c r="I2336">
        <v>7521</v>
      </c>
      <c r="J2336">
        <v>-359</v>
      </c>
      <c r="K2336" t="s">
        <v>54</v>
      </c>
      <c r="L2336">
        <v>7</v>
      </c>
      <c r="M2336" t="str">
        <f t="shared" si="36"/>
        <v>6-12 Months</v>
      </c>
      <c r="N2336" s="1">
        <v>44869</v>
      </c>
      <c r="O2336">
        <v>0</v>
      </c>
      <c r="P2336">
        <v>2335</v>
      </c>
      <c r="Q2336" s="2">
        <v>-0.05</v>
      </c>
      <c r="R2336" t="s">
        <v>27</v>
      </c>
      <c r="S2336">
        <v>2022</v>
      </c>
      <c r="T2336" t="s">
        <v>42</v>
      </c>
    </row>
    <row r="2337" spans="1:20" hidden="1" x14ac:dyDescent="0.3">
      <c r="A2337">
        <v>3895</v>
      </c>
      <c r="B2337">
        <v>321</v>
      </c>
      <c r="C2337" t="s">
        <v>53</v>
      </c>
      <c r="D2337" t="s">
        <v>29</v>
      </c>
      <c r="E2337" t="s">
        <v>37</v>
      </c>
      <c r="F2337" s="1">
        <v>44812</v>
      </c>
      <c r="G2337" s="1">
        <v>45014</v>
      </c>
      <c r="H2337">
        <v>3634</v>
      </c>
      <c r="I2337">
        <v>4012.75</v>
      </c>
      <c r="J2337">
        <v>4575</v>
      </c>
      <c r="K2337" t="s">
        <v>54</v>
      </c>
      <c r="L2337">
        <v>6</v>
      </c>
      <c r="M2337" t="str">
        <f t="shared" si="36"/>
        <v>12+ Months</v>
      </c>
      <c r="N2337" s="1">
        <v>45014</v>
      </c>
      <c r="O2337">
        <v>1</v>
      </c>
      <c r="P2337">
        <v>2336</v>
      </c>
      <c r="Q2337" s="2">
        <v>1.26</v>
      </c>
      <c r="R2337" t="s">
        <v>22</v>
      </c>
      <c r="S2337">
        <v>2023</v>
      </c>
      <c r="T2337" t="s">
        <v>38</v>
      </c>
    </row>
    <row r="2338" spans="1:20" x14ac:dyDescent="0.3">
      <c r="A2338">
        <v>3898</v>
      </c>
      <c r="B2338">
        <v>449</v>
      </c>
      <c r="C2338" t="s">
        <v>53</v>
      </c>
      <c r="D2338" t="s">
        <v>25</v>
      </c>
      <c r="E2338" t="s">
        <v>26</v>
      </c>
      <c r="F2338" s="1">
        <v>44715</v>
      </c>
      <c r="G2338" s="1">
        <v>45307</v>
      </c>
      <c r="H2338">
        <v>1001</v>
      </c>
      <c r="I2338">
        <v>4292</v>
      </c>
      <c r="J2338">
        <v>-3291</v>
      </c>
      <c r="K2338" t="s">
        <v>35</v>
      </c>
      <c r="L2338">
        <v>19</v>
      </c>
      <c r="M2338" t="str">
        <f t="shared" si="36"/>
        <v>6-12 Months</v>
      </c>
      <c r="N2338" s="1">
        <v>45307</v>
      </c>
      <c r="O2338">
        <v>0</v>
      </c>
      <c r="P2338">
        <v>2337</v>
      </c>
      <c r="Q2338" s="2">
        <v>-3.29</v>
      </c>
      <c r="R2338" t="s">
        <v>22</v>
      </c>
      <c r="S2338">
        <v>2024</v>
      </c>
      <c r="T2338" t="s">
        <v>23</v>
      </c>
    </row>
    <row r="2339" spans="1:20" hidden="1" x14ac:dyDescent="0.3">
      <c r="A2339">
        <v>3899</v>
      </c>
      <c r="B2339">
        <v>392</v>
      </c>
      <c r="C2339" t="s">
        <v>24</v>
      </c>
      <c r="D2339" t="s">
        <v>34</v>
      </c>
      <c r="E2339" t="s">
        <v>26</v>
      </c>
      <c r="F2339" s="1">
        <v>44784</v>
      </c>
      <c r="G2339" s="1">
        <v>44874</v>
      </c>
      <c r="H2339">
        <v>5309</v>
      </c>
      <c r="I2339">
        <v>6549</v>
      </c>
      <c r="J2339">
        <v>-1240</v>
      </c>
      <c r="K2339" t="s">
        <v>54</v>
      </c>
      <c r="L2339">
        <v>2</v>
      </c>
      <c r="M2339" t="str">
        <f t="shared" si="36"/>
        <v>0-6 Months</v>
      </c>
      <c r="N2339" s="1">
        <v>44874</v>
      </c>
      <c r="O2339">
        <v>1</v>
      </c>
      <c r="P2339">
        <v>2338</v>
      </c>
      <c r="Q2339" s="2">
        <v>-0.23</v>
      </c>
      <c r="R2339" t="s">
        <v>27</v>
      </c>
      <c r="S2339">
        <v>2022</v>
      </c>
      <c r="T2339" t="s">
        <v>42</v>
      </c>
    </row>
    <row r="2340" spans="1:20" hidden="1" x14ac:dyDescent="0.3">
      <c r="A2340">
        <v>3900</v>
      </c>
      <c r="B2340">
        <v>342</v>
      </c>
      <c r="C2340" t="s">
        <v>45</v>
      </c>
      <c r="D2340" t="s">
        <v>34</v>
      </c>
      <c r="E2340" t="s">
        <v>26</v>
      </c>
      <c r="F2340" s="1">
        <v>44809</v>
      </c>
      <c r="G2340" s="1">
        <v>44866</v>
      </c>
      <c r="H2340">
        <v>5674</v>
      </c>
      <c r="I2340">
        <v>870</v>
      </c>
      <c r="J2340">
        <v>4804</v>
      </c>
      <c r="K2340" t="s">
        <v>54</v>
      </c>
      <c r="L2340">
        <v>1</v>
      </c>
      <c r="M2340" t="str">
        <f t="shared" si="36"/>
        <v>0-6 Months</v>
      </c>
      <c r="N2340" s="1">
        <v>44866</v>
      </c>
      <c r="O2340">
        <v>1</v>
      </c>
      <c r="P2340">
        <v>2339</v>
      </c>
      <c r="Q2340" s="2">
        <v>0.85</v>
      </c>
      <c r="R2340" t="s">
        <v>27</v>
      </c>
      <c r="S2340">
        <v>2022</v>
      </c>
      <c r="T2340" t="s">
        <v>42</v>
      </c>
    </row>
    <row r="2341" spans="1:20" hidden="1" x14ac:dyDescent="0.3">
      <c r="A2341">
        <v>3901</v>
      </c>
      <c r="B2341">
        <v>174</v>
      </c>
      <c r="C2341" t="s">
        <v>40</v>
      </c>
      <c r="D2341" t="s">
        <v>25</v>
      </c>
      <c r="E2341" t="s">
        <v>37</v>
      </c>
      <c r="F2341" s="1">
        <v>44673</v>
      </c>
      <c r="G2341" s="1">
        <v>45039</v>
      </c>
      <c r="H2341">
        <v>8114</v>
      </c>
      <c r="I2341">
        <v>3153</v>
      </c>
      <c r="J2341">
        <v>4961</v>
      </c>
      <c r="K2341" t="s">
        <v>54</v>
      </c>
      <c r="L2341">
        <v>12</v>
      </c>
      <c r="M2341" t="str">
        <f t="shared" si="36"/>
        <v>6-12 Months</v>
      </c>
      <c r="N2341" s="1">
        <v>45039</v>
      </c>
      <c r="O2341">
        <v>0</v>
      </c>
      <c r="P2341">
        <v>2340</v>
      </c>
      <c r="Q2341" s="2">
        <v>0.61</v>
      </c>
      <c r="R2341" t="s">
        <v>27</v>
      </c>
      <c r="S2341">
        <v>2023</v>
      </c>
      <c r="T2341" t="s">
        <v>32</v>
      </c>
    </row>
    <row r="2342" spans="1:20" hidden="1" x14ac:dyDescent="0.3">
      <c r="A2342">
        <v>3902</v>
      </c>
      <c r="B2342">
        <v>257</v>
      </c>
      <c r="C2342" t="s">
        <v>40</v>
      </c>
      <c r="D2342" t="s">
        <v>29</v>
      </c>
      <c r="E2342" t="s">
        <v>37</v>
      </c>
      <c r="F2342" s="1">
        <v>44623</v>
      </c>
      <c r="G2342" s="1">
        <v>44895</v>
      </c>
      <c r="H2342">
        <v>842</v>
      </c>
      <c r="I2342">
        <v>6571</v>
      </c>
      <c r="J2342">
        <v>-5729</v>
      </c>
      <c r="K2342" t="s">
        <v>54</v>
      </c>
      <c r="L2342">
        <v>8</v>
      </c>
      <c r="M2342" t="str">
        <f t="shared" si="36"/>
        <v>6-12 Months</v>
      </c>
      <c r="N2342" s="1">
        <v>44895</v>
      </c>
      <c r="O2342">
        <v>1</v>
      </c>
      <c r="P2342">
        <v>2341</v>
      </c>
      <c r="Q2342" s="2">
        <v>-6.8</v>
      </c>
      <c r="R2342" t="s">
        <v>22</v>
      </c>
      <c r="S2342">
        <v>2022</v>
      </c>
      <c r="T2342" t="s">
        <v>42</v>
      </c>
    </row>
    <row r="2343" spans="1:20" hidden="1" x14ac:dyDescent="0.3">
      <c r="A2343">
        <v>3903</v>
      </c>
      <c r="B2343">
        <v>286</v>
      </c>
      <c r="C2343" t="s">
        <v>53</v>
      </c>
      <c r="D2343" t="s">
        <v>29</v>
      </c>
      <c r="E2343" t="s">
        <v>37</v>
      </c>
      <c r="F2343" s="1">
        <v>44708</v>
      </c>
      <c r="G2343" s="1">
        <v>44879</v>
      </c>
      <c r="H2343">
        <v>6615</v>
      </c>
      <c r="I2343">
        <v>7400</v>
      </c>
      <c r="J2343">
        <v>-785</v>
      </c>
      <c r="K2343" t="s">
        <v>54</v>
      </c>
      <c r="L2343">
        <v>5</v>
      </c>
      <c r="M2343" t="str">
        <f t="shared" si="36"/>
        <v>0-6 Months</v>
      </c>
      <c r="N2343" s="1">
        <v>44879</v>
      </c>
      <c r="O2343">
        <v>0</v>
      </c>
      <c r="P2343">
        <v>2342</v>
      </c>
      <c r="Q2343" s="2">
        <v>-0.12</v>
      </c>
      <c r="R2343" t="s">
        <v>27</v>
      </c>
      <c r="S2343">
        <v>2022</v>
      </c>
      <c r="T2343" t="s">
        <v>42</v>
      </c>
    </row>
    <row r="2344" spans="1:20" hidden="1" x14ac:dyDescent="0.3">
      <c r="A2344">
        <v>3906</v>
      </c>
      <c r="B2344">
        <v>133</v>
      </c>
      <c r="C2344" t="s">
        <v>40</v>
      </c>
      <c r="D2344" t="s">
        <v>19</v>
      </c>
      <c r="E2344" t="s">
        <v>37</v>
      </c>
      <c r="F2344" s="1">
        <v>44616</v>
      </c>
      <c r="G2344" s="1">
        <v>45100</v>
      </c>
      <c r="H2344">
        <v>7355</v>
      </c>
      <c r="I2344">
        <v>6595</v>
      </c>
      <c r="J2344">
        <v>760</v>
      </c>
      <c r="K2344" t="s">
        <v>21</v>
      </c>
      <c r="L2344">
        <v>15</v>
      </c>
      <c r="M2344" t="str">
        <f t="shared" si="36"/>
        <v>6-12 Months</v>
      </c>
      <c r="N2344" s="1">
        <v>45100</v>
      </c>
      <c r="O2344">
        <v>1</v>
      </c>
      <c r="P2344">
        <v>2343</v>
      </c>
      <c r="Q2344" s="2">
        <v>0.1</v>
      </c>
      <c r="R2344" t="s">
        <v>27</v>
      </c>
      <c r="S2344">
        <v>2023</v>
      </c>
      <c r="T2344" t="s">
        <v>41</v>
      </c>
    </row>
    <row r="2345" spans="1:20" hidden="1" x14ac:dyDescent="0.3">
      <c r="A2345">
        <v>3907</v>
      </c>
      <c r="B2345">
        <v>435</v>
      </c>
      <c r="C2345" t="s">
        <v>24</v>
      </c>
      <c r="D2345" t="s">
        <v>34</v>
      </c>
      <c r="E2345" t="s">
        <v>26</v>
      </c>
      <c r="F2345" s="1">
        <v>44915</v>
      </c>
      <c r="G2345" s="1">
        <v>45291</v>
      </c>
      <c r="H2345">
        <v>2011</v>
      </c>
      <c r="I2345">
        <v>6298</v>
      </c>
      <c r="J2345">
        <v>577.01</v>
      </c>
      <c r="K2345" t="s">
        <v>21</v>
      </c>
      <c r="L2345">
        <v>12</v>
      </c>
      <c r="M2345" t="str">
        <f t="shared" si="36"/>
        <v>6-12 Months</v>
      </c>
      <c r="N2345" s="1">
        <v>45291</v>
      </c>
      <c r="O2345">
        <v>1</v>
      </c>
      <c r="P2345">
        <v>2344</v>
      </c>
      <c r="Q2345" s="2">
        <v>0.28999999999999998</v>
      </c>
      <c r="R2345" t="s">
        <v>27</v>
      </c>
      <c r="S2345">
        <v>2023</v>
      </c>
      <c r="T2345" t="s">
        <v>31</v>
      </c>
    </row>
    <row r="2346" spans="1:20" hidden="1" x14ac:dyDescent="0.3">
      <c r="A2346">
        <v>3913</v>
      </c>
      <c r="B2346">
        <v>264</v>
      </c>
      <c r="C2346" t="s">
        <v>39</v>
      </c>
      <c r="D2346" t="s">
        <v>19</v>
      </c>
      <c r="E2346" t="s">
        <v>26</v>
      </c>
      <c r="F2346" s="1">
        <v>44854</v>
      </c>
      <c r="G2346" s="1">
        <v>45448</v>
      </c>
      <c r="H2346">
        <v>9064</v>
      </c>
      <c r="I2346">
        <v>3904</v>
      </c>
      <c r="J2346">
        <v>5160</v>
      </c>
      <c r="K2346" t="s">
        <v>54</v>
      </c>
      <c r="L2346">
        <v>19</v>
      </c>
      <c r="M2346" t="str">
        <f t="shared" si="36"/>
        <v>6-12 Months</v>
      </c>
      <c r="N2346" s="1">
        <v>45448</v>
      </c>
      <c r="O2346">
        <v>1</v>
      </c>
      <c r="P2346">
        <v>2345</v>
      </c>
      <c r="Q2346" s="2">
        <v>0.56999999999999995</v>
      </c>
      <c r="R2346" t="s">
        <v>27</v>
      </c>
      <c r="S2346">
        <v>2024</v>
      </c>
      <c r="T2346" t="s">
        <v>41</v>
      </c>
    </row>
    <row r="2347" spans="1:20" hidden="1" x14ac:dyDescent="0.3">
      <c r="A2347">
        <v>3916</v>
      </c>
      <c r="B2347">
        <v>211</v>
      </c>
      <c r="C2347" t="s">
        <v>40</v>
      </c>
      <c r="D2347" t="s">
        <v>34</v>
      </c>
      <c r="E2347" t="s">
        <v>37</v>
      </c>
      <c r="F2347" s="1">
        <v>44737</v>
      </c>
      <c r="G2347" s="1">
        <v>44927</v>
      </c>
      <c r="H2347">
        <v>5699</v>
      </c>
      <c r="I2347">
        <v>6690</v>
      </c>
      <c r="J2347">
        <v>-991</v>
      </c>
      <c r="K2347" t="s">
        <v>54</v>
      </c>
      <c r="L2347">
        <v>6</v>
      </c>
      <c r="M2347" t="str">
        <f t="shared" si="36"/>
        <v>12+ Months</v>
      </c>
      <c r="N2347" s="1">
        <v>44927</v>
      </c>
      <c r="O2347">
        <v>0</v>
      </c>
      <c r="P2347">
        <v>2346</v>
      </c>
      <c r="Q2347" s="2">
        <v>-0.17</v>
      </c>
      <c r="R2347" t="s">
        <v>27</v>
      </c>
      <c r="S2347">
        <v>2023</v>
      </c>
      <c r="T2347" t="s">
        <v>23</v>
      </c>
    </row>
    <row r="2348" spans="1:20" x14ac:dyDescent="0.3">
      <c r="A2348">
        <v>3918</v>
      </c>
      <c r="B2348">
        <v>358</v>
      </c>
      <c r="C2348" t="s">
        <v>45</v>
      </c>
      <c r="D2348" t="s">
        <v>25</v>
      </c>
      <c r="E2348" t="s">
        <v>20</v>
      </c>
      <c r="F2348" s="1">
        <v>44800</v>
      </c>
      <c r="G2348" s="1">
        <v>45176</v>
      </c>
      <c r="H2348">
        <v>4885</v>
      </c>
      <c r="I2348">
        <v>6639</v>
      </c>
      <c r="J2348">
        <v>-1754</v>
      </c>
      <c r="K2348" t="s">
        <v>35</v>
      </c>
      <c r="L2348">
        <v>12</v>
      </c>
      <c r="M2348" t="str">
        <f t="shared" si="36"/>
        <v>6-12 Months</v>
      </c>
      <c r="N2348" s="1">
        <v>45176</v>
      </c>
      <c r="O2348">
        <v>1</v>
      </c>
      <c r="P2348">
        <v>2347</v>
      </c>
      <c r="Q2348" s="2">
        <v>-0.36</v>
      </c>
      <c r="R2348" t="s">
        <v>27</v>
      </c>
      <c r="S2348">
        <v>2023</v>
      </c>
      <c r="T2348" t="s">
        <v>30</v>
      </c>
    </row>
    <row r="2349" spans="1:20" hidden="1" x14ac:dyDescent="0.3">
      <c r="A2349">
        <v>3919</v>
      </c>
      <c r="B2349">
        <v>287</v>
      </c>
      <c r="C2349" t="s">
        <v>24</v>
      </c>
      <c r="D2349" t="s">
        <v>19</v>
      </c>
      <c r="E2349" t="s">
        <v>37</v>
      </c>
      <c r="F2349" s="1">
        <v>44918</v>
      </c>
      <c r="G2349" s="1">
        <v>45380</v>
      </c>
      <c r="H2349">
        <v>5423</v>
      </c>
      <c r="I2349">
        <v>2988</v>
      </c>
      <c r="J2349">
        <v>2435</v>
      </c>
      <c r="K2349" t="s">
        <v>21</v>
      </c>
      <c r="L2349">
        <v>15</v>
      </c>
      <c r="M2349" t="str">
        <f t="shared" si="36"/>
        <v>6-12 Months</v>
      </c>
      <c r="N2349" s="1">
        <v>45380</v>
      </c>
      <c r="O2349">
        <v>0</v>
      </c>
      <c r="P2349">
        <v>2348</v>
      </c>
      <c r="Q2349" s="2">
        <v>0.45</v>
      </c>
      <c r="R2349" t="s">
        <v>27</v>
      </c>
      <c r="S2349">
        <v>2024</v>
      </c>
      <c r="T2349" t="s">
        <v>38</v>
      </c>
    </row>
    <row r="2350" spans="1:20" hidden="1" x14ac:dyDescent="0.3">
      <c r="A2350">
        <v>3921</v>
      </c>
      <c r="B2350">
        <v>428</v>
      </c>
      <c r="C2350" t="s">
        <v>39</v>
      </c>
      <c r="D2350" t="s">
        <v>34</v>
      </c>
      <c r="E2350" t="s">
        <v>20</v>
      </c>
      <c r="F2350" s="1">
        <v>44565</v>
      </c>
      <c r="G2350" s="1">
        <v>44681</v>
      </c>
      <c r="H2350">
        <v>4979</v>
      </c>
      <c r="I2350">
        <v>4012.75</v>
      </c>
      <c r="J2350">
        <v>5148</v>
      </c>
      <c r="K2350" t="s">
        <v>54</v>
      </c>
      <c r="L2350">
        <v>3</v>
      </c>
      <c r="M2350" t="str">
        <f t="shared" si="36"/>
        <v>0-6 Months</v>
      </c>
      <c r="N2350" s="1">
        <v>44681</v>
      </c>
      <c r="O2350">
        <v>1</v>
      </c>
      <c r="P2350">
        <v>2349</v>
      </c>
      <c r="Q2350" s="2">
        <v>1.03</v>
      </c>
      <c r="R2350" t="s">
        <v>22</v>
      </c>
      <c r="S2350">
        <v>2022</v>
      </c>
      <c r="T2350" t="s">
        <v>32</v>
      </c>
    </row>
    <row r="2351" spans="1:20" hidden="1" x14ac:dyDescent="0.3">
      <c r="A2351">
        <v>3922</v>
      </c>
      <c r="B2351">
        <v>458</v>
      </c>
      <c r="C2351" t="s">
        <v>39</v>
      </c>
      <c r="D2351" t="s">
        <v>19</v>
      </c>
      <c r="E2351" t="s">
        <v>37</v>
      </c>
      <c r="F2351" s="1">
        <v>44662</v>
      </c>
      <c r="G2351" s="1">
        <v>44724</v>
      </c>
      <c r="H2351">
        <v>1532</v>
      </c>
      <c r="I2351">
        <v>4837</v>
      </c>
      <c r="J2351">
        <v>-3305</v>
      </c>
      <c r="K2351" t="s">
        <v>54</v>
      </c>
      <c r="L2351">
        <v>2</v>
      </c>
      <c r="M2351" t="str">
        <f t="shared" si="36"/>
        <v>0-6 Months</v>
      </c>
      <c r="N2351" s="1">
        <v>44724</v>
      </c>
      <c r="O2351">
        <v>1</v>
      </c>
      <c r="P2351">
        <v>2350</v>
      </c>
      <c r="Q2351" s="2">
        <v>-2.16</v>
      </c>
      <c r="R2351" t="s">
        <v>22</v>
      </c>
      <c r="S2351">
        <v>2022</v>
      </c>
      <c r="T2351" t="s">
        <v>41</v>
      </c>
    </row>
    <row r="2352" spans="1:20" hidden="1" x14ac:dyDescent="0.3">
      <c r="A2352">
        <v>3923</v>
      </c>
      <c r="B2352">
        <v>500</v>
      </c>
      <c r="C2352" t="s">
        <v>39</v>
      </c>
      <c r="D2352" t="s">
        <v>34</v>
      </c>
      <c r="E2352" t="s">
        <v>37</v>
      </c>
      <c r="F2352" s="1">
        <v>44827</v>
      </c>
      <c r="G2352" s="1">
        <v>45160</v>
      </c>
      <c r="H2352">
        <v>4967.93</v>
      </c>
      <c r="I2352">
        <v>4280</v>
      </c>
      <c r="J2352">
        <v>-4673</v>
      </c>
      <c r="K2352" t="s">
        <v>54</v>
      </c>
      <c r="L2352">
        <v>10</v>
      </c>
      <c r="M2352" t="str">
        <f t="shared" si="36"/>
        <v>6-12 Months</v>
      </c>
      <c r="N2352" s="1">
        <v>45160</v>
      </c>
      <c r="O2352">
        <v>1</v>
      </c>
      <c r="P2352">
        <v>2351</v>
      </c>
      <c r="Q2352" s="2">
        <v>-0.94</v>
      </c>
      <c r="R2352" t="s">
        <v>27</v>
      </c>
      <c r="S2352">
        <v>2023</v>
      </c>
      <c r="T2352" t="s">
        <v>36</v>
      </c>
    </row>
    <row r="2353" spans="1:20" hidden="1" x14ac:dyDescent="0.3">
      <c r="A2353">
        <v>3924</v>
      </c>
      <c r="B2353">
        <v>308</v>
      </c>
      <c r="C2353" t="s">
        <v>53</v>
      </c>
      <c r="D2353" t="s">
        <v>29</v>
      </c>
      <c r="E2353" t="s">
        <v>20</v>
      </c>
      <c r="F2353" s="1">
        <v>44590</v>
      </c>
      <c r="G2353" s="1">
        <v>44894</v>
      </c>
      <c r="H2353">
        <v>1662</v>
      </c>
      <c r="I2353">
        <v>1039</v>
      </c>
      <c r="J2353">
        <v>623</v>
      </c>
      <c r="K2353" t="s">
        <v>54</v>
      </c>
      <c r="L2353">
        <v>10</v>
      </c>
      <c r="M2353" t="str">
        <f t="shared" si="36"/>
        <v>6-12 Months</v>
      </c>
      <c r="N2353" s="1">
        <v>44894</v>
      </c>
      <c r="O2353">
        <v>0</v>
      </c>
      <c r="P2353">
        <v>2352</v>
      </c>
      <c r="Q2353" s="2">
        <v>0.37</v>
      </c>
      <c r="R2353" t="s">
        <v>27</v>
      </c>
      <c r="S2353">
        <v>2022</v>
      </c>
      <c r="T2353" t="s">
        <v>42</v>
      </c>
    </row>
    <row r="2354" spans="1:20" hidden="1" x14ac:dyDescent="0.3">
      <c r="A2354">
        <v>3926</v>
      </c>
      <c r="B2354">
        <v>287</v>
      </c>
      <c r="C2354" t="s">
        <v>53</v>
      </c>
      <c r="D2354" t="s">
        <v>29</v>
      </c>
      <c r="E2354" t="s">
        <v>37</v>
      </c>
      <c r="F2354" s="1">
        <v>44823</v>
      </c>
      <c r="G2354" s="1">
        <v>44867</v>
      </c>
      <c r="H2354">
        <v>2583</v>
      </c>
      <c r="I2354">
        <v>2096</v>
      </c>
      <c r="J2354">
        <v>487</v>
      </c>
      <c r="K2354" t="s">
        <v>21</v>
      </c>
      <c r="L2354">
        <v>1</v>
      </c>
      <c r="M2354" t="str">
        <f t="shared" si="36"/>
        <v>0-6 Months</v>
      </c>
      <c r="N2354" s="1">
        <v>44867</v>
      </c>
      <c r="O2354">
        <v>0</v>
      </c>
      <c r="P2354">
        <v>2353</v>
      </c>
      <c r="Q2354" s="2">
        <v>0.19</v>
      </c>
      <c r="R2354" t="s">
        <v>27</v>
      </c>
      <c r="S2354">
        <v>2022</v>
      </c>
      <c r="T2354" t="s">
        <v>42</v>
      </c>
    </row>
    <row r="2355" spans="1:20" hidden="1" x14ac:dyDescent="0.3">
      <c r="A2355">
        <v>3927</v>
      </c>
      <c r="B2355">
        <v>149</v>
      </c>
      <c r="C2355" t="s">
        <v>53</v>
      </c>
      <c r="D2355" t="s">
        <v>19</v>
      </c>
      <c r="E2355" t="s">
        <v>26</v>
      </c>
      <c r="F2355" s="1">
        <v>44918</v>
      </c>
      <c r="G2355" s="1">
        <v>44980</v>
      </c>
      <c r="H2355">
        <v>2825</v>
      </c>
      <c r="I2355">
        <v>3806</v>
      </c>
      <c r="J2355">
        <v>-981</v>
      </c>
      <c r="K2355" t="s">
        <v>54</v>
      </c>
      <c r="L2355">
        <v>2</v>
      </c>
      <c r="M2355" t="str">
        <f t="shared" si="36"/>
        <v>0-6 Months</v>
      </c>
      <c r="N2355" s="1">
        <v>44980</v>
      </c>
      <c r="O2355">
        <v>1</v>
      </c>
      <c r="P2355">
        <v>2354</v>
      </c>
      <c r="Q2355" s="2">
        <v>-0.35</v>
      </c>
      <c r="R2355" t="s">
        <v>27</v>
      </c>
      <c r="S2355">
        <v>2023</v>
      </c>
      <c r="T2355" t="s">
        <v>43</v>
      </c>
    </row>
    <row r="2356" spans="1:20" hidden="1" x14ac:dyDescent="0.3">
      <c r="A2356">
        <v>3928</v>
      </c>
      <c r="B2356">
        <v>169</v>
      </c>
      <c r="C2356" t="s">
        <v>24</v>
      </c>
      <c r="D2356" t="s">
        <v>34</v>
      </c>
      <c r="E2356" t="s">
        <v>37</v>
      </c>
      <c r="F2356" s="1">
        <v>44666</v>
      </c>
      <c r="G2356" s="1">
        <v>45152</v>
      </c>
      <c r="H2356">
        <v>6775</v>
      </c>
      <c r="I2356">
        <v>5868</v>
      </c>
      <c r="J2356">
        <v>907</v>
      </c>
      <c r="K2356" t="s">
        <v>54</v>
      </c>
      <c r="L2356">
        <v>15</v>
      </c>
      <c r="M2356" t="str">
        <f t="shared" si="36"/>
        <v>6-12 Months</v>
      </c>
      <c r="N2356" s="1">
        <v>45152</v>
      </c>
      <c r="O2356">
        <v>1</v>
      </c>
      <c r="P2356">
        <v>2355</v>
      </c>
      <c r="Q2356" s="2">
        <v>0.13</v>
      </c>
      <c r="R2356" t="s">
        <v>27</v>
      </c>
      <c r="S2356">
        <v>2023</v>
      </c>
      <c r="T2356" t="s">
        <v>36</v>
      </c>
    </row>
    <row r="2357" spans="1:20" hidden="1" x14ac:dyDescent="0.3">
      <c r="A2357">
        <v>3929</v>
      </c>
      <c r="B2357">
        <v>381</v>
      </c>
      <c r="C2357" t="s">
        <v>24</v>
      </c>
      <c r="D2357" t="s">
        <v>29</v>
      </c>
      <c r="E2357" t="s">
        <v>20</v>
      </c>
      <c r="F2357" s="1">
        <v>44562</v>
      </c>
      <c r="G2357" s="1">
        <v>45099</v>
      </c>
      <c r="H2357">
        <v>2472</v>
      </c>
      <c r="I2357">
        <v>2510</v>
      </c>
      <c r="J2357">
        <v>577.01</v>
      </c>
      <c r="K2357" t="s">
        <v>54</v>
      </c>
      <c r="L2357">
        <v>17</v>
      </c>
      <c r="M2357" t="str">
        <f t="shared" si="36"/>
        <v>6-12 Months</v>
      </c>
      <c r="N2357" s="1">
        <v>45099</v>
      </c>
      <c r="O2357">
        <v>0</v>
      </c>
      <c r="P2357">
        <v>2356</v>
      </c>
      <c r="Q2357" s="2">
        <v>0.23</v>
      </c>
      <c r="R2357" t="s">
        <v>27</v>
      </c>
      <c r="S2357">
        <v>2023</v>
      </c>
      <c r="T2357" t="s">
        <v>41</v>
      </c>
    </row>
    <row r="2358" spans="1:20" x14ac:dyDescent="0.3">
      <c r="A2358">
        <v>3930</v>
      </c>
      <c r="B2358">
        <v>490</v>
      </c>
      <c r="C2358" t="s">
        <v>40</v>
      </c>
      <c r="D2358" t="s">
        <v>25</v>
      </c>
      <c r="E2358" t="s">
        <v>37</v>
      </c>
      <c r="F2358" s="1">
        <v>44797</v>
      </c>
      <c r="G2358" s="1">
        <v>44941</v>
      </c>
      <c r="H2358">
        <v>1387</v>
      </c>
      <c r="I2358">
        <v>1952</v>
      </c>
      <c r="J2358">
        <v>-565</v>
      </c>
      <c r="K2358" t="s">
        <v>35</v>
      </c>
      <c r="L2358">
        <v>4</v>
      </c>
      <c r="M2358" t="str">
        <f t="shared" si="36"/>
        <v>0-6 Months</v>
      </c>
      <c r="N2358" s="1">
        <v>44941</v>
      </c>
      <c r="O2358">
        <v>1</v>
      </c>
      <c r="P2358">
        <v>2357</v>
      </c>
      <c r="Q2358" s="2">
        <v>-0.41</v>
      </c>
      <c r="R2358" t="s">
        <v>27</v>
      </c>
      <c r="S2358">
        <v>2023</v>
      </c>
      <c r="T2358" t="s">
        <v>23</v>
      </c>
    </row>
    <row r="2359" spans="1:20" hidden="1" x14ac:dyDescent="0.3">
      <c r="A2359">
        <v>3932</v>
      </c>
      <c r="B2359">
        <v>205</v>
      </c>
      <c r="C2359" t="s">
        <v>53</v>
      </c>
      <c r="D2359" t="s">
        <v>19</v>
      </c>
      <c r="E2359" t="s">
        <v>20</v>
      </c>
      <c r="F2359" s="1">
        <v>44607</v>
      </c>
      <c r="G2359" s="1">
        <v>44784</v>
      </c>
      <c r="H2359">
        <v>9806</v>
      </c>
      <c r="I2359">
        <v>5550</v>
      </c>
      <c r="J2359">
        <v>4256</v>
      </c>
      <c r="K2359" t="s">
        <v>21</v>
      </c>
      <c r="L2359">
        <v>5</v>
      </c>
      <c r="M2359" t="str">
        <f t="shared" si="36"/>
        <v>0-6 Months</v>
      </c>
      <c r="N2359" s="1">
        <v>44784</v>
      </c>
      <c r="O2359">
        <v>0</v>
      </c>
      <c r="P2359">
        <v>2358</v>
      </c>
      <c r="Q2359" s="2">
        <v>0.43</v>
      </c>
      <c r="R2359" t="s">
        <v>27</v>
      </c>
      <c r="S2359">
        <v>2022</v>
      </c>
      <c r="T2359" t="s">
        <v>36</v>
      </c>
    </row>
    <row r="2360" spans="1:20" hidden="1" x14ac:dyDescent="0.3">
      <c r="A2360">
        <v>3933</v>
      </c>
      <c r="B2360">
        <v>141</v>
      </c>
      <c r="C2360" t="s">
        <v>45</v>
      </c>
      <c r="D2360" t="s">
        <v>19</v>
      </c>
      <c r="E2360" t="s">
        <v>20</v>
      </c>
      <c r="F2360" s="1">
        <v>44582</v>
      </c>
      <c r="G2360" s="1">
        <v>45158</v>
      </c>
      <c r="H2360">
        <v>9768</v>
      </c>
      <c r="I2360">
        <v>4012.75</v>
      </c>
      <c r="J2360">
        <v>9851</v>
      </c>
      <c r="K2360" t="s">
        <v>21</v>
      </c>
      <c r="L2360">
        <v>18</v>
      </c>
      <c r="M2360" t="str">
        <f t="shared" si="36"/>
        <v>6-12 Months</v>
      </c>
      <c r="N2360" s="1">
        <v>45158</v>
      </c>
      <c r="O2360">
        <v>1</v>
      </c>
      <c r="P2360">
        <v>2359</v>
      </c>
      <c r="Q2360" s="2">
        <v>1.01</v>
      </c>
      <c r="R2360" t="s">
        <v>22</v>
      </c>
      <c r="S2360">
        <v>2023</v>
      </c>
      <c r="T2360" t="s">
        <v>36</v>
      </c>
    </row>
    <row r="2361" spans="1:20" hidden="1" x14ac:dyDescent="0.3">
      <c r="A2361">
        <v>3935</v>
      </c>
      <c r="B2361">
        <v>105</v>
      </c>
      <c r="C2361" t="s">
        <v>40</v>
      </c>
      <c r="D2361" t="s">
        <v>19</v>
      </c>
      <c r="E2361" t="s">
        <v>37</v>
      </c>
      <c r="F2361" s="1">
        <v>44691</v>
      </c>
      <c r="G2361" s="1">
        <v>44754</v>
      </c>
      <c r="H2361">
        <v>5670</v>
      </c>
      <c r="I2361">
        <v>1262</v>
      </c>
      <c r="J2361">
        <v>4408</v>
      </c>
      <c r="K2361" t="s">
        <v>21</v>
      </c>
      <c r="L2361">
        <v>2</v>
      </c>
      <c r="M2361" t="str">
        <f t="shared" si="36"/>
        <v>0-6 Months</v>
      </c>
      <c r="N2361" s="1">
        <v>44754</v>
      </c>
      <c r="O2361">
        <v>1</v>
      </c>
      <c r="P2361">
        <v>2360</v>
      </c>
      <c r="Q2361" s="2">
        <v>0.78</v>
      </c>
      <c r="R2361" t="s">
        <v>27</v>
      </c>
      <c r="S2361">
        <v>2022</v>
      </c>
      <c r="T2361" t="s">
        <v>44</v>
      </c>
    </row>
    <row r="2362" spans="1:20" hidden="1" x14ac:dyDescent="0.3">
      <c r="A2362">
        <v>3936</v>
      </c>
      <c r="B2362">
        <v>382</v>
      </c>
      <c r="C2362" t="s">
        <v>45</v>
      </c>
      <c r="D2362" t="s">
        <v>25</v>
      </c>
      <c r="E2362" t="s">
        <v>26</v>
      </c>
      <c r="F2362" s="1">
        <v>44872</v>
      </c>
      <c r="G2362" s="1">
        <v>45373</v>
      </c>
      <c r="H2362">
        <v>1942</v>
      </c>
      <c r="I2362">
        <v>4012.75</v>
      </c>
      <c r="J2362">
        <v>2382</v>
      </c>
      <c r="K2362" t="s">
        <v>21</v>
      </c>
      <c r="L2362">
        <v>16</v>
      </c>
      <c r="M2362" t="str">
        <f t="shared" si="36"/>
        <v>6-12 Months</v>
      </c>
      <c r="N2362" s="1">
        <v>45373</v>
      </c>
      <c r="O2362">
        <v>0</v>
      </c>
      <c r="P2362">
        <v>2361</v>
      </c>
      <c r="Q2362" s="2">
        <v>1.23</v>
      </c>
      <c r="R2362" t="s">
        <v>22</v>
      </c>
      <c r="S2362">
        <v>2024</v>
      </c>
      <c r="T2362" t="s">
        <v>38</v>
      </c>
    </row>
    <row r="2363" spans="1:20" hidden="1" x14ac:dyDescent="0.3">
      <c r="A2363">
        <v>3937</v>
      </c>
      <c r="B2363">
        <v>167</v>
      </c>
      <c r="C2363" t="s">
        <v>39</v>
      </c>
      <c r="D2363" t="s">
        <v>19</v>
      </c>
      <c r="E2363" t="s">
        <v>26</v>
      </c>
      <c r="F2363" s="1">
        <v>44616</v>
      </c>
      <c r="G2363" s="1">
        <v>45064</v>
      </c>
      <c r="H2363">
        <v>9670</v>
      </c>
      <c r="I2363">
        <v>4012.75</v>
      </c>
      <c r="J2363">
        <v>10655</v>
      </c>
      <c r="K2363" t="s">
        <v>54</v>
      </c>
      <c r="L2363">
        <v>14</v>
      </c>
      <c r="M2363" t="str">
        <f t="shared" si="36"/>
        <v>6-12 Months</v>
      </c>
      <c r="N2363" s="1">
        <v>45064</v>
      </c>
      <c r="O2363">
        <v>1</v>
      </c>
      <c r="P2363">
        <v>2362</v>
      </c>
      <c r="Q2363" s="2">
        <v>1.1000000000000001</v>
      </c>
      <c r="R2363" t="s">
        <v>22</v>
      </c>
      <c r="S2363">
        <v>2023</v>
      </c>
      <c r="T2363" t="s">
        <v>28</v>
      </c>
    </row>
    <row r="2364" spans="1:20" hidden="1" x14ac:dyDescent="0.3">
      <c r="A2364">
        <v>3938</v>
      </c>
      <c r="B2364">
        <v>402</v>
      </c>
      <c r="C2364" t="s">
        <v>45</v>
      </c>
      <c r="D2364" t="s">
        <v>34</v>
      </c>
      <c r="E2364" t="s">
        <v>37</v>
      </c>
      <c r="F2364" s="1">
        <v>44716</v>
      </c>
      <c r="G2364" s="1">
        <v>45251</v>
      </c>
      <c r="H2364">
        <v>1302</v>
      </c>
      <c r="I2364">
        <v>4012.75</v>
      </c>
      <c r="J2364">
        <v>2213</v>
      </c>
      <c r="K2364" t="s">
        <v>21</v>
      </c>
      <c r="L2364">
        <v>17</v>
      </c>
      <c r="M2364" t="str">
        <f t="shared" si="36"/>
        <v>6-12 Months</v>
      </c>
      <c r="N2364" s="1">
        <v>45251</v>
      </c>
      <c r="O2364">
        <v>1</v>
      </c>
      <c r="P2364">
        <v>2363</v>
      </c>
      <c r="Q2364" s="2">
        <v>1.7</v>
      </c>
      <c r="R2364" t="s">
        <v>22</v>
      </c>
      <c r="S2364">
        <v>2023</v>
      </c>
      <c r="T2364" t="s">
        <v>42</v>
      </c>
    </row>
    <row r="2365" spans="1:20" hidden="1" x14ac:dyDescent="0.3">
      <c r="A2365">
        <v>3939</v>
      </c>
      <c r="B2365">
        <v>405</v>
      </c>
      <c r="C2365" t="s">
        <v>39</v>
      </c>
      <c r="D2365" t="s">
        <v>25</v>
      </c>
      <c r="E2365" t="s">
        <v>37</v>
      </c>
      <c r="F2365" s="1">
        <v>44799</v>
      </c>
      <c r="G2365" s="1">
        <v>45231</v>
      </c>
      <c r="H2365">
        <v>4967.93</v>
      </c>
      <c r="I2365">
        <v>3443</v>
      </c>
      <c r="J2365">
        <v>-3627</v>
      </c>
      <c r="K2365" t="s">
        <v>54</v>
      </c>
      <c r="L2365">
        <v>14</v>
      </c>
      <c r="M2365" t="str">
        <f t="shared" si="36"/>
        <v>6-12 Months</v>
      </c>
      <c r="N2365" s="1">
        <v>45231</v>
      </c>
      <c r="O2365">
        <v>1</v>
      </c>
      <c r="P2365">
        <v>2364</v>
      </c>
      <c r="Q2365" s="2">
        <v>-0.73</v>
      </c>
      <c r="R2365" t="s">
        <v>27</v>
      </c>
      <c r="S2365">
        <v>2023</v>
      </c>
      <c r="T2365" t="s">
        <v>42</v>
      </c>
    </row>
    <row r="2366" spans="1:20" x14ac:dyDescent="0.3">
      <c r="A2366">
        <v>3940</v>
      </c>
      <c r="B2366">
        <v>434</v>
      </c>
      <c r="C2366" t="s">
        <v>40</v>
      </c>
      <c r="D2366" t="s">
        <v>29</v>
      </c>
      <c r="E2366" t="s">
        <v>37</v>
      </c>
      <c r="F2366" s="1">
        <v>44647</v>
      </c>
      <c r="G2366" s="1">
        <v>45056</v>
      </c>
      <c r="H2366">
        <v>979</v>
      </c>
      <c r="I2366">
        <v>209</v>
      </c>
      <c r="J2366">
        <v>770</v>
      </c>
      <c r="K2366" t="s">
        <v>35</v>
      </c>
      <c r="L2366">
        <v>13</v>
      </c>
      <c r="M2366" t="str">
        <f t="shared" si="36"/>
        <v>6-12 Months</v>
      </c>
      <c r="N2366" s="1">
        <v>45056</v>
      </c>
      <c r="O2366">
        <v>0</v>
      </c>
      <c r="P2366">
        <v>2365</v>
      </c>
      <c r="Q2366" s="2">
        <v>0.79</v>
      </c>
      <c r="R2366" t="s">
        <v>27</v>
      </c>
      <c r="S2366">
        <v>2023</v>
      </c>
      <c r="T2366" t="s">
        <v>28</v>
      </c>
    </row>
    <row r="2367" spans="1:20" hidden="1" x14ac:dyDescent="0.3">
      <c r="A2367">
        <v>3942</v>
      </c>
      <c r="B2367">
        <v>154</v>
      </c>
      <c r="C2367" t="s">
        <v>24</v>
      </c>
      <c r="D2367" t="s">
        <v>29</v>
      </c>
      <c r="E2367" t="s">
        <v>37</v>
      </c>
      <c r="F2367" s="1">
        <v>44820</v>
      </c>
      <c r="G2367" s="1">
        <v>45176</v>
      </c>
      <c r="H2367">
        <v>1426</v>
      </c>
      <c r="I2367">
        <v>6399</v>
      </c>
      <c r="J2367">
        <v>-4973</v>
      </c>
      <c r="K2367" t="s">
        <v>54</v>
      </c>
      <c r="L2367">
        <v>11</v>
      </c>
      <c r="M2367" t="str">
        <f t="shared" si="36"/>
        <v>6-12 Months</v>
      </c>
      <c r="N2367" s="1">
        <v>45176</v>
      </c>
      <c r="O2367">
        <v>1</v>
      </c>
      <c r="P2367">
        <v>2366</v>
      </c>
      <c r="Q2367" s="2">
        <v>-3.49</v>
      </c>
      <c r="R2367" t="s">
        <v>22</v>
      </c>
      <c r="S2367">
        <v>2023</v>
      </c>
      <c r="T2367" t="s">
        <v>30</v>
      </c>
    </row>
    <row r="2368" spans="1:20" hidden="1" x14ac:dyDescent="0.3">
      <c r="A2368">
        <v>3943</v>
      </c>
      <c r="B2368">
        <v>429</v>
      </c>
      <c r="C2368" t="s">
        <v>40</v>
      </c>
      <c r="D2368" t="s">
        <v>34</v>
      </c>
      <c r="E2368" t="s">
        <v>20</v>
      </c>
      <c r="F2368" s="1">
        <v>44719</v>
      </c>
      <c r="G2368" s="1">
        <v>45058</v>
      </c>
      <c r="H2368">
        <v>2297</v>
      </c>
      <c r="I2368">
        <v>804</v>
      </c>
      <c r="J2368">
        <v>1493</v>
      </c>
      <c r="K2368" t="s">
        <v>54</v>
      </c>
      <c r="L2368">
        <v>11</v>
      </c>
      <c r="M2368" t="str">
        <f t="shared" si="36"/>
        <v>6-12 Months</v>
      </c>
      <c r="N2368" s="1">
        <v>45058</v>
      </c>
      <c r="O2368">
        <v>1</v>
      </c>
      <c r="P2368">
        <v>2367</v>
      </c>
      <c r="Q2368" s="2">
        <v>0.65</v>
      </c>
      <c r="R2368" t="s">
        <v>27</v>
      </c>
      <c r="S2368">
        <v>2023</v>
      </c>
      <c r="T2368" t="s">
        <v>28</v>
      </c>
    </row>
    <row r="2369" spans="1:20" x14ac:dyDescent="0.3">
      <c r="A2369">
        <v>3945</v>
      </c>
      <c r="B2369">
        <v>422</v>
      </c>
      <c r="C2369" t="s">
        <v>24</v>
      </c>
      <c r="D2369" t="s">
        <v>34</v>
      </c>
      <c r="E2369" t="s">
        <v>37</v>
      </c>
      <c r="F2369" s="1">
        <v>44809</v>
      </c>
      <c r="G2369" s="1">
        <v>44887</v>
      </c>
      <c r="H2369">
        <v>7230</v>
      </c>
      <c r="I2369">
        <v>3837</v>
      </c>
      <c r="J2369">
        <v>3393</v>
      </c>
      <c r="K2369" t="s">
        <v>35</v>
      </c>
      <c r="L2369">
        <v>2</v>
      </c>
      <c r="M2369" t="str">
        <f t="shared" si="36"/>
        <v>0-6 Months</v>
      </c>
      <c r="N2369" s="1">
        <v>44887</v>
      </c>
      <c r="O2369">
        <v>0</v>
      </c>
      <c r="P2369">
        <v>2368</v>
      </c>
      <c r="Q2369" s="2">
        <v>0.47</v>
      </c>
      <c r="R2369" t="s">
        <v>27</v>
      </c>
      <c r="S2369">
        <v>2022</v>
      </c>
      <c r="T2369" t="s">
        <v>42</v>
      </c>
    </row>
    <row r="2370" spans="1:20" hidden="1" x14ac:dyDescent="0.3">
      <c r="A2370">
        <v>3946</v>
      </c>
      <c r="B2370">
        <v>218</v>
      </c>
      <c r="C2370" t="s">
        <v>24</v>
      </c>
      <c r="D2370" t="s">
        <v>19</v>
      </c>
      <c r="E2370" t="s">
        <v>20</v>
      </c>
      <c r="F2370" s="1">
        <v>44631</v>
      </c>
      <c r="G2370" s="1">
        <v>45053</v>
      </c>
      <c r="H2370">
        <v>2358</v>
      </c>
      <c r="I2370">
        <v>882</v>
      </c>
      <c r="J2370">
        <v>1476</v>
      </c>
      <c r="K2370" t="s">
        <v>54</v>
      </c>
      <c r="L2370">
        <v>13</v>
      </c>
      <c r="M2370" t="str">
        <f t="shared" ref="M2370:M2433" si="37">IF(L2370&lt;6,"0-6 Months",IF(L2370&gt;6,"6-12 Months","12+ Months"))</f>
        <v>6-12 Months</v>
      </c>
      <c r="N2370" s="1">
        <v>45053</v>
      </c>
      <c r="O2370">
        <v>1</v>
      </c>
      <c r="P2370">
        <v>2369</v>
      </c>
      <c r="Q2370" s="2">
        <v>0.63</v>
      </c>
      <c r="R2370" t="s">
        <v>27</v>
      </c>
      <c r="S2370">
        <v>2023</v>
      </c>
      <c r="T2370" t="s">
        <v>28</v>
      </c>
    </row>
    <row r="2371" spans="1:20" hidden="1" x14ac:dyDescent="0.3">
      <c r="A2371">
        <v>3950</v>
      </c>
      <c r="B2371">
        <v>170</v>
      </c>
      <c r="C2371" t="s">
        <v>39</v>
      </c>
      <c r="D2371" t="s">
        <v>19</v>
      </c>
      <c r="E2371" t="s">
        <v>37</v>
      </c>
      <c r="F2371" s="1">
        <v>44922</v>
      </c>
      <c r="G2371" s="1">
        <v>45102</v>
      </c>
      <c r="H2371">
        <v>7510</v>
      </c>
      <c r="I2371">
        <v>3905</v>
      </c>
      <c r="J2371">
        <v>3605</v>
      </c>
      <c r="K2371" t="s">
        <v>54</v>
      </c>
      <c r="L2371">
        <v>5</v>
      </c>
      <c r="M2371" t="str">
        <f t="shared" si="37"/>
        <v>0-6 Months</v>
      </c>
      <c r="N2371" s="1">
        <v>45102</v>
      </c>
      <c r="O2371">
        <v>0</v>
      </c>
      <c r="P2371">
        <v>2370</v>
      </c>
      <c r="Q2371" s="2">
        <v>0.48</v>
      </c>
      <c r="R2371" t="s">
        <v>27</v>
      </c>
      <c r="S2371">
        <v>2023</v>
      </c>
      <c r="T2371" t="s">
        <v>41</v>
      </c>
    </row>
    <row r="2372" spans="1:20" hidden="1" x14ac:dyDescent="0.3">
      <c r="A2372">
        <v>3951</v>
      </c>
      <c r="B2372">
        <v>317</v>
      </c>
      <c r="C2372" t="s">
        <v>39</v>
      </c>
      <c r="D2372" t="s">
        <v>19</v>
      </c>
      <c r="E2372" t="s">
        <v>20</v>
      </c>
      <c r="F2372" s="1">
        <v>44786</v>
      </c>
      <c r="G2372" s="1">
        <v>45029</v>
      </c>
      <c r="H2372">
        <v>15</v>
      </c>
      <c r="I2372">
        <v>3564</v>
      </c>
      <c r="J2372">
        <v>-3549</v>
      </c>
      <c r="K2372" t="s">
        <v>54</v>
      </c>
      <c r="L2372">
        <v>8</v>
      </c>
      <c r="M2372" t="str">
        <f t="shared" si="37"/>
        <v>6-12 Months</v>
      </c>
      <c r="N2372" s="1">
        <v>45029</v>
      </c>
      <c r="O2372">
        <v>0</v>
      </c>
      <c r="P2372">
        <v>2371</v>
      </c>
      <c r="Q2372" s="2">
        <v>-236.6</v>
      </c>
      <c r="R2372" t="s">
        <v>22</v>
      </c>
      <c r="S2372">
        <v>2023</v>
      </c>
      <c r="T2372" t="s">
        <v>32</v>
      </c>
    </row>
    <row r="2373" spans="1:20" hidden="1" x14ac:dyDescent="0.3">
      <c r="A2373">
        <v>3952</v>
      </c>
      <c r="B2373">
        <v>453</v>
      </c>
      <c r="C2373" t="s">
        <v>39</v>
      </c>
      <c r="D2373" t="s">
        <v>34</v>
      </c>
      <c r="E2373" t="s">
        <v>20</v>
      </c>
      <c r="F2373" s="1">
        <v>44619</v>
      </c>
      <c r="G2373" s="1">
        <v>44834</v>
      </c>
      <c r="H2373">
        <v>9949</v>
      </c>
      <c r="I2373">
        <v>4012.75</v>
      </c>
      <c r="J2373">
        <v>10370</v>
      </c>
      <c r="K2373" t="s">
        <v>54</v>
      </c>
      <c r="L2373">
        <v>7</v>
      </c>
      <c r="M2373" t="str">
        <f t="shared" si="37"/>
        <v>6-12 Months</v>
      </c>
      <c r="N2373" s="1">
        <v>44834</v>
      </c>
      <c r="O2373">
        <v>1</v>
      </c>
      <c r="P2373">
        <v>2372</v>
      </c>
      <c r="Q2373" s="2">
        <v>1.04</v>
      </c>
      <c r="R2373" t="s">
        <v>22</v>
      </c>
      <c r="S2373">
        <v>2022</v>
      </c>
      <c r="T2373" t="s">
        <v>30</v>
      </c>
    </row>
    <row r="2374" spans="1:20" x14ac:dyDescent="0.3">
      <c r="A2374">
        <v>3955</v>
      </c>
      <c r="B2374">
        <v>158</v>
      </c>
      <c r="C2374" t="s">
        <v>24</v>
      </c>
      <c r="D2374" t="s">
        <v>25</v>
      </c>
      <c r="E2374" t="s">
        <v>37</v>
      </c>
      <c r="F2374" s="1">
        <v>44859</v>
      </c>
      <c r="G2374" s="1">
        <v>45246</v>
      </c>
      <c r="H2374">
        <v>5737</v>
      </c>
      <c r="I2374">
        <v>2163</v>
      </c>
      <c r="J2374">
        <v>3574</v>
      </c>
      <c r="K2374" t="s">
        <v>35</v>
      </c>
      <c r="L2374">
        <v>12</v>
      </c>
      <c r="M2374" t="str">
        <f t="shared" si="37"/>
        <v>6-12 Months</v>
      </c>
      <c r="N2374" s="1">
        <v>45246</v>
      </c>
      <c r="O2374">
        <v>1</v>
      </c>
      <c r="P2374">
        <v>2373</v>
      </c>
      <c r="Q2374" s="2">
        <v>0.62</v>
      </c>
      <c r="R2374" t="s">
        <v>27</v>
      </c>
      <c r="S2374">
        <v>2023</v>
      </c>
      <c r="T2374" t="s">
        <v>42</v>
      </c>
    </row>
    <row r="2375" spans="1:20" x14ac:dyDescent="0.3">
      <c r="A2375">
        <v>3956</v>
      </c>
      <c r="B2375">
        <v>262</v>
      </c>
      <c r="C2375" t="s">
        <v>40</v>
      </c>
      <c r="D2375" t="s">
        <v>29</v>
      </c>
      <c r="E2375" t="s">
        <v>26</v>
      </c>
      <c r="F2375" s="1">
        <v>44809</v>
      </c>
      <c r="G2375" s="1">
        <v>45407</v>
      </c>
      <c r="H2375">
        <v>6448</v>
      </c>
      <c r="I2375">
        <v>4012.75</v>
      </c>
      <c r="J2375">
        <v>6705</v>
      </c>
      <c r="K2375" t="s">
        <v>35</v>
      </c>
      <c r="L2375">
        <v>19</v>
      </c>
      <c r="M2375" t="str">
        <f t="shared" si="37"/>
        <v>6-12 Months</v>
      </c>
      <c r="N2375" s="1">
        <v>45407</v>
      </c>
      <c r="O2375">
        <v>0</v>
      </c>
      <c r="P2375">
        <v>2374</v>
      </c>
      <c r="Q2375" s="2">
        <v>1.04</v>
      </c>
      <c r="R2375" t="s">
        <v>22</v>
      </c>
      <c r="S2375">
        <v>2024</v>
      </c>
      <c r="T2375" t="s">
        <v>32</v>
      </c>
    </row>
    <row r="2376" spans="1:20" x14ac:dyDescent="0.3">
      <c r="A2376">
        <v>3959</v>
      </c>
      <c r="B2376">
        <v>446</v>
      </c>
      <c r="C2376" t="s">
        <v>39</v>
      </c>
      <c r="D2376" t="s">
        <v>29</v>
      </c>
      <c r="E2376" t="s">
        <v>37</v>
      </c>
      <c r="F2376" s="1">
        <v>44756</v>
      </c>
      <c r="G2376" s="1">
        <v>44813</v>
      </c>
      <c r="H2376">
        <v>6235</v>
      </c>
      <c r="I2376">
        <v>4012.75</v>
      </c>
      <c r="J2376">
        <v>6527</v>
      </c>
      <c r="K2376" t="s">
        <v>35</v>
      </c>
      <c r="L2376">
        <v>1</v>
      </c>
      <c r="M2376" t="str">
        <f t="shared" si="37"/>
        <v>0-6 Months</v>
      </c>
      <c r="N2376" s="1">
        <v>44813</v>
      </c>
      <c r="O2376">
        <v>1</v>
      </c>
      <c r="P2376">
        <v>2375</v>
      </c>
      <c r="Q2376" s="2">
        <v>1.05</v>
      </c>
      <c r="R2376" t="s">
        <v>22</v>
      </c>
      <c r="S2376">
        <v>2022</v>
      </c>
      <c r="T2376" t="s">
        <v>30</v>
      </c>
    </row>
    <row r="2377" spans="1:20" x14ac:dyDescent="0.3">
      <c r="A2377">
        <v>3960</v>
      </c>
      <c r="B2377">
        <v>377</v>
      </c>
      <c r="C2377" t="s">
        <v>39</v>
      </c>
      <c r="D2377" t="s">
        <v>29</v>
      </c>
      <c r="E2377" t="s">
        <v>20</v>
      </c>
      <c r="F2377" s="1">
        <v>44659</v>
      </c>
      <c r="G2377" s="1">
        <v>44776</v>
      </c>
      <c r="H2377">
        <v>6082</v>
      </c>
      <c r="I2377">
        <v>3702</v>
      </c>
      <c r="J2377">
        <v>2380</v>
      </c>
      <c r="K2377" t="s">
        <v>35</v>
      </c>
      <c r="L2377">
        <v>3</v>
      </c>
      <c r="M2377" t="str">
        <f t="shared" si="37"/>
        <v>0-6 Months</v>
      </c>
      <c r="N2377" s="1">
        <v>44776</v>
      </c>
      <c r="O2377">
        <v>0</v>
      </c>
      <c r="P2377">
        <v>2376</v>
      </c>
      <c r="Q2377" s="2">
        <v>0.39</v>
      </c>
      <c r="R2377" t="s">
        <v>27</v>
      </c>
      <c r="S2377">
        <v>2022</v>
      </c>
      <c r="T2377" t="s">
        <v>36</v>
      </c>
    </row>
    <row r="2378" spans="1:20" x14ac:dyDescent="0.3">
      <c r="A2378">
        <v>3961</v>
      </c>
      <c r="B2378">
        <v>208</v>
      </c>
      <c r="C2378" t="s">
        <v>53</v>
      </c>
      <c r="D2378" t="s">
        <v>34</v>
      </c>
      <c r="E2378" t="s">
        <v>37</v>
      </c>
      <c r="F2378" s="1">
        <v>44597</v>
      </c>
      <c r="G2378" s="1">
        <v>44750</v>
      </c>
      <c r="H2378">
        <v>1367</v>
      </c>
      <c r="I2378">
        <v>115</v>
      </c>
      <c r="J2378">
        <v>1252</v>
      </c>
      <c r="K2378" t="s">
        <v>35</v>
      </c>
      <c r="L2378">
        <v>5</v>
      </c>
      <c r="M2378" t="str">
        <f t="shared" si="37"/>
        <v>0-6 Months</v>
      </c>
      <c r="N2378" s="1">
        <v>44750</v>
      </c>
      <c r="O2378">
        <v>0</v>
      </c>
      <c r="P2378">
        <v>2377</v>
      </c>
      <c r="Q2378" s="2">
        <v>0.92</v>
      </c>
      <c r="R2378" t="s">
        <v>27</v>
      </c>
      <c r="S2378">
        <v>2022</v>
      </c>
      <c r="T2378" t="s">
        <v>44</v>
      </c>
    </row>
    <row r="2379" spans="1:20" hidden="1" x14ac:dyDescent="0.3">
      <c r="A2379">
        <v>3962</v>
      </c>
      <c r="B2379">
        <v>453</v>
      </c>
      <c r="C2379" t="s">
        <v>39</v>
      </c>
      <c r="D2379" t="s">
        <v>25</v>
      </c>
      <c r="E2379" t="s">
        <v>20</v>
      </c>
      <c r="F2379" s="1">
        <v>44685</v>
      </c>
      <c r="G2379" s="1">
        <v>44745</v>
      </c>
      <c r="H2379">
        <v>6366</v>
      </c>
      <c r="I2379">
        <v>4442</v>
      </c>
      <c r="J2379">
        <v>1924</v>
      </c>
      <c r="K2379" t="s">
        <v>54</v>
      </c>
      <c r="L2379">
        <v>1</v>
      </c>
      <c r="M2379" t="str">
        <f t="shared" si="37"/>
        <v>0-6 Months</v>
      </c>
      <c r="N2379" s="1">
        <v>44745</v>
      </c>
      <c r="O2379">
        <v>0</v>
      </c>
      <c r="P2379">
        <v>2378</v>
      </c>
      <c r="Q2379" s="2">
        <v>0.3</v>
      </c>
      <c r="R2379" t="s">
        <v>27</v>
      </c>
      <c r="S2379">
        <v>2022</v>
      </c>
      <c r="T2379" t="s">
        <v>44</v>
      </c>
    </row>
    <row r="2380" spans="1:20" hidden="1" x14ac:dyDescent="0.3">
      <c r="A2380">
        <v>3964</v>
      </c>
      <c r="B2380">
        <v>258</v>
      </c>
      <c r="C2380" t="s">
        <v>53</v>
      </c>
      <c r="D2380" t="s">
        <v>19</v>
      </c>
      <c r="E2380" t="s">
        <v>20</v>
      </c>
      <c r="F2380" s="1">
        <v>44762</v>
      </c>
      <c r="G2380" s="1">
        <v>45326</v>
      </c>
      <c r="H2380">
        <v>6377</v>
      </c>
      <c r="I2380">
        <v>6054</v>
      </c>
      <c r="J2380">
        <v>323</v>
      </c>
      <c r="K2380" t="s">
        <v>54</v>
      </c>
      <c r="L2380">
        <v>18</v>
      </c>
      <c r="M2380" t="str">
        <f t="shared" si="37"/>
        <v>6-12 Months</v>
      </c>
      <c r="N2380" s="1">
        <v>45326</v>
      </c>
      <c r="O2380">
        <v>0</v>
      </c>
      <c r="P2380">
        <v>2379</v>
      </c>
      <c r="Q2380" s="2">
        <v>0.05</v>
      </c>
      <c r="R2380" t="s">
        <v>27</v>
      </c>
      <c r="S2380">
        <v>2024</v>
      </c>
      <c r="T2380" t="s">
        <v>43</v>
      </c>
    </row>
    <row r="2381" spans="1:20" x14ac:dyDescent="0.3">
      <c r="A2381">
        <v>3965</v>
      </c>
      <c r="B2381">
        <v>495</v>
      </c>
      <c r="C2381" t="s">
        <v>24</v>
      </c>
      <c r="D2381" t="s">
        <v>29</v>
      </c>
      <c r="E2381" t="s">
        <v>26</v>
      </c>
      <c r="F2381" s="1">
        <v>44834</v>
      </c>
      <c r="G2381" s="1">
        <v>45147</v>
      </c>
      <c r="H2381">
        <v>2523</v>
      </c>
      <c r="I2381">
        <v>5027</v>
      </c>
      <c r="J2381">
        <v>-2504</v>
      </c>
      <c r="K2381" t="s">
        <v>35</v>
      </c>
      <c r="L2381">
        <v>10</v>
      </c>
      <c r="M2381" t="str">
        <f t="shared" si="37"/>
        <v>6-12 Months</v>
      </c>
      <c r="N2381" s="1">
        <v>45147</v>
      </c>
      <c r="O2381">
        <v>1</v>
      </c>
      <c r="P2381">
        <v>2380</v>
      </c>
      <c r="Q2381" s="2">
        <v>-0.99</v>
      </c>
      <c r="R2381" t="s">
        <v>27</v>
      </c>
      <c r="S2381">
        <v>2023</v>
      </c>
      <c r="T2381" t="s">
        <v>36</v>
      </c>
    </row>
    <row r="2382" spans="1:20" hidden="1" x14ac:dyDescent="0.3">
      <c r="A2382">
        <v>3966</v>
      </c>
      <c r="B2382">
        <v>370</v>
      </c>
      <c r="C2382" t="s">
        <v>24</v>
      </c>
      <c r="D2382" t="s">
        <v>25</v>
      </c>
      <c r="E2382" t="s">
        <v>37</v>
      </c>
      <c r="F2382" s="1">
        <v>44871</v>
      </c>
      <c r="G2382" s="1">
        <v>45436</v>
      </c>
      <c r="H2382">
        <v>7718</v>
      </c>
      <c r="I2382">
        <v>4665</v>
      </c>
      <c r="J2382">
        <v>3053</v>
      </c>
      <c r="K2382" t="s">
        <v>54</v>
      </c>
      <c r="L2382">
        <v>18</v>
      </c>
      <c r="M2382" t="str">
        <f t="shared" si="37"/>
        <v>6-12 Months</v>
      </c>
      <c r="N2382" s="1">
        <v>45436</v>
      </c>
      <c r="O2382">
        <v>1</v>
      </c>
      <c r="P2382">
        <v>2381</v>
      </c>
      <c r="Q2382" s="2">
        <v>0.4</v>
      </c>
      <c r="R2382" t="s">
        <v>27</v>
      </c>
      <c r="S2382">
        <v>2024</v>
      </c>
      <c r="T2382" t="s">
        <v>28</v>
      </c>
    </row>
    <row r="2383" spans="1:20" hidden="1" x14ac:dyDescent="0.3">
      <c r="A2383">
        <v>3967</v>
      </c>
      <c r="B2383">
        <v>484</v>
      </c>
      <c r="C2383" t="s">
        <v>39</v>
      </c>
      <c r="D2383" t="s">
        <v>34</v>
      </c>
      <c r="E2383" t="s">
        <v>37</v>
      </c>
      <c r="F2383" s="1">
        <v>44860</v>
      </c>
      <c r="G2383" s="1">
        <v>45376</v>
      </c>
      <c r="H2383">
        <v>3832</v>
      </c>
      <c r="I2383">
        <v>2864</v>
      </c>
      <c r="J2383">
        <v>968</v>
      </c>
      <c r="K2383" t="s">
        <v>21</v>
      </c>
      <c r="L2383">
        <v>16</v>
      </c>
      <c r="M2383" t="str">
        <f t="shared" si="37"/>
        <v>6-12 Months</v>
      </c>
      <c r="N2383" s="1">
        <v>45376</v>
      </c>
      <c r="O2383">
        <v>1</v>
      </c>
      <c r="P2383">
        <v>2382</v>
      </c>
      <c r="Q2383" s="2">
        <v>0.25</v>
      </c>
      <c r="R2383" t="s">
        <v>27</v>
      </c>
      <c r="S2383">
        <v>2024</v>
      </c>
      <c r="T2383" t="s">
        <v>38</v>
      </c>
    </row>
    <row r="2384" spans="1:20" hidden="1" x14ac:dyDescent="0.3">
      <c r="A2384">
        <v>3968</v>
      </c>
      <c r="B2384">
        <v>459</v>
      </c>
      <c r="C2384" t="s">
        <v>40</v>
      </c>
      <c r="D2384" t="s">
        <v>29</v>
      </c>
      <c r="E2384" t="s">
        <v>20</v>
      </c>
      <c r="F2384" s="1">
        <v>44867</v>
      </c>
      <c r="G2384" s="1">
        <v>45087</v>
      </c>
      <c r="H2384">
        <v>5721</v>
      </c>
      <c r="I2384">
        <v>2166</v>
      </c>
      <c r="J2384">
        <v>3555</v>
      </c>
      <c r="K2384" t="s">
        <v>54</v>
      </c>
      <c r="L2384">
        <v>7</v>
      </c>
      <c r="M2384" t="str">
        <f t="shared" si="37"/>
        <v>6-12 Months</v>
      </c>
      <c r="N2384" s="1">
        <v>45087</v>
      </c>
      <c r="O2384">
        <v>1</v>
      </c>
      <c r="P2384">
        <v>2383</v>
      </c>
      <c r="Q2384" s="2">
        <v>0.62</v>
      </c>
      <c r="R2384" t="s">
        <v>27</v>
      </c>
      <c r="S2384">
        <v>2023</v>
      </c>
      <c r="T2384" t="s">
        <v>41</v>
      </c>
    </row>
    <row r="2385" spans="1:20" hidden="1" x14ac:dyDescent="0.3">
      <c r="A2385">
        <v>3970</v>
      </c>
      <c r="B2385">
        <v>362</v>
      </c>
      <c r="C2385" t="s">
        <v>24</v>
      </c>
      <c r="D2385" t="s">
        <v>19</v>
      </c>
      <c r="E2385" t="s">
        <v>20</v>
      </c>
      <c r="F2385" s="1">
        <v>44838</v>
      </c>
      <c r="G2385" s="1">
        <v>45391</v>
      </c>
      <c r="H2385">
        <v>3548</v>
      </c>
      <c r="I2385">
        <v>969</v>
      </c>
      <c r="J2385">
        <v>2579</v>
      </c>
      <c r="K2385" t="s">
        <v>21</v>
      </c>
      <c r="L2385">
        <v>18</v>
      </c>
      <c r="M2385" t="str">
        <f t="shared" si="37"/>
        <v>6-12 Months</v>
      </c>
      <c r="N2385" s="1">
        <v>45391</v>
      </c>
      <c r="O2385">
        <v>0</v>
      </c>
      <c r="P2385">
        <v>2384</v>
      </c>
      <c r="Q2385" s="2">
        <v>0.73</v>
      </c>
      <c r="R2385" t="s">
        <v>27</v>
      </c>
      <c r="S2385">
        <v>2024</v>
      </c>
      <c r="T2385" t="s">
        <v>32</v>
      </c>
    </row>
    <row r="2386" spans="1:20" x14ac:dyDescent="0.3">
      <c r="A2386">
        <v>3973</v>
      </c>
      <c r="B2386">
        <v>437</v>
      </c>
      <c r="C2386" t="s">
        <v>24</v>
      </c>
      <c r="D2386" t="s">
        <v>29</v>
      </c>
      <c r="E2386" t="s">
        <v>20</v>
      </c>
      <c r="F2386" s="1">
        <v>44764</v>
      </c>
      <c r="G2386" s="1">
        <v>45060</v>
      </c>
      <c r="H2386">
        <v>3825</v>
      </c>
      <c r="I2386">
        <v>2995</v>
      </c>
      <c r="J2386">
        <v>830</v>
      </c>
      <c r="K2386" t="s">
        <v>35</v>
      </c>
      <c r="L2386">
        <v>9</v>
      </c>
      <c r="M2386" t="str">
        <f t="shared" si="37"/>
        <v>6-12 Months</v>
      </c>
      <c r="N2386" s="1">
        <v>45060</v>
      </c>
      <c r="O2386">
        <v>1</v>
      </c>
      <c r="P2386">
        <v>2385</v>
      </c>
      <c r="Q2386" s="2">
        <v>0.22</v>
      </c>
      <c r="R2386" t="s">
        <v>27</v>
      </c>
      <c r="S2386">
        <v>2023</v>
      </c>
      <c r="T2386" t="s">
        <v>28</v>
      </c>
    </row>
    <row r="2387" spans="1:20" hidden="1" x14ac:dyDescent="0.3">
      <c r="A2387">
        <v>3974</v>
      </c>
      <c r="B2387">
        <v>328</v>
      </c>
      <c r="C2387" t="s">
        <v>53</v>
      </c>
      <c r="D2387" t="s">
        <v>19</v>
      </c>
      <c r="E2387" t="s">
        <v>20</v>
      </c>
      <c r="F2387" s="1">
        <v>44624</v>
      </c>
      <c r="G2387" s="1">
        <v>45094</v>
      </c>
      <c r="H2387">
        <v>5325</v>
      </c>
      <c r="I2387">
        <v>4006</v>
      </c>
      <c r="J2387">
        <v>1319</v>
      </c>
      <c r="K2387" t="s">
        <v>54</v>
      </c>
      <c r="L2387">
        <v>15</v>
      </c>
      <c r="M2387" t="str">
        <f t="shared" si="37"/>
        <v>6-12 Months</v>
      </c>
      <c r="N2387" s="1">
        <v>45094</v>
      </c>
      <c r="O2387">
        <v>0</v>
      </c>
      <c r="P2387">
        <v>2386</v>
      </c>
      <c r="Q2387" s="2">
        <v>0.25</v>
      </c>
      <c r="R2387" t="s">
        <v>27</v>
      </c>
      <c r="S2387">
        <v>2023</v>
      </c>
      <c r="T2387" t="s">
        <v>41</v>
      </c>
    </row>
    <row r="2388" spans="1:20" hidden="1" x14ac:dyDescent="0.3">
      <c r="A2388">
        <v>3975</v>
      </c>
      <c r="B2388">
        <v>212</v>
      </c>
      <c r="C2388" t="s">
        <v>40</v>
      </c>
      <c r="D2388" t="s">
        <v>19</v>
      </c>
      <c r="E2388" t="s">
        <v>20</v>
      </c>
      <c r="F2388" s="1">
        <v>44921</v>
      </c>
      <c r="G2388" s="1">
        <v>45312</v>
      </c>
      <c r="H2388">
        <v>5052</v>
      </c>
      <c r="I2388">
        <v>2945</v>
      </c>
      <c r="J2388">
        <v>2107</v>
      </c>
      <c r="K2388" t="s">
        <v>54</v>
      </c>
      <c r="L2388">
        <v>12</v>
      </c>
      <c r="M2388" t="str">
        <f t="shared" si="37"/>
        <v>6-12 Months</v>
      </c>
      <c r="N2388" s="1">
        <v>45312</v>
      </c>
      <c r="O2388">
        <v>1</v>
      </c>
      <c r="P2388">
        <v>2387</v>
      </c>
      <c r="Q2388" s="2">
        <v>0.42</v>
      </c>
      <c r="R2388" t="s">
        <v>27</v>
      </c>
      <c r="S2388">
        <v>2024</v>
      </c>
      <c r="T2388" t="s">
        <v>23</v>
      </c>
    </row>
    <row r="2389" spans="1:20" hidden="1" x14ac:dyDescent="0.3">
      <c r="A2389">
        <v>3977</v>
      </c>
      <c r="B2389">
        <v>129</v>
      </c>
      <c r="C2389" t="s">
        <v>53</v>
      </c>
      <c r="D2389" t="s">
        <v>25</v>
      </c>
      <c r="E2389" t="s">
        <v>37</v>
      </c>
      <c r="F2389" s="1">
        <v>44733</v>
      </c>
      <c r="G2389" s="1">
        <v>44933</v>
      </c>
      <c r="H2389">
        <v>1066</v>
      </c>
      <c r="I2389">
        <v>7145</v>
      </c>
      <c r="J2389">
        <v>-6079</v>
      </c>
      <c r="K2389" t="s">
        <v>54</v>
      </c>
      <c r="L2389">
        <v>6</v>
      </c>
      <c r="M2389" t="str">
        <f t="shared" si="37"/>
        <v>12+ Months</v>
      </c>
      <c r="N2389" s="1">
        <v>44933</v>
      </c>
      <c r="O2389">
        <v>0</v>
      </c>
      <c r="P2389">
        <v>2388</v>
      </c>
      <c r="Q2389" s="2">
        <v>-5.7</v>
      </c>
      <c r="R2389" t="s">
        <v>22</v>
      </c>
      <c r="S2389">
        <v>2023</v>
      </c>
      <c r="T2389" t="s">
        <v>23</v>
      </c>
    </row>
    <row r="2390" spans="1:20" hidden="1" x14ac:dyDescent="0.3">
      <c r="A2390">
        <v>3978</v>
      </c>
      <c r="B2390">
        <v>446</v>
      </c>
      <c r="C2390" t="s">
        <v>24</v>
      </c>
      <c r="D2390" t="s">
        <v>25</v>
      </c>
      <c r="E2390" t="s">
        <v>20</v>
      </c>
      <c r="F2390" s="1">
        <v>44910</v>
      </c>
      <c r="G2390" s="1">
        <v>45144</v>
      </c>
      <c r="H2390">
        <v>4711</v>
      </c>
      <c r="I2390">
        <v>6447</v>
      </c>
      <c r="J2390">
        <v>-1736</v>
      </c>
      <c r="K2390" t="s">
        <v>21</v>
      </c>
      <c r="L2390">
        <v>7</v>
      </c>
      <c r="M2390" t="str">
        <f t="shared" si="37"/>
        <v>6-12 Months</v>
      </c>
      <c r="N2390" s="1">
        <v>45144</v>
      </c>
      <c r="O2390">
        <v>0</v>
      </c>
      <c r="P2390">
        <v>2389</v>
      </c>
      <c r="Q2390" s="2">
        <v>-0.37</v>
      </c>
      <c r="R2390" t="s">
        <v>27</v>
      </c>
      <c r="S2390">
        <v>2023</v>
      </c>
      <c r="T2390" t="s">
        <v>36</v>
      </c>
    </row>
    <row r="2391" spans="1:20" x14ac:dyDescent="0.3">
      <c r="A2391">
        <v>3982</v>
      </c>
      <c r="B2391">
        <v>412</v>
      </c>
      <c r="C2391" t="s">
        <v>39</v>
      </c>
      <c r="D2391" t="s">
        <v>25</v>
      </c>
      <c r="E2391" t="s">
        <v>20</v>
      </c>
      <c r="F2391" s="1">
        <v>44678</v>
      </c>
      <c r="G2391" s="1">
        <v>45211</v>
      </c>
      <c r="H2391">
        <v>5777</v>
      </c>
      <c r="I2391">
        <v>451</v>
      </c>
      <c r="J2391">
        <v>5326</v>
      </c>
      <c r="K2391" t="s">
        <v>35</v>
      </c>
      <c r="L2391">
        <v>17</v>
      </c>
      <c r="M2391" t="str">
        <f t="shared" si="37"/>
        <v>6-12 Months</v>
      </c>
      <c r="N2391" s="1">
        <v>45211</v>
      </c>
      <c r="O2391">
        <v>1</v>
      </c>
      <c r="P2391">
        <v>2390</v>
      </c>
      <c r="Q2391" s="2">
        <v>0.92</v>
      </c>
      <c r="R2391" t="s">
        <v>27</v>
      </c>
      <c r="S2391">
        <v>2023</v>
      </c>
      <c r="T2391" t="s">
        <v>33</v>
      </c>
    </row>
    <row r="2392" spans="1:20" hidden="1" x14ac:dyDescent="0.3">
      <c r="A2392">
        <v>3983</v>
      </c>
      <c r="B2392">
        <v>224</v>
      </c>
      <c r="C2392" t="s">
        <v>24</v>
      </c>
      <c r="D2392" t="s">
        <v>34</v>
      </c>
      <c r="E2392" t="s">
        <v>37</v>
      </c>
      <c r="F2392" s="1">
        <v>44712</v>
      </c>
      <c r="G2392" s="1">
        <v>45174</v>
      </c>
      <c r="H2392">
        <v>2831</v>
      </c>
      <c r="I2392">
        <v>3306</v>
      </c>
      <c r="J2392">
        <v>-475</v>
      </c>
      <c r="K2392" t="s">
        <v>54</v>
      </c>
      <c r="L2392">
        <v>15</v>
      </c>
      <c r="M2392" t="str">
        <f t="shared" si="37"/>
        <v>6-12 Months</v>
      </c>
      <c r="N2392" s="1">
        <v>45174</v>
      </c>
      <c r="O2392">
        <v>0</v>
      </c>
      <c r="P2392">
        <v>2391</v>
      </c>
      <c r="Q2392" s="2">
        <v>-0.17</v>
      </c>
      <c r="R2392" t="s">
        <v>27</v>
      </c>
      <c r="S2392">
        <v>2023</v>
      </c>
      <c r="T2392" t="s">
        <v>30</v>
      </c>
    </row>
    <row r="2393" spans="1:20" x14ac:dyDescent="0.3">
      <c r="A2393">
        <v>3984</v>
      </c>
      <c r="B2393">
        <v>126</v>
      </c>
      <c r="C2393" t="s">
        <v>45</v>
      </c>
      <c r="D2393" t="s">
        <v>25</v>
      </c>
      <c r="E2393" t="s">
        <v>26</v>
      </c>
      <c r="F2393" s="1">
        <v>44640</v>
      </c>
      <c r="G2393" s="1">
        <v>45064</v>
      </c>
      <c r="H2393">
        <v>4967.93</v>
      </c>
      <c r="I2393">
        <v>2092</v>
      </c>
      <c r="J2393">
        <v>-2310</v>
      </c>
      <c r="K2393" t="s">
        <v>35</v>
      </c>
      <c r="L2393">
        <v>13</v>
      </c>
      <c r="M2393" t="str">
        <f t="shared" si="37"/>
        <v>6-12 Months</v>
      </c>
      <c r="N2393" s="1">
        <v>45064</v>
      </c>
      <c r="O2393">
        <v>0</v>
      </c>
      <c r="P2393">
        <v>2392</v>
      </c>
      <c r="Q2393" s="2">
        <v>-0.46</v>
      </c>
      <c r="R2393" t="s">
        <v>27</v>
      </c>
      <c r="S2393">
        <v>2023</v>
      </c>
      <c r="T2393" t="s">
        <v>28</v>
      </c>
    </row>
    <row r="2394" spans="1:20" x14ac:dyDescent="0.3">
      <c r="A2394">
        <v>3985</v>
      </c>
      <c r="B2394">
        <v>350</v>
      </c>
      <c r="C2394" t="s">
        <v>45</v>
      </c>
      <c r="D2394" t="s">
        <v>25</v>
      </c>
      <c r="E2394" t="s">
        <v>20</v>
      </c>
      <c r="F2394" s="1">
        <v>44799</v>
      </c>
      <c r="G2394" s="1">
        <v>45075</v>
      </c>
      <c r="H2394">
        <v>984</v>
      </c>
      <c r="I2394">
        <v>2421</v>
      </c>
      <c r="J2394">
        <v>-1437</v>
      </c>
      <c r="K2394" t="s">
        <v>35</v>
      </c>
      <c r="L2394">
        <v>9</v>
      </c>
      <c r="M2394" t="str">
        <f t="shared" si="37"/>
        <v>6-12 Months</v>
      </c>
      <c r="N2394" s="1">
        <v>45075</v>
      </c>
      <c r="O2394">
        <v>1</v>
      </c>
      <c r="P2394">
        <v>2393</v>
      </c>
      <c r="Q2394" s="2">
        <v>-1.46</v>
      </c>
      <c r="R2394" t="s">
        <v>22</v>
      </c>
      <c r="S2394">
        <v>2023</v>
      </c>
      <c r="T2394" t="s">
        <v>28</v>
      </c>
    </row>
    <row r="2395" spans="1:20" x14ac:dyDescent="0.3">
      <c r="A2395">
        <v>3987</v>
      </c>
      <c r="B2395">
        <v>282</v>
      </c>
      <c r="C2395" t="s">
        <v>39</v>
      </c>
      <c r="D2395" t="s">
        <v>19</v>
      </c>
      <c r="E2395" t="s">
        <v>37</v>
      </c>
      <c r="F2395" s="1">
        <v>44632</v>
      </c>
      <c r="G2395" s="1">
        <v>44969</v>
      </c>
      <c r="H2395">
        <v>4967.93</v>
      </c>
      <c r="I2395">
        <v>7072</v>
      </c>
      <c r="J2395">
        <v>-9022</v>
      </c>
      <c r="K2395" t="s">
        <v>35</v>
      </c>
      <c r="L2395">
        <v>11</v>
      </c>
      <c r="M2395" t="str">
        <f t="shared" si="37"/>
        <v>6-12 Months</v>
      </c>
      <c r="N2395" s="1">
        <v>44969</v>
      </c>
      <c r="O2395">
        <v>0</v>
      </c>
      <c r="P2395">
        <v>2394</v>
      </c>
      <c r="Q2395" s="2">
        <v>-1.82</v>
      </c>
      <c r="R2395" t="s">
        <v>22</v>
      </c>
      <c r="S2395">
        <v>2023</v>
      </c>
      <c r="T2395" t="s">
        <v>43</v>
      </c>
    </row>
    <row r="2396" spans="1:20" hidden="1" x14ac:dyDescent="0.3">
      <c r="A2396">
        <v>3988</v>
      </c>
      <c r="B2396">
        <v>417</v>
      </c>
      <c r="C2396" t="s">
        <v>24</v>
      </c>
      <c r="D2396" t="s">
        <v>29</v>
      </c>
      <c r="E2396" t="s">
        <v>20</v>
      </c>
      <c r="F2396" s="1">
        <v>44568</v>
      </c>
      <c r="G2396" s="1">
        <v>44645</v>
      </c>
      <c r="H2396">
        <v>5839</v>
      </c>
      <c r="I2396">
        <v>2457</v>
      </c>
      <c r="J2396">
        <v>3382</v>
      </c>
      <c r="K2396" t="s">
        <v>21</v>
      </c>
      <c r="L2396">
        <v>2</v>
      </c>
      <c r="M2396" t="str">
        <f t="shared" si="37"/>
        <v>0-6 Months</v>
      </c>
      <c r="N2396" s="1">
        <v>44645</v>
      </c>
      <c r="O2396">
        <v>0</v>
      </c>
      <c r="P2396">
        <v>2395</v>
      </c>
      <c r="Q2396" s="2">
        <v>0.57999999999999996</v>
      </c>
      <c r="R2396" t="s">
        <v>27</v>
      </c>
      <c r="S2396">
        <v>2022</v>
      </c>
      <c r="T2396" t="s">
        <v>38</v>
      </c>
    </row>
    <row r="2397" spans="1:20" x14ac:dyDescent="0.3">
      <c r="A2397">
        <v>3991</v>
      </c>
      <c r="B2397">
        <v>447</v>
      </c>
      <c r="C2397" t="s">
        <v>39</v>
      </c>
      <c r="D2397" t="s">
        <v>29</v>
      </c>
      <c r="E2397" t="s">
        <v>20</v>
      </c>
      <c r="F2397" s="1">
        <v>44718</v>
      </c>
      <c r="G2397" s="1">
        <v>44877</v>
      </c>
      <c r="H2397">
        <v>4967.93</v>
      </c>
      <c r="I2397">
        <v>7553</v>
      </c>
      <c r="J2397">
        <v>577.01</v>
      </c>
      <c r="K2397" t="s">
        <v>35</v>
      </c>
      <c r="L2397">
        <v>5</v>
      </c>
      <c r="M2397" t="str">
        <f t="shared" si="37"/>
        <v>0-6 Months</v>
      </c>
      <c r="N2397" s="1">
        <v>44877</v>
      </c>
      <c r="O2397">
        <v>1</v>
      </c>
      <c r="P2397">
        <v>2396</v>
      </c>
      <c r="Q2397" s="2">
        <v>0.12</v>
      </c>
      <c r="R2397" t="s">
        <v>27</v>
      </c>
      <c r="S2397">
        <v>2022</v>
      </c>
      <c r="T2397" t="s">
        <v>42</v>
      </c>
    </row>
    <row r="2398" spans="1:20" hidden="1" x14ac:dyDescent="0.3">
      <c r="A2398">
        <v>3992</v>
      </c>
      <c r="B2398">
        <v>488</v>
      </c>
      <c r="C2398" t="s">
        <v>53</v>
      </c>
      <c r="D2398" t="s">
        <v>19</v>
      </c>
      <c r="E2398" t="s">
        <v>37</v>
      </c>
      <c r="F2398" s="1">
        <v>44606</v>
      </c>
      <c r="G2398" s="1">
        <v>44698</v>
      </c>
      <c r="H2398">
        <v>758</v>
      </c>
      <c r="I2398">
        <v>1245</v>
      </c>
      <c r="J2398">
        <v>-487</v>
      </c>
      <c r="K2398" t="s">
        <v>21</v>
      </c>
      <c r="L2398">
        <v>3</v>
      </c>
      <c r="M2398" t="str">
        <f t="shared" si="37"/>
        <v>0-6 Months</v>
      </c>
      <c r="N2398" s="1">
        <v>44698</v>
      </c>
      <c r="O2398">
        <v>0</v>
      </c>
      <c r="P2398">
        <v>2397</v>
      </c>
      <c r="Q2398" s="2">
        <v>-0.64</v>
      </c>
      <c r="R2398" t="s">
        <v>27</v>
      </c>
      <c r="S2398">
        <v>2022</v>
      </c>
      <c r="T2398" t="s">
        <v>28</v>
      </c>
    </row>
    <row r="2399" spans="1:20" hidden="1" x14ac:dyDescent="0.3">
      <c r="A2399">
        <v>3994</v>
      </c>
      <c r="B2399">
        <v>256</v>
      </c>
      <c r="C2399" t="s">
        <v>53</v>
      </c>
      <c r="D2399" t="s">
        <v>29</v>
      </c>
      <c r="E2399" t="s">
        <v>20</v>
      </c>
      <c r="F2399" s="1">
        <v>44846</v>
      </c>
      <c r="G2399" s="1">
        <v>45282</v>
      </c>
      <c r="H2399">
        <v>2644</v>
      </c>
      <c r="I2399">
        <v>6603</v>
      </c>
      <c r="J2399">
        <v>-3959</v>
      </c>
      <c r="K2399" t="s">
        <v>21</v>
      </c>
      <c r="L2399">
        <v>14</v>
      </c>
      <c r="M2399" t="str">
        <f t="shared" si="37"/>
        <v>6-12 Months</v>
      </c>
      <c r="N2399" s="1">
        <v>45282</v>
      </c>
      <c r="O2399">
        <v>0</v>
      </c>
      <c r="P2399">
        <v>2398</v>
      </c>
      <c r="Q2399" s="2">
        <v>-1.5</v>
      </c>
      <c r="R2399" t="s">
        <v>22</v>
      </c>
      <c r="S2399">
        <v>2023</v>
      </c>
      <c r="T2399" t="s">
        <v>31</v>
      </c>
    </row>
    <row r="2400" spans="1:20" hidden="1" x14ac:dyDescent="0.3">
      <c r="A2400">
        <v>3995</v>
      </c>
      <c r="B2400">
        <v>323</v>
      </c>
      <c r="C2400" t="s">
        <v>53</v>
      </c>
      <c r="D2400" t="s">
        <v>19</v>
      </c>
      <c r="E2400" t="s">
        <v>26</v>
      </c>
      <c r="F2400" s="1">
        <v>44690</v>
      </c>
      <c r="G2400" s="1">
        <v>45050</v>
      </c>
      <c r="H2400">
        <v>7064</v>
      </c>
      <c r="I2400">
        <v>6764</v>
      </c>
      <c r="J2400">
        <v>300</v>
      </c>
      <c r="K2400" t="s">
        <v>21</v>
      </c>
      <c r="L2400">
        <v>11</v>
      </c>
      <c r="M2400" t="str">
        <f t="shared" si="37"/>
        <v>6-12 Months</v>
      </c>
      <c r="N2400" s="1">
        <v>45050</v>
      </c>
      <c r="O2400">
        <v>0</v>
      </c>
      <c r="P2400">
        <v>2399</v>
      </c>
      <c r="Q2400" s="2">
        <v>0.04</v>
      </c>
      <c r="R2400" t="s">
        <v>27</v>
      </c>
      <c r="S2400">
        <v>2023</v>
      </c>
      <c r="T2400" t="s">
        <v>28</v>
      </c>
    </row>
    <row r="2401" spans="1:20" hidden="1" x14ac:dyDescent="0.3">
      <c r="A2401">
        <v>3996</v>
      </c>
      <c r="B2401">
        <v>106</v>
      </c>
      <c r="C2401" t="s">
        <v>45</v>
      </c>
      <c r="D2401" t="s">
        <v>29</v>
      </c>
      <c r="E2401" t="s">
        <v>37</v>
      </c>
      <c r="F2401" s="1">
        <v>44616</v>
      </c>
      <c r="G2401" s="1">
        <v>44766</v>
      </c>
      <c r="H2401">
        <v>80</v>
      </c>
      <c r="I2401">
        <v>77</v>
      </c>
      <c r="J2401">
        <v>3</v>
      </c>
      <c r="K2401" t="s">
        <v>54</v>
      </c>
      <c r="L2401">
        <v>5</v>
      </c>
      <c r="M2401" t="str">
        <f t="shared" si="37"/>
        <v>0-6 Months</v>
      </c>
      <c r="N2401" s="1">
        <v>44766</v>
      </c>
      <c r="O2401">
        <v>1</v>
      </c>
      <c r="P2401">
        <v>2400</v>
      </c>
      <c r="Q2401" s="2">
        <v>0.04</v>
      </c>
      <c r="R2401" t="s">
        <v>27</v>
      </c>
      <c r="S2401">
        <v>2022</v>
      </c>
      <c r="T2401" t="s">
        <v>44</v>
      </c>
    </row>
    <row r="2402" spans="1:20" hidden="1" x14ac:dyDescent="0.3">
      <c r="A2402">
        <v>3997</v>
      </c>
      <c r="B2402">
        <v>358</v>
      </c>
      <c r="C2402" t="s">
        <v>45</v>
      </c>
      <c r="D2402" t="s">
        <v>34</v>
      </c>
      <c r="E2402" t="s">
        <v>20</v>
      </c>
      <c r="F2402" s="1">
        <v>44873</v>
      </c>
      <c r="G2402" s="1">
        <v>45417</v>
      </c>
      <c r="H2402">
        <v>5909</v>
      </c>
      <c r="I2402">
        <v>2598</v>
      </c>
      <c r="J2402">
        <v>3311</v>
      </c>
      <c r="K2402" t="s">
        <v>54</v>
      </c>
      <c r="L2402">
        <v>17</v>
      </c>
      <c r="M2402" t="str">
        <f t="shared" si="37"/>
        <v>6-12 Months</v>
      </c>
      <c r="N2402" s="1">
        <v>45417</v>
      </c>
      <c r="O2402">
        <v>1</v>
      </c>
      <c r="P2402">
        <v>2401</v>
      </c>
      <c r="Q2402" s="2">
        <v>0.56000000000000005</v>
      </c>
      <c r="R2402" t="s">
        <v>27</v>
      </c>
      <c r="S2402">
        <v>2024</v>
      </c>
      <c r="T2402" t="s">
        <v>28</v>
      </c>
    </row>
    <row r="2403" spans="1:20" hidden="1" x14ac:dyDescent="0.3">
      <c r="A2403">
        <v>3998</v>
      </c>
      <c r="B2403">
        <v>393</v>
      </c>
      <c r="C2403" t="s">
        <v>40</v>
      </c>
      <c r="D2403" t="s">
        <v>25</v>
      </c>
      <c r="E2403" t="s">
        <v>37</v>
      </c>
      <c r="F2403" s="1">
        <v>44733</v>
      </c>
      <c r="G2403" s="1">
        <v>44958</v>
      </c>
      <c r="H2403">
        <v>4967.93</v>
      </c>
      <c r="I2403">
        <v>5371</v>
      </c>
      <c r="J2403">
        <v>-5472</v>
      </c>
      <c r="K2403" t="s">
        <v>54</v>
      </c>
      <c r="L2403">
        <v>7</v>
      </c>
      <c r="M2403" t="str">
        <f t="shared" si="37"/>
        <v>6-12 Months</v>
      </c>
      <c r="N2403" s="1">
        <v>44958</v>
      </c>
      <c r="O2403">
        <v>1</v>
      </c>
      <c r="P2403">
        <v>2402</v>
      </c>
      <c r="Q2403" s="2">
        <v>-1.1000000000000001</v>
      </c>
      <c r="R2403" t="s">
        <v>22</v>
      </c>
      <c r="S2403">
        <v>2023</v>
      </c>
      <c r="T2403" t="s">
        <v>43</v>
      </c>
    </row>
    <row r="2404" spans="1:20" hidden="1" x14ac:dyDescent="0.3">
      <c r="A2404">
        <v>3999</v>
      </c>
      <c r="B2404">
        <v>354</v>
      </c>
      <c r="C2404" t="s">
        <v>53</v>
      </c>
      <c r="D2404" t="s">
        <v>29</v>
      </c>
      <c r="E2404" t="s">
        <v>26</v>
      </c>
      <c r="F2404" s="1">
        <v>44699</v>
      </c>
      <c r="G2404" s="1">
        <v>44915</v>
      </c>
      <c r="H2404">
        <v>6345</v>
      </c>
      <c r="I2404">
        <v>3054</v>
      </c>
      <c r="J2404">
        <v>3291</v>
      </c>
      <c r="K2404" t="s">
        <v>54</v>
      </c>
      <c r="L2404">
        <v>7</v>
      </c>
      <c r="M2404" t="str">
        <f t="shared" si="37"/>
        <v>6-12 Months</v>
      </c>
      <c r="N2404" s="1">
        <v>44915</v>
      </c>
      <c r="O2404">
        <v>0</v>
      </c>
      <c r="P2404">
        <v>2403</v>
      </c>
      <c r="Q2404" s="2">
        <v>0.52</v>
      </c>
      <c r="R2404" t="s">
        <v>27</v>
      </c>
      <c r="S2404">
        <v>2022</v>
      </c>
      <c r="T2404" t="s">
        <v>31</v>
      </c>
    </row>
    <row r="2405" spans="1:20" hidden="1" x14ac:dyDescent="0.3">
      <c r="A2405">
        <v>4002</v>
      </c>
      <c r="B2405">
        <v>166</v>
      </c>
      <c r="C2405" t="s">
        <v>53</v>
      </c>
      <c r="D2405" t="s">
        <v>34</v>
      </c>
      <c r="E2405" t="s">
        <v>26</v>
      </c>
      <c r="F2405" s="1">
        <v>44856</v>
      </c>
      <c r="G2405" s="1">
        <v>44949</v>
      </c>
      <c r="H2405">
        <v>3229</v>
      </c>
      <c r="I2405">
        <v>4012.75</v>
      </c>
      <c r="J2405">
        <v>3375</v>
      </c>
      <c r="K2405" t="s">
        <v>54</v>
      </c>
      <c r="L2405">
        <v>3</v>
      </c>
      <c r="M2405" t="str">
        <f t="shared" si="37"/>
        <v>0-6 Months</v>
      </c>
      <c r="N2405" s="1">
        <v>44949</v>
      </c>
      <c r="O2405">
        <v>0</v>
      </c>
      <c r="P2405">
        <v>2404</v>
      </c>
      <c r="Q2405" s="2">
        <v>1.05</v>
      </c>
      <c r="R2405" t="s">
        <v>22</v>
      </c>
      <c r="S2405">
        <v>2023</v>
      </c>
      <c r="T2405" t="s">
        <v>23</v>
      </c>
    </row>
    <row r="2406" spans="1:20" x14ac:dyDescent="0.3">
      <c r="A2406">
        <v>4004</v>
      </c>
      <c r="B2406">
        <v>409</v>
      </c>
      <c r="C2406" t="s">
        <v>45</v>
      </c>
      <c r="D2406" t="s">
        <v>19</v>
      </c>
      <c r="E2406" t="s">
        <v>26</v>
      </c>
      <c r="F2406" s="1">
        <v>44623</v>
      </c>
      <c r="G2406" s="1">
        <v>45092</v>
      </c>
      <c r="H2406">
        <v>6351</v>
      </c>
      <c r="I2406">
        <v>1414</v>
      </c>
      <c r="J2406">
        <v>4937</v>
      </c>
      <c r="K2406" t="s">
        <v>35</v>
      </c>
      <c r="L2406">
        <v>15</v>
      </c>
      <c r="M2406" t="str">
        <f t="shared" si="37"/>
        <v>6-12 Months</v>
      </c>
      <c r="N2406" s="1">
        <v>45092</v>
      </c>
      <c r="O2406">
        <v>0</v>
      </c>
      <c r="P2406">
        <v>2405</v>
      </c>
      <c r="Q2406" s="2">
        <v>0.78</v>
      </c>
      <c r="R2406" t="s">
        <v>27</v>
      </c>
      <c r="S2406">
        <v>2023</v>
      </c>
      <c r="T2406" t="s">
        <v>41</v>
      </c>
    </row>
    <row r="2407" spans="1:20" hidden="1" x14ac:dyDescent="0.3">
      <c r="A2407">
        <v>4005</v>
      </c>
      <c r="B2407">
        <v>426</v>
      </c>
      <c r="C2407" t="s">
        <v>45</v>
      </c>
      <c r="D2407" t="s">
        <v>25</v>
      </c>
      <c r="E2407" t="s">
        <v>20</v>
      </c>
      <c r="F2407" s="1">
        <v>44839</v>
      </c>
      <c r="G2407" s="1">
        <v>45074</v>
      </c>
      <c r="H2407">
        <v>6527</v>
      </c>
      <c r="I2407">
        <v>5778</v>
      </c>
      <c r="J2407">
        <v>749</v>
      </c>
      <c r="K2407" t="s">
        <v>54</v>
      </c>
      <c r="L2407">
        <v>7</v>
      </c>
      <c r="M2407" t="str">
        <f t="shared" si="37"/>
        <v>6-12 Months</v>
      </c>
      <c r="N2407" s="1">
        <v>45074</v>
      </c>
      <c r="O2407">
        <v>1</v>
      </c>
      <c r="P2407">
        <v>2406</v>
      </c>
      <c r="Q2407" s="2">
        <v>0.11</v>
      </c>
      <c r="R2407" t="s">
        <v>27</v>
      </c>
      <c r="S2407">
        <v>2023</v>
      </c>
      <c r="T2407" t="s">
        <v>28</v>
      </c>
    </row>
    <row r="2408" spans="1:20" hidden="1" x14ac:dyDescent="0.3">
      <c r="A2408">
        <v>4008</v>
      </c>
      <c r="B2408">
        <v>468</v>
      </c>
      <c r="C2408" t="s">
        <v>40</v>
      </c>
      <c r="D2408" t="s">
        <v>29</v>
      </c>
      <c r="E2408" t="s">
        <v>26</v>
      </c>
      <c r="F2408" s="1">
        <v>44694</v>
      </c>
      <c r="G2408" s="1">
        <v>45085</v>
      </c>
      <c r="H2408">
        <v>1695</v>
      </c>
      <c r="I2408">
        <v>337</v>
      </c>
      <c r="J2408">
        <v>1358</v>
      </c>
      <c r="K2408" t="s">
        <v>21</v>
      </c>
      <c r="L2408">
        <v>12</v>
      </c>
      <c r="M2408" t="str">
        <f t="shared" si="37"/>
        <v>6-12 Months</v>
      </c>
      <c r="N2408" s="1">
        <v>45085</v>
      </c>
      <c r="O2408">
        <v>0</v>
      </c>
      <c r="P2408">
        <v>2407</v>
      </c>
      <c r="Q2408" s="2">
        <v>0.8</v>
      </c>
      <c r="R2408" t="s">
        <v>27</v>
      </c>
      <c r="S2408">
        <v>2023</v>
      </c>
      <c r="T2408" t="s">
        <v>41</v>
      </c>
    </row>
    <row r="2409" spans="1:20" hidden="1" x14ac:dyDescent="0.3">
      <c r="A2409">
        <v>4011</v>
      </c>
      <c r="B2409">
        <v>394</v>
      </c>
      <c r="C2409" t="s">
        <v>40</v>
      </c>
      <c r="D2409" t="s">
        <v>19</v>
      </c>
      <c r="E2409" t="s">
        <v>26</v>
      </c>
      <c r="F2409" s="1">
        <v>44738</v>
      </c>
      <c r="G2409" s="1">
        <v>44863</v>
      </c>
      <c r="H2409">
        <v>3037</v>
      </c>
      <c r="I2409">
        <v>5485</v>
      </c>
      <c r="J2409">
        <v>577.01</v>
      </c>
      <c r="K2409" t="s">
        <v>54</v>
      </c>
      <c r="L2409">
        <v>4</v>
      </c>
      <c r="M2409" t="str">
        <f t="shared" si="37"/>
        <v>0-6 Months</v>
      </c>
      <c r="N2409" s="1">
        <v>44863</v>
      </c>
      <c r="O2409">
        <v>0</v>
      </c>
      <c r="P2409">
        <v>2408</v>
      </c>
      <c r="Q2409" s="2">
        <v>0.19</v>
      </c>
      <c r="R2409" t="s">
        <v>27</v>
      </c>
      <c r="S2409">
        <v>2022</v>
      </c>
      <c r="T2409" t="s">
        <v>33</v>
      </c>
    </row>
    <row r="2410" spans="1:20" hidden="1" x14ac:dyDescent="0.3">
      <c r="A2410">
        <v>4016</v>
      </c>
      <c r="B2410">
        <v>143</v>
      </c>
      <c r="C2410" t="s">
        <v>45</v>
      </c>
      <c r="D2410" t="s">
        <v>29</v>
      </c>
      <c r="E2410" t="s">
        <v>37</v>
      </c>
      <c r="F2410" s="1">
        <v>44631</v>
      </c>
      <c r="G2410" s="1">
        <v>45025</v>
      </c>
      <c r="H2410">
        <v>74</v>
      </c>
      <c r="I2410">
        <v>7864</v>
      </c>
      <c r="J2410">
        <v>-7790</v>
      </c>
      <c r="K2410" t="s">
        <v>54</v>
      </c>
      <c r="L2410">
        <v>12</v>
      </c>
      <c r="M2410" t="str">
        <f t="shared" si="37"/>
        <v>6-12 Months</v>
      </c>
      <c r="N2410" s="1">
        <v>45025</v>
      </c>
      <c r="O2410">
        <v>0</v>
      </c>
      <c r="P2410">
        <v>2409</v>
      </c>
      <c r="Q2410" s="2">
        <v>-105.27</v>
      </c>
      <c r="R2410" t="s">
        <v>22</v>
      </c>
      <c r="S2410">
        <v>2023</v>
      </c>
      <c r="T2410" t="s">
        <v>32</v>
      </c>
    </row>
    <row r="2411" spans="1:20" hidden="1" x14ac:dyDescent="0.3">
      <c r="A2411">
        <v>4018</v>
      </c>
      <c r="B2411">
        <v>184</v>
      </c>
      <c r="C2411" t="s">
        <v>40</v>
      </c>
      <c r="D2411" t="s">
        <v>19</v>
      </c>
      <c r="E2411" t="s">
        <v>20</v>
      </c>
      <c r="F2411" s="1">
        <v>44877</v>
      </c>
      <c r="G2411" s="1">
        <v>45263</v>
      </c>
      <c r="H2411">
        <v>5792</v>
      </c>
      <c r="I2411">
        <v>6704</v>
      </c>
      <c r="J2411">
        <v>-912</v>
      </c>
      <c r="K2411" t="s">
        <v>54</v>
      </c>
      <c r="L2411">
        <v>12</v>
      </c>
      <c r="M2411" t="str">
        <f t="shared" si="37"/>
        <v>6-12 Months</v>
      </c>
      <c r="N2411" s="1">
        <v>45263</v>
      </c>
      <c r="O2411">
        <v>0</v>
      </c>
      <c r="P2411">
        <v>2410</v>
      </c>
      <c r="Q2411" s="2">
        <v>-0.16</v>
      </c>
      <c r="R2411" t="s">
        <v>27</v>
      </c>
      <c r="S2411">
        <v>2023</v>
      </c>
      <c r="T2411" t="s">
        <v>31</v>
      </c>
    </row>
    <row r="2412" spans="1:20" hidden="1" x14ac:dyDescent="0.3">
      <c r="A2412">
        <v>4019</v>
      </c>
      <c r="B2412">
        <v>445</v>
      </c>
      <c r="C2412" t="s">
        <v>45</v>
      </c>
      <c r="D2412" t="s">
        <v>25</v>
      </c>
      <c r="E2412" t="s">
        <v>26</v>
      </c>
      <c r="F2412" s="1">
        <v>44703</v>
      </c>
      <c r="G2412" s="1">
        <v>45147</v>
      </c>
      <c r="H2412">
        <v>2515</v>
      </c>
      <c r="I2412">
        <v>7743</v>
      </c>
      <c r="J2412">
        <v>-5228</v>
      </c>
      <c r="K2412" t="s">
        <v>54</v>
      </c>
      <c r="L2412">
        <v>14</v>
      </c>
      <c r="M2412" t="str">
        <f t="shared" si="37"/>
        <v>6-12 Months</v>
      </c>
      <c r="N2412" s="1">
        <v>45147</v>
      </c>
      <c r="O2412">
        <v>0</v>
      </c>
      <c r="P2412">
        <v>2411</v>
      </c>
      <c r="Q2412" s="2">
        <v>-2.08</v>
      </c>
      <c r="R2412" t="s">
        <v>22</v>
      </c>
      <c r="S2412">
        <v>2023</v>
      </c>
      <c r="T2412" t="s">
        <v>36</v>
      </c>
    </row>
    <row r="2413" spans="1:20" x14ac:dyDescent="0.3">
      <c r="A2413">
        <v>4021</v>
      </c>
      <c r="B2413">
        <v>231</v>
      </c>
      <c r="C2413" t="s">
        <v>39</v>
      </c>
      <c r="D2413" t="s">
        <v>29</v>
      </c>
      <c r="E2413" t="s">
        <v>20</v>
      </c>
      <c r="F2413" s="1">
        <v>44595</v>
      </c>
      <c r="G2413" s="1">
        <v>45001</v>
      </c>
      <c r="H2413">
        <v>2288</v>
      </c>
      <c r="I2413">
        <v>693</v>
      </c>
      <c r="J2413">
        <v>1595</v>
      </c>
      <c r="K2413" t="s">
        <v>35</v>
      </c>
      <c r="L2413">
        <v>13</v>
      </c>
      <c r="M2413" t="str">
        <f t="shared" si="37"/>
        <v>6-12 Months</v>
      </c>
      <c r="N2413" s="1">
        <v>45001</v>
      </c>
      <c r="O2413">
        <v>1</v>
      </c>
      <c r="P2413">
        <v>2412</v>
      </c>
      <c r="Q2413" s="2">
        <v>0.7</v>
      </c>
      <c r="R2413" t="s">
        <v>27</v>
      </c>
      <c r="S2413">
        <v>2023</v>
      </c>
      <c r="T2413" t="s">
        <v>38</v>
      </c>
    </row>
    <row r="2414" spans="1:20" hidden="1" x14ac:dyDescent="0.3">
      <c r="A2414">
        <v>4022</v>
      </c>
      <c r="B2414">
        <v>391</v>
      </c>
      <c r="C2414" t="s">
        <v>40</v>
      </c>
      <c r="D2414" t="s">
        <v>29</v>
      </c>
      <c r="E2414" t="s">
        <v>37</v>
      </c>
      <c r="F2414" s="1">
        <v>44836</v>
      </c>
      <c r="G2414" s="1">
        <v>44904</v>
      </c>
      <c r="H2414">
        <v>6773</v>
      </c>
      <c r="I2414">
        <v>4012.75</v>
      </c>
      <c r="J2414">
        <v>7285</v>
      </c>
      <c r="K2414" t="s">
        <v>54</v>
      </c>
      <c r="L2414">
        <v>2</v>
      </c>
      <c r="M2414" t="str">
        <f t="shared" si="37"/>
        <v>0-6 Months</v>
      </c>
      <c r="N2414" s="1">
        <v>44904</v>
      </c>
      <c r="O2414">
        <v>0</v>
      </c>
      <c r="P2414">
        <v>2413</v>
      </c>
      <c r="Q2414" s="2">
        <v>1.08</v>
      </c>
      <c r="R2414" t="s">
        <v>22</v>
      </c>
      <c r="S2414">
        <v>2022</v>
      </c>
      <c r="T2414" t="s">
        <v>31</v>
      </c>
    </row>
    <row r="2415" spans="1:20" hidden="1" x14ac:dyDescent="0.3">
      <c r="A2415">
        <v>4023</v>
      </c>
      <c r="B2415">
        <v>235</v>
      </c>
      <c r="C2415" t="s">
        <v>39</v>
      </c>
      <c r="D2415" t="s">
        <v>29</v>
      </c>
      <c r="E2415" t="s">
        <v>26</v>
      </c>
      <c r="F2415" s="1">
        <v>44638</v>
      </c>
      <c r="G2415" s="1">
        <v>45023</v>
      </c>
      <c r="H2415">
        <v>7355</v>
      </c>
      <c r="I2415">
        <v>4012.75</v>
      </c>
      <c r="J2415">
        <v>7371</v>
      </c>
      <c r="K2415" t="s">
        <v>21</v>
      </c>
      <c r="L2415">
        <v>12</v>
      </c>
      <c r="M2415" t="str">
        <f t="shared" si="37"/>
        <v>6-12 Months</v>
      </c>
      <c r="N2415" s="1">
        <v>45023</v>
      </c>
      <c r="O2415">
        <v>1</v>
      </c>
      <c r="P2415">
        <v>2414</v>
      </c>
      <c r="Q2415" s="2">
        <v>1</v>
      </c>
      <c r="R2415" t="s">
        <v>22</v>
      </c>
      <c r="S2415">
        <v>2023</v>
      </c>
      <c r="T2415" t="s">
        <v>32</v>
      </c>
    </row>
    <row r="2416" spans="1:20" hidden="1" x14ac:dyDescent="0.3">
      <c r="A2416">
        <v>4024</v>
      </c>
      <c r="B2416">
        <v>296</v>
      </c>
      <c r="C2416" t="s">
        <v>53</v>
      </c>
      <c r="D2416" t="s">
        <v>34</v>
      </c>
      <c r="E2416" t="s">
        <v>37</v>
      </c>
      <c r="F2416" s="1">
        <v>44816</v>
      </c>
      <c r="G2416" s="1">
        <v>45373</v>
      </c>
      <c r="H2416">
        <v>6760</v>
      </c>
      <c r="I2416">
        <v>7801</v>
      </c>
      <c r="J2416">
        <v>-1041</v>
      </c>
      <c r="K2416" t="s">
        <v>54</v>
      </c>
      <c r="L2416">
        <v>18</v>
      </c>
      <c r="M2416" t="str">
        <f t="shared" si="37"/>
        <v>6-12 Months</v>
      </c>
      <c r="N2416" s="1">
        <v>45373</v>
      </c>
      <c r="O2416">
        <v>1</v>
      </c>
      <c r="P2416">
        <v>2415</v>
      </c>
      <c r="Q2416" s="2">
        <v>-0.15</v>
      </c>
      <c r="R2416" t="s">
        <v>27</v>
      </c>
      <c r="S2416">
        <v>2024</v>
      </c>
      <c r="T2416" t="s">
        <v>38</v>
      </c>
    </row>
    <row r="2417" spans="1:20" x14ac:dyDescent="0.3">
      <c r="A2417">
        <v>4025</v>
      </c>
      <c r="B2417">
        <v>463</v>
      </c>
      <c r="C2417" t="s">
        <v>40</v>
      </c>
      <c r="D2417" t="s">
        <v>25</v>
      </c>
      <c r="E2417" t="s">
        <v>37</v>
      </c>
      <c r="F2417" s="1">
        <v>44753</v>
      </c>
      <c r="G2417" s="1">
        <v>45132</v>
      </c>
      <c r="H2417">
        <v>235</v>
      </c>
      <c r="I2417">
        <v>6992</v>
      </c>
      <c r="J2417">
        <v>-6757</v>
      </c>
      <c r="K2417" t="s">
        <v>35</v>
      </c>
      <c r="L2417">
        <v>12</v>
      </c>
      <c r="M2417" t="str">
        <f t="shared" si="37"/>
        <v>6-12 Months</v>
      </c>
      <c r="N2417" s="1">
        <v>45132</v>
      </c>
      <c r="O2417">
        <v>0</v>
      </c>
      <c r="P2417">
        <v>2416</v>
      </c>
      <c r="Q2417" s="2">
        <v>-28.75</v>
      </c>
      <c r="R2417" t="s">
        <v>22</v>
      </c>
      <c r="S2417">
        <v>2023</v>
      </c>
      <c r="T2417" t="s">
        <v>44</v>
      </c>
    </row>
    <row r="2418" spans="1:20" hidden="1" x14ac:dyDescent="0.3">
      <c r="A2418">
        <v>4026</v>
      </c>
      <c r="B2418">
        <v>339</v>
      </c>
      <c r="C2418" t="s">
        <v>39</v>
      </c>
      <c r="D2418" t="s">
        <v>34</v>
      </c>
      <c r="E2418" t="s">
        <v>37</v>
      </c>
      <c r="F2418" s="1">
        <v>44884</v>
      </c>
      <c r="G2418" s="1">
        <v>45031</v>
      </c>
      <c r="H2418">
        <v>311</v>
      </c>
      <c r="I2418">
        <v>6608</v>
      </c>
      <c r="J2418">
        <v>-6297</v>
      </c>
      <c r="K2418" t="s">
        <v>54</v>
      </c>
      <c r="L2418">
        <v>4</v>
      </c>
      <c r="M2418" t="str">
        <f t="shared" si="37"/>
        <v>0-6 Months</v>
      </c>
      <c r="N2418" s="1">
        <v>45031</v>
      </c>
      <c r="O2418">
        <v>0</v>
      </c>
      <c r="P2418">
        <v>2417</v>
      </c>
      <c r="Q2418" s="2">
        <v>-20.25</v>
      </c>
      <c r="R2418" t="s">
        <v>22</v>
      </c>
      <c r="S2418">
        <v>2023</v>
      </c>
      <c r="T2418" t="s">
        <v>32</v>
      </c>
    </row>
    <row r="2419" spans="1:20" hidden="1" x14ac:dyDescent="0.3">
      <c r="A2419">
        <v>4027</v>
      </c>
      <c r="B2419">
        <v>196</v>
      </c>
      <c r="C2419" t="s">
        <v>40</v>
      </c>
      <c r="D2419" t="s">
        <v>25</v>
      </c>
      <c r="E2419" t="s">
        <v>37</v>
      </c>
      <c r="F2419" s="1">
        <v>44567</v>
      </c>
      <c r="G2419" s="1">
        <v>44847</v>
      </c>
      <c r="H2419">
        <v>4967.93</v>
      </c>
      <c r="I2419">
        <v>2122</v>
      </c>
      <c r="J2419">
        <v>-3632</v>
      </c>
      <c r="K2419" t="s">
        <v>54</v>
      </c>
      <c r="L2419">
        <v>9</v>
      </c>
      <c r="M2419" t="str">
        <f t="shared" si="37"/>
        <v>6-12 Months</v>
      </c>
      <c r="N2419" s="1">
        <v>44847</v>
      </c>
      <c r="O2419">
        <v>0</v>
      </c>
      <c r="P2419">
        <v>2418</v>
      </c>
      <c r="Q2419" s="2">
        <v>-0.73</v>
      </c>
      <c r="R2419" t="s">
        <v>27</v>
      </c>
      <c r="S2419">
        <v>2022</v>
      </c>
      <c r="T2419" t="s">
        <v>33</v>
      </c>
    </row>
    <row r="2420" spans="1:20" hidden="1" x14ac:dyDescent="0.3">
      <c r="A2420">
        <v>4028</v>
      </c>
      <c r="B2420">
        <v>408</v>
      </c>
      <c r="C2420" t="s">
        <v>53</v>
      </c>
      <c r="D2420" t="s">
        <v>29</v>
      </c>
      <c r="E2420" t="s">
        <v>37</v>
      </c>
      <c r="F2420" s="1">
        <v>44682</v>
      </c>
      <c r="G2420" s="1">
        <v>44921</v>
      </c>
      <c r="H2420">
        <v>6147</v>
      </c>
      <c r="I2420">
        <v>6967</v>
      </c>
      <c r="J2420">
        <v>-820</v>
      </c>
      <c r="K2420" t="s">
        <v>21</v>
      </c>
      <c r="L2420">
        <v>7</v>
      </c>
      <c r="M2420" t="str">
        <f t="shared" si="37"/>
        <v>6-12 Months</v>
      </c>
      <c r="N2420" s="1">
        <v>44921</v>
      </c>
      <c r="O2420">
        <v>0</v>
      </c>
      <c r="P2420">
        <v>2419</v>
      </c>
      <c r="Q2420" s="2">
        <v>-0.13</v>
      </c>
      <c r="R2420" t="s">
        <v>27</v>
      </c>
      <c r="S2420">
        <v>2022</v>
      </c>
      <c r="T2420" t="s">
        <v>31</v>
      </c>
    </row>
    <row r="2421" spans="1:20" hidden="1" x14ac:dyDescent="0.3">
      <c r="A2421">
        <v>4031</v>
      </c>
      <c r="B2421">
        <v>125</v>
      </c>
      <c r="C2421" t="s">
        <v>53</v>
      </c>
      <c r="D2421" t="s">
        <v>25</v>
      </c>
      <c r="E2421" t="s">
        <v>26</v>
      </c>
      <c r="F2421" s="1">
        <v>44574</v>
      </c>
      <c r="G2421" s="1">
        <v>44611</v>
      </c>
      <c r="H2421">
        <v>4967.93</v>
      </c>
      <c r="I2421">
        <v>3674</v>
      </c>
      <c r="J2421">
        <v>-5604</v>
      </c>
      <c r="K2421" t="s">
        <v>21</v>
      </c>
      <c r="L2421">
        <v>1</v>
      </c>
      <c r="M2421" t="str">
        <f t="shared" si="37"/>
        <v>0-6 Months</v>
      </c>
      <c r="N2421" s="1">
        <v>44611</v>
      </c>
      <c r="O2421">
        <v>0</v>
      </c>
      <c r="P2421">
        <v>2420</v>
      </c>
      <c r="Q2421" s="2">
        <v>-1.1299999999999999</v>
      </c>
      <c r="R2421" t="s">
        <v>22</v>
      </c>
      <c r="S2421">
        <v>2022</v>
      </c>
      <c r="T2421" t="s">
        <v>43</v>
      </c>
    </row>
    <row r="2422" spans="1:20" hidden="1" x14ac:dyDescent="0.3">
      <c r="A2422">
        <v>4033</v>
      </c>
      <c r="B2422">
        <v>147</v>
      </c>
      <c r="C2422" t="s">
        <v>39</v>
      </c>
      <c r="D2422" t="s">
        <v>34</v>
      </c>
      <c r="E2422" t="s">
        <v>26</v>
      </c>
      <c r="F2422" s="1">
        <v>44891</v>
      </c>
      <c r="G2422" s="1">
        <v>45311</v>
      </c>
      <c r="H2422">
        <v>6574</v>
      </c>
      <c r="I2422">
        <v>1329</v>
      </c>
      <c r="J2422">
        <v>5245</v>
      </c>
      <c r="K2422" t="s">
        <v>21</v>
      </c>
      <c r="L2422">
        <v>13</v>
      </c>
      <c r="M2422" t="str">
        <f t="shared" si="37"/>
        <v>6-12 Months</v>
      </c>
      <c r="N2422" s="1">
        <v>45311</v>
      </c>
      <c r="O2422">
        <v>0</v>
      </c>
      <c r="P2422">
        <v>2421</v>
      </c>
      <c r="Q2422" s="2">
        <v>0.8</v>
      </c>
      <c r="R2422" t="s">
        <v>27</v>
      </c>
      <c r="S2422">
        <v>2024</v>
      </c>
      <c r="T2422" t="s">
        <v>23</v>
      </c>
    </row>
    <row r="2423" spans="1:20" hidden="1" x14ac:dyDescent="0.3">
      <c r="A2423">
        <v>4034</v>
      </c>
      <c r="B2423">
        <v>497</v>
      </c>
      <c r="C2423" t="s">
        <v>53</v>
      </c>
      <c r="D2423" t="s">
        <v>25</v>
      </c>
      <c r="E2423" t="s">
        <v>37</v>
      </c>
      <c r="F2423" s="1">
        <v>44715</v>
      </c>
      <c r="G2423" s="1">
        <v>44855</v>
      </c>
      <c r="H2423">
        <v>625</v>
      </c>
      <c r="I2423">
        <v>4012.75</v>
      </c>
      <c r="J2423">
        <v>986</v>
      </c>
      <c r="K2423" t="s">
        <v>54</v>
      </c>
      <c r="L2423">
        <v>4</v>
      </c>
      <c r="M2423" t="str">
        <f t="shared" si="37"/>
        <v>0-6 Months</v>
      </c>
      <c r="N2423" s="1">
        <v>44855</v>
      </c>
      <c r="O2423">
        <v>1</v>
      </c>
      <c r="P2423">
        <v>2422</v>
      </c>
      <c r="Q2423" s="2">
        <v>1.58</v>
      </c>
      <c r="R2423" t="s">
        <v>22</v>
      </c>
      <c r="S2423">
        <v>2022</v>
      </c>
      <c r="T2423" t="s">
        <v>33</v>
      </c>
    </row>
    <row r="2424" spans="1:20" hidden="1" x14ac:dyDescent="0.3">
      <c r="A2424">
        <v>4036</v>
      </c>
      <c r="B2424">
        <v>493</v>
      </c>
      <c r="C2424" t="s">
        <v>53</v>
      </c>
      <c r="D2424" t="s">
        <v>29</v>
      </c>
      <c r="E2424" t="s">
        <v>26</v>
      </c>
      <c r="F2424" s="1">
        <v>44924</v>
      </c>
      <c r="G2424" s="1">
        <v>45508</v>
      </c>
      <c r="H2424">
        <v>3102</v>
      </c>
      <c r="I2424">
        <v>6719</v>
      </c>
      <c r="J2424">
        <v>-3617</v>
      </c>
      <c r="K2424" t="s">
        <v>54</v>
      </c>
      <c r="L2424">
        <v>19</v>
      </c>
      <c r="M2424" t="str">
        <f t="shared" si="37"/>
        <v>6-12 Months</v>
      </c>
      <c r="N2424" s="1">
        <v>45508</v>
      </c>
      <c r="O2424">
        <v>1</v>
      </c>
      <c r="P2424">
        <v>2423</v>
      </c>
      <c r="Q2424" s="2">
        <v>-1.17</v>
      </c>
      <c r="R2424" t="s">
        <v>22</v>
      </c>
      <c r="S2424">
        <v>2024</v>
      </c>
      <c r="T2424" t="s">
        <v>36</v>
      </c>
    </row>
    <row r="2425" spans="1:20" hidden="1" x14ac:dyDescent="0.3">
      <c r="A2425">
        <v>4038</v>
      </c>
      <c r="B2425">
        <v>431</v>
      </c>
      <c r="C2425" t="s">
        <v>53</v>
      </c>
      <c r="D2425" t="s">
        <v>34</v>
      </c>
      <c r="E2425" t="s">
        <v>26</v>
      </c>
      <c r="F2425" s="1">
        <v>44668</v>
      </c>
      <c r="G2425" s="1">
        <v>45227</v>
      </c>
      <c r="H2425">
        <v>4967.93</v>
      </c>
      <c r="I2425">
        <v>167</v>
      </c>
      <c r="J2425">
        <v>-1763</v>
      </c>
      <c r="K2425" t="s">
        <v>21</v>
      </c>
      <c r="L2425">
        <v>18</v>
      </c>
      <c r="M2425" t="str">
        <f t="shared" si="37"/>
        <v>6-12 Months</v>
      </c>
      <c r="N2425" s="1">
        <v>45227</v>
      </c>
      <c r="O2425">
        <v>0</v>
      </c>
      <c r="P2425">
        <v>2424</v>
      </c>
      <c r="Q2425" s="2">
        <v>-0.35</v>
      </c>
      <c r="R2425" t="s">
        <v>27</v>
      </c>
      <c r="S2425">
        <v>2023</v>
      </c>
      <c r="T2425" t="s">
        <v>33</v>
      </c>
    </row>
    <row r="2426" spans="1:20" hidden="1" x14ac:dyDescent="0.3">
      <c r="A2426">
        <v>4039</v>
      </c>
      <c r="B2426">
        <v>211</v>
      </c>
      <c r="C2426" t="s">
        <v>45</v>
      </c>
      <c r="D2426" t="s">
        <v>25</v>
      </c>
      <c r="E2426" t="s">
        <v>20</v>
      </c>
      <c r="F2426" s="1">
        <v>44651</v>
      </c>
      <c r="G2426" s="1">
        <v>45237</v>
      </c>
      <c r="H2426">
        <v>5458</v>
      </c>
      <c r="I2426">
        <v>6638</v>
      </c>
      <c r="J2426">
        <v>-1180</v>
      </c>
      <c r="K2426" t="s">
        <v>54</v>
      </c>
      <c r="L2426">
        <v>19</v>
      </c>
      <c r="M2426" t="str">
        <f t="shared" si="37"/>
        <v>6-12 Months</v>
      </c>
      <c r="N2426" s="1">
        <v>45237</v>
      </c>
      <c r="O2426">
        <v>0</v>
      </c>
      <c r="P2426">
        <v>2425</v>
      </c>
      <c r="Q2426" s="2">
        <v>-0.22</v>
      </c>
      <c r="R2426" t="s">
        <v>27</v>
      </c>
      <c r="S2426">
        <v>2023</v>
      </c>
      <c r="T2426" t="s">
        <v>42</v>
      </c>
    </row>
    <row r="2427" spans="1:20" x14ac:dyDescent="0.3">
      <c r="A2427">
        <v>4041</v>
      </c>
      <c r="B2427">
        <v>187</v>
      </c>
      <c r="C2427" t="s">
        <v>45</v>
      </c>
      <c r="D2427" t="s">
        <v>34</v>
      </c>
      <c r="E2427" t="s">
        <v>37</v>
      </c>
      <c r="F2427" s="1">
        <v>44756</v>
      </c>
      <c r="G2427" s="1">
        <v>45064</v>
      </c>
      <c r="H2427">
        <v>112</v>
      </c>
      <c r="I2427">
        <v>586</v>
      </c>
      <c r="J2427">
        <v>-474</v>
      </c>
      <c r="K2427" t="s">
        <v>35</v>
      </c>
      <c r="L2427">
        <v>10</v>
      </c>
      <c r="M2427" t="str">
        <f t="shared" si="37"/>
        <v>6-12 Months</v>
      </c>
      <c r="N2427" s="1">
        <v>45064</v>
      </c>
      <c r="O2427">
        <v>1</v>
      </c>
      <c r="P2427">
        <v>2426</v>
      </c>
      <c r="Q2427" s="2">
        <v>-4.2300000000000004</v>
      </c>
      <c r="R2427" t="s">
        <v>22</v>
      </c>
      <c r="S2427">
        <v>2023</v>
      </c>
      <c r="T2427" t="s">
        <v>28</v>
      </c>
    </row>
    <row r="2428" spans="1:20" hidden="1" x14ac:dyDescent="0.3">
      <c r="A2428">
        <v>4042</v>
      </c>
      <c r="B2428">
        <v>182</v>
      </c>
      <c r="C2428" t="s">
        <v>40</v>
      </c>
      <c r="D2428" t="s">
        <v>19</v>
      </c>
      <c r="E2428" t="s">
        <v>37</v>
      </c>
      <c r="F2428" s="1">
        <v>44704</v>
      </c>
      <c r="G2428" s="1">
        <v>45051</v>
      </c>
      <c r="H2428">
        <v>7816</v>
      </c>
      <c r="I2428">
        <v>4012.75</v>
      </c>
      <c r="J2428">
        <v>577.01</v>
      </c>
      <c r="K2428" t="s">
        <v>54</v>
      </c>
      <c r="L2428">
        <v>11</v>
      </c>
      <c r="M2428" t="str">
        <f t="shared" si="37"/>
        <v>6-12 Months</v>
      </c>
      <c r="N2428" s="1">
        <v>45051</v>
      </c>
      <c r="O2428">
        <v>0</v>
      </c>
      <c r="P2428">
        <v>2427</v>
      </c>
      <c r="Q2428" s="2">
        <v>7.0000000000000007E-2</v>
      </c>
      <c r="R2428" t="s">
        <v>27</v>
      </c>
      <c r="S2428">
        <v>2023</v>
      </c>
      <c r="T2428" t="s">
        <v>28</v>
      </c>
    </row>
    <row r="2429" spans="1:20" hidden="1" x14ac:dyDescent="0.3">
      <c r="A2429">
        <v>4043</v>
      </c>
      <c r="B2429">
        <v>242</v>
      </c>
      <c r="C2429" t="s">
        <v>39</v>
      </c>
      <c r="D2429" t="s">
        <v>19</v>
      </c>
      <c r="E2429" t="s">
        <v>20</v>
      </c>
      <c r="F2429" s="1">
        <v>44609</v>
      </c>
      <c r="G2429" s="1">
        <v>44713</v>
      </c>
      <c r="H2429">
        <v>8614</v>
      </c>
      <c r="I2429">
        <v>4702</v>
      </c>
      <c r="J2429">
        <v>3912</v>
      </c>
      <c r="K2429" t="s">
        <v>54</v>
      </c>
      <c r="L2429">
        <v>3</v>
      </c>
      <c r="M2429" t="str">
        <f t="shared" si="37"/>
        <v>0-6 Months</v>
      </c>
      <c r="N2429" s="1">
        <v>44713</v>
      </c>
      <c r="O2429">
        <v>1</v>
      </c>
      <c r="P2429">
        <v>2428</v>
      </c>
      <c r="Q2429" s="2">
        <v>0.45</v>
      </c>
      <c r="R2429" t="s">
        <v>27</v>
      </c>
      <c r="S2429">
        <v>2022</v>
      </c>
      <c r="T2429" t="s">
        <v>41</v>
      </c>
    </row>
    <row r="2430" spans="1:20" x14ac:dyDescent="0.3">
      <c r="A2430">
        <v>4044</v>
      </c>
      <c r="B2430">
        <v>233</v>
      </c>
      <c r="C2430" t="s">
        <v>39</v>
      </c>
      <c r="D2430" t="s">
        <v>34</v>
      </c>
      <c r="E2430" t="s">
        <v>20</v>
      </c>
      <c r="F2430" s="1">
        <v>44800</v>
      </c>
      <c r="G2430" s="1">
        <v>45367</v>
      </c>
      <c r="H2430">
        <v>4967.93</v>
      </c>
      <c r="I2430">
        <v>4726</v>
      </c>
      <c r="J2430">
        <v>-6599</v>
      </c>
      <c r="K2430" t="s">
        <v>35</v>
      </c>
      <c r="L2430">
        <v>18</v>
      </c>
      <c r="M2430" t="str">
        <f t="shared" si="37"/>
        <v>6-12 Months</v>
      </c>
      <c r="N2430" s="1">
        <v>45367</v>
      </c>
      <c r="O2430">
        <v>1</v>
      </c>
      <c r="P2430">
        <v>2429</v>
      </c>
      <c r="Q2430" s="2">
        <v>-1.33</v>
      </c>
      <c r="R2430" t="s">
        <v>22</v>
      </c>
      <c r="S2430">
        <v>2024</v>
      </c>
      <c r="T2430" t="s">
        <v>38</v>
      </c>
    </row>
    <row r="2431" spans="1:20" hidden="1" x14ac:dyDescent="0.3">
      <c r="A2431">
        <v>4047</v>
      </c>
      <c r="B2431">
        <v>487</v>
      </c>
      <c r="C2431" t="s">
        <v>39</v>
      </c>
      <c r="D2431" t="s">
        <v>25</v>
      </c>
      <c r="E2431" t="s">
        <v>20</v>
      </c>
      <c r="F2431" s="1">
        <v>44589</v>
      </c>
      <c r="G2431" s="1">
        <v>44906</v>
      </c>
      <c r="H2431">
        <v>5393</v>
      </c>
      <c r="I2431">
        <v>7577</v>
      </c>
      <c r="J2431">
        <v>-2184</v>
      </c>
      <c r="K2431" t="s">
        <v>21</v>
      </c>
      <c r="L2431">
        <v>10</v>
      </c>
      <c r="M2431" t="str">
        <f t="shared" si="37"/>
        <v>6-12 Months</v>
      </c>
      <c r="N2431" s="1">
        <v>44906</v>
      </c>
      <c r="O2431">
        <v>0</v>
      </c>
      <c r="P2431">
        <v>2430</v>
      </c>
      <c r="Q2431" s="2">
        <v>-0.4</v>
      </c>
      <c r="R2431" t="s">
        <v>27</v>
      </c>
      <c r="S2431">
        <v>2022</v>
      </c>
      <c r="T2431" t="s">
        <v>31</v>
      </c>
    </row>
    <row r="2432" spans="1:20" hidden="1" x14ac:dyDescent="0.3">
      <c r="A2432">
        <v>4052</v>
      </c>
      <c r="B2432">
        <v>297</v>
      </c>
      <c r="C2432" t="s">
        <v>40</v>
      </c>
      <c r="D2432" t="s">
        <v>34</v>
      </c>
      <c r="E2432" t="s">
        <v>37</v>
      </c>
      <c r="F2432" s="1">
        <v>44899</v>
      </c>
      <c r="G2432" s="1">
        <v>45021</v>
      </c>
      <c r="H2432">
        <v>4967.93</v>
      </c>
      <c r="I2432">
        <v>4933</v>
      </c>
      <c r="J2432">
        <v>577.01</v>
      </c>
      <c r="K2432" t="s">
        <v>54</v>
      </c>
      <c r="L2432">
        <v>4</v>
      </c>
      <c r="M2432" t="str">
        <f t="shared" si="37"/>
        <v>0-6 Months</v>
      </c>
      <c r="N2432" s="1">
        <v>45021</v>
      </c>
      <c r="O2432">
        <v>1</v>
      </c>
      <c r="P2432">
        <v>2431</v>
      </c>
      <c r="Q2432" s="2">
        <v>0.12</v>
      </c>
      <c r="R2432" t="s">
        <v>27</v>
      </c>
      <c r="S2432">
        <v>2023</v>
      </c>
      <c r="T2432" t="s">
        <v>32</v>
      </c>
    </row>
    <row r="2433" spans="1:20" hidden="1" x14ac:dyDescent="0.3">
      <c r="A2433">
        <v>4053</v>
      </c>
      <c r="B2433">
        <v>385</v>
      </c>
      <c r="C2433" t="s">
        <v>40</v>
      </c>
      <c r="D2433" t="s">
        <v>25</v>
      </c>
      <c r="E2433" t="s">
        <v>26</v>
      </c>
      <c r="F2433" s="1">
        <v>44814</v>
      </c>
      <c r="G2433" s="1">
        <v>45005</v>
      </c>
      <c r="H2433">
        <v>1062</v>
      </c>
      <c r="I2433">
        <v>3709</v>
      </c>
      <c r="J2433">
        <v>-2647</v>
      </c>
      <c r="K2433" t="s">
        <v>54</v>
      </c>
      <c r="L2433">
        <v>6</v>
      </c>
      <c r="M2433" t="str">
        <f t="shared" si="37"/>
        <v>12+ Months</v>
      </c>
      <c r="N2433" s="1">
        <v>45005</v>
      </c>
      <c r="O2433">
        <v>1</v>
      </c>
      <c r="P2433">
        <v>2432</v>
      </c>
      <c r="Q2433" s="2">
        <v>-2.4900000000000002</v>
      </c>
      <c r="R2433" t="s">
        <v>22</v>
      </c>
      <c r="S2433">
        <v>2023</v>
      </c>
      <c r="T2433" t="s">
        <v>38</v>
      </c>
    </row>
    <row r="2434" spans="1:20" hidden="1" x14ac:dyDescent="0.3">
      <c r="A2434">
        <v>4054</v>
      </c>
      <c r="B2434">
        <v>483</v>
      </c>
      <c r="C2434" t="s">
        <v>39</v>
      </c>
      <c r="D2434" t="s">
        <v>34</v>
      </c>
      <c r="E2434" t="s">
        <v>26</v>
      </c>
      <c r="F2434" s="1">
        <v>44763</v>
      </c>
      <c r="G2434" s="1">
        <v>44836</v>
      </c>
      <c r="H2434">
        <v>4677</v>
      </c>
      <c r="I2434">
        <v>4387</v>
      </c>
      <c r="J2434">
        <v>290</v>
      </c>
      <c r="K2434" t="s">
        <v>54</v>
      </c>
      <c r="L2434">
        <v>2</v>
      </c>
      <c r="M2434" t="str">
        <f t="shared" ref="M2434:M2497" si="38">IF(L2434&lt;6,"0-6 Months",IF(L2434&gt;6,"6-12 Months","12+ Months"))</f>
        <v>0-6 Months</v>
      </c>
      <c r="N2434" s="1">
        <v>44836</v>
      </c>
      <c r="O2434">
        <v>0</v>
      </c>
      <c r="P2434">
        <v>2433</v>
      </c>
      <c r="Q2434" s="2">
        <v>0.06</v>
      </c>
      <c r="R2434" t="s">
        <v>27</v>
      </c>
      <c r="S2434">
        <v>2022</v>
      </c>
      <c r="T2434" t="s">
        <v>33</v>
      </c>
    </row>
    <row r="2435" spans="1:20" x14ac:dyDescent="0.3">
      <c r="A2435">
        <v>4055</v>
      </c>
      <c r="B2435">
        <v>428</v>
      </c>
      <c r="C2435" t="s">
        <v>39</v>
      </c>
      <c r="D2435" t="s">
        <v>25</v>
      </c>
      <c r="E2435" t="s">
        <v>37</v>
      </c>
      <c r="F2435" s="1">
        <v>44595</v>
      </c>
      <c r="G2435" s="1">
        <v>44651</v>
      </c>
      <c r="H2435">
        <v>4967.93</v>
      </c>
      <c r="I2435">
        <v>161</v>
      </c>
      <c r="J2435">
        <v>-1088</v>
      </c>
      <c r="K2435" t="s">
        <v>35</v>
      </c>
      <c r="L2435">
        <v>1</v>
      </c>
      <c r="M2435" t="str">
        <f t="shared" si="38"/>
        <v>0-6 Months</v>
      </c>
      <c r="N2435" s="1">
        <v>44651</v>
      </c>
      <c r="O2435">
        <v>0</v>
      </c>
      <c r="P2435">
        <v>2434</v>
      </c>
      <c r="Q2435" s="2">
        <v>-0.22</v>
      </c>
      <c r="R2435" t="s">
        <v>27</v>
      </c>
      <c r="S2435">
        <v>2022</v>
      </c>
      <c r="T2435" t="s">
        <v>38</v>
      </c>
    </row>
    <row r="2436" spans="1:20" hidden="1" x14ac:dyDescent="0.3">
      <c r="A2436">
        <v>4057</v>
      </c>
      <c r="B2436">
        <v>484</v>
      </c>
      <c r="C2436" t="s">
        <v>40</v>
      </c>
      <c r="D2436" t="s">
        <v>25</v>
      </c>
      <c r="E2436" t="s">
        <v>37</v>
      </c>
      <c r="F2436" s="1">
        <v>44834</v>
      </c>
      <c r="G2436" s="1">
        <v>45114</v>
      </c>
      <c r="H2436">
        <v>6686</v>
      </c>
      <c r="I2436">
        <v>5665</v>
      </c>
      <c r="J2436">
        <v>1021</v>
      </c>
      <c r="K2436" t="s">
        <v>21</v>
      </c>
      <c r="L2436">
        <v>9</v>
      </c>
      <c r="M2436" t="str">
        <f t="shared" si="38"/>
        <v>6-12 Months</v>
      </c>
      <c r="N2436" s="1">
        <v>45114</v>
      </c>
      <c r="O2436">
        <v>1</v>
      </c>
      <c r="P2436">
        <v>2435</v>
      </c>
      <c r="Q2436" s="2">
        <v>0.15</v>
      </c>
      <c r="R2436" t="s">
        <v>27</v>
      </c>
      <c r="S2436">
        <v>2023</v>
      </c>
      <c r="T2436" t="s">
        <v>44</v>
      </c>
    </row>
    <row r="2437" spans="1:20" hidden="1" x14ac:dyDescent="0.3">
      <c r="A2437">
        <v>4058</v>
      </c>
      <c r="B2437">
        <v>409</v>
      </c>
      <c r="C2437" t="s">
        <v>45</v>
      </c>
      <c r="D2437" t="s">
        <v>25</v>
      </c>
      <c r="E2437" t="s">
        <v>26</v>
      </c>
      <c r="F2437" s="1">
        <v>44817</v>
      </c>
      <c r="G2437" s="1">
        <v>44965</v>
      </c>
      <c r="H2437">
        <v>4273</v>
      </c>
      <c r="I2437">
        <v>3470</v>
      </c>
      <c r="J2437">
        <v>803</v>
      </c>
      <c r="K2437" t="s">
        <v>21</v>
      </c>
      <c r="L2437">
        <v>4</v>
      </c>
      <c r="M2437" t="str">
        <f t="shared" si="38"/>
        <v>0-6 Months</v>
      </c>
      <c r="N2437" s="1">
        <v>44965</v>
      </c>
      <c r="O2437">
        <v>1</v>
      </c>
      <c r="P2437">
        <v>2436</v>
      </c>
      <c r="Q2437" s="2">
        <v>0.19</v>
      </c>
      <c r="R2437" t="s">
        <v>27</v>
      </c>
      <c r="S2437">
        <v>2023</v>
      </c>
      <c r="T2437" t="s">
        <v>43</v>
      </c>
    </row>
    <row r="2438" spans="1:20" hidden="1" x14ac:dyDescent="0.3">
      <c r="A2438">
        <v>4059</v>
      </c>
      <c r="B2438">
        <v>243</v>
      </c>
      <c r="C2438" t="s">
        <v>39</v>
      </c>
      <c r="D2438" t="s">
        <v>29</v>
      </c>
      <c r="E2438" t="s">
        <v>37</v>
      </c>
      <c r="F2438" s="1">
        <v>44585</v>
      </c>
      <c r="G2438" s="1">
        <v>45084</v>
      </c>
      <c r="H2438">
        <v>4967.93</v>
      </c>
      <c r="I2438">
        <v>4012.75</v>
      </c>
      <c r="J2438">
        <v>577.01</v>
      </c>
      <c r="K2438" t="s">
        <v>54</v>
      </c>
      <c r="L2438">
        <v>16</v>
      </c>
      <c r="M2438" t="str">
        <f t="shared" si="38"/>
        <v>6-12 Months</v>
      </c>
      <c r="N2438" s="1">
        <v>45084</v>
      </c>
      <c r="O2438">
        <v>1</v>
      </c>
      <c r="P2438">
        <v>2437</v>
      </c>
      <c r="Q2438" s="2">
        <v>0.12</v>
      </c>
      <c r="R2438" t="s">
        <v>27</v>
      </c>
      <c r="S2438">
        <v>2023</v>
      </c>
      <c r="T2438" t="s">
        <v>41</v>
      </c>
    </row>
    <row r="2439" spans="1:20" x14ac:dyDescent="0.3">
      <c r="A2439">
        <v>4060</v>
      </c>
      <c r="B2439">
        <v>173</v>
      </c>
      <c r="C2439" t="s">
        <v>40</v>
      </c>
      <c r="D2439" t="s">
        <v>19</v>
      </c>
      <c r="E2439" t="s">
        <v>20</v>
      </c>
      <c r="F2439" s="1">
        <v>44680</v>
      </c>
      <c r="G2439" s="1">
        <v>45161</v>
      </c>
      <c r="H2439">
        <v>481</v>
      </c>
      <c r="I2439">
        <v>3943</v>
      </c>
      <c r="J2439">
        <v>577.01</v>
      </c>
      <c r="K2439" t="s">
        <v>35</v>
      </c>
      <c r="L2439">
        <v>15</v>
      </c>
      <c r="M2439" t="str">
        <f t="shared" si="38"/>
        <v>6-12 Months</v>
      </c>
      <c r="N2439" s="1">
        <v>45161</v>
      </c>
      <c r="O2439">
        <v>1</v>
      </c>
      <c r="P2439">
        <v>2438</v>
      </c>
      <c r="Q2439" s="2">
        <v>1.2</v>
      </c>
      <c r="R2439" t="s">
        <v>22</v>
      </c>
      <c r="S2439">
        <v>2023</v>
      </c>
      <c r="T2439" t="s">
        <v>36</v>
      </c>
    </row>
    <row r="2440" spans="1:20" hidden="1" x14ac:dyDescent="0.3">
      <c r="A2440">
        <v>4061</v>
      </c>
      <c r="B2440">
        <v>493</v>
      </c>
      <c r="C2440" t="s">
        <v>40</v>
      </c>
      <c r="D2440" t="s">
        <v>19</v>
      </c>
      <c r="E2440" t="s">
        <v>37</v>
      </c>
      <c r="F2440" s="1">
        <v>44878</v>
      </c>
      <c r="G2440" s="1">
        <v>45267</v>
      </c>
      <c r="H2440">
        <v>9662</v>
      </c>
      <c r="I2440">
        <v>570</v>
      </c>
      <c r="J2440">
        <v>9092</v>
      </c>
      <c r="K2440" t="s">
        <v>21</v>
      </c>
      <c r="L2440">
        <v>12</v>
      </c>
      <c r="M2440" t="str">
        <f t="shared" si="38"/>
        <v>6-12 Months</v>
      </c>
      <c r="N2440" s="1">
        <v>45267</v>
      </c>
      <c r="O2440">
        <v>1</v>
      </c>
      <c r="P2440">
        <v>2439</v>
      </c>
      <c r="Q2440" s="2">
        <v>0.94</v>
      </c>
      <c r="R2440" t="s">
        <v>27</v>
      </c>
      <c r="S2440">
        <v>2023</v>
      </c>
      <c r="T2440" t="s">
        <v>31</v>
      </c>
    </row>
    <row r="2441" spans="1:20" hidden="1" x14ac:dyDescent="0.3">
      <c r="A2441">
        <v>4063</v>
      </c>
      <c r="B2441">
        <v>175</v>
      </c>
      <c r="C2441" t="s">
        <v>39</v>
      </c>
      <c r="D2441" t="s">
        <v>29</v>
      </c>
      <c r="E2441" t="s">
        <v>26</v>
      </c>
      <c r="F2441" s="1">
        <v>44897</v>
      </c>
      <c r="G2441" s="1">
        <v>45403</v>
      </c>
      <c r="H2441">
        <v>5187</v>
      </c>
      <c r="I2441">
        <v>4439</v>
      </c>
      <c r="J2441">
        <v>748</v>
      </c>
      <c r="K2441" t="s">
        <v>54</v>
      </c>
      <c r="L2441">
        <v>16</v>
      </c>
      <c r="M2441" t="str">
        <f t="shared" si="38"/>
        <v>6-12 Months</v>
      </c>
      <c r="N2441" s="1">
        <v>45403</v>
      </c>
      <c r="O2441">
        <v>1</v>
      </c>
      <c r="P2441">
        <v>2440</v>
      </c>
      <c r="Q2441" s="2">
        <v>0.14000000000000001</v>
      </c>
      <c r="R2441" t="s">
        <v>27</v>
      </c>
      <c r="S2441">
        <v>2024</v>
      </c>
      <c r="T2441" t="s">
        <v>32</v>
      </c>
    </row>
    <row r="2442" spans="1:20" hidden="1" x14ac:dyDescent="0.3">
      <c r="A2442">
        <v>4064</v>
      </c>
      <c r="B2442">
        <v>478</v>
      </c>
      <c r="C2442" t="s">
        <v>40</v>
      </c>
      <c r="D2442" t="s">
        <v>19</v>
      </c>
      <c r="E2442" t="s">
        <v>26</v>
      </c>
      <c r="F2442" s="1">
        <v>44827</v>
      </c>
      <c r="G2442" s="1">
        <v>44971</v>
      </c>
      <c r="H2442">
        <v>8296</v>
      </c>
      <c r="I2442">
        <v>4012.75</v>
      </c>
      <c r="J2442">
        <v>8811</v>
      </c>
      <c r="K2442" t="s">
        <v>54</v>
      </c>
      <c r="L2442">
        <v>4</v>
      </c>
      <c r="M2442" t="str">
        <f t="shared" si="38"/>
        <v>0-6 Months</v>
      </c>
      <c r="N2442" s="1">
        <v>44971</v>
      </c>
      <c r="O2442">
        <v>1</v>
      </c>
      <c r="P2442">
        <v>2441</v>
      </c>
      <c r="Q2442" s="2">
        <v>1.06</v>
      </c>
      <c r="R2442" t="s">
        <v>22</v>
      </c>
      <c r="S2442">
        <v>2023</v>
      </c>
      <c r="T2442" t="s">
        <v>43</v>
      </c>
    </row>
    <row r="2443" spans="1:20" x14ac:dyDescent="0.3">
      <c r="A2443">
        <v>4069</v>
      </c>
      <c r="B2443">
        <v>159</v>
      </c>
      <c r="C2443" t="s">
        <v>39</v>
      </c>
      <c r="D2443" t="s">
        <v>29</v>
      </c>
      <c r="E2443" t="s">
        <v>20</v>
      </c>
      <c r="F2443" s="1">
        <v>44926</v>
      </c>
      <c r="G2443" s="1">
        <v>45327</v>
      </c>
      <c r="H2443">
        <v>2575</v>
      </c>
      <c r="I2443">
        <v>2502</v>
      </c>
      <c r="J2443">
        <v>73</v>
      </c>
      <c r="K2443" t="s">
        <v>35</v>
      </c>
      <c r="L2443">
        <v>13</v>
      </c>
      <c r="M2443" t="str">
        <f t="shared" si="38"/>
        <v>6-12 Months</v>
      </c>
      <c r="N2443" s="1">
        <v>45327</v>
      </c>
      <c r="O2443">
        <v>1</v>
      </c>
      <c r="P2443">
        <v>2442</v>
      </c>
      <c r="Q2443" s="2">
        <v>0.03</v>
      </c>
      <c r="R2443" t="s">
        <v>27</v>
      </c>
      <c r="S2443">
        <v>2024</v>
      </c>
      <c r="T2443" t="s">
        <v>43</v>
      </c>
    </row>
    <row r="2444" spans="1:20" hidden="1" x14ac:dyDescent="0.3">
      <c r="A2444">
        <v>4070</v>
      </c>
      <c r="B2444">
        <v>312</v>
      </c>
      <c r="C2444" t="s">
        <v>53</v>
      </c>
      <c r="D2444" t="s">
        <v>25</v>
      </c>
      <c r="E2444" t="s">
        <v>26</v>
      </c>
      <c r="F2444" s="1">
        <v>44926</v>
      </c>
      <c r="G2444" s="1">
        <v>45302</v>
      </c>
      <c r="H2444">
        <v>4981</v>
      </c>
      <c r="I2444">
        <v>7131</v>
      </c>
      <c r="J2444">
        <v>-2150</v>
      </c>
      <c r="K2444" t="s">
        <v>21</v>
      </c>
      <c r="L2444">
        <v>12</v>
      </c>
      <c r="M2444" t="str">
        <f t="shared" si="38"/>
        <v>6-12 Months</v>
      </c>
      <c r="N2444" s="1">
        <v>45302</v>
      </c>
      <c r="O2444">
        <v>0</v>
      </c>
      <c r="P2444">
        <v>2443</v>
      </c>
      <c r="Q2444" s="2">
        <v>-0.43</v>
      </c>
      <c r="R2444" t="s">
        <v>27</v>
      </c>
      <c r="S2444">
        <v>2024</v>
      </c>
      <c r="T2444" t="s">
        <v>23</v>
      </c>
    </row>
    <row r="2445" spans="1:20" x14ac:dyDescent="0.3">
      <c r="A2445">
        <v>4074</v>
      </c>
      <c r="B2445">
        <v>297</v>
      </c>
      <c r="C2445" t="s">
        <v>45</v>
      </c>
      <c r="D2445" t="s">
        <v>25</v>
      </c>
      <c r="E2445" t="s">
        <v>37</v>
      </c>
      <c r="F2445" s="1">
        <v>44628</v>
      </c>
      <c r="G2445" s="1">
        <v>45161</v>
      </c>
      <c r="H2445">
        <v>9143</v>
      </c>
      <c r="I2445">
        <v>4399</v>
      </c>
      <c r="J2445">
        <v>4744</v>
      </c>
      <c r="K2445" t="s">
        <v>35</v>
      </c>
      <c r="L2445">
        <v>17</v>
      </c>
      <c r="M2445" t="str">
        <f t="shared" si="38"/>
        <v>6-12 Months</v>
      </c>
      <c r="N2445" s="1">
        <v>45161</v>
      </c>
      <c r="O2445">
        <v>0</v>
      </c>
      <c r="P2445">
        <v>2444</v>
      </c>
      <c r="Q2445" s="2">
        <v>0.52</v>
      </c>
      <c r="R2445" t="s">
        <v>27</v>
      </c>
      <c r="S2445">
        <v>2023</v>
      </c>
      <c r="T2445" t="s">
        <v>36</v>
      </c>
    </row>
    <row r="2446" spans="1:20" x14ac:dyDescent="0.3">
      <c r="A2446">
        <v>4075</v>
      </c>
      <c r="B2446">
        <v>101</v>
      </c>
      <c r="C2446" t="s">
        <v>39</v>
      </c>
      <c r="D2446" t="s">
        <v>29</v>
      </c>
      <c r="E2446" t="s">
        <v>20</v>
      </c>
      <c r="F2446" s="1">
        <v>44816</v>
      </c>
      <c r="G2446" s="1">
        <v>45291</v>
      </c>
      <c r="H2446">
        <v>4967.93</v>
      </c>
      <c r="I2446">
        <v>5504</v>
      </c>
      <c r="J2446">
        <v>-5546</v>
      </c>
      <c r="K2446" t="s">
        <v>35</v>
      </c>
      <c r="L2446">
        <v>15</v>
      </c>
      <c r="M2446" t="str">
        <f t="shared" si="38"/>
        <v>6-12 Months</v>
      </c>
      <c r="N2446" s="1">
        <v>45291</v>
      </c>
      <c r="O2446">
        <v>0</v>
      </c>
      <c r="P2446">
        <v>2445</v>
      </c>
      <c r="Q2446" s="2">
        <v>-1.1200000000000001</v>
      </c>
      <c r="R2446" t="s">
        <v>22</v>
      </c>
      <c r="S2446">
        <v>2023</v>
      </c>
      <c r="T2446" t="s">
        <v>31</v>
      </c>
    </row>
    <row r="2447" spans="1:20" hidden="1" x14ac:dyDescent="0.3">
      <c r="A2447">
        <v>4077</v>
      </c>
      <c r="B2447">
        <v>288</v>
      </c>
      <c r="C2447" t="s">
        <v>53</v>
      </c>
      <c r="D2447" t="s">
        <v>25</v>
      </c>
      <c r="E2447" t="s">
        <v>20</v>
      </c>
      <c r="F2447" s="1">
        <v>44811</v>
      </c>
      <c r="G2447" s="1">
        <v>45283</v>
      </c>
      <c r="H2447">
        <v>8084</v>
      </c>
      <c r="I2447">
        <v>7600</v>
      </c>
      <c r="J2447">
        <v>484</v>
      </c>
      <c r="K2447" t="s">
        <v>21</v>
      </c>
      <c r="L2447">
        <v>15</v>
      </c>
      <c r="M2447" t="str">
        <f t="shared" si="38"/>
        <v>6-12 Months</v>
      </c>
      <c r="N2447" s="1">
        <v>45283</v>
      </c>
      <c r="O2447">
        <v>1</v>
      </c>
      <c r="P2447">
        <v>2446</v>
      </c>
      <c r="Q2447" s="2">
        <v>0.06</v>
      </c>
      <c r="R2447" t="s">
        <v>27</v>
      </c>
      <c r="S2447">
        <v>2023</v>
      </c>
      <c r="T2447" t="s">
        <v>31</v>
      </c>
    </row>
    <row r="2448" spans="1:20" x14ac:dyDescent="0.3">
      <c r="A2448">
        <v>4078</v>
      </c>
      <c r="B2448">
        <v>262</v>
      </c>
      <c r="C2448" t="s">
        <v>40</v>
      </c>
      <c r="D2448" t="s">
        <v>29</v>
      </c>
      <c r="E2448" t="s">
        <v>26</v>
      </c>
      <c r="F2448" s="1">
        <v>44748</v>
      </c>
      <c r="G2448" s="1">
        <v>45315</v>
      </c>
      <c r="H2448">
        <v>4967.93</v>
      </c>
      <c r="I2448">
        <v>1679</v>
      </c>
      <c r="J2448">
        <v>-3229</v>
      </c>
      <c r="K2448" t="s">
        <v>35</v>
      </c>
      <c r="L2448">
        <v>18</v>
      </c>
      <c r="M2448" t="str">
        <f t="shared" si="38"/>
        <v>6-12 Months</v>
      </c>
      <c r="N2448" s="1">
        <v>45315</v>
      </c>
      <c r="O2448">
        <v>1</v>
      </c>
      <c r="P2448">
        <v>2447</v>
      </c>
      <c r="Q2448" s="2">
        <v>-0.65</v>
      </c>
      <c r="R2448" t="s">
        <v>27</v>
      </c>
      <c r="S2448">
        <v>2024</v>
      </c>
      <c r="T2448" t="s">
        <v>23</v>
      </c>
    </row>
    <row r="2449" spans="1:20" hidden="1" x14ac:dyDescent="0.3">
      <c r="A2449">
        <v>4079</v>
      </c>
      <c r="B2449">
        <v>243</v>
      </c>
      <c r="C2449" t="s">
        <v>45</v>
      </c>
      <c r="D2449" t="s">
        <v>19</v>
      </c>
      <c r="E2449" t="s">
        <v>20</v>
      </c>
      <c r="F2449" s="1">
        <v>44729</v>
      </c>
      <c r="G2449" s="1">
        <v>44834</v>
      </c>
      <c r="H2449">
        <v>5128</v>
      </c>
      <c r="I2449">
        <v>5128</v>
      </c>
      <c r="J2449">
        <v>0</v>
      </c>
      <c r="K2449" t="s">
        <v>21</v>
      </c>
      <c r="L2449">
        <v>3</v>
      </c>
      <c r="M2449" t="str">
        <f t="shared" si="38"/>
        <v>0-6 Months</v>
      </c>
      <c r="N2449" s="1">
        <v>44834</v>
      </c>
      <c r="O2449">
        <v>0</v>
      </c>
      <c r="P2449">
        <v>2448</v>
      </c>
      <c r="Q2449" s="2">
        <v>0</v>
      </c>
      <c r="R2449" t="s">
        <v>27</v>
      </c>
      <c r="S2449">
        <v>2022</v>
      </c>
      <c r="T2449" t="s">
        <v>30</v>
      </c>
    </row>
    <row r="2450" spans="1:20" hidden="1" x14ac:dyDescent="0.3">
      <c r="A2450">
        <v>4080</v>
      </c>
      <c r="B2450">
        <v>250</v>
      </c>
      <c r="C2450" t="s">
        <v>39</v>
      </c>
      <c r="D2450" t="s">
        <v>34</v>
      </c>
      <c r="E2450" t="s">
        <v>26</v>
      </c>
      <c r="F2450" s="1">
        <v>44679</v>
      </c>
      <c r="G2450" s="1">
        <v>45200</v>
      </c>
      <c r="H2450">
        <v>645</v>
      </c>
      <c r="I2450">
        <v>3996</v>
      </c>
      <c r="J2450">
        <v>-3351</v>
      </c>
      <c r="K2450" t="s">
        <v>21</v>
      </c>
      <c r="L2450">
        <v>17</v>
      </c>
      <c r="M2450" t="str">
        <f t="shared" si="38"/>
        <v>6-12 Months</v>
      </c>
      <c r="N2450" s="1">
        <v>45200</v>
      </c>
      <c r="O2450">
        <v>0</v>
      </c>
      <c r="P2450">
        <v>2449</v>
      </c>
      <c r="Q2450" s="2">
        <v>-5.2</v>
      </c>
      <c r="R2450" t="s">
        <v>22</v>
      </c>
      <c r="S2450">
        <v>2023</v>
      </c>
      <c r="T2450" t="s">
        <v>33</v>
      </c>
    </row>
    <row r="2451" spans="1:20" hidden="1" x14ac:dyDescent="0.3">
      <c r="A2451">
        <v>4081</v>
      </c>
      <c r="B2451">
        <v>207</v>
      </c>
      <c r="C2451" t="s">
        <v>45</v>
      </c>
      <c r="D2451" t="s">
        <v>34</v>
      </c>
      <c r="E2451" t="s">
        <v>20</v>
      </c>
      <c r="F2451" s="1">
        <v>44749</v>
      </c>
      <c r="G2451" s="1">
        <v>44935</v>
      </c>
      <c r="H2451">
        <v>5457</v>
      </c>
      <c r="I2451">
        <v>7167</v>
      </c>
      <c r="J2451">
        <v>-1710</v>
      </c>
      <c r="K2451" t="s">
        <v>21</v>
      </c>
      <c r="L2451">
        <v>6</v>
      </c>
      <c r="M2451" t="str">
        <f t="shared" si="38"/>
        <v>12+ Months</v>
      </c>
      <c r="N2451" s="1">
        <v>44935</v>
      </c>
      <c r="O2451">
        <v>0</v>
      </c>
      <c r="P2451">
        <v>2450</v>
      </c>
      <c r="Q2451" s="2">
        <v>-0.31</v>
      </c>
      <c r="R2451" t="s">
        <v>27</v>
      </c>
      <c r="S2451">
        <v>2023</v>
      </c>
      <c r="T2451" t="s">
        <v>23</v>
      </c>
    </row>
    <row r="2452" spans="1:20" x14ac:dyDescent="0.3">
      <c r="A2452">
        <v>4082</v>
      </c>
      <c r="B2452">
        <v>439</v>
      </c>
      <c r="C2452" t="s">
        <v>39</v>
      </c>
      <c r="D2452" t="s">
        <v>29</v>
      </c>
      <c r="E2452" t="s">
        <v>26</v>
      </c>
      <c r="F2452" s="1">
        <v>44589</v>
      </c>
      <c r="G2452" s="1">
        <v>44779</v>
      </c>
      <c r="H2452">
        <v>520</v>
      </c>
      <c r="I2452">
        <v>7919</v>
      </c>
      <c r="J2452">
        <v>-7399</v>
      </c>
      <c r="K2452" t="s">
        <v>35</v>
      </c>
      <c r="L2452">
        <v>6</v>
      </c>
      <c r="M2452" t="str">
        <f t="shared" si="38"/>
        <v>12+ Months</v>
      </c>
      <c r="N2452" s="1">
        <v>44779</v>
      </c>
      <c r="O2452">
        <v>1</v>
      </c>
      <c r="P2452">
        <v>2451</v>
      </c>
      <c r="Q2452" s="2">
        <v>-14.23</v>
      </c>
      <c r="R2452" t="s">
        <v>22</v>
      </c>
      <c r="S2452">
        <v>2022</v>
      </c>
      <c r="T2452" t="s">
        <v>36</v>
      </c>
    </row>
    <row r="2453" spans="1:20" hidden="1" x14ac:dyDescent="0.3">
      <c r="A2453">
        <v>4083</v>
      </c>
      <c r="B2453">
        <v>175</v>
      </c>
      <c r="C2453" t="s">
        <v>24</v>
      </c>
      <c r="D2453" t="s">
        <v>34</v>
      </c>
      <c r="E2453" t="s">
        <v>20</v>
      </c>
      <c r="F2453" s="1">
        <v>44838</v>
      </c>
      <c r="G2453" s="1">
        <v>45418</v>
      </c>
      <c r="H2453">
        <v>6872</v>
      </c>
      <c r="I2453">
        <v>4012.75</v>
      </c>
      <c r="J2453">
        <v>7299</v>
      </c>
      <c r="K2453" t="s">
        <v>21</v>
      </c>
      <c r="L2453">
        <v>19</v>
      </c>
      <c r="M2453" t="str">
        <f t="shared" si="38"/>
        <v>6-12 Months</v>
      </c>
      <c r="N2453" s="1">
        <v>45418</v>
      </c>
      <c r="O2453">
        <v>0</v>
      </c>
      <c r="P2453">
        <v>2452</v>
      </c>
      <c r="Q2453" s="2">
        <v>1.06</v>
      </c>
      <c r="R2453" t="s">
        <v>22</v>
      </c>
      <c r="S2453">
        <v>2024</v>
      </c>
      <c r="T2453" t="s">
        <v>28</v>
      </c>
    </row>
    <row r="2454" spans="1:20" hidden="1" x14ac:dyDescent="0.3">
      <c r="A2454">
        <v>4084</v>
      </c>
      <c r="B2454">
        <v>263</v>
      </c>
      <c r="C2454" t="s">
        <v>24</v>
      </c>
      <c r="D2454" t="s">
        <v>29</v>
      </c>
      <c r="E2454" t="s">
        <v>26</v>
      </c>
      <c r="F2454" s="1">
        <v>44864</v>
      </c>
      <c r="G2454" s="1">
        <v>45120</v>
      </c>
      <c r="H2454">
        <v>2113</v>
      </c>
      <c r="I2454">
        <v>113</v>
      </c>
      <c r="J2454">
        <v>2000</v>
      </c>
      <c r="K2454" t="s">
        <v>21</v>
      </c>
      <c r="L2454">
        <v>8</v>
      </c>
      <c r="M2454" t="str">
        <f t="shared" si="38"/>
        <v>6-12 Months</v>
      </c>
      <c r="N2454" s="1">
        <v>45120</v>
      </c>
      <c r="O2454">
        <v>0</v>
      </c>
      <c r="P2454">
        <v>2453</v>
      </c>
      <c r="Q2454" s="2">
        <v>0.95</v>
      </c>
      <c r="R2454" t="s">
        <v>27</v>
      </c>
      <c r="S2454">
        <v>2023</v>
      </c>
      <c r="T2454" t="s">
        <v>44</v>
      </c>
    </row>
    <row r="2455" spans="1:20" x14ac:dyDescent="0.3">
      <c r="A2455">
        <v>4085</v>
      </c>
      <c r="B2455">
        <v>316</v>
      </c>
      <c r="C2455" t="s">
        <v>45</v>
      </c>
      <c r="D2455" t="s">
        <v>19</v>
      </c>
      <c r="E2455" t="s">
        <v>37</v>
      </c>
      <c r="F2455" s="1">
        <v>44888</v>
      </c>
      <c r="G2455" s="1">
        <v>45201</v>
      </c>
      <c r="H2455">
        <v>9226</v>
      </c>
      <c r="I2455">
        <v>4764</v>
      </c>
      <c r="J2455">
        <v>4462</v>
      </c>
      <c r="K2455" t="s">
        <v>35</v>
      </c>
      <c r="L2455">
        <v>10</v>
      </c>
      <c r="M2455" t="str">
        <f t="shared" si="38"/>
        <v>6-12 Months</v>
      </c>
      <c r="N2455" s="1">
        <v>45201</v>
      </c>
      <c r="O2455">
        <v>1</v>
      </c>
      <c r="P2455">
        <v>2454</v>
      </c>
      <c r="Q2455" s="2">
        <v>0.48</v>
      </c>
      <c r="R2455" t="s">
        <v>27</v>
      </c>
      <c r="S2455">
        <v>2023</v>
      </c>
      <c r="T2455" t="s">
        <v>33</v>
      </c>
    </row>
    <row r="2456" spans="1:20" hidden="1" x14ac:dyDescent="0.3">
      <c r="A2456">
        <v>4087</v>
      </c>
      <c r="B2456">
        <v>123</v>
      </c>
      <c r="C2456" t="s">
        <v>24</v>
      </c>
      <c r="D2456" t="s">
        <v>19</v>
      </c>
      <c r="E2456" t="s">
        <v>20</v>
      </c>
      <c r="F2456" s="1">
        <v>44880</v>
      </c>
      <c r="G2456" s="1">
        <v>45279</v>
      </c>
      <c r="H2456">
        <v>6086</v>
      </c>
      <c r="I2456">
        <v>2671</v>
      </c>
      <c r="J2456">
        <v>3415</v>
      </c>
      <c r="K2456" t="s">
        <v>54</v>
      </c>
      <c r="L2456">
        <v>13</v>
      </c>
      <c r="M2456" t="str">
        <f t="shared" si="38"/>
        <v>6-12 Months</v>
      </c>
      <c r="N2456" s="1">
        <v>45279</v>
      </c>
      <c r="O2456">
        <v>0</v>
      </c>
      <c r="P2456">
        <v>2455</v>
      </c>
      <c r="Q2456" s="2">
        <v>0.56000000000000005</v>
      </c>
      <c r="R2456" t="s">
        <v>27</v>
      </c>
      <c r="S2456">
        <v>2023</v>
      </c>
      <c r="T2456" t="s">
        <v>31</v>
      </c>
    </row>
    <row r="2457" spans="1:20" hidden="1" x14ac:dyDescent="0.3">
      <c r="A2457">
        <v>4088</v>
      </c>
      <c r="B2457">
        <v>420</v>
      </c>
      <c r="C2457" t="s">
        <v>53</v>
      </c>
      <c r="D2457" t="s">
        <v>25</v>
      </c>
      <c r="E2457" t="s">
        <v>37</v>
      </c>
      <c r="F2457" s="1">
        <v>44568</v>
      </c>
      <c r="G2457" s="1">
        <v>44988</v>
      </c>
      <c r="H2457">
        <v>960</v>
      </c>
      <c r="I2457">
        <v>2834</v>
      </c>
      <c r="J2457">
        <v>-1874</v>
      </c>
      <c r="K2457" t="s">
        <v>54</v>
      </c>
      <c r="L2457">
        <v>13</v>
      </c>
      <c r="M2457" t="str">
        <f t="shared" si="38"/>
        <v>6-12 Months</v>
      </c>
      <c r="N2457" s="1">
        <v>44988</v>
      </c>
      <c r="O2457">
        <v>0</v>
      </c>
      <c r="P2457">
        <v>2456</v>
      </c>
      <c r="Q2457" s="2">
        <v>-1.95</v>
      </c>
      <c r="R2457" t="s">
        <v>22</v>
      </c>
      <c r="S2457">
        <v>2023</v>
      </c>
      <c r="T2457" t="s">
        <v>38</v>
      </c>
    </row>
    <row r="2458" spans="1:20" hidden="1" x14ac:dyDescent="0.3">
      <c r="A2458">
        <v>4089</v>
      </c>
      <c r="B2458">
        <v>457</v>
      </c>
      <c r="C2458" t="s">
        <v>40</v>
      </c>
      <c r="D2458" t="s">
        <v>34</v>
      </c>
      <c r="E2458" t="s">
        <v>20</v>
      </c>
      <c r="F2458" s="1">
        <v>44868</v>
      </c>
      <c r="G2458" s="1">
        <v>44915</v>
      </c>
      <c r="H2458">
        <v>6411</v>
      </c>
      <c r="I2458">
        <v>5669</v>
      </c>
      <c r="J2458">
        <v>742</v>
      </c>
      <c r="K2458" t="s">
        <v>54</v>
      </c>
      <c r="L2458">
        <v>1</v>
      </c>
      <c r="M2458" t="str">
        <f t="shared" si="38"/>
        <v>0-6 Months</v>
      </c>
      <c r="N2458" s="1">
        <v>44915</v>
      </c>
      <c r="O2458">
        <v>1</v>
      </c>
      <c r="P2458">
        <v>2457</v>
      </c>
      <c r="Q2458" s="2">
        <v>0.12</v>
      </c>
      <c r="R2458" t="s">
        <v>27</v>
      </c>
      <c r="S2458">
        <v>2022</v>
      </c>
      <c r="T2458" t="s">
        <v>31</v>
      </c>
    </row>
    <row r="2459" spans="1:20" hidden="1" x14ac:dyDescent="0.3">
      <c r="A2459">
        <v>4090</v>
      </c>
      <c r="B2459">
        <v>466</v>
      </c>
      <c r="C2459" t="s">
        <v>24</v>
      </c>
      <c r="D2459" t="s">
        <v>29</v>
      </c>
      <c r="E2459" t="s">
        <v>20</v>
      </c>
      <c r="F2459" s="1">
        <v>44926</v>
      </c>
      <c r="G2459" s="1">
        <v>45466</v>
      </c>
      <c r="H2459">
        <v>4967.93</v>
      </c>
      <c r="I2459">
        <v>4012.75</v>
      </c>
      <c r="J2459">
        <v>577.01</v>
      </c>
      <c r="K2459" t="s">
        <v>54</v>
      </c>
      <c r="L2459">
        <v>17</v>
      </c>
      <c r="M2459" t="str">
        <f t="shared" si="38"/>
        <v>6-12 Months</v>
      </c>
      <c r="N2459" s="1">
        <v>45466</v>
      </c>
      <c r="O2459">
        <v>1</v>
      </c>
      <c r="P2459">
        <v>2458</v>
      </c>
      <c r="Q2459" s="2">
        <v>0.12</v>
      </c>
      <c r="R2459" t="s">
        <v>27</v>
      </c>
      <c r="S2459">
        <v>2024</v>
      </c>
      <c r="T2459" t="s">
        <v>41</v>
      </c>
    </row>
    <row r="2460" spans="1:20" hidden="1" x14ac:dyDescent="0.3">
      <c r="A2460">
        <v>4093</v>
      </c>
      <c r="B2460">
        <v>433</v>
      </c>
      <c r="C2460" t="s">
        <v>40</v>
      </c>
      <c r="D2460" t="s">
        <v>29</v>
      </c>
      <c r="E2460" t="s">
        <v>26</v>
      </c>
      <c r="F2460" s="1">
        <v>44911</v>
      </c>
      <c r="G2460" s="1">
        <v>45069</v>
      </c>
      <c r="H2460">
        <v>855</v>
      </c>
      <c r="I2460">
        <v>7830</v>
      </c>
      <c r="J2460">
        <v>-6975</v>
      </c>
      <c r="K2460" t="s">
        <v>21</v>
      </c>
      <c r="L2460">
        <v>5</v>
      </c>
      <c r="M2460" t="str">
        <f t="shared" si="38"/>
        <v>0-6 Months</v>
      </c>
      <c r="N2460" s="1">
        <v>45069</v>
      </c>
      <c r="O2460">
        <v>0</v>
      </c>
      <c r="P2460">
        <v>2459</v>
      </c>
      <c r="Q2460" s="2">
        <v>-8.16</v>
      </c>
      <c r="R2460" t="s">
        <v>22</v>
      </c>
      <c r="S2460">
        <v>2023</v>
      </c>
      <c r="T2460" t="s">
        <v>28</v>
      </c>
    </row>
    <row r="2461" spans="1:20" hidden="1" x14ac:dyDescent="0.3">
      <c r="A2461">
        <v>4096</v>
      </c>
      <c r="B2461">
        <v>328</v>
      </c>
      <c r="C2461" t="s">
        <v>53</v>
      </c>
      <c r="D2461" t="s">
        <v>29</v>
      </c>
      <c r="E2461" t="s">
        <v>26</v>
      </c>
      <c r="F2461" s="1">
        <v>44804</v>
      </c>
      <c r="G2461" s="1">
        <v>45210</v>
      </c>
      <c r="H2461">
        <v>5508</v>
      </c>
      <c r="I2461">
        <v>7028</v>
      </c>
      <c r="J2461">
        <v>-1520</v>
      </c>
      <c r="K2461" t="s">
        <v>54</v>
      </c>
      <c r="L2461">
        <v>13</v>
      </c>
      <c r="M2461" t="str">
        <f t="shared" si="38"/>
        <v>6-12 Months</v>
      </c>
      <c r="N2461" s="1">
        <v>45210</v>
      </c>
      <c r="O2461">
        <v>1</v>
      </c>
      <c r="P2461">
        <v>2460</v>
      </c>
      <c r="Q2461" s="2">
        <v>-0.28000000000000003</v>
      </c>
      <c r="R2461" t="s">
        <v>27</v>
      </c>
      <c r="S2461">
        <v>2023</v>
      </c>
      <c r="T2461" t="s">
        <v>33</v>
      </c>
    </row>
    <row r="2462" spans="1:20" x14ac:dyDescent="0.3">
      <c r="A2462">
        <v>4098</v>
      </c>
      <c r="B2462">
        <v>388</v>
      </c>
      <c r="C2462" t="s">
        <v>24</v>
      </c>
      <c r="D2462" t="s">
        <v>25</v>
      </c>
      <c r="E2462" t="s">
        <v>20</v>
      </c>
      <c r="F2462" s="1">
        <v>44883</v>
      </c>
      <c r="G2462" s="1">
        <v>45354</v>
      </c>
      <c r="H2462">
        <v>2146</v>
      </c>
      <c r="I2462">
        <v>4012.75</v>
      </c>
      <c r="J2462">
        <v>3103</v>
      </c>
      <c r="K2462" t="s">
        <v>35</v>
      </c>
      <c r="L2462">
        <v>15</v>
      </c>
      <c r="M2462" t="str">
        <f t="shared" si="38"/>
        <v>6-12 Months</v>
      </c>
      <c r="N2462" s="1">
        <v>45354</v>
      </c>
      <c r="O2462">
        <v>0</v>
      </c>
      <c r="P2462">
        <v>2461</v>
      </c>
      <c r="Q2462" s="2">
        <v>1.45</v>
      </c>
      <c r="R2462" t="s">
        <v>22</v>
      </c>
      <c r="S2462">
        <v>2024</v>
      </c>
      <c r="T2462" t="s">
        <v>38</v>
      </c>
    </row>
    <row r="2463" spans="1:20" x14ac:dyDescent="0.3">
      <c r="A2463">
        <v>4101</v>
      </c>
      <c r="B2463">
        <v>216</v>
      </c>
      <c r="C2463" t="s">
        <v>39</v>
      </c>
      <c r="D2463" t="s">
        <v>29</v>
      </c>
      <c r="E2463" t="s">
        <v>26</v>
      </c>
      <c r="F2463" s="1">
        <v>44754</v>
      </c>
      <c r="G2463" s="1">
        <v>44823</v>
      </c>
      <c r="H2463">
        <v>2619</v>
      </c>
      <c r="I2463">
        <v>4012.75</v>
      </c>
      <c r="J2463">
        <v>2985</v>
      </c>
      <c r="K2463" t="s">
        <v>35</v>
      </c>
      <c r="L2463">
        <v>2</v>
      </c>
      <c r="M2463" t="str">
        <f t="shared" si="38"/>
        <v>0-6 Months</v>
      </c>
      <c r="N2463" s="1">
        <v>44823</v>
      </c>
      <c r="O2463">
        <v>1</v>
      </c>
      <c r="P2463">
        <v>2462</v>
      </c>
      <c r="Q2463" s="2">
        <v>1.1399999999999999</v>
      </c>
      <c r="R2463" t="s">
        <v>22</v>
      </c>
      <c r="S2463">
        <v>2022</v>
      </c>
      <c r="T2463" t="s">
        <v>30</v>
      </c>
    </row>
    <row r="2464" spans="1:20" hidden="1" x14ac:dyDescent="0.3">
      <c r="A2464">
        <v>4105</v>
      </c>
      <c r="B2464">
        <v>275</v>
      </c>
      <c r="C2464" t="s">
        <v>24</v>
      </c>
      <c r="D2464" t="s">
        <v>29</v>
      </c>
      <c r="E2464" t="s">
        <v>26</v>
      </c>
      <c r="F2464" s="1">
        <v>44779</v>
      </c>
      <c r="G2464" s="1">
        <v>44849</v>
      </c>
      <c r="H2464">
        <v>9130</v>
      </c>
      <c r="I2464">
        <v>4391</v>
      </c>
      <c r="J2464">
        <v>577.01</v>
      </c>
      <c r="K2464" t="s">
        <v>54</v>
      </c>
      <c r="L2464">
        <v>2</v>
      </c>
      <c r="M2464" t="str">
        <f t="shared" si="38"/>
        <v>0-6 Months</v>
      </c>
      <c r="N2464" s="1">
        <v>44849</v>
      </c>
      <c r="O2464">
        <v>1</v>
      </c>
      <c r="P2464">
        <v>2463</v>
      </c>
      <c r="Q2464" s="2">
        <v>0.06</v>
      </c>
      <c r="R2464" t="s">
        <v>27</v>
      </c>
      <c r="S2464">
        <v>2022</v>
      </c>
      <c r="T2464" t="s">
        <v>33</v>
      </c>
    </row>
    <row r="2465" spans="1:20" hidden="1" x14ac:dyDescent="0.3">
      <c r="A2465">
        <v>4106</v>
      </c>
      <c r="B2465">
        <v>494</v>
      </c>
      <c r="C2465" t="s">
        <v>40</v>
      </c>
      <c r="D2465" t="s">
        <v>19</v>
      </c>
      <c r="E2465" t="s">
        <v>37</v>
      </c>
      <c r="F2465" s="1">
        <v>44784</v>
      </c>
      <c r="G2465" s="1">
        <v>44861</v>
      </c>
      <c r="H2465">
        <v>6515</v>
      </c>
      <c r="I2465">
        <v>5442</v>
      </c>
      <c r="J2465">
        <v>577.01</v>
      </c>
      <c r="K2465" t="s">
        <v>54</v>
      </c>
      <c r="L2465">
        <v>2</v>
      </c>
      <c r="M2465" t="str">
        <f t="shared" si="38"/>
        <v>0-6 Months</v>
      </c>
      <c r="N2465" s="1">
        <v>44861</v>
      </c>
      <c r="O2465">
        <v>0</v>
      </c>
      <c r="P2465">
        <v>2464</v>
      </c>
      <c r="Q2465" s="2">
        <v>0.09</v>
      </c>
      <c r="R2465" t="s">
        <v>27</v>
      </c>
      <c r="S2465">
        <v>2022</v>
      </c>
      <c r="T2465" t="s">
        <v>33</v>
      </c>
    </row>
    <row r="2466" spans="1:20" hidden="1" x14ac:dyDescent="0.3">
      <c r="A2466">
        <v>4107</v>
      </c>
      <c r="B2466">
        <v>336</v>
      </c>
      <c r="C2466" t="s">
        <v>45</v>
      </c>
      <c r="D2466" t="s">
        <v>34</v>
      </c>
      <c r="E2466" t="s">
        <v>20</v>
      </c>
      <c r="F2466" s="1">
        <v>44619</v>
      </c>
      <c r="G2466" s="1">
        <v>45000</v>
      </c>
      <c r="H2466">
        <v>5361</v>
      </c>
      <c r="I2466">
        <v>1270</v>
      </c>
      <c r="J2466">
        <v>4091</v>
      </c>
      <c r="K2466" t="s">
        <v>54</v>
      </c>
      <c r="L2466">
        <v>12</v>
      </c>
      <c r="M2466" t="str">
        <f t="shared" si="38"/>
        <v>6-12 Months</v>
      </c>
      <c r="N2466" s="1">
        <v>45000</v>
      </c>
      <c r="O2466">
        <v>1</v>
      </c>
      <c r="P2466">
        <v>2465</v>
      </c>
      <c r="Q2466" s="2">
        <v>0.76</v>
      </c>
      <c r="R2466" t="s">
        <v>27</v>
      </c>
      <c r="S2466">
        <v>2023</v>
      </c>
      <c r="T2466" t="s">
        <v>38</v>
      </c>
    </row>
    <row r="2467" spans="1:20" hidden="1" x14ac:dyDescent="0.3">
      <c r="A2467">
        <v>4109</v>
      </c>
      <c r="B2467">
        <v>297</v>
      </c>
      <c r="C2467" t="s">
        <v>39</v>
      </c>
      <c r="D2467" t="s">
        <v>34</v>
      </c>
      <c r="E2467" t="s">
        <v>20</v>
      </c>
      <c r="F2467" s="1">
        <v>44859</v>
      </c>
      <c r="G2467" s="1">
        <v>45391</v>
      </c>
      <c r="H2467">
        <v>9927</v>
      </c>
      <c r="I2467">
        <v>3483</v>
      </c>
      <c r="J2467">
        <v>6444</v>
      </c>
      <c r="K2467" t="s">
        <v>21</v>
      </c>
      <c r="L2467">
        <v>17</v>
      </c>
      <c r="M2467" t="str">
        <f t="shared" si="38"/>
        <v>6-12 Months</v>
      </c>
      <c r="N2467" s="1">
        <v>45391</v>
      </c>
      <c r="O2467">
        <v>0</v>
      </c>
      <c r="P2467">
        <v>2466</v>
      </c>
      <c r="Q2467" s="2">
        <v>0.65</v>
      </c>
      <c r="R2467" t="s">
        <v>27</v>
      </c>
      <c r="S2467">
        <v>2024</v>
      </c>
      <c r="T2467" t="s">
        <v>32</v>
      </c>
    </row>
    <row r="2468" spans="1:20" hidden="1" x14ac:dyDescent="0.3">
      <c r="A2468">
        <v>4110</v>
      </c>
      <c r="B2468">
        <v>229</v>
      </c>
      <c r="C2468" t="s">
        <v>39</v>
      </c>
      <c r="D2468" t="s">
        <v>19</v>
      </c>
      <c r="E2468" t="s">
        <v>37</v>
      </c>
      <c r="F2468" s="1">
        <v>44744</v>
      </c>
      <c r="G2468" s="1">
        <v>45316</v>
      </c>
      <c r="H2468">
        <v>2250</v>
      </c>
      <c r="I2468">
        <v>3245</v>
      </c>
      <c r="J2468">
        <v>-995</v>
      </c>
      <c r="K2468" t="s">
        <v>54</v>
      </c>
      <c r="L2468">
        <v>18</v>
      </c>
      <c r="M2468" t="str">
        <f t="shared" si="38"/>
        <v>6-12 Months</v>
      </c>
      <c r="N2468" s="1">
        <v>45316</v>
      </c>
      <c r="O2468">
        <v>1</v>
      </c>
      <c r="P2468">
        <v>2467</v>
      </c>
      <c r="Q2468" s="2">
        <v>-0.44</v>
      </c>
      <c r="R2468" t="s">
        <v>27</v>
      </c>
      <c r="S2468">
        <v>2024</v>
      </c>
      <c r="T2468" t="s">
        <v>23</v>
      </c>
    </row>
    <row r="2469" spans="1:20" hidden="1" x14ac:dyDescent="0.3">
      <c r="A2469">
        <v>4111</v>
      </c>
      <c r="B2469">
        <v>116</v>
      </c>
      <c r="C2469" t="s">
        <v>45</v>
      </c>
      <c r="D2469" t="s">
        <v>34</v>
      </c>
      <c r="E2469" t="s">
        <v>37</v>
      </c>
      <c r="F2469" s="1">
        <v>44917</v>
      </c>
      <c r="G2469" s="1">
        <v>44967</v>
      </c>
      <c r="H2469">
        <v>4252</v>
      </c>
      <c r="I2469">
        <v>3370</v>
      </c>
      <c r="J2469">
        <v>882</v>
      </c>
      <c r="K2469" t="s">
        <v>54</v>
      </c>
      <c r="L2469">
        <v>1</v>
      </c>
      <c r="M2469" t="str">
        <f t="shared" si="38"/>
        <v>0-6 Months</v>
      </c>
      <c r="N2469" s="1">
        <v>44967</v>
      </c>
      <c r="O2469">
        <v>1</v>
      </c>
      <c r="P2469">
        <v>2468</v>
      </c>
      <c r="Q2469" s="2">
        <v>0.21</v>
      </c>
      <c r="R2469" t="s">
        <v>27</v>
      </c>
      <c r="S2469">
        <v>2023</v>
      </c>
      <c r="T2469" t="s">
        <v>43</v>
      </c>
    </row>
    <row r="2470" spans="1:20" hidden="1" x14ac:dyDescent="0.3">
      <c r="A2470">
        <v>4112</v>
      </c>
      <c r="B2470">
        <v>195</v>
      </c>
      <c r="C2470" t="s">
        <v>40</v>
      </c>
      <c r="D2470" t="s">
        <v>19</v>
      </c>
      <c r="E2470" t="s">
        <v>37</v>
      </c>
      <c r="F2470" s="1">
        <v>44658</v>
      </c>
      <c r="G2470" s="1">
        <v>45034</v>
      </c>
      <c r="H2470">
        <v>354</v>
      </c>
      <c r="I2470">
        <v>5471</v>
      </c>
      <c r="J2470">
        <v>-5117</v>
      </c>
      <c r="K2470" t="s">
        <v>21</v>
      </c>
      <c r="L2470">
        <v>12</v>
      </c>
      <c r="M2470" t="str">
        <f t="shared" si="38"/>
        <v>6-12 Months</v>
      </c>
      <c r="N2470" s="1">
        <v>45034</v>
      </c>
      <c r="O2470">
        <v>1</v>
      </c>
      <c r="P2470">
        <v>2469</v>
      </c>
      <c r="Q2470" s="2">
        <v>-14.45</v>
      </c>
      <c r="R2470" t="s">
        <v>22</v>
      </c>
      <c r="S2470">
        <v>2023</v>
      </c>
      <c r="T2470" t="s">
        <v>32</v>
      </c>
    </row>
    <row r="2471" spans="1:20" hidden="1" x14ac:dyDescent="0.3">
      <c r="A2471">
        <v>4115</v>
      </c>
      <c r="B2471">
        <v>447</v>
      </c>
      <c r="C2471" t="s">
        <v>45</v>
      </c>
      <c r="D2471" t="s">
        <v>19</v>
      </c>
      <c r="E2471" t="s">
        <v>37</v>
      </c>
      <c r="F2471" s="1">
        <v>44692</v>
      </c>
      <c r="G2471" s="1">
        <v>44771</v>
      </c>
      <c r="H2471">
        <v>4967.93</v>
      </c>
      <c r="I2471">
        <v>779</v>
      </c>
      <c r="J2471">
        <v>-1817</v>
      </c>
      <c r="K2471" t="s">
        <v>54</v>
      </c>
      <c r="L2471">
        <v>2</v>
      </c>
      <c r="M2471" t="str">
        <f t="shared" si="38"/>
        <v>0-6 Months</v>
      </c>
      <c r="N2471" s="1">
        <v>44771</v>
      </c>
      <c r="O2471">
        <v>1</v>
      </c>
      <c r="P2471">
        <v>2470</v>
      </c>
      <c r="Q2471" s="2">
        <v>-0.37</v>
      </c>
      <c r="R2471" t="s">
        <v>27</v>
      </c>
      <c r="S2471">
        <v>2022</v>
      </c>
      <c r="T2471" t="s">
        <v>44</v>
      </c>
    </row>
    <row r="2472" spans="1:20" hidden="1" x14ac:dyDescent="0.3">
      <c r="A2472">
        <v>4117</v>
      </c>
      <c r="B2472">
        <v>186</v>
      </c>
      <c r="C2472" t="s">
        <v>53</v>
      </c>
      <c r="D2472" t="s">
        <v>25</v>
      </c>
      <c r="E2472" t="s">
        <v>26</v>
      </c>
      <c r="F2472" s="1">
        <v>44903</v>
      </c>
      <c r="G2472" s="1">
        <v>45420</v>
      </c>
      <c r="H2472">
        <v>4967.93</v>
      </c>
      <c r="I2472">
        <v>4934</v>
      </c>
      <c r="J2472">
        <v>-5637</v>
      </c>
      <c r="K2472" t="s">
        <v>54</v>
      </c>
      <c r="L2472">
        <v>17</v>
      </c>
      <c r="M2472" t="str">
        <f t="shared" si="38"/>
        <v>6-12 Months</v>
      </c>
      <c r="N2472" s="1">
        <v>45420</v>
      </c>
      <c r="O2472">
        <v>0</v>
      </c>
      <c r="P2472">
        <v>2471</v>
      </c>
      <c r="Q2472" s="2">
        <v>-1.1299999999999999</v>
      </c>
      <c r="R2472" t="s">
        <v>22</v>
      </c>
      <c r="S2472">
        <v>2024</v>
      </c>
      <c r="T2472" t="s">
        <v>28</v>
      </c>
    </row>
    <row r="2473" spans="1:20" hidden="1" x14ac:dyDescent="0.3">
      <c r="A2473">
        <v>4118</v>
      </c>
      <c r="B2473">
        <v>182</v>
      </c>
      <c r="C2473" t="s">
        <v>24</v>
      </c>
      <c r="D2473" t="s">
        <v>29</v>
      </c>
      <c r="E2473" t="s">
        <v>26</v>
      </c>
      <c r="F2473" s="1">
        <v>44585</v>
      </c>
      <c r="G2473" s="1">
        <v>44791</v>
      </c>
      <c r="H2473">
        <v>4967.93</v>
      </c>
      <c r="I2473">
        <v>2920</v>
      </c>
      <c r="J2473">
        <v>-3129</v>
      </c>
      <c r="K2473" t="s">
        <v>54</v>
      </c>
      <c r="L2473">
        <v>6</v>
      </c>
      <c r="M2473" t="str">
        <f t="shared" si="38"/>
        <v>12+ Months</v>
      </c>
      <c r="N2473" s="1">
        <v>44791</v>
      </c>
      <c r="O2473">
        <v>0</v>
      </c>
      <c r="P2473">
        <v>2472</v>
      </c>
      <c r="Q2473" s="2">
        <v>-0.63</v>
      </c>
      <c r="R2473" t="s">
        <v>27</v>
      </c>
      <c r="S2473">
        <v>2022</v>
      </c>
      <c r="T2473" t="s">
        <v>36</v>
      </c>
    </row>
    <row r="2474" spans="1:20" hidden="1" x14ac:dyDescent="0.3">
      <c r="A2474">
        <v>4119</v>
      </c>
      <c r="B2474">
        <v>218</v>
      </c>
      <c r="C2474" t="s">
        <v>39</v>
      </c>
      <c r="D2474" t="s">
        <v>29</v>
      </c>
      <c r="E2474" t="s">
        <v>37</v>
      </c>
      <c r="F2474" s="1">
        <v>44641</v>
      </c>
      <c r="G2474" s="1">
        <v>44917</v>
      </c>
      <c r="H2474">
        <v>604</v>
      </c>
      <c r="I2474">
        <v>4437</v>
      </c>
      <c r="J2474">
        <v>577.01</v>
      </c>
      <c r="K2474" t="s">
        <v>54</v>
      </c>
      <c r="L2474">
        <v>9</v>
      </c>
      <c r="M2474" t="str">
        <f t="shared" si="38"/>
        <v>6-12 Months</v>
      </c>
      <c r="N2474" s="1">
        <v>44917</v>
      </c>
      <c r="O2474">
        <v>0</v>
      </c>
      <c r="P2474">
        <v>2473</v>
      </c>
      <c r="Q2474" s="2">
        <v>0.96</v>
      </c>
      <c r="R2474" t="s">
        <v>27</v>
      </c>
      <c r="S2474">
        <v>2022</v>
      </c>
      <c r="T2474" t="s">
        <v>31</v>
      </c>
    </row>
    <row r="2475" spans="1:20" x14ac:dyDescent="0.3">
      <c r="A2475">
        <v>4121</v>
      </c>
      <c r="B2475">
        <v>431</v>
      </c>
      <c r="C2475" t="s">
        <v>24</v>
      </c>
      <c r="D2475" t="s">
        <v>34</v>
      </c>
      <c r="E2475" t="s">
        <v>20</v>
      </c>
      <c r="F2475" s="1">
        <v>44634</v>
      </c>
      <c r="G2475" s="1">
        <v>45151</v>
      </c>
      <c r="H2475">
        <v>4967.93</v>
      </c>
      <c r="I2475">
        <v>1436</v>
      </c>
      <c r="J2475">
        <v>-2646</v>
      </c>
      <c r="K2475" t="s">
        <v>35</v>
      </c>
      <c r="L2475">
        <v>16</v>
      </c>
      <c r="M2475" t="str">
        <f t="shared" si="38"/>
        <v>6-12 Months</v>
      </c>
      <c r="N2475" s="1">
        <v>45151</v>
      </c>
      <c r="O2475">
        <v>0</v>
      </c>
      <c r="P2475">
        <v>2474</v>
      </c>
      <c r="Q2475" s="2">
        <v>-0.53</v>
      </c>
      <c r="R2475" t="s">
        <v>27</v>
      </c>
      <c r="S2475">
        <v>2023</v>
      </c>
      <c r="T2475" t="s">
        <v>36</v>
      </c>
    </row>
    <row r="2476" spans="1:20" hidden="1" x14ac:dyDescent="0.3">
      <c r="A2476">
        <v>4123</v>
      </c>
      <c r="B2476">
        <v>198</v>
      </c>
      <c r="C2476" t="s">
        <v>45</v>
      </c>
      <c r="D2476" t="s">
        <v>19</v>
      </c>
      <c r="E2476" t="s">
        <v>26</v>
      </c>
      <c r="F2476" s="1">
        <v>44633</v>
      </c>
      <c r="G2476" s="1">
        <v>45157</v>
      </c>
      <c r="H2476">
        <v>42</v>
      </c>
      <c r="I2476">
        <v>7220</v>
      </c>
      <c r="J2476">
        <v>-7178</v>
      </c>
      <c r="K2476" t="s">
        <v>21</v>
      </c>
      <c r="L2476">
        <v>17</v>
      </c>
      <c r="M2476" t="str">
        <f t="shared" si="38"/>
        <v>6-12 Months</v>
      </c>
      <c r="N2476" s="1">
        <v>45157</v>
      </c>
      <c r="O2476">
        <v>1</v>
      </c>
      <c r="P2476">
        <v>2475</v>
      </c>
      <c r="Q2476" s="2">
        <v>-170.9</v>
      </c>
      <c r="R2476" t="s">
        <v>22</v>
      </c>
      <c r="S2476">
        <v>2023</v>
      </c>
      <c r="T2476" t="s">
        <v>36</v>
      </c>
    </row>
    <row r="2477" spans="1:20" x14ac:dyDescent="0.3">
      <c r="A2477">
        <v>4124</v>
      </c>
      <c r="B2477">
        <v>132</v>
      </c>
      <c r="C2477" t="s">
        <v>45</v>
      </c>
      <c r="D2477" t="s">
        <v>25</v>
      </c>
      <c r="E2477" t="s">
        <v>26</v>
      </c>
      <c r="F2477" s="1">
        <v>44738</v>
      </c>
      <c r="G2477" s="1">
        <v>45044</v>
      </c>
      <c r="H2477">
        <v>2725</v>
      </c>
      <c r="I2477">
        <v>1171</v>
      </c>
      <c r="J2477">
        <v>577.01</v>
      </c>
      <c r="K2477" t="s">
        <v>35</v>
      </c>
      <c r="L2477">
        <v>10</v>
      </c>
      <c r="M2477" t="str">
        <f t="shared" si="38"/>
        <v>6-12 Months</v>
      </c>
      <c r="N2477" s="1">
        <v>45044</v>
      </c>
      <c r="O2477">
        <v>0</v>
      </c>
      <c r="P2477">
        <v>2476</v>
      </c>
      <c r="Q2477" s="2">
        <v>0.21</v>
      </c>
      <c r="R2477" t="s">
        <v>27</v>
      </c>
      <c r="S2477">
        <v>2023</v>
      </c>
      <c r="T2477" t="s">
        <v>32</v>
      </c>
    </row>
    <row r="2478" spans="1:20" hidden="1" x14ac:dyDescent="0.3">
      <c r="A2478">
        <v>4126</v>
      </c>
      <c r="B2478">
        <v>486</v>
      </c>
      <c r="C2478" t="s">
        <v>53</v>
      </c>
      <c r="D2478" t="s">
        <v>29</v>
      </c>
      <c r="E2478" t="s">
        <v>37</v>
      </c>
      <c r="F2478" s="1">
        <v>44736</v>
      </c>
      <c r="G2478" s="1">
        <v>44798</v>
      </c>
      <c r="H2478">
        <v>7580</v>
      </c>
      <c r="I2478">
        <v>2247</v>
      </c>
      <c r="J2478">
        <v>5333</v>
      </c>
      <c r="K2478" t="s">
        <v>54</v>
      </c>
      <c r="L2478">
        <v>2</v>
      </c>
      <c r="M2478" t="str">
        <f t="shared" si="38"/>
        <v>0-6 Months</v>
      </c>
      <c r="N2478" s="1">
        <v>44798</v>
      </c>
      <c r="O2478">
        <v>0</v>
      </c>
      <c r="P2478">
        <v>2477</v>
      </c>
      <c r="Q2478" s="2">
        <v>0.7</v>
      </c>
      <c r="R2478" t="s">
        <v>27</v>
      </c>
      <c r="S2478">
        <v>2022</v>
      </c>
      <c r="T2478" t="s">
        <v>36</v>
      </c>
    </row>
    <row r="2479" spans="1:20" hidden="1" x14ac:dyDescent="0.3">
      <c r="A2479">
        <v>4128</v>
      </c>
      <c r="B2479">
        <v>454</v>
      </c>
      <c r="C2479" t="s">
        <v>53</v>
      </c>
      <c r="D2479" t="s">
        <v>29</v>
      </c>
      <c r="E2479" t="s">
        <v>37</v>
      </c>
      <c r="F2479" s="1">
        <v>44651</v>
      </c>
      <c r="G2479" s="1">
        <v>45148</v>
      </c>
      <c r="H2479">
        <v>4104</v>
      </c>
      <c r="I2479">
        <v>351</v>
      </c>
      <c r="J2479">
        <v>3753</v>
      </c>
      <c r="K2479" t="s">
        <v>21</v>
      </c>
      <c r="L2479">
        <v>16</v>
      </c>
      <c r="M2479" t="str">
        <f t="shared" si="38"/>
        <v>6-12 Months</v>
      </c>
      <c r="N2479" s="1">
        <v>45148</v>
      </c>
      <c r="O2479">
        <v>1</v>
      </c>
      <c r="P2479">
        <v>2478</v>
      </c>
      <c r="Q2479" s="2">
        <v>0.91</v>
      </c>
      <c r="R2479" t="s">
        <v>27</v>
      </c>
      <c r="S2479">
        <v>2023</v>
      </c>
      <c r="T2479" t="s">
        <v>36</v>
      </c>
    </row>
    <row r="2480" spans="1:20" hidden="1" x14ac:dyDescent="0.3">
      <c r="A2480">
        <v>4129</v>
      </c>
      <c r="B2480">
        <v>303</v>
      </c>
      <c r="C2480" t="s">
        <v>45</v>
      </c>
      <c r="D2480" t="s">
        <v>19</v>
      </c>
      <c r="E2480" t="s">
        <v>20</v>
      </c>
      <c r="F2480" s="1">
        <v>44625</v>
      </c>
      <c r="G2480" s="1">
        <v>45139</v>
      </c>
      <c r="H2480">
        <v>2003</v>
      </c>
      <c r="I2480">
        <v>2956</v>
      </c>
      <c r="J2480">
        <v>-953</v>
      </c>
      <c r="K2480" t="s">
        <v>54</v>
      </c>
      <c r="L2480">
        <v>16</v>
      </c>
      <c r="M2480" t="str">
        <f t="shared" si="38"/>
        <v>6-12 Months</v>
      </c>
      <c r="N2480" s="1">
        <v>45139</v>
      </c>
      <c r="O2480">
        <v>0</v>
      </c>
      <c r="P2480">
        <v>2479</v>
      </c>
      <c r="Q2480" s="2">
        <v>-0.48</v>
      </c>
      <c r="R2480" t="s">
        <v>27</v>
      </c>
      <c r="S2480">
        <v>2023</v>
      </c>
      <c r="T2480" t="s">
        <v>36</v>
      </c>
    </row>
    <row r="2481" spans="1:20" hidden="1" x14ac:dyDescent="0.3">
      <c r="A2481">
        <v>4131</v>
      </c>
      <c r="B2481">
        <v>217</v>
      </c>
      <c r="C2481" t="s">
        <v>45</v>
      </c>
      <c r="D2481" t="s">
        <v>25</v>
      </c>
      <c r="E2481" t="s">
        <v>37</v>
      </c>
      <c r="F2481" s="1">
        <v>44907</v>
      </c>
      <c r="G2481" s="1">
        <v>45126</v>
      </c>
      <c r="H2481">
        <v>368</v>
      </c>
      <c r="I2481">
        <v>1058</v>
      </c>
      <c r="J2481">
        <v>-690</v>
      </c>
      <c r="K2481" t="s">
        <v>54</v>
      </c>
      <c r="L2481">
        <v>7</v>
      </c>
      <c r="M2481" t="str">
        <f t="shared" si="38"/>
        <v>6-12 Months</v>
      </c>
      <c r="N2481" s="1">
        <v>45126</v>
      </c>
      <c r="O2481">
        <v>0</v>
      </c>
      <c r="P2481">
        <v>2480</v>
      </c>
      <c r="Q2481" s="2">
        <v>-1.88</v>
      </c>
      <c r="R2481" t="s">
        <v>22</v>
      </c>
      <c r="S2481">
        <v>2023</v>
      </c>
      <c r="T2481" t="s">
        <v>44</v>
      </c>
    </row>
    <row r="2482" spans="1:20" hidden="1" x14ac:dyDescent="0.3">
      <c r="A2482">
        <v>4134</v>
      </c>
      <c r="B2482">
        <v>176</v>
      </c>
      <c r="C2482" t="s">
        <v>45</v>
      </c>
      <c r="D2482" t="s">
        <v>29</v>
      </c>
      <c r="E2482" t="s">
        <v>20</v>
      </c>
      <c r="F2482" s="1">
        <v>44687</v>
      </c>
      <c r="G2482" s="1">
        <v>45262</v>
      </c>
      <c r="H2482">
        <v>193</v>
      </c>
      <c r="I2482">
        <v>2762</v>
      </c>
      <c r="J2482">
        <v>-2569</v>
      </c>
      <c r="K2482" t="s">
        <v>54</v>
      </c>
      <c r="L2482">
        <v>18</v>
      </c>
      <c r="M2482" t="str">
        <f t="shared" si="38"/>
        <v>6-12 Months</v>
      </c>
      <c r="N2482" s="1">
        <v>45262</v>
      </c>
      <c r="O2482">
        <v>1</v>
      </c>
      <c r="P2482">
        <v>2481</v>
      </c>
      <c r="Q2482" s="2">
        <v>-13.31</v>
      </c>
      <c r="R2482" t="s">
        <v>22</v>
      </c>
      <c r="S2482">
        <v>2023</v>
      </c>
      <c r="T2482" t="s">
        <v>31</v>
      </c>
    </row>
    <row r="2483" spans="1:20" hidden="1" x14ac:dyDescent="0.3">
      <c r="A2483">
        <v>4136</v>
      </c>
      <c r="B2483">
        <v>236</v>
      </c>
      <c r="C2483" t="s">
        <v>45</v>
      </c>
      <c r="D2483" t="s">
        <v>19</v>
      </c>
      <c r="E2483" t="s">
        <v>37</v>
      </c>
      <c r="F2483" s="1">
        <v>44784</v>
      </c>
      <c r="G2483" s="1">
        <v>45166</v>
      </c>
      <c r="H2483">
        <v>4952</v>
      </c>
      <c r="I2483">
        <v>4012.75</v>
      </c>
      <c r="J2483">
        <v>5647</v>
      </c>
      <c r="K2483" t="s">
        <v>54</v>
      </c>
      <c r="L2483">
        <v>12</v>
      </c>
      <c r="M2483" t="str">
        <f t="shared" si="38"/>
        <v>6-12 Months</v>
      </c>
      <c r="N2483" s="1">
        <v>45166</v>
      </c>
      <c r="O2483">
        <v>1</v>
      </c>
      <c r="P2483">
        <v>2482</v>
      </c>
      <c r="Q2483" s="2">
        <v>1.1399999999999999</v>
      </c>
      <c r="R2483" t="s">
        <v>22</v>
      </c>
      <c r="S2483">
        <v>2023</v>
      </c>
      <c r="T2483" t="s">
        <v>36</v>
      </c>
    </row>
    <row r="2484" spans="1:20" hidden="1" x14ac:dyDescent="0.3">
      <c r="A2484">
        <v>4139</v>
      </c>
      <c r="B2484">
        <v>474</v>
      </c>
      <c r="C2484" t="s">
        <v>45</v>
      </c>
      <c r="D2484" t="s">
        <v>29</v>
      </c>
      <c r="E2484" t="s">
        <v>37</v>
      </c>
      <c r="F2484" s="1">
        <v>44598</v>
      </c>
      <c r="G2484" s="1">
        <v>44757</v>
      </c>
      <c r="H2484">
        <v>7416</v>
      </c>
      <c r="I2484">
        <v>6860</v>
      </c>
      <c r="J2484">
        <v>556</v>
      </c>
      <c r="K2484" t="s">
        <v>54</v>
      </c>
      <c r="L2484">
        <v>5</v>
      </c>
      <c r="M2484" t="str">
        <f t="shared" si="38"/>
        <v>0-6 Months</v>
      </c>
      <c r="N2484" s="1">
        <v>44757</v>
      </c>
      <c r="O2484">
        <v>0</v>
      </c>
      <c r="P2484">
        <v>2483</v>
      </c>
      <c r="Q2484" s="2">
        <v>7.0000000000000007E-2</v>
      </c>
      <c r="R2484" t="s">
        <v>27</v>
      </c>
      <c r="S2484">
        <v>2022</v>
      </c>
      <c r="T2484" t="s">
        <v>44</v>
      </c>
    </row>
    <row r="2485" spans="1:20" hidden="1" x14ac:dyDescent="0.3">
      <c r="A2485">
        <v>4144</v>
      </c>
      <c r="B2485">
        <v>267</v>
      </c>
      <c r="C2485" t="s">
        <v>53</v>
      </c>
      <c r="D2485" t="s">
        <v>19</v>
      </c>
      <c r="E2485" t="s">
        <v>26</v>
      </c>
      <c r="F2485" s="1">
        <v>44645</v>
      </c>
      <c r="G2485" s="1">
        <v>44682</v>
      </c>
      <c r="H2485">
        <v>1567</v>
      </c>
      <c r="I2485">
        <v>7760</v>
      </c>
      <c r="J2485">
        <v>-6193</v>
      </c>
      <c r="K2485" t="s">
        <v>54</v>
      </c>
      <c r="L2485">
        <v>1</v>
      </c>
      <c r="M2485" t="str">
        <f t="shared" si="38"/>
        <v>0-6 Months</v>
      </c>
      <c r="N2485" s="1">
        <v>44682</v>
      </c>
      <c r="O2485">
        <v>1</v>
      </c>
      <c r="P2485">
        <v>2484</v>
      </c>
      <c r="Q2485" s="2">
        <v>-3.95</v>
      </c>
      <c r="R2485" t="s">
        <v>22</v>
      </c>
      <c r="S2485">
        <v>2022</v>
      </c>
      <c r="T2485" t="s">
        <v>28</v>
      </c>
    </row>
    <row r="2486" spans="1:20" x14ac:dyDescent="0.3">
      <c r="A2486">
        <v>4145</v>
      </c>
      <c r="B2486">
        <v>416</v>
      </c>
      <c r="C2486" t="s">
        <v>39</v>
      </c>
      <c r="D2486" t="s">
        <v>34</v>
      </c>
      <c r="E2486" t="s">
        <v>26</v>
      </c>
      <c r="F2486" s="1">
        <v>44813</v>
      </c>
      <c r="G2486" s="1">
        <v>45153</v>
      </c>
      <c r="H2486">
        <v>5585</v>
      </c>
      <c r="I2486">
        <v>3765</v>
      </c>
      <c r="J2486">
        <v>577.01</v>
      </c>
      <c r="K2486" t="s">
        <v>35</v>
      </c>
      <c r="L2486">
        <v>11</v>
      </c>
      <c r="M2486" t="str">
        <f t="shared" si="38"/>
        <v>6-12 Months</v>
      </c>
      <c r="N2486" s="1">
        <v>45153</v>
      </c>
      <c r="O2486">
        <v>0</v>
      </c>
      <c r="P2486">
        <v>2485</v>
      </c>
      <c r="Q2486" s="2">
        <v>0.1</v>
      </c>
      <c r="R2486" t="s">
        <v>27</v>
      </c>
      <c r="S2486">
        <v>2023</v>
      </c>
      <c r="T2486" t="s">
        <v>36</v>
      </c>
    </row>
    <row r="2487" spans="1:20" hidden="1" x14ac:dyDescent="0.3">
      <c r="A2487">
        <v>4146</v>
      </c>
      <c r="B2487">
        <v>473</v>
      </c>
      <c r="C2487" t="s">
        <v>40</v>
      </c>
      <c r="D2487" t="s">
        <v>29</v>
      </c>
      <c r="E2487" t="s">
        <v>20</v>
      </c>
      <c r="F2487" s="1">
        <v>44642</v>
      </c>
      <c r="G2487" s="1">
        <v>44681</v>
      </c>
      <c r="H2487">
        <v>5840</v>
      </c>
      <c r="I2487">
        <v>1230</v>
      </c>
      <c r="J2487">
        <v>4610</v>
      </c>
      <c r="K2487" t="s">
        <v>54</v>
      </c>
      <c r="L2487">
        <v>1</v>
      </c>
      <c r="M2487" t="str">
        <f t="shared" si="38"/>
        <v>0-6 Months</v>
      </c>
      <c r="N2487" s="1">
        <v>44681</v>
      </c>
      <c r="O2487">
        <v>1</v>
      </c>
      <c r="P2487">
        <v>2486</v>
      </c>
      <c r="Q2487" s="2">
        <v>0.79</v>
      </c>
      <c r="R2487" t="s">
        <v>27</v>
      </c>
      <c r="S2487">
        <v>2022</v>
      </c>
      <c r="T2487" t="s">
        <v>32</v>
      </c>
    </row>
    <row r="2488" spans="1:20" hidden="1" x14ac:dyDescent="0.3">
      <c r="A2488">
        <v>4149</v>
      </c>
      <c r="B2488">
        <v>498</v>
      </c>
      <c r="C2488" t="s">
        <v>53</v>
      </c>
      <c r="D2488" t="s">
        <v>29</v>
      </c>
      <c r="E2488" t="s">
        <v>26</v>
      </c>
      <c r="F2488" s="1">
        <v>44880</v>
      </c>
      <c r="G2488" s="1">
        <v>45296</v>
      </c>
      <c r="H2488">
        <v>7189</v>
      </c>
      <c r="I2488">
        <v>4012.75</v>
      </c>
      <c r="J2488">
        <v>8118</v>
      </c>
      <c r="K2488" t="s">
        <v>21</v>
      </c>
      <c r="L2488">
        <v>13</v>
      </c>
      <c r="M2488" t="str">
        <f t="shared" si="38"/>
        <v>6-12 Months</v>
      </c>
      <c r="N2488" s="1">
        <v>45296</v>
      </c>
      <c r="O2488">
        <v>1</v>
      </c>
      <c r="P2488">
        <v>2487</v>
      </c>
      <c r="Q2488" s="2">
        <v>1.1299999999999999</v>
      </c>
      <c r="R2488" t="s">
        <v>22</v>
      </c>
      <c r="S2488">
        <v>2024</v>
      </c>
      <c r="T2488" t="s">
        <v>23</v>
      </c>
    </row>
    <row r="2489" spans="1:20" hidden="1" x14ac:dyDescent="0.3">
      <c r="A2489">
        <v>4150</v>
      </c>
      <c r="B2489">
        <v>491</v>
      </c>
      <c r="C2489" t="s">
        <v>24</v>
      </c>
      <c r="D2489" t="s">
        <v>25</v>
      </c>
      <c r="E2489" t="s">
        <v>26</v>
      </c>
      <c r="F2489" s="1">
        <v>44615</v>
      </c>
      <c r="G2489" s="1">
        <v>45180</v>
      </c>
      <c r="H2489">
        <v>4967.93</v>
      </c>
      <c r="I2489">
        <v>4012.75</v>
      </c>
      <c r="J2489">
        <v>577.01</v>
      </c>
      <c r="K2489" t="s">
        <v>21</v>
      </c>
      <c r="L2489">
        <v>18</v>
      </c>
      <c r="M2489" t="str">
        <f t="shared" si="38"/>
        <v>6-12 Months</v>
      </c>
      <c r="N2489" s="1">
        <v>45180</v>
      </c>
      <c r="O2489">
        <v>1</v>
      </c>
      <c r="P2489">
        <v>2488</v>
      </c>
      <c r="Q2489" s="2">
        <v>0.12</v>
      </c>
      <c r="R2489" t="s">
        <v>27</v>
      </c>
      <c r="S2489">
        <v>2023</v>
      </c>
      <c r="T2489" t="s">
        <v>30</v>
      </c>
    </row>
    <row r="2490" spans="1:20" x14ac:dyDescent="0.3">
      <c r="A2490">
        <v>4152</v>
      </c>
      <c r="B2490">
        <v>435</v>
      </c>
      <c r="C2490" t="s">
        <v>53</v>
      </c>
      <c r="D2490" t="s">
        <v>34</v>
      </c>
      <c r="E2490" t="s">
        <v>20</v>
      </c>
      <c r="F2490" s="1">
        <v>44686</v>
      </c>
      <c r="G2490" s="1">
        <v>45042</v>
      </c>
      <c r="H2490">
        <v>3406</v>
      </c>
      <c r="I2490">
        <v>7958</v>
      </c>
      <c r="J2490">
        <v>-4552</v>
      </c>
      <c r="K2490" t="s">
        <v>35</v>
      </c>
      <c r="L2490">
        <v>11</v>
      </c>
      <c r="M2490" t="str">
        <f t="shared" si="38"/>
        <v>6-12 Months</v>
      </c>
      <c r="N2490" s="1">
        <v>45042</v>
      </c>
      <c r="O2490">
        <v>1</v>
      </c>
      <c r="P2490">
        <v>2489</v>
      </c>
      <c r="Q2490" s="2">
        <v>-1.34</v>
      </c>
      <c r="R2490" t="s">
        <v>22</v>
      </c>
      <c r="S2490">
        <v>2023</v>
      </c>
      <c r="T2490" t="s">
        <v>32</v>
      </c>
    </row>
    <row r="2491" spans="1:20" hidden="1" x14ac:dyDescent="0.3">
      <c r="A2491">
        <v>4153</v>
      </c>
      <c r="B2491">
        <v>292</v>
      </c>
      <c r="C2491" t="s">
        <v>53</v>
      </c>
      <c r="D2491" t="s">
        <v>19</v>
      </c>
      <c r="E2491" t="s">
        <v>37</v>
      </c>
      <c r="F2491" s="1">
        <v>44733</v>
      </c>
      <c r="G2491" s="1">
        <v>44948</v>
      </c>
      <c r="H2491">
        <v>789</v>
      </c>
      <c r="I2491">
        <v>2254</v>
      </c>
      <c r="J2491">
        <v>-1465</v>
      </c>
      <c r="K2491" t="s">
        <v>54</v>
      </c>
      <c r="L2491">
        <v>7</v>
      </c>
      <c r="M2491" t="str">
        <f t="shared" si="38"/>
        <v>6-12 Months</v>
      </c>
      <c r="N2491" s="1">
        <v>44948</v>
      </c>
      <c r="O2491">
        <v>0</v>
      </c>
      <c r="P2491">
        <v>2490</v>
      </c>
      <c r="Q2491" s="2">
        <v>-1.86</v>
      </c>
      <c r="R2491" t="s">
        <v>22</v>
      </c>
      <c r="S2491">
        <v>2023</v>
      </c>
      <c r="T2491" t="s">
        <v>23</v>
      </c>
    </row>
    <row r="2492" spans="1:20" hidden="1" x14ac:dyDescent="0.3">
      <c r="A2492">
        <v>4155</v>
      </c>
      <c r="B2492">
        <v>464</v>
      </c>
      <c r="C2492" t="s">
        <v>40</v>
      </c>
      <c r="D2492" t="s">
        <v>29</v>
      </c>
      <c r="E2492" t="s">
        <v>37</v>
      </c>
      <c r="F2492" s="1">
        <v>44703</v>
      </c>
      <c r="G2492" s="1">
        <v>45271</v>
      </c>
      <c r="H2492">
        <v>6689</v>
      </c>
      <c r="I2492">
        <v>2154</v>
      </c>
      <c r="J2492">
        <v>4535</v>
      </c>
      <c r="K2492" t="s">
        <v>54</v>
      </c>
      <c r="L2492">
        <v>18</v>
      </c>
      <c r="M2492" t="str">
        <f t="shared" si="38"/>
        <v>6-12 Months</v>
      </c>
      <c r="N2492" s="1">
        <v>45271</v>
      </c>
      <c r="O2492">
        <v>1</v>
      </c>
      <c r="P2492">
        <v>2491</v>
      </c>
      <c r="Q2492" s="2">
        <v>0.68</v>
      </c>
      <c r="R2492" t="s">
        <v>27</v>
      </c>
      <c r="S2492">
        <v>2023</v>
      </c>
      <c r="T2492" t="s">
        <v>31</v>
      </c>
    </row>
    <row r="2493" spans="1:20" hidden="1" x14ac:dyDescent="0.3">
      <c r="A2493">
        <v>4156</v>
      </c>
      <c r="B2493">
        <v>385</v>
      </c>
      <c r="C2493" t="s">
        <v>53</v>
      </c>
      <c r="D2493" t="s">
        <v>19</v>
      </c>
      <c r="E2493" t="s">
        <v>20</v>
      </c>
      <c r="F2493" s="1">
        <v>44845</v>
      </c>
      <c r="G2493" s="1">
        <v>45171</v>
      </c>
      <c r="H2493">
        <v>4967.93</v>
      </c>
      <c r="I2493">
        <v>4012.75</v>
      </c>
      <c r="J2493">
        <v>-292</v>
      </c>
      <c r="K2493" t="s">
        <v>21</v>
      </c>
      <c r="L2493">
        <v>10</v>
      </c>
      <c r="M2493" t="str">
        <f t="shared" si="38"/>
        <v>6-12 Months</v>
      </c>
      <c r="N2493" s="1">
        <v>45171</v>
      </c>
      <c r="O2493">
        <v>0</v>
      </c>
      <c r="P2493">
        <v>2492</v>
      </c>
      <c r="Q2493" s="2">
        <v>-0.06</v>
      </c>
      <c r="R2493" t="s">
        <v>27</v>
      </c>
      <c r="S2493">
        <v>2023</v>
      </c>
      <c r="T2493" t="s">
        <v>30</v>
      </c>
    </row>
    <row r="2494" spans="1:20" hidden="1" x14ac:dyDescent="0.3">
      <c r="A2494">
        <v>4158</v>
      </c>
      <c r="B2494">
        <v>294</v>
      </c>
      <c r="C2494" t="s">
        <v>45</v>
      </c>
      <c r="D2494" t="s">
        <v>29</v>
      </c>
      <c r="E2494" t="s">
        <v>26</v>
      </c>
      <c r="F2494" s="1">
        <v>44850</v>
      </c>
      <c r="G2494" s="1">
        <v>44947</v>
      </c>
      <c r="H2494">
        <v>8267</v>
      </c>
      <c r="I2494">
        <v>7094</v>
      </c>
      <c r="J2494">
        <v>1173</v>
      </c>
      <c r="K2494" t="s">
        <v>54</v>
      </c>
      <c r="L2494">
        <v>3</v>
      </c>
      <c r="M2494" t="str">
        <f t="shared" si="38"/>
        <v>0-6 Months</v>
      </c>
      <c r="N2494" s="1">
        <v>44947</v>
      </c>
      <c r="O2494">
        <v>0</v>
      </c>
      <c r="P2494">
        <v>2493</v>
      </c>
      <c r="Q2494" s="2">
        <v>0.14000000000000001</v>
      </c>
      <c r="R2494" t="s">
        <v>27</v>
      </c>
      <c r="S2494">
        <v>2023</v>
      </c>
      <c r="T2494" t="s">
        <v>23</v>
      </c>
    </row>
    <row r="2495" spans="1:20" hidden="1" x14ac:dyDescent="0.3">
      <c r="A2495">
        <v>4159</v>
      </c>
      <c r="B2495">
        <v>218</v>
      </c>
      <c r="C2495" t="s">
        <v>45</v>
      </c>
      <c r="D2495" t="s">
        <v>29</v>
      </c>
      <c r="E2495" t="s">
        <v>20</v>
      </c>
      <c r="F2495" s="1">
        <v>44580</v>
      </c>
      <c r="G2495" s="1">
        <v>44670</v>
      </c>
      <c r="H2495">
        <v>4967.93</v>
      </c>
      <c r="I2495">
        <v>4012.75</v>
      </c>
      <c r="J2495">
        <v>38</v>
      </c>
      <c r="K2495" t="s">
        <v>54</v>
      </c>
      <c r="L2495">
        <v>3</v>
      </c>
      <c r="M2495" t="str">
        <f t="shared" si="38"/>
        <v>0-6 Months</v>
      </c>
      <c r="N2495" s="1">
        <v>44670</v>
      </c>
      <c r="O2495">
        <v>0</v>
      </c>
      <c r="P2495">
        <v>2494</v>
      </c>
      <c r="Q2495" s="2">
        <v>0.01</v>
      </c>
      <c r="R2495" t="s">
        <v>27</v>
      </c>
      <c r="S2495">
        <v>2022</v>
      </c>
      <c r="T2495" t="s">
        <v>32</v>
      </c>
    </row>
    <row r="2496" spans="1:20" hidden="1" x14ac:dyDescent="0.3">
      <c r="A2496">
        <v>4160</v>
      </c>
      <c r="B2496">
        <v>382</v>
      </c>
      <c r="C2496" t="s">
        <v>39</v>
      </c>
      <c r="D2496" t="s">
        <v>19</v>
      </c>
      <c r="E2496" t="s">
        <v>37</v>
      </c>
      <c r="F2496" s="1">
        <v>44844</v>
      </c>
      <c r="G2496" s="1">
        <v>45259</v>
      </c>
      <c r="H2496">
        <v>7629</v>
      </c>
      <c r="I2496">
        <v>5568</v>
      </c>
      <c r="J2496">
        <v>2061</v>
      </c>
      <c r="K2496" t="s">
        <v>54</v>
      </c>
      <c r="L2496">
        <v>13</v>
      </c>
      <c r="M2496" t="str">
        <f t="shared" si="38"/>
        <v>6-12 Months</v>
      </c>
      <c r="N2496" s="1">
        <v>45259</v>
      </c>
      <c r="O2496">
        <v>0</v>
      </c>
      <c r="P2496">
        <v>2495</v>
      </c>
      <c r="Q2496" s="2">
        <v>0.27</v>
      </c>
      <c r="R2496" t="s">
        <v>27</v>
      </c>
      <c r="S2496">
        <v>2023</v>
      </c>
      <c r="T2496" t="s">
        <v>42</v>
      </c>
    </row>
    <row r="2497" spans="1:20" hidden="1" x14ac:dyDescent="0.3">
      <c r="A2497">
        <v>4161</v>
      </c>
      <c r="B2497">
        <v>311</v>
      </c>
      <c r="C2497" t="s">
        <v>39</v>
      </c>
      <c r="D2497" t="s">
        <v>19</v>
      </c>
      <c r="E2497" t="s">
        <v>37</v>
      </c>
      <c r="F2497" s="1">
        <v>44900</v>
      </c>
      <c r="G2497" s="1">
        <v>45277</v>
      </c>
      <c r="H2497">
        <v>8083</v>
      </c>
      <c r="I2497">
        <v>4435</v>
      </c>
      <c r="J2497">
        <v>3648</v>
      </c>
      <c r="K2497" t="s">
        <v>54</v>
      </c>
      <c r="L2497">
        <v>12</v>
      </c>
      <c r="M2497" t="str">
        <f t="shared" si="38"/>
        <v>6-12 Months</v>
      </c>
      <c r="N2497" s="1">
        <v>45277</v>
      </c>
      <c r="O2497">
        <v>1</v>
      </c>
      <c r="P2497">
        <v>2496</v>
      </c>
      <c r="Q2497" s="2">
        <v>0.45</v>
      </c>
      <c r="R2497" t="s">
        <v>27</v>
      </c>
      <c r="S2497">
        <v>2023</v>
      </c>
      <c r="T2497" t="s">
        <v>31</v>
      </c>
    </row>
    <row r="2498" spans="1:20" hidden="1" x14ac:dyDescent="0.3">
      <c r="A2498">
        <v>4164</v>
      </c>
      <c r="B2498">
        <v>171</v>
      </c>
      <c r="C2498" t="s">
        <v>39</v>
      </c>
      <c r="D2498" t="s">
        <v>25</v>
      </c>
      <c r="E2498" t="s">
        <v>20</v>
      </c>
      <c r="F2498" s="1">
        <v>44743</v>
      </c>
      <c r="G2498" s="1">
        <v>45089</v>
      </c>
      <c r="H2498">
        <v>9440</v>
      </c>
      <c r="I2498">
        <v>1128</v>
      </c>
      <c r="J2498">
        <v>8312</v>
      </c>
      <c r="K2498" t="s">
        <v>21</v>
      </c>
      <c r="L2498">
        <v>11</v>
      </c>
      <c r="M2498" t="str">
        <f t="shared" ref="M2498:M2561" si="39">IF(L2498&lt;6,"0-6 Months",IF(L2498&gt;6,"6-12 Months","12+ Months"))</f>
        <v>6-12 Months</v>
      </c>
      <c r="N2498" s="1">
        <v>45089</v>
      </c>
      <c r="O2498">
        <v>0</v>
      </c>
      <c r="P2498">
        <v>2497</v>
      </c>
      <c r="Q2498" s="2">
        <v>0.88</v>
      </c>
      <c r="R2498" t="s">
        <v>27</v>
      </c>
      <c r="S2498">
        <v>2023</v>
      </c>
      <c r="T2498" t="s">
        <v>41</v>
      </c>
    </row>
    <row r="2499" spans="1:20" hidden="1" x14ac:dyDescent="0.3">
      <c r="A2499">
        <v>4166</v>
      </c>
      <c r="B2499">
        <v>279</v>
      </c>
      <c r="C2499" t="s">
        <v>53</v>
      </c>
      <c r="D2499" t="s">
        <v>29</v>
      </c>
      <c r="E2499" t="s">
        <v>37</v>
      </c>
      <c r="F2499" s="1">
        <v>44857</v>
      </c>
      <c r="G2499" s="1">
        <v>44959</v>
      </c>
      <c r="H2499">
        <v>1679</v>
      </c>
      <c r="I2499">
        <v>4598</v>
      </c>
      <c r="J2499">
        <v>-2919</v>
      </c>
      <c r="K2499" t="s">
        <v>54</v>
      </c>
      <c r="L2499">
        <v>3</v>
      </c>
      <c r="M2499" t="str">
        <f t="shared" si="39"/>
        <v>0-6 Months</v>
      </c>
      <c r="N2499" s="1">
        <v>44959</v>
      </c>
      <c r="O2499">
        <v>1</v>
      </c>
      <c r="P2499">
        <v>2498</v>
      </c>
      <c r="Q2499" s="2">
        <v>-1.74</v>
      </c>
      <c r="R2499" t="s">
        <v>22</v>
      </c>
      <c r="S2499">
        <v>2023</v>
      </c>
      <c r="T2499" t="s">
        <v>43</v>
      </c>
    </row>
    <row r="2500" spans="1:20" hidden="1" x14ac:dyDescent="0.3">
      <c r="A2500">
        <v>4167</v>
      </c>
      <c r="B2500">
        <v>146</v>
      </c>
      <c r="C2500" t="s">
        <v>39</v>
      </c>
      <c r="D2500" t="s">
        <v>34</v>
      </c>
      <c r="E2500" t="s">
        <v>26</v>
      </c>
      <c r="F2500" s="1">
        <v>44846</v>
      </c>
      <c r="G2500" s="1">
        <v>44935</v>
      </c>
      <c r="H2500">
        <v>833</v>
      </c>
      <c r="I2500">
        <v>6418</v>
      </c>
      <c r="J2500">
        <v>-5585</v>
      </c>
      <c r="K2500" t="s">
        <v>21</v>
      </c>
      <c r="L2500">
        <v>2</v>
      </c>
      <c r="M2500" t="str">
        <f t="shared" si="39"/>
        <v>0-6 Months</v>
      </c>
      <c r="N2500" s="1">
        <v>44935</v>
      </c>
      <c r="O2500">
        <v>1</v>
      </c>
      <c r="P2500">
        <v>2499</v>
      </c>
      <c r="Q2500" s="2">
        <v>-6.7</v>
      </c>
      <c r="R2500" t="s">
        <v>22</v>
      </c>
      <c r="S2500">
        <v>2023</v>
      </c>
      <c r="T2500" t="s">
        <v>23</v>
      </c>
    </row>
    <row r="2501" spans="1:20" hidden="1" x14ac:dyDescent="0.3">
      <c r="A2501">
        <v>4168</v>
      </c>
      <c r="B2501">
        <v>349</v>
      </c>
      <c r="C2501" t="s">
        <v>24</v>
      </c>
      <c r="D2501" t="s">
        <v>19</v>
      </c>
      <c r="E2501" t="s">
        <v>20</v>
      </c>
      <c r="F2501" s="1">
        <v>44687</v>
      </c>
      <c r="G2501" s="1">
        <v>44941</v>
      </c>
      <c r="H2501">
        <v>4522</v>
      </c>
      <c r="I2501">
        <v>4012.75</v>
      </c>
      <c r="J2501">
        <v>4551</v>
      </c>
      <c r="K2501" t="s">
        <v>54</v>
      </c>
      <c r="L2501">
        <v>8</v>
      </c>
      <c r="M2501" t="str">
        <f t="shared" si="39"/>
        <v>6-12 Months</v>
      </c>
      <c r="N2501" s="1">
        <v>44941</v>
      </c>
      <c r="O2501">
        <v>0</v>
      </c>
      <c r="P2501">
        <v>2500</v>
      </c>
      <c r="Q2501" s="2">
        <v>1.01</v>
      </c>
      <c r="R2501" t="s">
        <v>22</v>
      </c>
      <c r="S2501">
        <v>2023</v>
      </c>
      <c r="T2501" t="s">
        <v>23</v>
      </c>
    </row>
    <row r="2502" spans="1:20" x14ac:dyDescent="0.3">
      <c r="A2502">
        <v>4169</v>
      </c>
      <c r="B2502">
        <v>399</v>
      </c>
      <c r="C2502" t="s">
        <v>45</v>
      </c>
      <c r="D2502" t="s">
        <v>25</v>
      </c>
      <c r="E2502" t="s">
        <v>26</v>
      </c>
      <c r="F2502" s="1">
        <v>44814</v>
      </c>
      <c r="G2502" s="1">
        <v>45205</v>
      </c>
      <c r="H2502">
        <v>8368</v>
      </c>
      <c r="I2502">
        <v>3939</v>
      </c>
      <c r="J2502">
        <v>4429</v>
      </c>
      <c r="K2502" t="s">
        <v>35</v>
      </c>
      <c r="L2502">
        <v>12</v>
      </c>
      <c r="M2502" t="str">
        <f t="shared" si="39"/>
        <v>6-12 Months</v>
      </c>
      <c r="N2502" s="1">
        <v>45205</v>
      </c>
      <c r="O2502">
        <v>0</v>
      </c>
      <c r="P2502">
        <v>2501</v>
      </c>
      <c r="Q2502" s="2">
        <v>0.53</v>
      </c>
      <c r="R2502" t="s">
        <v>27</v>
      </c>
      <c r="S2502">
        <v>2023</v>
      </c>
      <c r="T2502" t="s">
        <v>33</v>
      </c>
    </row>
    <row r="2503" spans="1:20" x14ac:dyDescent="0.3">
      <c r="A2503">
        <v>4172</v>
      </c>
      <c r="B2503">
        <v>372</v>
      </c>
      <c r="C2503" t="s">
        <v>45</v>
      </c>
      <c r="D2503" t="s">
        <v>29</v>
      </c>
      <c r="E2503" t="s">
        <v>37</v>
      </c>
      <c r="F2503" s="1">
        <v>44907</v>
      </c>
      <c r="G2503" s="1">
        <v>45112</v>
      </c>
      <c r="H2503">
        <v>9732</v>
      </c>
      <c r="I2503">
        <v>196</v>
      </c>
      <c r="J2503">
        <v>9536</v>
      </c>
      <c r="K2503" t="s">
        <v>35</v>
      </c>
      <c r="L2503">
        <v>6</v>
      </c>
      <c r="M2503" t="str">
        <f t="shared" si="39"/>
        <v>12+ Months</v>
      </c>
      <c r="N2503" s="1">
        <v>45112</v>
      </c>
      <c r="O2503">
        <v>1</v>
      </c>
      <c r="P2503">
        <v>2502</v>
      </c>
      <c r="Q2503" s="2">
        <v>0.98</v>
      </c>
      <c r="R2503" t="s">
        <v>27</v>
      </c>
      <c r="S2503">
        <v>2023</v>
      </c>
      <c r="T2503" t="s">
        <v>44</v>
      </c>
    </row>
    <row r="2504" spans="1:20" x14ac:dyDescent="0.3">
      <c r="A2504">
        <v>4173</v>
      </c>
      <c r="B2504">
        <v>232</v>
      </c>
      <c r="C2504" t="s">
        <v>40</v>
      </c>
      <c r="D2504" t="s">
        <v>19</v>
      </c>
      <c r="E2504" t="s">
        <v>26</v>
      </c>
      <c r="F2504" s="1">
        <v>44732</v>
      </c>
      <c r="G2504" s="1">
        <v>45155</v>
      </c>
      <c r="H2504">
        <v>4967.93</v>
      </c>
      <c r="I2504">
        <v>4789</v>
      </c>
      <c r="J2504">
        <v>-4924</v>
      </c>
      <c r="K2504" t="s">
        <v>35</v>
      </c>
      <c r="L2504">
        <v>13</v>
      </c>
      <c r="M2504" t="str">
        <f t="shared" si="39"/>
        <v>6-12 Months</v>
      </c>
      <c r="N2504" s="1">
        <v>45155</v>
      </c>
      <c r="O2504">
        <v>1</v>
      </c>
      <c r="P2504">
        <v>2503</v>
      </c>
      <c r="Q2504" s="2">
        <v>-0.99</v>
      </c>
      <c r="R2504" t="s">
        <v>27</v>
      </c>
      <c r="S2504">
        <v>2023</v>
      </c>
      <c r="T2504" t="s">
        <v>36</v>
      </c>
    </row>
    <row r="2505" spans="1:20" hidden="1" x14ac:dyDescent="0.3">
      <c r="A2505">
        <v>4175</v>
      </c>
      <c r="B2505">
        <v>198</v>
      </c>
      <c r="C2505" t="s">
        <v>39</v>
      </c>
      <c r="D2505" t="s">
        <v>19</v>
      </c>
      <c r="E2505" t="s">
        <v>26</v>
      </c>
      <c r="F2505" s="1">
        <v>44814</v>
      </c>
      <c r="G2505" s="1">
        <v>45398</v>
      </c>
      <c r="H2505">
        <v>8075</v>
      </c>
      <c r="I2505">
        <v>2061</v>
      </c>
      <c r="J2505">
        <v>6014</v>
      </c>
      <c r="K2505" t="s">
        <v>54</v>
      </c>
      <c r="L2505">
        <v>19</v>
      </c>
      <c r="M2505" t="str">
        <f t="shared" si="39"/>
        <v>6-12 Months</v>
      </c>
      <c r="N2505" s="1">
        <v>45398</v>
      </c>
      <c r="O2505">
        <v>1</v>
      </c>
      <c r="P2505">
        <v>2504</v>
      </c>
      <c r="Q2505" s="2">
        <v>0.74</v>
      </c>
      <c r="R2505" t="s">
        <v>27</v>
      </c>
      <c r="S2505">
        <v>2024</v>
      </c>
      <c r="T2505" t="s">
        <v>32</v>
      </c>
    </row>
    <row r="2506" spans="1:20" hidden="1" x14ac:dyDescent="0.3">
      <c r="A2506">
        <v>4177</v>
      </c>
      <c r="B2506">
        <v>477</v>
      </c>
      <c r="C2506" t="s">
        <v>53</v>
      </c>
      <c r="D2506" t="s">
        <v>19</v>
      </c>
      <c r="E2506" t="s">
        <v>20</v>
      </c>
      <c r="F2506" s="1">
        <v>44637</v>
      </c>
      <c r="G2506" s="1">
        <v>44915</v>
      </c>
      <c r="H2506">
        <v>282</v>
      </c>
      <c r="I2506">
        <v>6185</v>
      </c>
      <c r="J2506">
        <v>-5903</v>
      </c>
      <c r="K2506" t="s">
        <v>54</v>
      </c>
      <c r="L2506">
        <v>9</v>
      </c>
      <c r="M2506" t="str">
        <f t="shared" si="39"/>
        <v>6-12 Months</v>
      </c>
      <c r="N2506" s="1">
        <v>44915</v>
      </c>
      <c r="O2506">
        <v>1</v>
      </c>
      <c r="P2506">
        <v>2505</v>
      </c>
      <c r="Q2506" s="2">
        <v>-20.93</v>
      </c>
      <c r="R2506" t="s">
        <v>22</v>
      </c>
      <c r="S2506">
        <v>2022</v>
      </c>
      <c r="T2506" t="s">
        <v>31</v>
      </c>
    </row>
    <row r="2507" spans="1:20" hidden="1" x14ac:dyDescent="0.3">
      <c r="A2507">
        <v>4180</v>
      </c>
      <c r="B2507">
        <v>413</v>
      </c>
      <c r="C2507" t="s">
        <v>24</v>
      </c>
      <c r="D2507" t="s">
        <v>34</v>
      </c>
      <c r="E2507" t="s">
        <v>26</v>
      </c>
      <c r="F2507" s="1">
        <v>44880</v>
      </c>
      <c r="G2507" s="1">
        <v>45033</v>
      </c>
      <c r="H2507">
        <v>4249</v>
      </c>
      <c r="I2507">
        <v>735</v>
      </c>
      <c r="J2507">
        <v>3514</v>
      </c>
      <c r="K2507" t="s">
        <v>54</v>
      </c>
      <c r="L2507">
        <v>5</v>
      </c>
      <c r="M2507" t="str">
        <f t="shared" si="39"/>
        <v>0-6 Months</v>
      </c>
      <c r="N2507" s="1">
        <v>45033</v>
      </c>
      <c r="O2507">
        <v>0</v>
      </c>
      <c r="P2507">
        <v>2506</v>
      </c>
      <c r="Q2507" s="2">
        <v>0.83</v>
      </c>
      <c r="R2507" t="s">
        <v>27</v>
      </c>
      <c r="S2507">
        <v>2023</v>
      </c>
      <c r="T2507" t="s">
        <v>32</v>
      </c>
    </row>
    <row r="2508" spans="1:20" hidden="1" x14ac:dyDescent="0.3">
      <c r="A2508">
        <v>4182</v>
      </c>
      <c r="B2508">
        <v>149</v>
      </c>
      <c r="C2508" t="s">
        <v>53</v>
      </c>
      <c r="D2508" t="s">
        <v>29</v>
      </c>
      <c r="E2508" t="s">
        <v>20</v>
      </c>
      <c r="F2508" s="1">
        <v>44648</v>
      </c>
      <c r="G2508" s="1">
        <v>45014</v>
      </c>
      <c r="H2508">
        <v>5729</v>
      </c>
      <c r="I2508">
        <v>4012.75</v>
      </c>
      <c r="J2508">
        <v>6006</v>
      </c>
      <c r="K2508" t="s">
        <v>54</v>
      </c>
      <c r="L2508">
        <v>12</v>
      </c>
      <c r="M2508" t="str">
        <f t="shared" si="39"/>
        <v>6-12 Months</v>
      </c>
      <c r="N2508" s="1">
        <v>45014</v>
      </c>
      <c r="O2508">
        <v>0</v>
      </c>
      <c r="P2508">
        <v>2507</v>
      </c>
      <c r="Q2508" s="2">
        <v>1.05</v>
      </c>
      <c r="R2508" t="s">
        <v>22</v>
      </c>
      <c r="S2508">
        <v>2023</v>
      </c>
      <c r="T2508" t="s">
        <v>38</v>
      </c>
    </row>
    <row r="2509" spans="1:20" x14ac:dyDescent="0.3">
      <c r="A2509">
        <v>4183</v>
      </c>
      <c r="B2509">
        <v>187</v>
      </c>
      <c r="C2509" t="s">
        <v>45</v>
      </c>
      <c r="D2509" t="s">
        <v>19</v>
      </c>
      <c r="E2509" t="s">
        <v>37</v>
      </c>
      <c r="F2509" s="1">
        <v>44722</v>
      </c>
      <c r="G2509" s="1">
        <v>45207</v>
      </c>
      <c r="H2509">
        <v>6616</v>
      </c>
      <c r="I2509">
        <v>2724</v>
      </c>
      <c r="J2509">
        <v>3892</v>
      </c>
      <c r="K2509" t="s">
        <v>35</v>
      </c>
      <c r="L2509">
        <v>15</v>
      </c>
      <c r="M2509" t="str">
        <f t="shared" si="39"/>
        <v>6-12 Months</v>
      </c>
      <c r="N2509" s="1">
        <v>45207</v>
      </c>
      <c r="O2509">
        <v>1</v>
      </c>
      <c r="P2509">
        <v>2508</v>
      </c>
      <c r="Q2509" s="2">
        <v>0.59</v>
      </c>
      <c r="R2509" t="s">
        <v>27</v>
      </c>
      <c r="S2509">
        <v>2023</v>
      </c>
      <c r="T2509" t="s">
        <v>33</v>
      </c>
    </row>
    <row r="2510" spans="1:20" hidden="1" x14ac:dyDescent="0.3">
      <c r="A2510">
        <v>4184</v>
      </c>
      <c r="B2510">
        <v>314</v>
      </c>
      <c r="C2510" t="s">
        <v>24</v>
      </c>
      <c r="D2510" t="s">
        <v>25</v>
      </c>
      <c r="E2510" t="s">
        <v>37</v>
      </c>
      <c r="F2510" s="1">
        <v>44637</v>
      </c>
      <c r="G2510" s="1">
        <v>45106</v>
      </c>
      <c r="H2510">
        <v>8833</v>
      </c>
      <c r="I2510">
        <v>4889</v>
      </c>
      <c r="J2510">
        <v>3944</v>
      </c>
      <c r="K2510" t="s">
        <v>54</v>
      </c>
      <c r="L2510">
        <v>15</v>
      </c>
      <c r="M2510" t="str">
        <f t="shared" si="39"/>
        <v>6-12 Months</v>
      </c>
      <c r="N2510" s="1">
        <v>45106</v>
      </c>
      <c r="O2510">
        <v>1</v>
      </c>
      <c r="P2510">
        <v>2509</v>
      </c>
      <c r="Q2510" s="2">
        <v>0.45</v>
      </c>
      <c r="R2510" t="s">
        <v>27</v>
      </c>
      <c r="S2510">
        <v>2023</v>
      </c>
      <c r="T2510" t="s">
        <v>41</v>
      </c>
    </row>
    <row r="2511" spans="1:20" hidden="1" x14ac:dyDescent="0.3">
      <c r="A2511">
        <v>4185</v>
      </c>
      <c r="B2511">
        <v>379</v>
      </c>
      <c r="C2511" t="s">
        <v>40</v>
      </c>
      <c r="D2511" t="s">
        <v>19</v>
      </c>
      <c r="E2511" t="s">
        <v>20</v>
      </c>
      <c r="F2511" s="1">
        <v>44909</v>
      </c>
      <c r="G2511" s="1">
        <v>45169</v>
      </c>
      <c r="H2511">
        <v>1682</v>
      </c>
      <c r="I2511">
        <v>7941</v>
      </c>
      <c r="J2511">
        <v>-6259</v>
      </c>
      <c r="K2511" t="s">
        <v>54</v>
      </c>
      <c r="L2511">
        <v>8</v>
      </c>
      <c r="M2511" t="str">
        <f t="shared" si="39"/>
        <v>6-12 Months</v>
      </c>
      <c r="N2511" s="1">
        <v>45169</v>
      </c>
      <c r="O2511">
        <v>0</v>
      </c>
      <c r="P2511">
        <v>2510</v>
      </c>
      <c r="Q2511" s="2">
        <v>-3.72</v>
      </c>
      <c r="R2511" t="s">
        <v>22</v>
      </c>
      <c r="S2511">
        <v>2023</v>
      </c>
      <c r="T2511" t="s">
        <v>36</v>
      </c>
    </row>
    <row r="2512" spans="1:20" hidden="1" x14ac:dyDescent="0.3">
      <c r="A2512">
        <v>4186</v>
      </c>
      <c r="B2512">
        <v>110</v>
      </c>
      <c r="C2512" t="s">
        <v>24</v>
      </c>
      <c r="D2512" t="s">
        <v>29</v>
      </c>
      <c r="E2512" t="s">
        <v>20</v>
      </c>
      <c r="F2512" s="1">
        <v>44838</v>
      </c>
      <c r="G2512" s="1">
        <v>45125</v>
      </c>
      <c r="H2512">
        <v>3035</v>
      </c>
      <c r="I2512">
        <v>6334</v>
      </c>
      <c r="J2512">
        <v>-3299</v>
      </c>
      <c r="K2512" t="s">
        <v>54</v>
      </c>
      <c r="L2512">
        <v>9</v>
      </c>
      <c r="M2512" t="str">
        <f t="shared" si="39"/>
        <v>6-12 Months</v>
      </c>
      <c r="N2512" s="1">
        <v>45125</v>
      </c>
      <c r="O2512">
        <v>0</v>
      </c>
      <c r="P2512">
        <v>2511</v>
      </c>
      <c r="Q2512" s="2">
        <v>-1.0900000000000001</v>
      </c>
      <c r="R2512" t="s">
        <v>22</v>
      </c>
      <c r="S2512">
        <v>2023</v>
      </c>
      <c r="T2512" t="s">
        <v>44</v>
      </c>
    </row>
    <row r="2513" spans="1:20" hidden="1" x14ac:dyDescent="0.3">
      <c r="A2513">
        <v>4187</v>
      </c>
      <c r="B2513">
        <v>108</v>
      </c>
      <c r="C2513" t="s">
        <v>53</v>
      </c>
      <c r="D2513" t="s">
        <v>19</v>
      </c>
      <c r="E2513" t="s">
        <v>26</v>
      </c>
      <c r="F2513" s="1">
        <v>44917</v>
      </c>
      <c r="G2513" s="1">
        <v>45168</v>
      </c>
      <c r="H2513">
        <v>6232</v>
      </c>
      <c r="I2513">
        <v>2809</v>
      </c>
      <c r="J2513">
        <v>3423</v>
      </c>
      <c r="K2513" t="s">
        <v>21</v>
      </c>
      <c r="L2513">
        <v>8</v>
      </c>
      <c r="M2513" t="str">
        <f t="shared" si="39"/>
        <v>6-12 Months</v>
      </c>
      <c r="N2513" s="1">
        <v>45168</v>
      </c>
      <c r="O2513">
        <v>0</v>
      </c>
      <c r="P2513">
        <v>2512</v>
      </c>
      <c r="Q2513" s="2">
        <v>0.55000000000000004</v>
      </c>
      <c r="R2513" t="s">
        <v>27</v>
      </c>
      <c r="S2513">
        <v>2023</v>
      </c>
      <c r="T2513" t="s">
        <v>36</v>
      </c>
    </row>
    <row r="2514" spans="1:20" hidden="1" x14ac:dyDescent="0.3">
      <c r="A2514">
        <v>4188</v>
      </c>
      <c r="B2514">
        <v>271</v>
      </c>
      <c r="C2514" t="s">
        <v>45</v>
      </c>
      <c r="D2514" t="s">
        <v>25</v>
      </c>
      <c r="E2514" t="s">
        <v>20</v>
      </c>
      <c r="F2514" s="1">
        <v>44812</v>
      </c>
      <c r="G2514" s="1">
        <v>44916</v>
      </c>
      <c r="H2514">
        <v>1107</v>
      </c>
      <c r="I2514">
        <v>89</v>
      </c>
      <c r="J2514">
        <v>1018</v>
      </c>
      <c r="K2514" t="s">
        <v>54</v>
      </c>
      <c r="L2514">
        <v>3</v>
      </c>
      <c r="M2514" t="str">
        <f t="shared" si="39"/>
        <v>0-6 Months</v>
      </c>
      <c r="N2514" s="1">
        <v>44916</v>
      </c>
      <c r="O2514">
        <v>0</v>
      </c>
      <c r="P2514">
        <v>2513</v>
      </c>
      <c r="Q2514" s="2">
        <v>0.92</v>
      </c>
      <c r="R2514" t="s">
        <v>27</v>
      </c>
      <c r="S2514">
        <v>2022</v>
      </c>
      <c r="T2514" t="s">
        <v>31</v>
      </c>
    </row>
    <row r="2515" spans="1:20" hidden="1" x14ac:dyDescent="0.3">
      <c r="A2515">
        <v>4190</v>
      </c>
      <c r="B2515">
        <v>474</v>
      </c>
      <c r="C2515" t="s">
        <v>45</v>
      </c>
      <c r="D2515" t="s">
        <v>19</v>
      </c>
      <c r="E2515" t="s">
        <v>20</v>
      </c>
      <c r="F2515" s="1">
        <v>44701</v>
      </c>
      <c r="G2515" s="1">
        <v>44964</v>
      </c>
      <c r="H2515">
        <v>1936</v>
      </c>
      <c r="I2515">
        <v>1926</v>
      </c>
      <c r="J2515">
        <v>10</v>
      </c>
      <c r="K2515" t="s">
        <v>54</v>
      </c>
      <c r="L2515">
        <v>8</v>
      </c>
      <c r="M2515" t="str">
        <f t="shared" si="39"/>
        <v>6-12 Months</v>
      </c>
      <c r="N2515" s="1">
        <v>44964</v>
      </c>
      <c r="O2515">
        <v>1</v>
      </c>
      <c r="P2515">
        <v>2514</v>
      </c>
      <c r="Q2515" s="2">
        <v>0.01</v>
      </c>
      <c r="R2515" t="s">
        <v>27</v>
      </c>
      <c r="S2515">
        <v>2023</v>
      </c>
      <c r="T2515" t="s">
        <v>43</v>
      </c>
    </row>
    <row r="2516" spans="1:20" hidden="1" x14ac:dyDescent="0.3">
      <c r="A2516">
        <v>4191</v>
      </c>
      <c r="B2516">
        <v>259</v>
      </c>
      <c r="C2516" t="s">
        <v>53</v>
      </c>
      <c r="D2516" t="s">
        <v>25</v>
      </c>
      <c r="E2516" t="s">
        <v>20</v>
      </c>
      <c r="F2516" s="1">
        <v>44863</v>
      </c>
      <c r="G2516" s="1">
        <v>45000</v>
      </c>
      <c r="H2516">
        <v>4967.93</v>
      </c>
      <c r="I2516">
        <v>643</v>
      </c>
      <c r="J2516">
        <v>-2275</v>
      </c>
      <c r="K2516" t="s">
        <v>21</v>
      </c>
      <c r="L2516">
        <v>4</v>
      </c>
      <c r="M2516" t="str">
        <f t="shared" si="39"/>
        <v>0-6 Months</v>
      </c>
      <c r="N2516" s="1">
        <v>45000</v>
      </c>
      <c r="O2516">
        <v>0</v>
      </c>
      <c r="P2516">
        <v>2515</v>
      </c>
      <c r="Q2516" s="2">
        <v>-0.46</v>
      </c>
      <c r="R2516" t="s">
        <v>27</v>
      </c>
      <c r="S2516">
        <v>2023</v>
      </c>
      <c r="T2516" t="s">
        <v>38</v>
      </c>
    </row>
    <row r="2517" spans="1:20" x14ac:dyDescent="0.3">
      <c r="A2517">
        <v>4193</v>
      </c>
      <c r="B2517">
        <v>183</v>
      </c>
      <c r="C2517" t="s">
        <v>45</v>
      </c>
      <c r="D2517" t="s">
        <v>34</v>
      </c>
      <c r="E2517" t="s">
        <v>26</v>
      </c>
      <c r="F2517" s="1">
        <v>44884</v>
      </c>
      <c r="G2517" s="1">
        <v>44989</v>
      </c>
      <c r="H2517">
        <v>4967.93</v>
      </c>
      <c r="I2517">
        <v>4965</v>
      </c>
      <c r="J2517">
        <v>-5455</v>
      </c>
      <c r="K2517" t="s">
        <v>35</v>
      </c>
      <c r="L2517">
        <v>3</v>
      </c>
      <c r="M2517" t="str">
        <f t="shared" si="39"/>
        <v>0-6 Months</v>
      </c>
      <c r="N2517" s="1">
        <v>44989</v>
      </c>
      <c r="O2517">
        <v>1</v>
      </c>
      <c r="P2517">
        <v>2516</v>
      </c>
      <c r="Q2517" s="2">
        <v>-1.1000000000000001</v>
      </c>
      <c r="R2517" t="s">
        <v>22</v>
      </c>
      <c r="S2517">
        <v>2023</v>
      </c>
      <c r="T2517" t="s">
        <v>38</v>
      </c>
    </row>
    <row r="2518" spans="1:20" hidden="1" x14ac:dyDescent="0.3">
      <c r="A2518">
        <v>4195</v>
      </c>
      <c r="B2518">
        <v>112</v>
      </c>
      <c r="C2518" t="s">
        <v>45</v>
      </c>
      <c r="D2518" t="s">
        <v>19</v>
      </c>
      <c r="E2518" t="s">
        <v>26</v>
      </c>
      <c r="F2518" s="1">
        <v>44798</v>
      </c>
      <c r="G2518" s="1">
        <v>45172</v>
      </c>
      <c r="H2518">
        <v>721</v>
      </c>
      <c r="I2518">
        <v>3401</v>
      </c>
      <c r="J2518">
        <v>-2680</v>
      </c>
      <c r="K2518" t="s">
        <v>54</v>
      </c>
      <c r="L2518">
        <v>12</v>
      </c>
      <c r="M2518" t="str">
        <f t="shared" si="39"/>
        <v>6-12 Months</v>
      </c>
      <c r="N2518" s="1">
        <v>45172</v>
      </c>
      <c r="O2518">
        <v>1</v>
      </c>
      <c r="P2518">
        <v>2517</v>
      </c>
      <c r="Q2518" s="2">
        <v>-3.72</v>
      </c>
      <c r="R2518" t="s">
        <v>22</v>
      </c>
      <c r="S2518">
        <v>2023</v>
      </c>
      <c r="T2518" t="s">
        <v>30</v>
      </c>
    </row>
    <row r="2519" spans="1:20" hidden="1" x14ac:dyDescent="0.3">
      <c r="A2519">
        <v>4199</v>
      </c>
      <c r="B2519">
        <v>391</v>
      </c>
      <c r="C2519" t="s">
        <v>24</v>
      </c>
      <c r="D2519" t="s">
        <v>29</v>
      </c>
      <c r="E2519" t="s">
        <v>37</v>
      </c>
      <c r="F2519" s="1">
        <v>44718</v>
      </c>
      <c r="G2519" s="1">
        <v>44808</v>
      </c>
      <c r="H2519">
        <v>9612</v>
      </c>
      <c r="I2519">
        <v>958</v>
      </c>
      <c r="J2519">
        <v>8654</v>
      </c>
      <c r="K2519" t="s">
        <v>54</v>
      </c>
      <c r="L2519">
        <v>2</v>
      </c>
      <c r="M2519" t="str">
        <f t="shared" si="39"/>
        <v>0-6 Months</v>
      </c>
      <c r="N2519" s="1">
        <v>44808</v>
      </c>
      <c r="O2519">
        <v>1</v>
      </c>
      <c r="P2519">
        <v>2518</v>
      </c>
      <c r="Q2519" s="2">
        <v>0.9</v>
      </c>
      <c r="R2519" t="s">
        <v>27</v>
      </c>
      <c r="S2519">
        <v>2022</v>
      </c>
      <c r="T2519" t="s">
        <v>30</v>
      </c>
    </row>
    <row r="2520" spans="1:20" hidden="1" x14ac:dyDescent="0.3">
      <c r="A2520">
        <v>4201</v>
      </c>
      <c r="B2520">
        <v>127</v>
      </c>
      <c r="C2520" t="s">
        <v>40</v>
      </c>
      <c r="D2520" t="s">
        <v>34</v>
      </c>
      <c r="E2520" t="s">
        <v>26</v>
      </c>
      <c r="F2520" s="1">
        <v>44808</v>
      </c>
      <c r="G2520" s="1">
        <v>44981</v>
      </c>
      <c r="H2520">
        <v>5855</v>
      </c>
      <c r="I2520">
        <v>6234</v>
      </c>
      <c r="J2520">
        <v>-379</v>
      </c>
      <c r="K2520" t="s">
        <v>21</v>
      </c>
      <c r="L2520">
        <v>5</v>
      </c>
      <c r="M2520" t="str">
        <f t="shared" si="39"/>
        <v>0-6 Months</v>
      </c>
      <c r="N2520" s="1">
        <v>44981</v>
      </c>
      <c r="O2520">
        <v>0</v>
      </c>
      <c r="P2520">
        <v>2519</v>
      </c>
      <c r="Q2520" s="2">
        <v>-0.06</v>
      </c>
      <c r="R2520" t="s">
        <v>27</v>
      </c>
      <c r="S2520">
        <v>2023</v>
      </c>
      <c r="T2520" t="s">
        <v>43</v>
      </c>
    </row>
    <row r="2521" spans="1:20" hidden="1" x14ac:dyDescent="0.3">
      <c r="A2521">
        <v>4203</v>
      </c>
      <c r="B2521">
        <v>489</v>
      </c>
      <c r="C2521" t="s">
        <v>53</v>
      </c>
      <c r="D2521" t="s">
        <v>34</v>
      </c>
      <c r="E2521" t="s">
        <v>37</v>
      </c>
      <c r="F2521" s="1">
        <v>44882</v>
      </c>
      <c r="G2521" s="1">
        <v>45400</v>
      </c>
      <c r="H2521">
        <v>4967.93</v>
      </c>
      <c r="I2521">
        <v>2881</v>
      </c>
      <c r="J2521">
        <v>577.01</v>
      </c>
      <c r="K2521" t="s">
        <v>21</v>
      </c>
      <c r="L2521">
        <v>17</v>
      </c>
      <c r="M2521" t="str">
        <f t="shared" si="39"/>
        <v>6-12 Months</v>
      </c>
      <c r="N2521" s="1">
        <v>45400</v>
      </c>
      <c r="O2521">
        <v>0</v>
      </c>
      <c r="P2521">
        <v>2520</v>
      </c>
      <c r="Q2521" s="2">
        <v>0.12</v>
      </c>
      <c r="R2521" t="s">
        <v>27</v>
      </c>
      <c r="S2521">
        <v>2024</v>
      </c>
      <c r="T2521" t="s">
        <v>32</v>
      </c>
    </row>
    <row r="2522" spans="1:20" hidden="1" x14ac:dyDescent="0.3">
      <c r="A2522">
        <v>4205</v>
      </c>
      <c r="B2522">
        <v>407</v>
      </c>
      <c r="C2522" t="s">
        <v>53</v>
      </c>
      <c r="D2522" t="s">
        <v>25</v>
      </c>
      <c r="E2522" t="s">
        <v>37</v>
      </c>
      <c r="F2522" s="1">
        <v>44680</v>
      </c>
      <c r="G2522" s="1">
        <v>44937</v>
      </c>
      <c r="H2522">
        <v>1448</v>
      </c>
      <c r="I2522">
        <v>4012.75</v>
      </c>
      <c r="J2522">
        <v>1744</v>
      </c>
      <c r="K2522" t="s">
        <v>54</v>
      </c>
      <c r="L2522">
        <v>8</v>
      </c>
      <c r="M2522" t="str">
        <f t="shared" si="39"/>
        <v>6-12 Months</v>
      </c>
      <c r="N2522" s="1">
        <v>44937</v>
      </c>
      <c r="O2522">
        <v>0</v>
      </c>
      <c r="P2522">
        <v>2521</v>
      </c>
      <c r="Q2522" s="2">
        <v>1.2</v>
      </c>
      <c r="R2522" t="s">
        <v>22</v>
      </c>
      <c r="S2522">
        <v>2023</v>
      </c>
      <c r="T2522" t="s">
        <v>23</v>
      </c>
    </row>
    <row r="2523" spans="1:20" hidden="1" x14ac:dyDescent="0.3">
      <c r="A2523">
        <v>4206</v>
      </c>
      <c r="B2523">
        <v>298</v>
      </c>
      <c r="C2523" t="s">
        <v>53</v>
      </c>
      <c r="D2523" t="s">
        <v>34</v>
      </c>
      <c r="E2523" t="s">
        <v>20</v>
      </c>
      <c r="F2523" s="1">
        <v>44658</v>
      </c>
      <c r="G2523" s="1">
        <v>45076</v>
      </c>
      <c r="H2523">
        <v>3533</v>
      </c>
      <c r="I2523">
        <v>398</v>
      </c>
      <c r="J2523">
        <v>3135</v>
      </c>
      <c r="K2523" t="s">
        <v>54</v>
      </c>
      <c r="L2523">
        <v>13</v>
      </c>
      <c r="M2523" t="str">
        <f t="shared" si="39"/>
        <v>6-12 Months</v>
      </c>
      <c r="N2523" s="1">
        <v>45076</v>
      </c>
      <c r="O2523">
        <v>0</v>
      </c>
      <c r="P2523">
        <v>2522</v>
      </c>
      <c r="Q2523" s="2">
        <v>0.89</v>
      </c>
      <c r="R2523" t="s">
        <v>27</v>
      </c>
      <c r="S2523">
        <v>2023</v>
      </c>
      <c r="T2523" t="s">
        <v>28</v>
      </c>
    </row>
    <row r="2524" spans="1:20" hidden="1" x14ac:dyDescent="0.3">
      <c r="A2524">
        <v>4208</v>
      </c>
      <c r="B2524">
        <v>296</v>
      </c>
      <c r="C2524" t="s">
        <v>45</v>
      </c>
      <c r="D2524" t="s">
        <v>29</v>
      </c>
      <c r="E2524" t="s">
        <v>26</v>
      </c>
      <c r="F2524" s="1">
        <v>44914</v>
      </c>
      <c r="G2524" s="1">
        <v>45514</v>
      </c>
      <c r="H2524">
        <v>4967.93</v>
      </c>
      <c r="I2524">
        <v>6042</v>
      </c>
      <c r="J2524">
        <v>-6506</v>
      </c>
      <c r="K2524" t="s">
        <v>54</v>
      </c>
      <c r="L2524">
        <v>19</v>
      </c>
      <c r="M2524" t="str">
        <f t="shared" si="39"/>
        <v>6-12 Months</v>
      </c>
      <c r="N2524" s="1">
        <v>45514</v>
      </c>
      <c r="O2524">
        <v>0</v>
      </c>
      <c r="P2524">
        <v>2523</v>
      </c>
      <c r="Q2524" s="2">
        <v>-1.31</v>
      </c>
      <c r="R2524" t="s">
        <v>22</v>
      </c>
      <c r="S2524">
        <v>2024</v>
      </c>
      <c r="T2524" t="s">
        <v>36</v>
      </c>
    </row>
    <row r="2525" spans="1:20" hidden="1" x14ac:dyDescent="0.3">
      <c r="A2525">
        <v>4210</v>
      </c>
      <c r="B2525">
        <v>259</v>
      </c>
      <c r="C2525" t="s">
        <v>45</v>
      </c>
      <c r="D2525" t="s">
        <v>34</v>
      </c>
      <c r="E2525" t="s">
        <v>20</v>
      </c>
      <c r="F2525" s="1">
        <v>44851</v>
      </c>
      <c r="G2525" s="1">
        <v>45355</v>
      </c>
      <c r="H2525">
        <v>1763</v>
      </c>
      <c r="I2525">
        <v>4012.75</v>
      </c>
      <c r="J2525">
        <v>2754</v>
      </c>
      <c r="K2525" t="s">
        <v>21</v>
      </c>
      <c r="L2525">
        <v>16</v>
      </c>
      <c r="M2525" t="str">
        <f t="shared" si="39"/>
        <v>6-12 Months</v>
      </c>
      <c r="N2525" s="1">
        <v>45355</v>
      </c>
      <c r="O2525">
        <v>0</v>
      </c>
      <c r="P2525">
        <v>2524</v>
      </c>
      <c r="Q2525" s="2">
        <v>1.56</v>
      </c>
      <c r="R2525" t="s">
        <v>22</v>
      </c>
      <c r="S2525">
        <v>2024</v>
      </c>
      <c r="T2525" t="s">
        <v>38</v>
      </c>
    </row>
    <row r="2526" spans="1:20" hidden="1" x14ac:dyDescent="0.3">
      <c r="A2526">
        <v>4211</v>
      </c>
      <c r="B2526">
        <v>244</v>
      </c>
      <c r="C2526" t="s">
        <v>40</v>
      </c>
      <c r="D2526" t="s">
        <v>34</v>
      </c>
      <c r="E2526" t="s">
        <v>20</v>
      </c>
      <c r="F2526" s="1">
        <v>44657</v>
      </c>
      <c r="G2526" s="1">
        <v>45097</v>
      </c>
      <c r="H2526">
        <v>4967.93</v>
      </c>
      <c r="I2526">
        <v>7291</v>
      </c>
      <c r="J2526">
        <v>-7874</v>
      </c>
      <c r="K2526" t="s">
        <v>21</v>
      </c>
      <c r="L2526">
        <v>14</v>
      </c>
      <c r="M2526" t="str">
        <f t="shared" si="39"/>
        <v>6-12 Months</v>
      </c>
      <c r="N2526" s="1">
        <v>45097</v>
      </c>
      <c r="O2526">
        <v>0</v>
      </c>
      <c r="P2526">
        <v>2525</v>
      </c>
      <c r="Q2526" s="2">
        <v>-1.58</v>
      </c>
      <c r="R2526" t="s">
        <v>22</v>
      </c>
      <c r="S2526">
        <v>2023</v>
      </c>
      <c r="T2526" t="s">
        <v>41</v>
      </c>
    </row>
    <row r="2527" spans="1:20" hidden="1" x14ac:dyDescent="0.3">
      <c r="A2527">
        <v>4212</v>
      </c>
      <c r="B2527">
        <v>266</v>
      </c>
      <c r="C2527" t="s">
        <v>40</v>
      </c>
      <c r="D2527" t="s">
        <v>34</v>
      </c>
      <c r="E2527" t="s">
        <v>20</v>
      </c>
      <c r="F2527" s="1">
        <v>44730</v>
      </c>
      <c r="G2527" s="1">
        <v>45128</v>
      </c>
      <c r="H2527">
        <v>6509</v>
      </c>
      <c r="I2527">
        <v>934</v>
      </c>
      <c r="J2527">
        <v>5575</v>
      </c>
      <c r="K2527" t="s">
        <v>21</v>
      </c>
      <c r="L2527">
        <v>13</v>
      </c>
      <c r="M2527" t="str">
        <f t="shared" si="39"/>
        <v>6-12 Months</v>
      </c>
      <c r="N2527" s="1">
        <v>45128</v>
      </c>
      <c r="O2527">
        <v>0</v>
      </c>
      <c r="P2527">
        <v>2526</v>
      </c>
      <c r="Q2527" s="2">
        <v>0.86</v>
      </c>
      <c r="R2527" t="s">
        <v>27</v>
      </c>
      <c r="S2527">
        <v>2023</v>
      </c>
      <c r="T2527" t="s">
        <v>44</v>
      </c>
    </row>
    <row r="2528" spans="1:20" hidden="1" x14ac:dyDescent="0.3">
      <c r="A2528">
        <v>4213</v>
      </c>
      <c r="B2528">
        <v>395</v>
      </c>
      <c r="C2528" t="s">
        <v>40</v>
      </c>
      <c r="D2528" t="s">
        <v>25</v>
      </c>
      <c r="E2528" t="s">
        <v>20</v>
      </c>
      <c r="F2528" s="1">
        <v>44916</v>
      </c>
      <c r="G2528" s="1">
        <v>45161</v>
      </c>
      <c r="H2528">
        <v>4967.93</v>
      </c>
      <c r="I2528">
        <v>2429</v>
      </c>
      <c r="J2528">
        <v>-3342</v>
      </c>
      <c r="K2528" t="s">
        <v>21</v>
      </c>
      <c r="L2528">
        <v>8</v>
      </c>
      <c r="M2528" t="str">
        <f t="shared" si="39"/>
        <v>6-12 Months</v>
      </c>
      <c r="N2528" s="1">
        <v>45161</v>
      </c>
      <c r="O2528">
        <v>1</v>
      </c>
      <c r="P2528">
        <v>2527</v>
      </c>
      <c r="Q2528" s="2">
        <v>-0.67</v>
      </c>
      <c r="R2528" t="s">
        <v>27</v>
      </c>
      <c r="S2528">
        <v>2023</v>
      </c>
      <c r="T2528" t="s">
        <v>36</v>
      </c>
    </row>
    <row r="2529" spans="1:20" hidden="1" x14ac:dyDescent="0.3">
      <c r="A2529">
        <v>4217</v>
      </c>
      <c r="B2529">
        <v>460</v>
      </c>
      <c r="C2529" t="s">
        <v>24</v>
      </c>
      <c r="D2529" t="s">
        <v>19</v>
      </c>
      <c r="E2529" t="s">
        <v>20</v>
      </c>
      <c r="F2529" s="1">
        <v>44838</v>
      </c>
      <c r="G2529" s="1">
        <v>44966</v>
      </c>
      <c r="H2529">
        <v>2364</v>
      </c>
      <c r="I2529">
        <v>5418</v>
      </c>
      <c r="J2529">
        <v>-3054</v>
      </c>
      <c r="K2529" t="s">
        <v>54</v>
      </c>
      <c r="L2529">
        <v>4</v>
      </c>
      <c r="M2529" t="str">
        <f t="shared" si="39"/>
        <v>0-6 Months</v>
      </c>
      <c r="N2529" s="1">
        <v>44966</v>
      </c>
      <c r="O2529">
        <v>0</v>
      </c>
      <c r="P2529">
        <v>2528</v>
      </c>
      <c r="Q2529" s="2">
        <v>-1.29</v>
      </c>
      <c r="R2529" t="s">
        <v>22</v>
      </c>
      <c r="S2529">
        <v>2023</v>
      </c>
      <c r="T2529" t="s">
        <v>43</v>
      </c>
    </row>
    <row r="2530" spans="1:20" hidden="1" x14ac:dyDescent="0.3">
      <c r="A2530">
        <v>4218</v>
      </c>
      <c r="B2530">
        <v>107</v>
      </c>
      <c r="C2530" t="s">
        <v>39</v>
      </c>
      <c r="D2530" t="s">
        <v>29</v>
      </c>
      <c r="E2530" t="s">
        <v>26</v>
      </c>
      <c r="F2530" s="1">
        <v>44642</v>
      </c>
      <c r="G2530" s="1">
        <v>45227</v>
      </c>
      <c r="H2530">
        <v>4967.93</v>
      </c>
      <c r="I2530">
        <v>4012.75</v>
      </c>
      <c r="J2530">
        <v>-1139</v>
      </c>
      <c r="K2530" t="s">
        <v>54</v>
      </c>
      <c r="L2530">
        <v>19</v>
      </c>
      <c r="M2530" t="str">
        <f t="shared" si="39"/>
        <v>6-12 Months</v>
      </c>
      <c r="N2530" s="1">
        <v>45227</v>
      </c>
      <c r="O2530">
        <v>1</v>
      </c>
      <c r="P2530">
        <v>2529</v>
      </c>
      <c r="Q2530" s="2">
        <v>-0.23</v>
      </c>
      <c r="R2530" t="s">
        <v>27</v>
      </c>
      <c r="S2530">
        <v>2023</v>
      </c>
      <c r="T2530" t="s">
        <v>33</v>
      </c>
    </row>
    <row r="2531" spans="1:20" hidden="1" x14ac:dyDescent="0.3">
      <c r="A2531">
        <v>4221</v>
      </c>
      <c r="B2531">
        <v>213</v>
      </c>
      <c r="C2531" t="s">
        <v>24</v>
      </c>
      <c r="D2531" t="s">
        <v>29</v>
      </c>
      <c r="E2531" t="s">
        <v>26</v>
      </c>
      <c r="F2531" s="1">
        <v>44873</v>
      </c>
      <c r="G2531" s="1">
        <v>45375</v>
      </c>
      <c r="H2531">
        <v>7586</v>
      </c>
      <c r="I2531">
        <v>4012.75</v>
      </c>
      <c r="J2531">
        <v>8081</v>
      </c>
      <c r="K2531" t="s">
        <v>21</v>
      </c>
      <c r="L2531">
        <v>16</v>
      </c>
      <c r="M2531" t="str">
        <f t="shared" si="39"/>
        <v>6-12 Months</v>
      </c>
      <c r="N2531" s="1">
        <v>45375</v>
      </c>
      <c r="O2531">
        <v>0</v>
      </c>
      <c r="P2531">
        <v>2530</v>
      </c>
      <c r="Q2531" s="2">
        <v>1.07</v>
      </c>
      <c r="R2531" t="s">
        <v>22</v>
      </c>
      <c r="S2531">
        <v>2024</v>
      </c>
      <c r="T2531" t="s">
        <v>38</v>
      </c>
    </row>
    <row r="2532" spans="1:20" hidden="1" x14ac:dyDescent="0.3">
      <c r="A2532">
        <v>4225</v>
      </c>
      <c r="B2532">
        <v>436</v>
      </c>
      <c r="C2532" t="s">
        <v>24</v>
      </c>
      <c r="D2532" t="s">
        <v>19</v>
      </c>
      <c r="E2532" t="s">
        <v>20</v>
      </c>
      <c r="F2532" s="1">
        <v>44631</v>
      </c>
      <c r="G2532" s="1">
        <v>45163</v>
      </c>
      <c r="H2532">
        <v>2117</v>
      </c>
      <c r="I2532">
        <v>2078</v>
      </c>
      <c r="J2532">
        <v>577.01</v>
      </c>
      <c r="K2532" t="s">
        <v>21</v>
      </c>
      <c r="L2532">
        <v>17</v>
      </c>
      <c r="M2532" t="str">
        <f t="shared" si="39"/>
        <v>6-12 Months</v>
      </c>
      <c r="N2532" s="1">
        <v>45163</v>
      </c>
      <c r="O2532">
        <v>1</v>
      </c>
      <c r="P2532">
        <v>2531</v>
      </c>
      <c r="Q2532" s="2">
        <v>0.27</v>
      </c>
      <c r="R2532" t="s">
        <v>27</v>
      </c>
      <c r="S2532">
        <v>2023</v>
      </c>
      <c r="T2532" t="s">
        <v>36</v>
      </c>
    </row>
    <row r="2533" spans="1:20" hidden="1" x14ac:dyDescent="0.3">
      <c r="A2533">
        <v>4226</v>
      </c>
      <c r="B2533">
        <v>238</v>
      </c>
      <c r="C2533" t="s">
        <v>45</v>
      </c>
      <c r="D2533" t="s">
        <v>29</v>
      </c>
      <c r="E2533" t="s">
        <v>26</v>
      </c>
      <c r="F2533" s="1">
        <v>44882</v>
      </c>
      <c r="G2533" s="1">
        <v>45241</v>
      </c>
      <c r="H2533">
        <v>8405</v>
      </c>
      <c r="I2533">
        <v>6105</v>
      </c>
      <c r="J2533">
        <v>2300</v>
      </c>
      <c r="K2533" t="s">
        <v>54</v>
      </c>
      <c r="L2533">
        <v>11</v>
      </c>
      <c r="M2533" t="str">
        <f t="shared" si="39"/>
        <v>6-12 Months</v>
      </c>
      <c r="N2533" s="1">
        <v>45241</v>
      </c>
      <c r="O2533">
        <v>0</v>
      </c>
      <c r="P2533">
        <v>2532</v>
      </c>
      <c r="Q2533" s="2">
        <v>0.27</v>
      </c>
      <c r="R2533" t="s">
        <v>27</v>
      </c>
      <c r="S2533">
        <v>2023</v>
      </c>
      <c r="T2533" t="s">
        <v>42</v>
      </c>
    </row>
    <row r="2534" spans="1:20" hidden="1" x14ac:dyDescent="0.3">
      <c r="A2534">
        <v>4233</v>
      </c>
      <c r="B2534">
        <v>344</v>
      </c>
      <c r="C2534" t="s">
        <v>45</v>
      </c>
      <c r="D2534" t="s">
        <v>19</v>
      </c>
      <c r="E2534" t="s">
        <v>26</v>
      </c>
      <c r="F2534" s="1">
        <v>44794</v>
      </c>
      <c r="G2534" s="1">
        <v>45121</v>
      </c>
      <c r="H2534">
        <v>6535</v>
      </c>
      <c r="I2534">
        <v>4012.75</v>
      </c>
      <c r="J2534">
        <v>6839</v>
      </c>
      <c r="K2534" t="s">
        <v>54</v>
      </c>
      <c r="L2534">
        <v>10</v>
      </c>
      <c r="M2534" t="str">
        <f t="shared" si="39"/>
        <v>6-12 Months</v>
      </c>
      <c r="N2534" s="1">
        <v>45121</v>
      </c>
      <c r="O2534">
        <v>1</v>
      </c>
      <c r="P2534">
        <v>2533</v>
      </c>
      <c r="Q2534" s="2">
        <v>1.05</v>
      </c>
      <c r="R2534" t="s">
        <v>22</v>
      </c>
      <c r="S2534">
        <v>2023</v>
      </c>
      <c r="T2534" t="s">
        <v>44</v>
      </c>
    </row>
    <row r="2535" spans="1:20" hidden="1" x14ac:dyDescent="0.3">
      <c r="A2535">
        <v>4234</v>
      </c>
      <c r="B2535">
        <v>140</v>
      </c>
      <c r="C2535" t="s">
        <v>53</v>
      </c>
      <c r="D2535" t="s">
        <v>25</v>
      </c>
      <c r="E2535" t="s">
        <v>37</v>
      </c>
      <c r="F2535" s="1">
        <v>44687</v>
      </c>
      <c r="G2535" s="1">
        <v>44902</v>
      </c>
      <c r="H2535">
        <v>4967.93</v>
      </c>
      <c r="I2535">
        <v>4012.75</v>
      </c>
      <c r="J2535">
        <v>-1441</v>
      </c>
      <c r="K2535" t="s">
        <v>54</v>
      </c>
      <c r="L2535">
        <v>7</v>
      </c>
      <c r="M2535" t="str">
        <f t="shared" si="39"/>
        <v>6-12 Months</v>
      </c>
      <c r="N2535" s="1">
        <v>44902</v>
      </c>
      <c r="O2535">
        <v>0</v>
      </c>
      <c r="P2535">
        <v>2534</v>
      </c>
      <c r="Q2535" s="2">
        <v>-0.28999999999999998</v>
      </c>
      <c r="R2535" t="s">
        <v>27</v>
      </c>
      <c r="S2535">
        <v>2022</v>
      </c>
      <c r="T2535" t="s">
        <v>31</v>
      </c>
    </row>
    <row r="2536" spans="1:20" hidden="1" x14ac:dyDescent="0.3">
      <c r="A2536">
        <v>4235</v>
      </c>
      <c r="B2536">
        <v>146</v>
      </c>
      <c r="C2536" t="s">
        <v>39</v>
      </c>
      <c r="D2536" t="s">
        <v>34</v>
      </c>
      <c r="E2536" t="s">
        <v>37</v>
      </c>
      <c r="F2536" s="1">
        <v>44573</v>
      </c>
      <c r="G2536" s="1">
        <v>44731</v>
      </c>
      <c r="H2536">
        <v>5734</v>
      </c>
      <c r="I2536">
        <v>4012.75</v>
      </c>
      <c r="J2536">
        <v>577.01</v>
      </c>
      <c r="K2536" t="s">
        <v>54</v>
      </c>
      <c r="L2536">
        <v>5</v>
      </c>
      <c r="M2536" t="str">
        <f t="shared" si="39"/>
        <v>0-6 Months</v>
      </c>
      <c r="N2536" s="1">
        <v>44731</v>
      </c>
      <c r="O2536">
        <v>0</v>
      </c>
      <c r="P2536">
        <v>2535</v>
      </c>
      <c r="Q2536" s="2">
        <v>0.1</v>
      </c>
      <c r="R2536" t="s">
        <v>27</v>
      </c>
      <c r="S2536">
        <v>2022</v>
      </c>
      <c r="T2536" t="s">
        <v>41</v>
      </c>
    </row>
    <row r="2537" spans="1:20" hidden="1" x14ac:dyDescent="0.3">
      <c r="A2537">
        <v>4237</v>
      </c>
      <c r="B2537">
        <v>342</v>
      </c>
      <c r="C2537" t="s">
        <v>53</v>
      </c>
      <c r="D2537" t="s">
        <v>19</v>
      </c>
      <c r="E2537" t="s">
        <v>37</v>
      </c>
      <c r="F2537" s="1">
        <v>44823</v>
      </c>
      <c r="G2537" s="1">
        <v>45385</v>
      </c>
      <c r="H2537">
        <v>85</v>
      </c>
      <c r="I2537">
        <v>1174</v>
      </c>
      <c r="J2537">
        <v>-1089</v>
      </c>
      <c r="K2537" t="s">
        <v>54</v>
      </c>
      <c r="L2537">
        <v>18</v>
      </c>
      <c r="M2537" t="str">
        <f t="shared" si="39"/>
        <v>6-12 Months</v>
      </c>
      <c r="N2537" s="1">
        <v>45385</v>
      </c>
      <c r="O2537">
        <v>1</v>
      </c>
      <c r="P2537">
        <v>2536</v>
      </c>
      <c r="Q2537" s="2">
        <v>-12.81</v>
      </c>
      <c r="R2537" t="s">
        <v>22</v>
      </c>
      <c r="S2537">
        <v>2024</v>
      </c>
      <c r="T2537" t="s">
        <v>32</v>
      </c>
    </row>
    <row r="2538" spans="1:20" hidden="1" x14ac:dyDescent="0.3">
      <c r="A2538">
        <v>4238</v>
      </c>
      <c r="B2538">
        <v>432</v>
      </c>
      <c r="C2538" t="s">
        <v>24</v>
      </c>
      <c r="D2538" t="s">
        <v>34</v>
      </c>
      <c r="E2538" t="s">
        <v>37</v>
      </c>
      <c r="F2538" s="1">
        <v>44612</v>
      </c>
      <c r="G2538" s="1">
        <v>44920</v>
      </c>
      <c r="H2538">
        <v>197</v>
      </c>
      <c r="I2538">
        <v>4362</v>
      </c>
      <c r="J2538">
        <v>-4165</v>
      </c>
      <c r="K2538" t="s">
        <v>21</v>
      </c>
      <c r="L2538">
        <v>10</v>
      </c>
      <c r="M2538" t="str">
        <f t="shared" si="39"/>
        <v>6-12 Months</v>
      </c>
      <c r="N2538" s="1">
        <v>44920</v>
      </c>
      <c r="O2538">
        <v>0</v>
      </c>
      <c r="P2538">
        <v>2537</v>
      </c>
      <c r="Q2538" s="2">
        <v>-21.14</v>
      </c>
      <c r="R2538" t="s">
        <v>22</v>
      </c>
      <c r="S2538">
        <v>2022</v>
      </c>
      <c r="T2538" t="s">
        <v>31</v>
      </c>
    </row>
    <row r="2539" spans="1:20" hidden="1" x14ac:dyDescent="0.3">
      <c r="A2539">
        <v>4239</v>
      </c>
      <c r="B2539">
        <v>179</v>
      </c>
      <c r="C2539" t="s">
        <v>45</v>
      </c>
      <c r="D2539" t="s">
        <v>19</v>
      </c>
      <c r="E2539" t="s">
        <v>37</v>
      </c>
      <c r="F2539" s="1">
        <v>44796</v>
      </c>
      <c r="G2539" s="1">
        <v>45251</v>
      </c>
      <c r="H2539">
        <v>5198</v>
      </c>
      <c r="I2539">
        <v>4486</v>
      </c>
      <c r="J2539">
        <v>577.01</v>
      </c>
      <c r="K2539" t="s">
        <v>54</v>
      </c>
      <c r="L2539">
        <v>14</v>
      </c>
      <c r="M2539" t="str">
        <f t="shared" si="39"/>
        <v>6-12 Months</v>
      </c>
      <c r="N2539" s="1">
        <v>45251</v>
      </c>
      <c r="O2539">
        <v>1</v>
      </c>
      <c r="P2539">
        <v>2538</v>
      </c>
      <c r="Q2539" s="2">
        <v>0.11</v>
      </c>
      <c r="R2539" t="s">
        <v>27</v>
      </c>
      <c r="S2539">
        <v>2023</v>
      </c>
      <c r="T2539" t="s">
        <v>42</v>
      </c>
    </row>
    <row r="2540" spans="1:20" hidden="1" x14ac:dyDescent="0.3">
      <c r="A2540">
        <v>4240</v>
      </c>
      <c r="B2540">
        <v>336</v>
      </c>
      <c r="C2540" t="s">
        <v>40</v>
      </c>
      <c r="D2540" t="s">
        <v>29</v>
      </c>
      <c r="E2540" t="s">
        <v>26</v>
      </c>
      <c r="F2540" s="1">
        <v>44856</v>
      </c>
      <c r="G2540" s="1">
        <v>45156</v>
      </c>
      <c r="H2540">
        <v>4774</v>
      </c>
      <c r="I2540">
        <v>4274</v>
      </c>
      <c r="J2540">
        <v>500</v>
      </c>
      <c r="K2540" t="s">
        <v>54</v>
      </c>
      <c r="L2540">
        <v>9</v>
      </c>
      <c r="M2540" t="str">
        <f t="shared" si="39"/>
        <v>6-12 Months</v>
      </c>
      <c r="N2540" s="1">
        <v>45156</v>
      </c>
      <c r="O2540">
        <v>1</v>
      </c>
      <c r="P2540">
        <v>2539</v>
      </c>
      <c r="Q2540" s="2">
        <v>0.1</v>
      </c>
      <c r="R2540" t="s">
        <v>27</v>
      </c>
      <c r="S2540">
        <v>2023</v>
      </c>
      <c r="T2540" t="s">
        <v>36</v>
      </c>
    </row>
    <row r="2541" spans="1:20" hidden="1" x14ac:dyDescent="0.3">
      <c r="A2541">
        <v>4241</v>
      </c>
      <c r="B2541">
        <v>287</v>
      </c>
      <c r="C2541" t="s">
        <v>24</v>
      </c>
      <c r="D2541" t="s">
        <v>19</v>
      </c>
      <c r="E2541" t="s">
        <v>37</v>
      </c>
      <c r="F2541" s="1">
        <v>44738</v>
      </c>
      <c r="G2541" s="1">
        <v>45146</v>
      </c>
      <c r="H2541">
        <v>9962</v>
      </c>
      <c r="I2541">
        <v>6349</v>
      </c>
      <c r="J2541">
        <v>3613</v>
      </c>
      <c r="K2541" t="s">
        <v>54</v>
      </c>
      <c r="L2541">
        <v>13</v>
      </c>
      <c r="M2541" t="str">
        <f t="shared" si="39"/>
        <v>6-12 Months</v>
      </c>
      <c r="N2541" s="1">
        <v>45146</v>
      </c>
      <c r="O2541">
        <v>1</v>
      </c>
      <c r="P2541">
        <v>2540</v>
      </c>
      <c r="Q2541" s="2">
        <v>0.36</v>
      </c>
      <c r="R2541" t="s">
        <v>27</v>
      </c>
      <c r="S2541">
        <v>2023</v>
      </c>
      <c r="T2541" t="s">
        <v>36</v>
      </c>
    </row>
    <row r="2542" spans="1:20" hidden="1" x14ac:dyDescent="0.3">
      <c r="A2542">
        <v>4242</v>
      </c>
      <c r="B2542">
        <v>313</v>
      </c>
      <c r="C2542" t="s">
        <v>53</v>
      </c>
      <c r="D2542" t="s">
        <v>29</v>
      </c>
      <c r="E2542" t="s">
        <v>20</v>
      </c>
      <c r="F2542" s="1">
        <v>44613</v>
      </c>
      <c r="G2542" s="1">
        <v>44827</v>
      </c>
      <c r="H2542">
        <v>4967.93</v>
      </c>
      <c r="I2542">
        <v>1164</v>
      </c>
      <c r="J2542">
        <v>-1619</v>
      </c>
      <c r="K2542" t="s">
        <v>54</v>
      </c>
      <c r="L2542">
        <v>7</v>
      </c>
      <c r="M2542" t="str">
        <f t="shared" si="39"/>
        <v>6-12 Months</v>
      </c>
      <c r="N2542" s="1">
        <v>44827</v>
      </c>
      <c r="O2542">
        <v>1</v>
      </c>
      <c r="P2542">
        <v>2541</v>
      </c>
      <c r="Q2542" s="2">
        <v>-0.33</v>
      </c>
      <c r="R2542" t="s">
        <v>27</v>
      </c>
      <c r="S2542">
        <v>2022</v>
      </c>
      <c r="T2542" t="s">
        <v>30</v>
      </c>
    </row>
    <row r="2543" spans="1:20" x14ac:dyDescent="0.3">
      <c r="A2543">
        <v>4245</v>
      </c>
      <c r="B2543">
        <v>448</v>
      </c>
      <c r="C2543" t="s">
        <v>39</v>
      </c>
      <c r="D2543" t="s">
        <v>34</v>
      </c>
      <c r="E2543" t="s">
        <v>20</v>
      </c>
      <c r="F2543" s="1">
        <v>44862</v>
      </c>
      <c r="G2543" s="1">
        <v>45116</v>
      </c>
      <c r="H2543">
        <v>8442</v>
      </c>
      <c r="I2543">
        <v>4012.75</v>
      </c>
      <c r="J2543">
        <v>8621</v>
      </c>
      <c r="K2543" t="s">
        <v>35</v>
      </c>
      <c r="L2543">
        <v>8</v>
      </c>
      <c r="M2543" t="str">
        <f t="shared" si="39"/>
        <v>6-12 Months</v>
      </c>
      <c r="N2543" s="1">
        <v>45116</v>
      </c>
      <c r="O2543">
        <v>1</v>
      </c>
      <c r="P2543">
        <v>2542</v>
      </c>
      <c r="Q2543" s="2">
        <v>1.02</v>
      </c>
      <c r="R2543" t="s">
        <v>22</v>
      </c>
      <c r="S2543">
        <v>2023</v>
      </c>
      <c r="T2543" t="s">
        <v>44</v>
      </c>
    </row>
    <row r="2544" spans="1:20" hidden="1" x14ac:dyDescent="0.3">
      <c r="A2544">
        <v>4248</v>
      </c>
      <c r="B2544">
        <v>102</v>
      </c>
      <c r="C2544" t="s">
        <v>24</v>
      </c>
      <c r="D2544" t="s">
        <v>25</v>
      </c>
      <c r="E2544" t="s">
        <v>26</v>
      </c>
      <c r="F2544" s="1">
        <v>44744</v>
      </c>
      <c r="G2544" s="1">
        <v>44927</v>
      </c>
      <c r="H2544">
        <v>1979</v>
      </c>
      <c r="I2544">
        <v>3007</v>
      </c>
      <c r="J2544">
        <v>-1028</v>
      </c>
      <c r="K2544" t="s">
        <v>21</v>
      </c>
      <c r="L2544">
        <v>5</v>
      </c>
      <c r="M2544" t="str">
        <f t="shared" si="39"/>
        <v>0-6 Months</v>
      </c>
      <c r="N2544" s="1">
        <v>44927</v>
      </c>
      <c r="O2544">
        <v>1</v>
      </c>
      <c r="P2544">
        <v>2543</v>
      </c>
      <c r="Q2544" s="2">
        <v>-0.52</v>
      </c>
      <c r="R2544" t="s">
        <v>27</v>
      </c>
      <c r="S2544">
        <v>2023</v>
      </c>
      <c r="T2544" t="s">
        <v>23</v>
      </c>
    </row>
    <row r="2545" spans="1:20" hidden="1" x14ac:dyDescent="0.3">
      <c r="A2545">
        <v>4250</v>
      </c>
      <c r="B2545">
        <v>138</v>
      </c>
      <c r="C2545" t="s">
        <v>39</v>
      </c>
      <c r="D2545" t="s">
        <v>19</v>
      </c>
      <c r="E2545" t="s">
        <v>26</v>
      </c>
      <c r="F2545" s="1">
        <v>44801</v>
      </c>
      <c r="G2545" s="1">
        <v>45088</v>
      </c>
      <c r="H2545">
        <v>1205</v>
      </c>
      <c r="I2545">
        <v>5667</v>
      </c>
      <c r="J2545">
        <v>-4462</v>
      </c>
      <c r="K2545" t="s">
        <v>54</v>
      </c>
      <c r="L2545">
        <v>9</v>
      </c>
      <c r="M2545" t="str">
        <f t="shared" si="39"/>
        <v>6-12 Months</v>
      </c>
      <c r="N2545" s="1">
        <v>45088</v>
      </c>
      <c r="O2545">
        <v>0</v>
      </c>
      <c r="P2545">
        <v>2544</v>
      </c>
      <c r="Q2545" s="2">
        <v>-3.7</v>
      </c>
      <c r="R2545" t="s">
        <v>22</v>
      </c>
      <c r="S2545">
        <v>2023</v>
      </c>
      <c r="T2545" t="s">
        <v>41</v>
      </c>
    </row>
    <row r="2546" spans="1:20" hidden="1" x14ac:dyDescent="0.3">
      <c r="A2546">
        <v>4254</v>
      </c>
      <c r="B2546">
        <v>104</v>
      </c>
      <c r="C2546" t="s">
        <v>53</v>
      </c>
      <c r="D2546" t="s">
        <v>25</v>
      </c>
      <c r="E2546" t="s">
        <v>37</v>
      </c>
      <c r="F2546" s="1">
        <v>44708</v>
      </c>
      <c r="G2546" s="1">
        <v>44771</v>
      </c>
      <c r="H2546">
        <v>7561</v>
      </c>
      <c r="I2546">
        <v>1201</v>
      </c>
      <c r="J2546">
        <v>6360</v>
      </c>
      <c r="K2546" t="s">
        <v>21</v>
      </c>
      <c r="L2546">
        <v>2</v>
      </c>
      <c r="M2546" t="str">
        <f t="shared" si="39"/>
        <v>0-6 Months</v>
      </c>
      <c r="N2546" s="1">
        <v>44771</v>
      </c>
      <c r="O2546">
        <v>1</v>
      </c>
      <c r="P2546">
        <v>2545</v>
      </c>
      <c r="Q2546" s="2">
        <v>0.84</v>
      </c>
      <c r="R2546" t="s">
        <v>27</v>
      </c>
      <c r="S2546">
        <v>2022</v>
      </c>
      <c r="T2546" t="s">
        <v>44</v>
      </c>
    </row>
    <row r="2547" spans="1:20" hidden="1" x14ac:dyDescent="0.3">
      <c r="A2547">
        <v>4255</v>
      </c>
      <c r="B2547">
        <v>241</v>
      </c>
      <c r="C2547" t="s">
        <v>53</v>
      </c>
      <c r="D2547" t="s">
        <v>25</v>
      </c>
      <c r="E2547" t="s">
        <v>37</v>
      </c>
      <c r="F2547" s="1">
        <v>44803</v>
      </c>
      <c r="G2547" s="1">
        <v>44977</v>
      </c>
      <c r="H2547">
        <v>4280</v>
      </c>
      <c r="I2547">
        <v>2640</v>
      </c>
      <c r="J2547">
        <v>1640</v>
      </c>
      <c r="K2547" t="s">
        <v>54</v>
      </c>
      <c r="L2547">
        <v>5</v>
      </c>
      <c r="M2547" t="str">
        <f t="shared" si="39"/>
        <v>0-6 Months</v>
      </c>
      <c r="N2547" s="1">
        <v>44977</v>
      </c>
      <c r="O2547">
        <v>0</v>
      </c>
      <c r="P2547">
        <v>2546</v>
      </c>
      <c r="Q2547" s="2">
        <v>0.38</v>
      </c>
      <c r="R2547" t="s">
        <v>27</v>
      </c>
      <c r="S2547">
        <v>2023</v>
      </c>
      <c r="T2547" t="s">
        <v>43</v>
      </c>
    </row>
    <row r="2548" spans="1:20" hidden="1" x14ac:dyDescent="0.3">
      <c r="A2548">
        <v>4256</v>
      </c>
      <c r="B2548">
        <v>339</v>
      </c>
      <c r="C2548" t="s">
        <v>45</v>
      </c>
      <c r="D2548" t="s">
        <v>25</v>
      </c>
      <c r="E2548" t="s">
        <v>20</v>
      </c>
      <c r="F2548" s="1">
        <v>44851</v>
      </c>
      <c r="G2548" s="1">
        <v>45081</v>
      </c>
      <c r="H2548">
        <v>7847</v>
      </c>
      <c r="I2548">
        <v>2851</v>
      </c>
      <c r="J2548">
        <v>4996</v>
      </c>
      <c r="K2548" t="s">
        <v>21</v>
      </c>
      <c r="L2548">
        <v>7</v>
      </c>
      <c r="M2548" t="str">
        <f t="shared" si="39"/>
        <v>6-12 Months</v>
      </c>
      <c r="N2548" s="1">
        <v>45081</v>
      </c>
      <c r="O2548">
        <v>0</v>
      </c>
      <c r="P2548">
        <v>2547</v>
      </c>
      <c r="Q2548" s="2">
        <v>0.64</v>
      </c>
      <c r="R2548" t="s">
        <v>27</v>
      </c>
      <c r="S2548">
        <v>2023</v>
      </c>
      <c r="T2548" t="s">
        <v>41</v>
      </c>
    </row>
    <row r="2549" spans="1:20" hidden="1" x14ac:dyDescent="0.3">
      <c r="A2549">
        <v>4257</v>
      </c>
      <c r="B2549">
        <v>395</v>
      </c>
      <c r="C2549" t="s">
        <v>53</v>
      </c>
      <c r="D2549" t="s">
        <v>19</v>
      </c>
      <c r="E2549" t="s">
        <v>26</v>
      </c>
      <c r="F2549" s="1">
        <v>44787</v>
      </c>
      <c r="G2549" s="1">
        <v>44968</v>
      </c>
      <c r="H2549">
        <v>4573</v>
      </c>
      <c r="I2549">
        <v>7812</v>
      </c>
      <c r="J2549">
        <v>-3239</v>
      </c>
      <c r="K2549" t="s">
        <v>54</v>
      </c>
      <c r="L2549">
        <v>5</v>
      </c>
      <c r="M2549" t="str">
        <f t="shared" si="39"/>
        <v>0-6 Months</v>
      </c>
      <c r="N2549" s="1">
        <v>44968</v>
      </c>
      <c r="O2549">
        <v>1</v>
      </c>
      <c r="P2549">
        <v>2548</v>
      </c>
      <c r="Q2549" s="2">
        <v>-0.71</v>
      </c>
      <c r="R2549" t="s">
        <v>27</v>
      </c>
      <c r="S2549">
        <v>2023</v>
      </c>
      <c r="T2549" t="s">
        <v>43</v>
      </c>
    </row>
    <row r="2550" spans="1:20" x14ac:dyDescent="0.3">
      <c r="A2550">
        <v>4258</v>
      </c>
      <c r="B2550">
        <v>247</v>
      </c>
      <c r="C2550" t="s">
        <v>24</v>
      </c>
      <c r="D2550" t="s">
        <v>25</v>
      </c>
      <c r="E2550" t="s">
        <v>26</v>
      </c>
      <c r="F2550" s="1">
        <v>44859</v>
      </c>
      <c r="G2550" s="1">
        <v>45164</v>
      </c>
      <c r="H2550">
        <v>1280</v>
      </c>
      <c r="I2550">
        <v>5181</v>
      </c>
      <c r="J2550">
        <v>-3901</v>
      </c>
      <c r="K2550" t="s">
        <v>35</v>
      </c>
      <c r="L2550">
        <v>10</v>
      </c>
      <c r="M2550" t="str">
        <f t="shared" si="39"/>
        <v>6-12 Months</v>
      </c>
      <c r="N2550" s="1">
        <v>45164</v>
      </c>
      <c r="O2550">
        <v>0</v>
      </c>
      <c r="P2550">
        <v>2549</v>
      </c>
      <c r="Q2550" s="2">
        <v>-3.05</v>
      </c>
      <c r="R2550" t="s">
        <v>22</v>
      </c>
      <c r="S2550">
        <v>2023</v>
      </c>
      <c r="T2550" t="s">
        <v>36</v>
      </c>
    </row>
    <row r="2551" spans="1:20" hidden="1" x14ac:dyDescent="0.3">
      <c r="A2551">
        <v>4259</v>
      </c>
      <c r="B2551">
        <v>272</v>
      </c>
      <c r="C2551" t="s">
        <v>39</v>
      </c>
      <c r="D2551" t="s">
        <v>19</v>
      </c>
      <c r="E2551" t="s">
        <v>26</v>
      </c>
      <c r="F2551" s="1">
        <v>44715</v>
      </c>
      <c r="G2551" s="1">
        <v>44924</v>
      </c>
      <c r="H2551">
        <v>3126</v>
      </c>
      <c r="I2551">
        <v>5801</v>
      </c>
      <c r="J2551">
        <v>-2675</v>
      </c>
      <c r="K2551" t="s">
        <v>54</v>
      </c>
      <c r="L2551">
        <v>6</v>
      </c>
      <c r="M2551" t="str">
        <f t="shared" si="39"/>
        <v>12+ Months</v>
      </c>
      <c r="N2551" s="1">
        <v>44924</v>
      </c>
      <c r="O2551">
        <v>1</v>
      </c>
      <c r="P2551">
        <v>2550</v>
      </c>
      <c r="Q2551" s="2">
        <v>-0.86</v>
      </c>
      <c r="R2551" t="s">
        <v>27</v>
      </c>
      <c r="S2551">
        <v>2022</v>
      </c>
      <c r="T2551" t="s">
        <v>31</v>
      </c>
    </row>
    <row r="2552" spans="1:20" x14ac:dyDescent="0.3">
      <c r="A2552">
        <v>4261</v>
      </c>
      <c r="B2552">
        <v>445</v>
      </c>
      <c r="C2552" t="s">
        <v>40</v>
      </c>
      <c r="D2552" t="s">
        <v>34</v>
      </c>
      <c r="E2552" t="s">
        <v>26</v>
      </c>
      <c r="F2552" s="1">
        <v>44877</v>
      </c>
      <c r="G2552" s="1">
        <v>45269</v>
      </c>
      <c r="H2552">
        <v>4645</v>
      </c>
      <c r="I2552">
        <v>1510</v>
      </c>
      <c r="J2552">
        <v>3135</v>
      </c>
      <c r="K2552" t="s">
        <v>35</v>
      </c>
      <c r="L2552">
        <v>12</v>
      </c>
      <c r="M2552" t="str">
        <f t="shared" si="39"/>
        <v>6-12 Months</v>
      </c>
      <c r="N2552" s="1">
        <v>45269</v>
      </c>
      <c r="O2552">
        <v>1</v>
      </c>
      <c r="P2552">
        <v>2551</v>
      </c>
      <c r="Q2552" s="2">
        <v>0.67</v>
      </c>
      <c r="R2552" t="s">
        <v>27</v>
      </c>
      <c r="S2552">
        <v>2023</v>
      </c>
      <c r="T2552" t="s">
        <v>31</v>
      </c>
    </row>
    <row r="2553" spans="1:20" x14ac:dyDescent="0.3">
      <c r="A2553">
        <v>4264</v>
      </c>
      <c r="B2553">
        <v>424</v>
      </c>
      <c r="C2553" t="s">
        <v>24</v>
      </c>
      <c r="D2553" t="s">
        <v>34</v>
      </c>
      <c r="E2553" t="s">
        <v>37</v>
      </c>
      <c r="F2553" s="1">
        <v>44562</v>
      </c>
      <c r="G2553" s="1">
        <v>44769</v>
      </c>
      <c r="H2553">
        <v>658</v>
      </c>
      <c r="I2553">
        <v>6825</v>
      </c>
      <c r="J2553">
        <v>-6167</v>
      </c>
      <c r="K2553" t="s">
        <v>35</v>
      </c>
      <c r="L2553">
        <v>6</v>
      </c>
      <c r="M2553" t="str">
        <f t="shared" si="39"/>
        <v>12+ Months</v>
      </c>
      <c r="N2553" s="1">
        <v>44769</v>
      </c>
      <c r="O2553">
        <v>1</v>
      </c>
      <c r="P2553">
        <v>2552</v>
      </c>
      <c r="Q2553" s="2">
        <v>-9.3699999999999992</v>
      </c>
      <c r="R2553" t="s">
        <v>22</v>
      </c>
      <c r="S2553">
        <v>2022</v>
      </c>
      <c r="T2553" t="s">
        <v>44</v>
      </c>
    </row>
    <row r="2554" spans="1:20" hidden="1" x14ac:dyDescent="0.3">
      <c r="A2554">
        <v>4265</v>
      </c>
      <c r="B2554">
        <v>436</v>
      </c>
      <c r="C2554" t="s">
        <v>39</v>
      </c>
      <c r="D2554" t="s">
        <v>25</v>
      </c>
      <c r="E2554" t="s">
        <v>20</v>
      </c>
      <c r="F2554" s="1">
        <v>44567</v>
      </c>
      <c r="G2554" s="1">
        <v>44736</v>
      </c>
      <c r="H2554">
        <v>2137</v>
      </c>
      <c r="I2554">
        <v>2518</v>
      </c>
      <c r="J2554">
        <v>-381</v>
      </c>
      <c r="K2554" t="s">
        <v>54</v>
      </c>
      <c r="L2554">
        <v>5</v>
      </c>
      <c r="M2554" t="str">
        <f t="shared" si="39"/>
        <v>0-6 Months</v>
      </c>
      <c r="N2554" s="1">
        <v>44736</v>
      </c>
      <c r="O2554">
        <v>1</v>
      </c>
      <c r="P2554">
        <v>2553</v>
      </c>
      <c r="Q2554" s="2">
        <v>-0.18</v>
      </c>
      <c r="R2554" t="s">
        <v>27</v>
      </c>
      <c r="S2554">
        <v>2022</v>
      </c>
      <c r="T2554" t="s">
        <v>41</v>
      </c>
    </row>
    <row r="2555" spans="1:20" hidden="1" x14ac:dyDescent="0.3">
      <c r="A2555">
        <v>4267</v>
      </c>
      <c r="B2555">
        <v>273</v>
      </c>
      <c r="C2555" t="s">
        <v>24</v>
      </c>
      <c r="D2555" t="s">
        <v>34</v>
      </c>
      <c r="E2555" t="s">
        <v>20</v>
      </c>
      <c r="F2555" s="1">
        <v>44851</v>
      </c>
      <c r="G2555" s="1">
        <v>45220</v>
      </c>
      <c r="H2555">
        <v>7451</v>
      </c>
      <c r="I2555">
        <v>2103</v>
      </c>
      <c r="J2555">
        <v>5348</v>
      </c>
      <c r="K2555" t="s">
        <v>21</v>
      </c>
      <c r="L2555">
        <v>12</v>
      </c>
      <c r="M2555" t="str">
        <f t="shared" si="39"/>
        <v>6-12 Months</v>
      </c>
      <c r="N2555" s="1">
        <v>45220</v>
      </c>
      <c r="O2555">
        <v>1</v>
      </c>
      <c r="P2555">
        <v>2554</v>
      </c>
      <c r="Q2555" s="2">
        <v>0.72</v>
      </c>
      <c r="R2555" t="s">
        <v>27</v>
      </c>
      <c r="S2555">
        <v>2023</v>
      </c>
      <c r="T2555" t="s">
        <v>33</v>
      </c>
    </row>
    <row r="2556" spans="1:20" x14ac:dyDescent="0.3">
      <c r="A2556">
        <v>4269</v>
      </c>
      <c r="B2556">
        <v>215</v>
      </c>
      <c r="C2556" t="s">
        <v>53</v>
      </c>
      <c r="D2556" t="s">
        <v>19</v>
      </c>
      <c r="E2556" t="s">
        <v>20</v>
      </c>
      <c r="F2556" s="1">
        <v>44651</v>
      </c>
      <c r="G2556" s="1">
        <v>44733</v>
      </c>
      <c r="H2556">
        <v>1138</v>
      </c>
      <c r="I2556">
        <v>7379</v>
      </c>
      <c r="J2556">
        <v>-6241</v>
      </c>
      <c r="K2556" t="s">
        <v>35</v>
      </c>
      <c r="L2556">
        <v>2</v>
      </c>
      <c r="M2556" t="str">
        <f t="shared" si="39"/>
        <v>0-6 Months</v>
      </c>
      <c r="N2556" s="1">
        <v>44733</v>
      </c>
      <c r="O2556">
        <v>1</v>
      </c>
      <c r="P2556">
        <v>2555</v>
      </c>
      <c r="Q2556" s="2">
        <v>-5.48</v>
      </c>
      <c r="R2556" t="s">
        <v>22</v>
      </c>
      <c r="S2556">
        <v>2022</v>
      </c>
      <c r="T2556" t="s">
        <v>41</v>
      </c>
    </row>
    <row r="2557" spans="1:20" hidden="1" x14ac:dyDescent="0.3">
      <c r="A2557">
        <v>4271</v>
      </c>
      <c r="B2557">
        <v>328</v>
      </c>
      <c r="C2557" t="s">
        <v>53</v>
      </c>
      <c r="D2557" t="s">
        <v>29</v>
      </c>
      <c r="E2557" t="s">
        <v>20</v>
      </c>
      <c r="F2557" s="1">
        <v>44646</v>
      </c>
      <c r="G2557" s="1">
        <v>45083</v>
      </c>
      <c r="H2557">
        <v>198</v>
      </c>
      <c r="I2557">
        <v>3539</v>
      </c>
      <c r="J2557">
        <v>-3341</v>
      </c>
      <c r="K2557" t="s">
        <v>21</v>
      </c>
      <c r="L2557">
        <v>14</v>
      </c>
      <c r="M2557" t="str">
        <f t="shared" si="39"/>
        <v>6-12 Months</v>
      </c>
      <c r="N2557" s="1">
        <v>45083</v>
      </c>
      <c r="O2557">
        <v>0</v>
      </c>
      <c r="P2557">
        <v>2556</v>
      </c>
      <c r="Q2557" s="2">
        <v>-16.87</v>
      </c>
      <c r="R2557" t="s">
        <v>22</v>
      </c>
      <c r="S2557">
        <v>2023</v>
      </c>
      <c r="T2557" t="s">
        <v>41</v>
      </c>
    </row>
    <row r="2558" spans="1:20" x14ac:dyDescent="0.3">
      <c r="A2558">
        <v>4272</v>
      </c>
      <c r="B2558">
        <v>316</v>
      </c>
      <c r="C2558" t="s">
        <v>39</v>
      </c>
      <c r="D2558" t="s">
        <v>34</v>
      </c>
      <c r="E2558" t="s">
        <v>26</v>
      </c>
      <c r="F2558" s="1">
        <v>44909</v>
      </c>
      <c r="G2558" s="1">
        <v>45508</v>
      </c>
      <c r="H2558">
        <v>2068</v>
      </c>
      <c r="I2558">
        <v>1041</v>
      </c>
      <c r="J2558">
        <v>1027</v>
      </c>
      <c r="K2558" t="s">
        <v>35</v>
      </c>
      <c r="L2558">
        <v>19</v>
      </c>
      <c r="M2558" t="str">
        <f t="shared" si="39"/>
        <v>6-12 Months</v>
      </c>
      <c r="N2558" s="1">
        <v>45508</v>
      </c>
      <c r="O2558">
        <v>0</v>
      </c>
      <c r="P2558">
        <v>2557</v>
      </c>
      <c r="Q2558" s="2">
        <v>0.5</v>
      </c>
      <c r="R2558" t="s">
        <v>27</v>
      </c>
      <c r="S2558">
        <v>2024</v>
      </c>
      <c r="T2558" t="s">
        <v>36</v>
      </c>
    </row>
    <row r="2559" spans="1:20" hidden="1" x14ac:dyDescent="0.3">
      <c r="A2559">
        <v>4273</v>
      </c>
      <c r="B2559">
        <v>381</v>
      </c>
      <c r="C2559" t="s">
        <v>53</v>
      </c>
      <c r="D2559" t="s">
        <v>29</v>
      </c>
      <c r="E2559" t="s">
        <v>20</v>
      </c>
      <c r="F2559" s="1">
        <v>44610</v>
      </c>
      <c r="G2559" s="1">
        <v>44937</v>
      </c>
      <c r="H2559">
        <v>6944</v>
      </c>
      <c r="I2559">
        <v>6495</v>
      </c>
      <c r="J2559">
        <v>449</v>
      </c>
      <c r="K2559" t="s">
        <v>54</v>
      </c>
      <c r="L2559">
        <v>10</v>
      </c>
      <c r="M2559" t="str">
        <f t="shared" si="39"/>
        <v>6-12 Months</v>
      </c>
      <c r="N2559" s="1">
        <v>44937</v>
      </c>
      <c r="O2559">
        <v>0</v>
      </c>
      <c r="P2559">
        <v>2558</v>
      </c>
      <c r="Q2559" s="2">
        <v>0.06</v>
      </c>
      <c r="R2559" t="s">
        <v>27</v>
      </c>
      <c r="S2559">
        <v>2023</v>
      </c>
      <c r="T2559" t="s">
        <v>23</v>
      </c>
    </row>
    <row r="2560" spans="1:20" hidden="1" x14ac:dyDescent="0.3">
      <c r="A2560">
        <v>4274</v>
      </c>
      <c r="B2560">
        <v>432</v>
      </c>
      <c r="C2560" t="s">
        <v>24</v>
      </c>
      <c r="D2560" t="s">
        <v>19</v>
      </c>
      <c r="E2560" t="s">
        <v>20</v>
      </c>
      <c r="F2560" s="1">
        <v>44758</v>
      </c>
      <c r="G2560" s="1">
        <v>45079</v>
      </c>
      <c r="H2560">
        <v>9626</v>
      </c>
      <c r="I2560">
        <v>4012.75</v>
      </c>
      <c r="J2560">
        <v>10376</v>
      </c>
      <c r="K2560" t="s">
        <v>21</v>
      </c>
      <c r="L2560">
        <v>10</v>
      </c>
      <c r="M2560" t="str">
        <f t="shared" si="39"/>
        <v>6-12 Months</v>
      </c>
      <c r="N2560" s="1">
        <v>45079</v>
      </c>
      <c r="O2560">
        <v>0</v>
      </c>
      <c r="P2560">
        <v>2559</v>
      </c>
      <c r="Q2560" s="2">
        <v>1.08</v>
      </c>
      <c r="R2560" t="s">
        <v>22</v>
      </c>
      <c r="S2560">
        <v>2023</v>
      </c>
      <c r="T2560" t="s">
        <v>41</v>
      </c>
    </row>
    <row r="2561" spans="1:20" hidden="1" x14ac:dyDescent="0.3">
      <c r="A2561">
        <v>4276</v>
      </c>
      <c r="B2561">
        <v>497</v>
      </c>
      <c r="C2561" t="s">
        <v>53</v>
      </c>
      <c r="D2561" t="s">
        <v>34</v>
      </c>
      <c r="E2561" t="s">
        <v>37</v>
      </c>
      <c r="F2561" s="1">
        <v>44913</v>
      </c>
      <c r="G2561" s="1">
        <v>45008</v>
      </c>
      <c r="H2561">
        <v>8220</v>
      </c>
      <c r="I2561">
        <v>5444</v>
      </c>
      <c r="J2561">
        <v>2776</v>
      </c>
      <c r="K2561" t="s">
        <v>54</v>
      </c>
      <c r="L2561">
        <v>3</v>
      </c>
      <c r="M2561" t="str">
        <f t="shared" si="39"/>
        <v>0-6 Months</v>
      </c>
      <c r="N2561" s="1">
        <v>45008</v>
      </c>
      <c r="O2561">
        <v>1</v>
      </c>
      <c r="P2561">
        <v>2560</v>
      </c>
      <c r="Q2561" s="2">
        <v>0.34</v>
      </c>
      <c r="R2561" t="s">
        <v>27</v>
      </c>
      <c r="S2561">
        <v>2023</v>
      </c>
      <c r="T2561" t="s">
        <v>38</v>
      </c>
    </row>
    <row r="2562" spans="1:20" hidden="1" x14ac:dyDescent="0.3">
      <c r="A2562">
        <v>4277</v>
      </c>
      <c r="B2562">
        <v>191</v>
      </c>
      <c r="C2562" t="s">
        <v>40</v>
      </c>
      <c r="D2562" t="s">
        <v>29</v>
      </c>
      <c r="E2562" t="s">
        <v>26</v>
      </c>
      <c r="F2562" s="1">
        <v>44641</v>
      </c>
      <c r="G2562" s="1">
        <v>45019</v>
      </c>
      <c r="H2562">
        <v>338</v>
      </c>
      <c r="I2562">
        <v>4012.75</v>
      </c>
      <c r="J2562">
        <v>1205</v>
      </c>
      <c r="K2562" t="s">
        <v>54</v>
      </c>
      <c r="L2562">
        <v>12</v>
      </c>
      <c r="M2562" t="str">
        <f t="shared" ref="M2562:M2625" si="40">IF(L2562&lt;6,"0-6 Months",IF(L2562&gt;6,"6-12 Months","12+ Months"))</f>
        <v>6-12 Months</v>
      </c>
      <c r="N2562" s="1">
        <v>45019</v>
      </c>
      <c r="O2562">
        <v>1</v>
      </c>
      <c r="P2562">
        <v>2561</v>
      </c>
      <c r="Q2562" s="2">
        <v>3.57</v>
      </c>
      <c r="R2562" t="s">
        <v>22</v>
      </c>
      <c r="S2562">
        <v>2023</v>
      </c>
      <c r="T2562" t="s">
        <v>32</v>
      </c>
    </row>
    <row r="2563" spans="1:20" hidden="1" x14ac:dyDescent="0.3">
      <c r="A2563">
        <v>4278</v>
      </c>
      <c r="B2563">
        <v>118</v>
      </c>
      <c r="C2563" t="s">
        <v>45</v>
      </c>
      <c r="D2563" t="s">
        <v>34</v>
      </c>
      <c r="E2563" t="s">
        <v>26</v>
      </c>
      <c r="F2563" s="1">
        <v>44810</v>
      </c>
      <c r="G2563" s="1">
        <v>45002</v>
      </c>
      <c r="H2563">
        <v>2018</v>
      </c>
      <c r="I2563">
        <v>3905</v>
      </c>
      <c r="J2563">
        <v>-1887</v>
      </c>
      <c r="K2563" t="s">
        <v>21</v>
      </c>
      <c r="L2563">
        <v>6</v>
      </c>
      <c r="M2563" t="str">
        <f t="shared" si="40"/>
        <v>12+ Months</v>
      </c>
      <c r="N2563" s="1">
        <v>45002</v>
      </c>
      <c r="O2563">
        <v>1</v>
      </c>
      <c r="P2563">
        <v>2562</v>
      </c>
      <c r="Q2563" s="2">
        <v>-0.94</v>
      </c>
      <c r="R2563" t="s">
        <v>27</v>
      </c>
      <c r="S2563">
        <v>2023</v>
      </c>
      <c r="T2563" t="s">
        <v>38</v>
      </c>
    </row>
    <row r="2564" spans="1:20" hidden="1" x14ac:dyDescent="0.3">
      <c r="A2564">
        <v>4281</v>
      </c>
      <c r="B2564">
        <v>495</v>
      </c>
      <c r="C2564" t="s">
        <v>39</v>
      </c>
      <c r="D2564" t="s">
        <v>19</v>
      </c>
      <c r="E2564" t="s">
        <v>37</v>
      </c>
      <c r="F2564" s="1">
        <v>44583</v>
      </c>
      <c r="G2564" s="1">
        <v>44999</v>
      </c>
      <c r="H2564">
        <v>2005</v>
      </c>
      <c r="I2564">
        <v>4390</v>
      </c>
      <c r="J2564">
        <v>-2385</v>
      </c>
      <c r="K2564" t="s">
        <v>54</v>
      </c>
      <c r="L2564">
        <v>13</v>
      </c>
      <c r="M2564" t="str">
        <f t="shared" si="40"/>
        <v>6-12 Months</v>
      </c>
      <c r="N2564" s="1">
        <v>44999</v>
      </c>
      <c r="O2564">
        <v>1</v>
      </c>
      <c r="P2564">
        <v>2563</v>
      </c>
      <c r="Q2564" s="2">
        <v>-1.19</v>
      </c>
      <c r="R2564" t="s">
        <v>22</v>
      </c>
      <c r="S2564">
        <v>2023</v>
      </c>
      <c r="T2564" t="s">
        <v>38</v>
      </c>
    </row>
    <row r="2565" spans="1:20" hidden="1" x14ac:dyDescent="0.3">
      <c r="A2565">
        <v>4282</v>
      </c>
      <c r="B2565">
        <v>262</v>
      </c>
      <c r="C2565" t="s">
        <v>53</v>
      </c>
      <c r="D2565" t="s">
        <v>29</v>
      </c>
      <c r="E2565" t="s">
        <v>20</v>
      </c>
      <c r="F2565" s="1">
        <v>44627</v>
      </c>
      <c r="G2565" s="1">
        <v>44753</v>
      </c>
      <c r="H2565">
        <v>8692</v>
      </c>
      <c r="I2565">
        <v>6652</v>
      </c>
      <c r="J2565">
        <v>2040</v>
      </c>
      <c r="K2565" t="s">
        <v>54</v>
      </c>
      <c r="L2565">
        <v>4</v>
      </c>
      <c r="M2565" t="str">
        <f t="shared" si="40"/>
        <v>0-6 Months</v>
      </c>
      <c r="N2565" s="1">
        <v>44753</v>
      </c>
      <c r="O2565">
        <v>1</v>
      </c>
      <c r="P2565">
        <v>2564</v>
      </c>
      <c r="Q2565" s="2">
        <v>0.23</v>
      </c>
      <c r="R2565" t="s">
        <v>27</v>
      </c>
      <c r="S2565">
        <v>2022</v>
      </c>
      <c r="T2565" t="s">
        <v>44</v>
      </c>
    </row>
    <row r="2566" spans="1:20" x14ac:dyDescent="0.3">
      <c r="A2566">
        <v>4283</v>
      </c>
      <c r="B2566">
        <v>105</v>
      </c>
      <c r="C2566" t="s">
        <v>24</v>
      </c>
      <c r="D2566" t="s">
        <v>29</v>
      </c>
      <c r="E2566" t="s">
        <v>20</v>
      </c>
      <c r="F2566" s="1">
        <v>44812</v>
      </c>
      <c r="G2566" s="1">
        <v>45386</v>
      </c>
      <c r="H2566">
        <v>4811</v>
      </c>
      <c r="I2566">
        <v>1095</v>
      </c>
      <c r="J2566">
        <v>3716</v>
      </c>
      <c r="K2566" t="s">
        <v>35</v>
      </c>
      <c r="L2566">
        <v>18</v>
      </c>
      <c r="M2566" t="str">
        <f t="shared" si="40"/>
        <v>6-12 Months</v>
      </c>
      <c r="N2566" s="1">
        <v>45386</v>
      </c>
      <c r="O2566">
        <v>0</v>
      </c>
      <c r="P2566">
        <v>2565</v>
      </c>
      <c r="Q2566" s="2">
        <v>0.77</v>
      </c>
      <c r="R2566" t="s">
        <v>27</v>
      </c>
      <c r="S2566">
        <v>2024</v>
      </c>
      <c r="T2566" t="s">
        <v>32</v>
      </c>
    </row>
    <row r="2567" spans="1:20" hidden="1" x14ac:dyDescent="0.3">
      <c r="A2567">
        <v>4284</v>
      </c>
      <c r="B2567">
        <v>431</v>
      </c>
      <c r="C2567" t="s">
        <v>53</v>
      </c>
      <c r="D2567" t="s">
        <v>29</v>
      </c>
      <c r="E2567" t="s">
        <v>20</v>
      </c>
      <c r="F2567" s="1">
        <v>44599</v>
      </c>
      <c r="G2567" s="1">
        <v>44954</v>
      </c>
      <c r="H2567">
        <v>7916</v>
      </c>
      <c r="I2567">
        <v>2960</v>
      </c>
      <c r="J2567">
        <v>577.01</v>
      </c>
      <c r="K2567" t="s">
        <v>54</v>
      </c>
      <c r="L2567">
        <v>11</v>
      </c>
      <c r="M2567" t="str">
        <f t="shared" si="40"/>
        <v>6-12 Months</v>
      </c>
      <c r="N2567" s="1">
        <v>44954</v>
      </c>
      <c r="O2567">
        <v>1</v>
      </c>
      <c r="P2567">
        <v>2566</v>
      </c>
      <c r="Q2567" s="2">
        <v>7.0000000000000007E-2</v>
      </c>
      <c r="R2567" t="s">
        <v>27</v>
      </c>
      <c r="S2567">
        <v>2023</v>
      </c>
      <c r="T2567" t="s">
        <v>23</v>
      </c>
    </row>
    <row r="2568" spans="1:20" hidden="1" x14ac:dyDescent="0.3">
      <c r="A2568">
        <v>4287</v>
      </c>
      <c r="B2568">
        <v>155</v>
      </c>
      <c r="C2568" t="s">
        <v>53</v>
      </c>
      <c r="D2568" t="s">
        <v>25</v>
      </c>
      <c r="E2568" t="s">
        <v>20</v>
      </c>
      <c r="F2568" s="1">
        <v>44792</v>
      </c>
      <c r="G2568" s="1">
        <v>45148</v>
      </c>
      <c r="H2568">
        <v>4967.93</v>
      </c>
      <c r="I2568">
        <v>1253</v>
      </c>
      <c r="J2568">
        <v>-2790</v>
      </c>
      <c r="K2568" t="s">
        <v>21</v>
      </c>
      <c r="L2568">
        <v>11</v>
      </c>
      <c r="M2568" t="str">
        <f t="shared" si="40"/>
        <v>6-12 Months</v>
      </c>
      <c r="N2568" s="1">
        <v>45148</v>
      </c>
      <c r="O2568">
        <v>0</v>
      </c>
      <c r="P2568">
        <v>2567</v>
      </c>
      <c r="Q2568" s="2">
        <v>-0.56000000000000005</v>
      </c>
      <c r="R2568" t="s">
        <v>27</v>
      </c>
      <c r="S2568">
        <v>2023</v>
      </c>
      <c r="T2568" t="s">
        <v>36</v>
      </c>
    </row>
    <row r="2569" spans="1:20" hidden="1" x14ac:dyDescent="0.3">
      <c r="A2569">
        <v>4288</v>
      </c>
      <c r="B2569">
        <v>282</v>
      </c>
      <c r="C2569" t="s">
        <v>40</v>
      </c>
      <c r="D2569" t="s">
        <v>19</v>
      </c>
      <c r="E2569" t="s">
        <v>26</v>
      </c>
      <c r="F2569" s="1">
        <v>44716</v>
      </c>
      <c r="G2569" s="1">
        <v>44887</v>
      </c>
      <c r="H2569">
        <v>3711</v>
      </c>
      <c r="I2569">
        <v>4012.75</v>
      </c>
      <c r="J2569">
        <v>4080</v>
      </c>
      <c r="K2569" t="s">
        <v>21</v>
      </c>
      <c r="L2569">
        <v>5</v>
      </c>
      <c r="M2569" t="str">
        <f t="shared" si="40"/>
        <v>0-6 Months</v>
      </c>
      <c r="N2569" s="1">
        <v>44887</v>
      </c>
      <c r="O2569">
        <v>1</v>
      </c>
      <c r="P2569">
        <v>2568</v>
      </c>
      <c r="Q2569" s="2">
        <v>1.1000000000000001</v>
      </c>
      <c r="R2569" t="s">
        <v>22</v>
      </c>
      <c r="S2569">
        <v>2022</v>
      </c>
      <c r="T2569" t="s">
        <v>42</v>
      </c>
    </row>
    <row r="2570" spans="1:20" hidden="1" x14ac:dyDescent="0.3">
      <c r="A2570">
        <v>4290</v>
      </c>
      <c r="B2570">
        <v>365</v>
      </c>
      <c r="C2570" t="s">
        <v>24</v>
      </c>
      <c r="D2570" t="s">
        <v>34</v>
      </c>
      <c r="E2570" t="s">
        <v>20</v>
      </c>
      <c r="F2570" s="1">
        <v>44705</v>
      </c>
      <c r="G2570" s="1">
        <v>45304</v>
      </c>
      <c r="H2570">
        <v>8779</v>
      </c>
      <c r="I2570">
        <v>3099</v>
      </c>
      <c r="J2570">
        <v>5680</v>
      </c>
      <c r="K2570" t="s">
        <v>54</v>
      </c>
      <c r="L2570">
        <v>19</v>
      </c>
      <c r="M2570" t="str">
        <f t="shared" si="40"/>
        <v>6-12 Months</v>
      </c>
      <c r="N2570" s="1">
        <v>45304</v>
      </c>
      <c r="O2570">
        <v>1</v>
      </c>
      <c r="P2570">
        <v>2569</v>
      </c>
      <c r="Q2570" s="2">
        <v>0.65</v>
      </c>
      <c r="R2570" t="s">
        <v>27</v>
      </c>
      <c r="S2570">
        <v>2024</v>
      </c>
      <c r="T2570" t="s">
        <v>23</v>
      </c>
    </row>
    <row r="2571" spans="1:20" hidden="1" x14ac:dyDescent="0.3">
      <c r="A2571">
        <v>4291</v>
      </c>
      <c r="B2571">
        <v>212</v>
      </c>
      <c r="C2571" t="s">
        <v>40</v>
      </c>
      <c r="D2571" t="s">
        <v>19</v>
      </c>
      <c r="E2571" t="s">
        <v>37</v>
      </c>
      <c r="F2571" s="1">
        <v>44866</v>
      </c>
      <c r="G2571" s="1">
        <v>44944</v>
      </c>
      <c r="H2571">
        <v>8944</v>
      </c>
      <c r="I2571">
        <v>1911</v>
      </c>
      <c r="J2571">
        <v>7033</v>
      </c>
      <c r="K2571" t="s">
        <v>54</v>
      </c>
      <c r="L2571">
        <v>2</v>
      </c>
      <c r="M2571" t="str">
        <f t="shared" si="40"/>
        <v>0-6 Months</v>
      </c>
      <c r="N2571" s="1">
        <v>44944</v>
      </c>
      <c r="O2571">
        <v>0</v>
      </c>
      <c r="P2571">
        <v>2570</v>
      </c>
      <c r="Q2571" s="2">
        <v>0.79</v>
      </c>
      <c r="R2571" t="s">
        <v>27</v>
      </c>
      <c r="S2571">
        <v>2023</v>
      </c>
      <c r="T2571" t="s">
        <v>23</v>
      </c>
    </row>
    <row r="2572" spans="1:20" hidden="1" x14ac:dyDescent="0.3">
      <c r="A2572">
        <v>4292</v>
      </c>
      <c r="B2572">
        <v>153</v>
      </c>
      <c r="C2572" t="s">
        <v>40</v>
      </c>
      <c r="D2572" t="s">
        <v>25</v>
      </c>
      <c r="E2572" t="s">
        <v>20</v>
      </c>
      <c r="F2572" s="1">
        <v>44670</v>
      </c>
      <c r="G2572" s="1">
        <v>44801</v>
      </c>
      <c r="H2572">
        <v>9006</v>
      </c>
      <c r="I2572">
        <v>6397</v>
      </c>
      <c r="J2572">
        <v>2609</v>
      </c>
      <c r="K2572" t="s">
        <v>21</v>
      </c>
      <c r="L2572">
        <v>4</v>
      </c>
      <c r="M2572" t="str">
        <f t="shared" si="40"/>
        <v>0-6 Months</v>
      </c>
      <c r="N2572" s="1">
        <v>44801</v>
      </c>
      <c r="O2572">
        <v>1</v>
      </c>
      <c r="P2572">
        <v>2571</v>
      </c>
      <c r="Q2572" s="2">
        <v>0.28999999999999998</v>
      </c>
      <c r="R2572" t="s">
        <v>27</v>
      </c>
      <c r="S2572">
        <v>2022</v>
      </c>
      <c r="T2572" t="s">
        <v>36</v>
      </c>
    </row>
    <row r="2573" spans="1:20" hidden="1" x14ac:dyDescent="0.3">
      <c r="A2573">
        <v>4293</v>
      </c>
      <c r="B2573">
        <v>383</v>
      </c>
      <c r="C2573" t="s">
        <v>53</v>
      </c>
      <c r="D2573" t="s">
        <v>19</v>
      </c>
      <c r="E2573" t="s">
        <v>26</v>
      </c>
      <c r="F2573" s="1">
        <v>44621</v>
      </c>
      <c r="G2573" s="1">
        <v>44715</v>
      </c>
      <c r="H2573">
        <v>5363</v>
      </c>
      <c r="I2573">
        <v>7568</v>
      </c>
      <c r="J2573">
        <v>-2205</v>
      </c>
      <c r="K2573" t="s">
        <v>54</v>
      </c>
      <c r="L2573">
        <v>3</v>
      </c>
      <c r="M2573" t="str">
        <f t="shared" si="40"/>
        <v>0-6 Months</v>
      </c>
      <c r="N2573" s="1">
        <v>44715</v>
      </c>
      <c r="O2573">
        <v>1</v>
      </c>
      <c r="P2573">
        <v>2572</v>
      </c>
      <c r="Q2573" s="2">
        <v>-0.41</v>
      </c>
      <c r="R2573" t="s">
        <v>27</v>
      </c>
      <c r="S2573">
        <v>2022</v>
      </c>
      <c r="T2573" t="s">
        <v>41</v>
      </c>
    </row>
    <row r="2574" spans="1:20" hidden="1" x14ac:dyDescent="0.3">
      <c r="A2574">
        <v>4295</v>
      </c>
      <c r="B2574">
        <v>301</v>
      </c>
      <c r="C2574" t="s">
        <v>24</v>
      </c>
      <c r="D2574" t="s">
        <v>25</v>
      </c>
      <c r="E2574" t="s">
        <v>37</v>
      </c>
      <c r="F2574" s="1">
        <v>44594</v>
      </c>
      <c r="G2574" s="1">
        <v>45189</v>
      </c>
      <c r="H2574">
        <v>312</v>
      </c>
      <c r="I2574">
        <v>4659</v>
      </c>
      <c r="J2574">
        <v>-4347</v>
      </c>
      <c r="K2574" t="s">
        <v>21</v>
      </c>
      <c r="L2574">
        <v>19</v>
      </c>
      <c r="M2574" t="str">
        <f t="shared" si="40"/>
        <v>6-12 Months</v>
      </c>
      <c r="N2574" s="1">
        <v>45189</v>
      </c>
      <c r="O2574">
        <v>1</v>
      </c>
      <c r="P2574">
        <v>2573</v>
      </c>
      <c r="Q2574" s="2">
        <v>-13.93</v>
      </c>
      <c r="R2574" t="s">
        <v>22</v>
      </c>
      <c r="S2574">
        <v>2023</v>
      </c>
      <c r="T2574" t="s">
        <v>30</v>
      </c>
    </row>
    <row r="2575" spans="1:20" hidden="1" x14ac:dyDescent="0.3">
      <c r="A2575">
        <v>4298</v>
      </c>
      <c r="B2575">
        <v>221</v>
      </c>
      <c r="C2575" t="s">
        <v>39</v>
      </c>
      <c r="D2575" t="s">
        <v>19</v>
      </c>
      <c r="E2575" t="s">
        <v>20</v>
      </c>
      <c r="F2575" s="1">
        <v>44835</v>
      </c>
      <c r="G2575" s="1">
        <v>44933</v>
      </c>
      <c r="H2575">
        <v>7001</v>
      </c>
      <c r="I2575">
        <v>3254</v>
      </c>
      <c r="J2575">
        <v>3747</v>
      </c>
      <c r="K2575" t="s">
        <v>21</v>
      </c>
      <c r="L2575">
        <v>3</v>
      </c>
      <c r="M2575" t="str">
        <f t="shared" si="40"/>
        <v>0-6 Months</v>
      </c>
      <c r="N2575" s="1">
        <v>44933</v>
      </c>
      <c r="O2575">
        <v>0</v>
      </c>
      <c r="P2575">
        <v>2574</v>
      </c>
      <c r="Q2575" s="2">
        <v>0.54</v>
      </c>
      <c r="R2575" t="s">
        <v>27</v>
      </c>
      <c r="S2575">
        <v>2023</v>
      </c>
      <c r="T2575" t="s">
        <v>23</v>
      </c>
    </row>
    <row r="2576" spans="1:20" hidden="1" x14ac:dyDescent="0.3">
      <c r="A2576">
        <v>4300</v>
      </c>
      <c r="B2576">
        <v>152</v>
      </c>
      <c r="C2576" t="s">
        <v>45</v>
      </c>
      <c r="D2576" t="s">
        <v>29</v>
      </c>
      <c r="E2576" t="s">
        <v>20</v>
      </c>
      <c r="F2576" s="1">
        <v>44922</v>
      </c>
      <c r="G2576" s="1">
        <v>45404</v>
      </c>
      <c r="H2576">
        <v>922</v>
      </c>
      <c r="I2576">
        <v>2947</v>
      </c>
      <c r="J2576">
        <v>-2025</v>
      </c>
      <c r="K2576" t="s">
        <v>54</v>
      </c>
      <c r="L2576">
        <v>15</v>
      </c>
      <c r="M2576" t="str">
        <f t="shared" si="40"/>
        <v>6-12 Months</v>
      </c>
      <c r="N2576" s="1">
        <v>45404</v>
      </c>
      <c r="O2576">
        <v>0</v>
      </c>
      <c r="P2576">
        <v>2575</v>
      </c>
      <c r="Q2576" s="2">
        <v>-2.2000000000000002</v>
      </c>
      <c r="R2576" t="s">
        <v>22</v>
      </c>
      <c r="S2576">
        <v>2024</v>
      </c>
      <c r="T2576" t="s">
        <v>32</v>
      </c>
    </row>
    <row r="2577" spans="1:20" hidden="1" x14ac:dyDescent="0.3">
      <c r="A2577">
        <v>4301</v>
      </c>
      <c r="B2577">
        <v>126</v>
      </c>
      <c r="C2577" t="s">
        <v>53</v>
      </c>
      <c r="D2577" t="s">
        <v>29</v>
      </c>
      <c r="E2577" t="s">
        <v>20</v>
      </c>
      <c r="F2577" s="1">
        <v>44640</v>
      </c>
      <c r="G2577" s="1">
        <v>44693</v>
      </c>
      <c r="H2577">
        <v>7607</v>
      </c>
      <c r="I2577">
        <v>3844</v>
      </c>
      <c r="J2577">
        <v>3763</v>
      </c>
      <c r="K2577" t="s">
        <v>54</v>
      </c>
      <c r="L2577">
        <v>1</v>
      </c>
      <c r="M2577" t="str">
        <f t="shared" si="40"/>
        <v>0-6 Months</v>
      </c>
      <c r="N2577" s="1">
        <v>44693</v>
      </c>
      <c r="O2577">
        <v>1</v>
      </c>
      <c r="P2577">
        <v>2576</v>
      </c>
      <c r="Q2577" s="2">
        <v>0.49</v>
      </c>
      <c r="R2577" t="s">
        <v>27</v>
      </c>
      <c r="S2577">
        <v>2022</v>
      </c>
      <c r="T2577" t="s">
        <v>28</v>
      </c>
    </row>
    <row r="2578" spans="1:20" x14ac:dyDescent="0.3">
      <c r="A2578">
        <v>4302</v>
      </c>
      <c r="B2578">
        <v>458</v>
      </c>
      <c r="C2578" t="s">
        <v>24</v>
      </c>
      <c r="D2578" t="s">
        <v>34</v>
      </c>
      <c r="E2578" t="s">
        <v>20</v>
      </c>
      <c r="F2578" s="1">
        <v>44830</v>
      </c>
      <c r="G2578" s="1">
        <v>45099</v>
      </c>
      <c r="H2578">
        <v>5720</v>
      </c>
      <c r="I2578">
        <v>4012.75</v>
      </c>
      <c r="J2578">
        <v>6095</v>
      </c>
      <c r="K2578" t="s">
        <v>35</v>
      </c>
      <c r="L2578">
        <v>8</v>
      </c>
      <c r="M2578" t="str">
        <f t="shared" si="40"/>
        <v>6-12 Months</v>
      </c>
      <c r="N2578" s="1">
        <v>45099</v>
      </c>
      <c r="O2578">
        <v>0</v>
      </c>
      <c r="P2578">
        <v>2577</v>
      </c>
      <c r="Q2578" s="2">
        <v>1.07</v>
      </c>
      <c r="R2578" t="s">
        <v>22</v>
      </c>
      <c r="S2578">
        <v>2023</v>
      </c>
      <c r="T2578" t="s">
        <v>41</v>
      </c>
    </row>
    <row r="2579" spans="1:20" x14ac:dyDescent="0.3">
      <c r="A2579">
        <v>4303</v>
      </c>
      <c r="B2579">
        <v>319</v>
      </c>
      <c r="C2579" t="s">
        <v>24</v>
      </c>
      <c r="D2579" t="s">
        <v>34</v>
      </c>
      <c r="E2579" t="s">
        <v>37</v>
      </c>
      <c r="F2579" s="1">
        <v>44731</v>
      </c>
      <c r="G2579" s="1">
        <v>45046</v>
      </c>
      <c r="H2579">
        <v>7673</v>
      </c>
      <c r="I2579">
        <v>4545</v>
      </c>
      <c r="J2579">
        <v>3128</v>
      </c>
      <c r="K2579" t="s">
        <v>35</v>
      </c>
      <c r="L2579">
        <v>10</v>
      </c>
      <c r="M2579" t="str">
        <f t="shared" si="40"/>
        <v>6-12 Months</v>
      </c>
      <c r="N2579" s="1">
        <v>45046</v>
      </c>
      <c r="O2579">
        <v>1</v>
      </c>
      <c r="P2579">
        <v>2578</v>
      </c>
      <c r="Q2579" s="2">
        <v>0.41</v>
      </c>
      <c r="R2579" t="s">
        <v>27</v>
      </c>
      <c r="S2579">
        <v>2023</v>
      </c>
      <c r="T2579" t="s">
        <v>32</v>
      </c>
    </row>
    <row r="2580" spans="1:20" hidden="1" x14ac:dyDescent="0.3">
      <c r="A2580">
        <v>4304</v>
      </c>
      <c r="B2580">
        <v>119</v>
      </c>
      <c r="C2580" t="s">
        <v>39</v>
      </c>
      <c r="D2580" t="s">
        <v>19</v>
      </c>
      <c r="E2580" t="s">
        <v>37</v>
      </c>
      <c r="F2580" s="1">
        <v>44921</v>
      </c>
      <c r="G2580" s="1">
        <v>45361</v>
      </c>
      <c r="H2580">
        <v>8799</v>
      </c>
      <c r="I2580">
        <v>4749</v>
      </c>
      <c r="J2580">
        <v>4050</v>
      </c>
      <c r="K2580" t="s">
        <v>54</v>
      </c>
      <c r="L2580">
        <v>14</v>
      </c>
      <c r="M2580" t="str">
        <f t="shared" si="40"/>
        <v>6-12 Months</v>
      </c>
      <c r="N2580" s="1">
        <v>45361</v>
      </c>
      <c r="O2580">
        <v>0</v>
      </c>
      <c r="P2580">
        <v>2579</v>
      </c>
      <c r="Q2580" s="2">
        <v>0.46</v>
      </c>
      <c r="R2580" t="s">
        <v>27</v>
      </c>
      <c r="S2580">
        <v>2024</v>
      </c>
      <c r="T2580" t="s">
        <v>38</v>
      </c>
    </row>
    <row r="2581" spans="1:20" hidden="1" x14ac:dyDescent="0.3">
      <c r="A2581">
        <v>4308</v>
      </c>
      <c r="B2581">
        <v>222</v>
      </c>
      <c r="C2581" t="s">
        <v>39</v>
      </c>
      <c r="D2581" t="s">
        <v>34</v>
      </c>
      <c r="E2581" t="s">
        <v>37</v>
      </c>
      <c r="F2581" s="1">
        <v>44589</v>
      </c>
      <c r="G2581" s="1">
        <v>44887</v>
      </c>
      <c r="H2581">
        <v>9442</v>
      </c>
      <c r="I2581">
        <v>1086</v>
      </c>
      <c r="J2581">
        <v>8356</v>
      </c>
      <c r="K2581" t="s">
        <v>54</v>
      </c>
      <c r="L2581">
        <v>9</v>
      </c>
      <c r="M2581" t="str">
        <f t="shared" si="40"/>
        <v>6-12 Months</v>
      </c>
      <c r="N2581" s="1">
        <v>44887</v>
      </c>
      <c r="O2581">
        <v>1</v>
      </c>
      <c r="P2581">
        <v>2580</v>
      </c>
      <c r="Q2581" s="2">
        <v>0.88</v>
      </c>
      <c r="R2581" t="s">
        <v>27</v>
      </c>
      <c r="S2581">
        <v>2022</v>
      </c>
      <c r="T2581" t="s">
        <v>42</v>
      </c>
    </row>
    <row r="2582" spans="1:20" hidden="1" x14ac:dyDescent="0.3">
      <c r="A2582">
        <v>4309</v>
      </c>
      <c r="B2582">
        <v>403</v>
      </c>
      <c r="C2582" t="s">
        <v>39</v>
      </c>
      <c r="D2582" t="s">
        <v>19</v>
      </c>
      <c r="E2582" t="s">
        <v>37</v>
      </c>
      <c r="F2582" s="1">
        <v>44822</v>
      </c>
      <c r="G2582" s="1">
        <v>44868</v>
      </c>
      <c r="H2582">
        <v>4361</v>
      </c>
      <c r="I2582">
        <v>2998</v>
      </c>
      <c r="J2582">
        <v>1363</v>
      </c>
      <c r="K2582" t="s">
        <v>21</v>
      </c>
      <c r="L2582">
        <v>1</v>
      </c>
      <c r="M2582" t="str">
        <f t="shared" si="40"/>
        <v>0-6 Months</v>
      </c>
      <c r="N2582" s="1">
        <v>44868</v>
      </c>
      <c r="O2582">
        <v>0</v>
      </c>
      <c r="P2582">
        <v>2581</v>
      </c>
      <c r="Q2582" s="2">
        <v>0.31</v>
      </c>
      <c r="R2582" t="s">
        <v>27</v>
      </c>
      <c r="S2582">
        <v>2022</v>
      </c>
      <c r="T2582" t="s">
        <v>42</v>
      </c>
    </row>
    <row r="2583" spans="1:20" hidden="1" x14ac:dyDescent="0.3">
      <c r="A2583">
        <v>4311</v>
      </c>
      <c r="B2583">
        <v>381</v>
      </c>
      <c r="C2583" t="s">
        <v>40</v>
      </c>
      <c r="D2583" t="s">
        <v>25</v>
      </c>
      <c r="E2583" t="s">
        <v>20</v>
      </c>
      <c r="F2583" s="1">
        <v>44808</v>
      </c>
      <c r="G2583" s="1">
        <v>45026</v>
      </c>
      <c r="H2583">
        <v>3206</v>
      </c>
      <c r="I2583">
        <v>4012.75</v>
      </c>
      <c r="J2583">
        <v>3427</v>
      </c>
      <c r="K2583" t="s">
        <v>54</v>
      </c>
      <c r="L2583">
        <v>7</v>
      </c>
      <c r="M2583" t="str">
        <f t="shared" si="40"/>
        <v>6-12 Months</v>
      </c>
      <c r="N2583" s="1">
        <v>45026</v>
      </c>
      <c r="O2583">
        <v>1</v>
      </c>
      <c r="P2583">
        <v>2582</v>
      </c>
      <c r="Q2583" s="2">
        <v>1.07</v>
      </c>
      <c r="R2583" t="s">
        <v>22</v>
      </c>
      <c r="S2583">
        <v>2023</v>
      </c>
      <c r="T2583" t="s">
        <v>32</v>
      </c>
    </row>
    <row r="2584" spans="1:20" x14ac:dyDescent="0.3">
      <c r="A2584">
        <v>4313</v>
      </c>
      <c r="B2584">
        <v>287</v>
      </c>
      <c r="C2584" t="s">
        <v>40</v>
      </c>
      <c r="D2584" t="s">
        <v>19</v>
      </c>
      <c r="E2584" t="s">
        <v>26</v>
      </c>
      <c r="F2584" s="1">
        <v>44610</v>
      </c>
      <c r="G2584" s="1">
        <v>44951</v>
      </c>
      <c r="H2584">
        <v>2576</v>
      </c>
      <c r="I2584">
        <v>6830</v>
      </c>
      <c r="J2584">
        <v>-4254</v>
      </c>
      <c r="K2584" t="s">
        <v>35</v>
      </c>
      <c r="L2584">
        <v>11</v>
      </c>
      <c r="M2584" t="str">
        <f t="shared" si="40"/>
        <v>6-12 Months</v>
      </c>
      <c r="N2584" s="1">
        <v>44951</v>
      </c>
      <c r="O2584">
        <v>1</v>
      </c>
      <c r="P2584">
        <v>2583</v>
      </c>
      <c r="Q2584" s="2">
        <v>-1.65</v>
      </c>
      <c r="R2584" t="s">
        <v>22</v>
      </c>
      <c r="S2584">
        <v>2023</v>
      </c>
      <c r="T2584" t="s">
        <v>23</v>
      </c>
    </row>
    <row r="2585" spans="1:20" hidden="1" x14ac:dyDescent="0.3">
      <c r="A2585">
        <v>4314</v>
      </c>
      <c r="B2585">
        <v>462</v>
      </c>
      <c r="C2585" t="s">
        <v>45</v>
      </c>
      <c r="D2585" t="s">
        <v>19</v>
      </c>
      <c r="E2585" t="s">
        <v>20</v>
      </c>
      <c r="F2585" s="1">
        <v>44813</v>
      </c>
      <c r="G2585" s="1">
        <v>45315</v>
      </c>
      <c r="H2585">
        <v>4967.93</v>
      </c>
      <c r="I2585">
        <v>7432</v>
      </c>
      <c r="J2585">
        <v>-9254</v>
      </c>
      <c r="K2585" t="s">
        <v>54</v>
      </c>
      <c r="L2585">
        <v>16</v>
      </c>
      <c r="M2585" t="str">
        <f t="shared" si="40"/>
        <v>6-12 Months</v>
      </c>
      <c r="N2585" s="1">
        <v>45315</v>
      </c>
      <c r="O2585">
        <v>1</v>
      </c>
      <c r="P2585">
        <v>2584</v>
      </c>
      <c r="Q2585" s="2">
        <v>-1.86</v>
      </c>
      <c r="R2585" t="s">
        <v>22</v>
      </c>
      <c r="S2585">
        <v>2024</v>
      </c>
      <c r="T2585" t="s">
        <v>23</v>
      </c>
    </row>
    <row r="2586" spans="1:20" x14ac:dyDescent="0.3">
      <c r="A2586">
        <v>4316</v>
      </c>
      <c r="B2586">
        <v>111</v>
      </c>
      <c r="C2586" t="s">
        <v>24</v>
      </c>
      <c r="D2586" t="s">
        <v>34</v>
      </c>
      <c r="E2586" t="s">
        <v>37</v>
      </c>
      <c r="F2586" s="1">
        <v>44810</v>
      </c>
      <c r="G2586" s="1">
        <v>45333</v>
      </c>
      <c r="H2586">
        <v>5857</v>
      </c>
      <c r="I2586">
        <v>4058</v>
      </c>
      <c r="J2586">
        <v>1799</v>
      </c>
      <c r="K2586" t="s">
        <v>35</v>
      </c>
      <c r="L2586">
        <v>17</v>
      </c>
      <c r="M2586" t="str">
        <f t="shared" si="40"/>
        <v>6-12 Months</v>
      </c>
      <c r="N2586" s="1">
        <v>45333</v>
      </c>
      <c r="O2586">
        <v>0</v>
      </c>
      <c r="P2586">
        <v>2585</v>
      </c>
      <c r="Q2586" s="2">
        <v>0.31</v>
      </c>
      <c r="R2586" t="s">
        <v>27</v>
      </c>
      <c r="S2586">
        <v>2024</v>
      </c>
      <c r="T2586" t="s">
        <v>43</v>
      </c>
    </row>
    <row r="2587" spans="1:20" hidden="1" x14ac:dyDescent="0.3">
      <c r="A2587">
        <v>4317</v>
      </c>
      <c r="B2587">
        <v>453</v>
      </c>
      <c r="C2587" t="s">
        <v>45</v>
      </c>
      <c r="D2587" t="s">
        <v>19</v>
      </c>
      <c r="E2587" t="s">
        <v>26</v>
      </c>
      <c r="F2587" s="1">
        <v>44925</v>
      </c>
      <c r="G2587" s="1">
        <v>45190</v>
      </c>
      <c r="H2587">
        <v>3562</v>
      </c>
      <c r="I2587">
        <v>7000</v>
      </c>
      <c r="J2587">
        <v>-3438</v>
      </c>
      <c r="K2587" t="s">
        <v>54</v>
      </c>
      <c r="L2587">
        <v>8</v>
      </c>
      <c r="M2587" t="str">
        <f t="shared" si="40"/>
        <v>6-12 Months</v>
      </c>
      <c r="N2587" s="1">
        <v>45190</v>
      </c>
      <c r="O2587">
        <v>0</v>
      </c>
      <c r="P2587">
        <v>2586</v>
      </c>
      <c r="Q2587" s="2">
        <v>-0.97</v>
      </c>
      <c r="R2587" t="s">
        <v>27</v>
      </c>
      <c r="S2587">
        <v>2023</v>
      </c>
      <c r="T2587" t="s">
        <v>30</v>
      </c>
    </row>
    <row r="2588" spans="1:20" hidden="1" x14ac:dyDescent="0.3">
      <c r="A2588">
        <v>4318</v>
      </c>
      <c r="B2588">
        <v>484</v>
      </c>
      <c r="C2588" t="s">
        <v>39</v>
      </c>
      <c r="D2588" t="s">
        <v>29</v>
      </c>
      <c r="E2588" t="s">
        <v>20</v>
      </c>
      <c r="F2588" s="1">
        <v>44720</v>
      </c>
      <c r="G2588" s="1">
        <v>44914</v>
      </c>
      <c r="H2588">
        <v>3654</v>
      </c>
      <c r="I2588">
        <v>1251</v>
      </c>
      <c r="J2588">
        <v>2403</v>
      </c>
      <c r="K2588" t="s">
        <v>54</v>
      </c>
      <c r="L2588">
        <v>6</v>
      </c>
      <c r="M2588" t="str">
        <f t="shared" si="40"/>
        <v>12+ Months</v>
      </c>
      <c r="N2588" s="1">
        <v>44914</v>
      </c>
      <c r="O2588">
        <v>0</v>
      </c>
      <c r="P2588">
        <v>2587</v>
      </c>
      <c r="Q2588" s="2">
        <v>0.66</v>
      </c>
      <c r="R2588" t="s">
        <v>27</v>
      </c>
      <c r="S2588">
        <v>2022</v>
      </c>
      <c r="T2588" t="s">
        <v>31</v>
      </c>
    </row>
    <row r="2589" spans="1:20" hidden="1" x14ac:dyDescent="0.3">
      <c r="A2589">
        <v>4319</v>
      </c>
      <c r="B2589">
        <v>471</v>
      </c>
      <c r="C2589" t="s">
        <v>53</v>
      </c>
      <c r="D2589" t="s">
        <v>29</v>
      </c>
      <c r="E2589" t="s">
        <v>20</v>
      </c>
      <c r="F2589" s="1">
        <v>44757</v>
      </c>
      <c r="G2589" s="1">
        <v>45070</v>
      </c>
      <c r="H2589">
        <v>2515</v>
      </c>
      <c r="I2589">
        <v>4748</v>
      </c>
      <c r="J2589">
        <v>-2233</v>
      </c>
      <c r="K2589" t="s">
        <v>54</v>
      </c>
      <c r="L2589">
        <v>10</v>
      </c>
      <c r="M2589" t="str">
        <f t="shared" si="40"/>
        <v>6-12 Months</v>
      </c>
      <c r="N2589" s="1">
        <v>45070</v>
      </c>
      <c r="O2589">
        <v>0</v>
      </c>
      <c r="P2589">
        <v>2588</v>
      </c>
      <c r="Q2589" s="2">
        <v>-0.89</v>
      </c>
      <c r="R2589" t="s">
        <v>27</v>
      </c>
      <c r="S2589">
        <v>2023</v>
      </c>
      <c r="T2589" t="s">
        <v>28</v>
      </c>
    </row>
    <row r="2590" spans="1:20" hidden="1" x14ac:dyDescent="0.3">
      <c r="A2590">
        <v>4320</v>
      </c>
      <c r="B2590">
        <v>495</v>
      </c>
      <c r="C2590" t="s">
        <v>53</v>
      </c>
      <c r="D2590" t="s">
        <v>19</v>
      </c>
      <c r="E2590" t="s">
        <v>20</v>
      </c>
      <c r="F2590" s="1">
        <v>44660</v>
      </c>
      <c r="G2590" s="1">
        <v>44933</v>
      </c>
      <c r="H2590">
        <v>4967.93</v>
      </c>
      <c r="I2590">
        <v>41</v>
      </c>
      <c r="J2590">
        <v>-1297</v>
      </c>
      <c r="K2590" t="s">
        <v>54</v>
      </c>
      <c r="L2590">
        <v>8</v>
      </c>
      <c r="M2590" t="str">
        <f t="shared" si="40"/>
        <v>6-12 Months</v>
      </c>
      <c r="N2590" s="1">
        <v>44933</v>
      </c>
      <c r="O2590">
        <v>1</v>
      </c>
      <c r="P2590">
        <v>2589</v>
      </c>
      <c r="Q2590" s="2">
        <v>-0.26</v>
      </c>
      <c r="R2590" t="s">
        <v>27</v>
      </c>
      <c r="S2590">
        <v>2023</v>
      </c>
      <c r="T2590" t="s">
        <v>23</v>
      </c>
    </row>
    <row r="2591" spans="1:20" hidden="1" x14ac:dyDescent="0.3">
      <c r="A2591">
        <v>4323</v>
      </c>
      <c r="B2591">
        <v>203</v>
      </c>
      <c r="C2591" t="s">
        <v>24</v>
      </c>
      <c r="D2591" t="s">
        <v>19</v>
      </c>
      <c r="E2591" t="s">
        <v>20</v>
      </c>
      <c r="F2591" s="1">
        <v>44788</v>
      </c>
      <c r="G2591" s="1">
        <v>45135</v>
      </c>
      <c r="H2591">
        <v>165</v>
      </c>
      <c r="I2591">
        <v>6598</v>
      </c>
      <c r="J2591">
        <v>-6433</v>
      </c>
      <c r="K2591" t="s">
        <v>54</v>
      </c>
      <c r="L2591">
        <v>11</v>
      </c>
      <c r="M2591" t="str">
        <f t="shared" si="40"/>
        <v>6-12 Months</v>
      </c>
      <c r="N2591" s="1">
        <v>45135</v>
      </c>
      <c r="O2591">
        <v>0</v>
      </c>
      <c r="P2591">
        <v>2590</v>
      </c>
      <c r="Q2591" s="2">
        <v>-38.99</v>
      </c>
      <c r="R2591" t="s">
        <v>22</v>
      </c>
      <c r="S2591">
        <v>2023</v>
      </c>
      <c r="T2591" t="s">
        <v>44</v>
      </c>
    </row>
    <row r="2592" spans="1:20" hidden="1" x14ac:dyDescent="0.3">
      <c r="A2592">
        <v>4324</v>
      </c>
      <c r="B2592">
        <v>435</v>
      </c>
      <c r="C2592" t="s">
        <v>40</v>
      </c>
      <c r="D2592" t="s">
        <v>29</v>
      </c>
      <c r="E2592" t="s">
        <v>20</v>
      </c>
      <c r="F2592" s="1">
        <v>44767</v>
      </c>
      <c r="G2592" s="1">
        <v>45312</v>
      </c>
      <c r="H2592">
        <v>9203</v>
      </c>
      <c r="I2592">
        <v>7875</v>
      </c>
      <c r="J2592">
        <v>1328</v>
      </c>
      <c r="K2592" t="s">
        <v>54</v>
      </c>
      <c r="L2592">
        <v>17</v>
      </c>
      <c r="M2592" t="str">
        <f t="shared" si="40"/>
        <v>6-12 Months</v>
      </c>
      <c r="N2592" s="1">
        <v>45312</v>
      </c>
      <c r="O2592">
        <v>0</v>
      </c>
      <c r="P2592">
        <v>2591</v>
      </c>
      <c r="Q2592" s="2">
        <v>0.14000000000000001</v>
      </c>
      <c r="R2592" t="s">
        <v>27</v>
      </c>
      <c r="S2592">
        <v>2024</v>
      </c>
      <c r="T2592" t="s">
        <v>23</v>
      </c>
    </row>
    <row r="2593" spans="1:20" hidden="1" x14ac:dyDescent="0.3">
      <c r="A2593">
        <v>4325</v>
      </c>
      <c r="B2593">
        <v>192</v>
      </c>
      <c r="C2593" t="s">
        <v>45</v>
      </c>
      <c r="D2593" t="s">
        <v>34</v>
      </c>
      <c r="E2593" t="s">
        <v>20</v>
      </c>
      <c r="F2593" s="1">
        <v>44685</v>
      </c>
      <c r="G2593" s="1">
        <v>45038</v>
      </c>
      <c r="H2593">
        <v>4967.93</v>
      </c>
      <c r="I2593">
        <v>295</v>
      </c>
      <c r="J2593">
        <v>-2184</v>
      </c>
      <c r="K2593" t="s">
        <v>54</v>
      </c>
      <c r="L2593">
        <v>11</v>
      </c>
      <c r="M2593" t="str">
        <f t="shared" si="40"/>
        <v>6-12 Months</v>
      </c>
      <c r="N2593" s="1">
        <v>45038</v>
      </c>
      <c r="O2593">
        <v>1</v>
      </c>
      <c r="P2593">
        <v>2592</v>
      </c>
      <c r="Q2593" s="2">
        <v>-0.44</v>
      </c>
      <c r="R2593" t="s">
        <v>27</v>
      </c>
      <c r="S2593">
        <v>2023</v>
      </c>
      <c r="T2593" t="s">
        <v>32</v>
      </c>
    </row>
    <row r="2594" spans="1:20" x14ac:dyDescent="0.3">
      <c r="A2594">
        <v>4326</v>
      </c>
      <c r="B2594">
        <v>438</v>
      </c>
      <c r="C2594" t="s">
        <v>24</v>
      </c>
      <c r="D2594" t="s">
        <v>34</v>
      </c>
      <c r="E2594" t="s">
        <v>37</v>
      </c>
      <c r="F2594" s="1">
        <v>44734</v>
      </c>
      <c r="G2594" s="1">
        <v>44864</v>
      </c>
      <c r="H2594">
        <v>985</v>
      </c>
      <c r="I2594">
        <v>100</v>
      </c>
      <c r="J2594">
        <v>885</v>
      </c>
      <c r="K2594" t="s">
        <v>35</v>
      </c>
      <c r="L2594">
        <v>4</v>
      </c>
      <c r="M2594" t="str">
        <f t="shared" si="40"/>
        <v>0-6 Months</v>
      </c>
      <c r="N2594" s="1">
        <v>44864</v>
      </c>
      <c r="O2594">
        <v>1</v>
      </c>
      <c r="P2594">
        <v>2593</v>
      </c>
      <c r="Q2594" s="2">
        <v>0.9</v>
      </c>
      <c r="R2594" t="s">
        <v>27</v>
      </c>
      <c r="S2594">
        <v>2022</v>
      </c>
      <c r="T2594" t="s">
        <v>33</v>
      </c>
    </row>
    <row r="2595" spans="1:20" x14ac:dyDescent="0.3">
      <c r="A2595">
        <v>4327</v>
      </c>
      <c r="B2595">
        <v>180</v>
      </c>
      <c r="C2595" t="s">
        <v>39</v>
      </c>
      <c r="D2595" t="s">
        <v>25</v>
      </c>
      <c r="E2595" t="s">
        <v>26</v>
      </c>
      <c r="F2595" s="1">
        <v>44612</v>
      </c>
      <c r="G2595" s="1">
        <v>44885</v>
      </c>
      <c r="H2595">
        <v>9485</v>
      </c>
      <c r="I2595">
        <v>3918</v>
      </c>
      <c r="J2595">
        <v>5567</v>
      </c>
      <c r="K2595" t="s">
        <v>35</v>
      </c>
      <c r="L2595">
        <v>9</v>
      </c>
      <c r="M2595" t="str">
        <f t="shared" si="40"/>
        <v>6-12 Months</v>
      </c>
      <c r="N2595" s="1">
        <v>44885</v>
      </c>
      <c r="O2595">
        <v>0</v>
      </c>
      <c r="P2595">
        <v>2594</v>
      </c>
      <c r="Q2595" s="2">
        <v>0.59</v>
      </c>
      <c r="R2595" t="s">
        <v>27</v>
      </c>
      <c r="S2595">
        <v>2022</v>
      </c>
      <c r="T2595" t="s">
        <v>42</v>
      </c>
    </row>
    <row r="2596" spans="1:20" hidden="1" x14ac:dyDescent="0.3">
      <c r="A2596">
        <v>4328</v>
      </c>
      <c r="B2596">
        <v>175</v>
      </c>
      <c r="C2596" t="s">
        <v>53</v>
      </c>
      <c r="D2596" t="s">
        <v>34</v>
      </c>
      <c r="E2596" t="s">
        <v>37</v>
      </c>
      <c r="F2596" s="1">
        <v>44715</v>
      </c>
      <c r="G2596" s="1">
        <v>45276</v>
      </c>
      <c r="H2596">
        <v>2130</v>
      </c>
      <c r="I2596">
        <v>4400</v>
      </c>
      <c r="J2596">
        <v>-2270</v>
      </c>
      <c r="K2596" t="s">
        <v>54</v>
      </c>
      <c r="L2596">
        <v>18</v>
      </c>
      <c r="M2596" t="str">
        <f t="shared" si="40"/>
        <v>6-12 Months</v>
      </c>
      <c r="N2596" s="1">
        <v>45276</v>
      </c>
      <c r="O2596">
        <v>0</v>
      </c>
      <c r="P2596">
        <v>2595</v>
      </c>
      <c r="Q2596" s="2">
        <v>-1.07</v>
      </c>
      <c r="R2596" t="s">
        <v>22</v>
      </c>
      <c r="S2596">
        <v>2023</v>
      </c>
      <c r="T2596" t="s">
        <v>31</v>
      </c>
    </row>
    <row r="2597" spans="1:20" hidden="1" x14ac:dyDescent="0.3">
      <c r="A2597">
        <v>4330</v>
      </c>
      <c r="B2597">
        <v>471</v>
      </c>
      <c r="C2597" t="s">
        <v>40</v>
      </c>
      <c r="D2597" t="s">
        <v>29</v>
      </c>
      <c r="E2597" t="s">
        <v>20</v>
      </c>
      <c r="F2597" s="1">
        <v>44651</v>
      </c>
      <c r="G2597" s="1">
        <v>45010</v>
      </c>
      <c r="H2597">
        <v>68</v>
      </c>
      <c r="I2597">
        <v>3603</v>
      </c>
      <c r="J2597">
        <v>-3535</v>
      </c>
      <c r="K2597" t="s">
        <v>54</v>
      </c>
      <c r="L2597">
        <v>11</v>
      </c>
      <c r="M2597" t="str">
        <f t="shared" si="40"/>
        <v>6-12 Months</v>
      </c>
      <c r="N2597" s="1">
        <v>45010</v>
      </c>
      <c r="O2597">
        <v>1</v>
      </c>
      <c r="P2597">
        <v>2596</v>
      </c>
      <c r="Q2597" s="2">
        <v>-51.99</v>
      </c>
      <c r="R2597" t="s">
        <v>22</v>
      </c>
      <c r="S2597">
        <v>2023</v>
      </c>
      <c r="T2597" t="s">
        <v>38</v>
      </c>
    </row>
    <row r="2598" spans="1:20" hidden="1" x14ac:dyDescent="0.3">
      <c r="A2598">
        <v>4331</v>
      </c>
      <c r="B2598">
        <v>422</v>
      </c>
      <c r="C2598" t="s">
        <v>53</v>
      </c>
      <c r="D2598" t="s">
        <v>29</v>
      </c>
      <c r="E2598" t="s">
        <v>37</v>
      </c>
      <c r="F2598" s="1">
        <v>44863</v>
      </c>
      <c r="G2598" s="1">
        <v>45006</v>
      </c>
      <c r="H2598">
        <v>6330</v>
      </c>
      <c r="I2598">
        <v>6223</v>
      </c>
      <c r="J2598">
        <v>107</v>
      </c>
      <c r="K2598" t="s">
        <v>54</v>
      </c>
      <c r="L2598">
        <v>4</v>
      </c>
      <c r="M2598" t="str">
        <f t="shared" si="40"/>
        <v>0-6 Months</v>
      </c>
      <c r="N2598" s="1">
        <v>45006</v>
      </c>
      <c r="O2598">
        <v>0</v>
      </c>
      <c r="P2598">
        <v>2597</v>
      </c>
      <c r="Q2598" s="2">
        <v>0.02</v>
      </c>
      <c r="R2598" t="s">
        <v>27</v>
      </c>
      <c r="S2598">
        <v>2023</v>
      </c>
      <c r="T2598" t="s">
        <v>38</v>
      </c>
    </row>
    <row r="2599" spans="1:20" hidden="1" x14ac:dyDescent="0.3">
      <c r="A2599">
        <v>4334</v>
      </c>
      <c r="B2599">
        <v>477</v>
      </c>
      <c r="C2599" t="s">
        <v>53</v>
      </c>
      <c r="D2599" t="s">
        <v>34</v>
      </c>
      <c r="E2599" t="s">
        <v>26</v>
      </c>
      <c r="F2599" s="1">
        <v>44898</v>
      </c>
      <c r="G2599" s="1">
        <v>45200</v>
      </c>
      <c r="H2599">
        <v>9944</v>
      </c>
      <c r="I2599">
        <v>737</v>
      </c>
      <c r="J2599">
        <v>9207</v>
      </c>
      <c r="K2599" t="s">
        <v>54</v>
      </c>
      <c r="L2599">
        <v>9</v>
      </c>
      <c r="M2599" t="str">
        <f t="shared" si="40"/>
        <v>6-12 Months</v>
      </c>
      <c r="N2599" s="1">
        <v>45200</v>
      </c>
      <c r="O2599">
        <v>1</v>
      </c>
      <c r="P2599">
        <v>2598</v>
      </c>
      <c r="Q2599" s="2">
        <v>0.93</v>
      </c>
      <c r="R2599" t="s">
        <v>27</v>
      </c>
      <c r="S2599">
        <v>2023</v>
      </c>
      <c r="T2599" t="s">
        <v>33</v>
      </c>
    </row>
    <row r="2600" spans="1:20" hidden="1" x14ac:dyDescent="0.3">
      <c r="A2600">
        <v>4335</v>
      </c>
      <c r="B2600">
        <v>295</v>
      </c>
      <c r="C2600" t="s">
        <v>24</v>
      </c>
      <c r="D2600" t="s">
        <v>34</v>
      </c>
      <c r="E2600" t="s">
        <v>20</v>
      </c>
      <c r="F2600" s="1">
        <v>44806</v>
      </c>
      <c r="G2600" s="1">
        <v>44939</v>
      </c>
      <c r="H2600">
        <v>4457</v>
      </c>
      <c r="I2600">
        <v>7776</v>
      </c>
      <c r="J2600">
        <v>-3319</v>
      </c>
      <c r="K2600" t="s">
        <v>21</v>
      </c>
      <c r="L2600">
        <v>4</v>
      </c>
      <c r="M2600" t="str">
        <f t="shared" si="40"/>
        <v>0-6 Months</v>
      </c>
      <c r="N2600" s="1">
        <v>44939</v>
      </c>
      <c r="O2600">
        <v>1</v>
      </c>
      <c r="P2600">
        <v>2599</v>
      </c>
      <c r="Q2600" s="2">
        <v>-0.74</v>
      </c>
      <c r="R2600" t="s">
        <v>27</v>
      </c>
      <c r="S2600">
        <v>2023</v>
      </c>
      <c r="T2600" t="s">
        <v>23</v>
      </c>
    </row>
    <row r="2601" spans="1:20" hidden="1" x14ac:dyDescent="0.3">
      <c r="A2601">
        <v>4337</v>
      </c>
      <c r="B2601">
        <v>211</v>
      </c>
      <c r="C2601" t="s">
        <v>24</v>
      </c>
      <c r="D2601" t="s">
        <v>25</v>
      </c>
      <c r="E2601" t="s">
        <v>26</v>
      </c>
      <c r="F2601" s="1">
        <v>44791</v>
      </c>
      <c r="G2601" s="1">
        <v>45055</v>
      </c>
      <c r="H2601">
        <v>5186</v>
      </c>
      <c r="I2601">
        <v>2802</v>
      </c>
      <c r="J2601">
        <v>2384</v>
      </c>
      <c r="K2601" t="s">
        <v>21</v>
      </c>
      <c r="L2601">
        <v>8</v>
      </c>
      <c r="M2601" t="str">
        <f t="shared" si="40"/>
        <v>6-12 Months</v>
      </c>
      <c r="N2601" s="1">
        <v>45055</v>
      </c>
      <c r="O2601">
        <v>1</v>
      </c>
      <c r="P2601">
        <v>2600</v>
      </c>
      <c r="Q2601" s="2">
        <v>0.46</v>
      </c>
      <c r="R2601" t="s">
        <v>27</v>
      </c>
      <c r="S2601">
        <v>2023</v>
      </c>
      <c r="T2601" t="s">
        <v>28</v>
      </c>
    </row>
    <row r="2602" spans="1:20" hidden="1" x14ac:dyDescent="0.3">
      <c r="A2602">
        <v>4338</v>
      </c>
      <c r="B2602">
        <v>461</v>
      </c>
      <c r="C2602" t="s">
        <v>40</v>
      </c>
      <c r="D2602" t="s">
        <v>25</v>
      </c>
      <c r="E2602" t="s">
        <v>20</v>
      </c>
      <c r="F2602" s="1">
        <v>44648</v>
      </c>
      <c r="G2602" s="1">
        <v>45124</v>
      </c>
      <c r="H2602">
        <v>518</v>
      </c>
      <c r="I2602">
        <v>6791</v>
      </c>
      <c r="J2602">
        <v>-6273</v>
      </c>
      <c r="K2602" t="s">
        <v>21</v>
      </c>
      <c r="L2602">
        <v>15</v>
      </c>
      <c r="M2602" t="str">
        <f t="shared" si="40"/>
        <v>6-12 Months</v>
      </c>
      <c r="N2602" s="1">
        <v>45124</v>
      </c>
      <c r="O2602">
        <v>1</v>
      </c>
      <c r="P2602">
        <v>2601</v>
      </c>
      <c r="Q2602" s="2">
        <v>-12.11</v>
      </c>
      <c r="R2602" t="s">
        <v>22</v>
      </c>
      <c r="S2602">
        <v>2023</v>
      </c>
      <c r="T2602" t="s">
        <v>44</v>
      </c>
    </row>
    <row r="2603" spans="1:20" x14ac:dyDescent="0.3">
      <c r="A2603">
        <v>4340</v>
      </c>
      <c r="B2603">
        <v>480</v>
      </c>
      <c r="C2603" t="s">
        <v>40</v>
      </c>
      <c r="D2603" t="s">
        <v>19</v>
      </c>
      <c r="E2603" t="s">
        <v>26</v>
      </c>
      <c r="F2603" s="1">
        <v>44870</v>
      </c>
      <c r="G2603" s="1">
        <v>45099</v>
      </c>
      <c r="H2603">
        <v>3060</v>
      </c>
      <c r="I2603">
        <v>7798</v>
      </c>
      <c r="J2603">
        <v>-4738</v>
      </c>
      <c r="K2603" t="s">
        <v>35</v>
      </c>
      <c r="L2603">
        <v>7</v>
      </c>
      <c r="M2603" t="str">
        <f t="shared" si="40"/>
        <v>6-12 Months</v>
      </c>
      <c r="N2603" s="1">
        <v>45099</v>
      </c>
      <c r="O2603">
        <v>0</v>
      </c>
      <c r="P2603">
        <v>2602</v>
      </c>
      <c r="Q2603" s="2">
        <v>-1.55</v>
      </c>
      <c r="R2603" t="s">
        <v>22</v>
      </c>
      <c r="S2603">
        <v>2023</v>
      </c>
      <c r="T2603" t="s">
        <v>41</v>
      </c>
    </row>
    <row r="2604" spans="1:20" hidden="1" x14ac:dyDescent="0.3">
      <c r="A2604">
        <v>4341</v>
      </c>
      <c r="B2604">
        <v>102</v>
      </c>
      <c r="C2604" t="s">
        <v>45</v>
      </c>
      <c r="D2604" t="s">
        <v>29</v>
      </c>
      <c r="E2604" t="s">
        <v>26</v>
      </c>
      <c r="F2604" s="1">
        <v>44703</v>
      </c>
      <c r="G2604" s="1">
        <v>44787</v>
      </c>
      <c r="H2604">
        <v>4967.93</v>
      </c>
      <c r="I2604">
        <v>6151</v>
      </c>
      <c r="J2604">
        <v>-7446</v>
      </c>
      <c r="K2604" t="s">
        <v>54</v>
      </c>
      <c r="L2604">
        <v>2</v>
      </c>
      <c r="M2604" t="str">
        <f t="shared" si="40"/>
        <v>0-6 Months</v>
      </c>
      <c r="N2604" s="1">
        <v>44787</v>
      </c>
      <c r="O2604">
        <v>1</v>
      </c>
      <c r="P2604">
        <v>2603</v>
      </c>
      <c r="Q2604" s="2">
        <v>-1.5</v>
      </c>
      <c r="R2604" t="s">
        <v>22</v>
      </c>
      <c r="S2604">
        <v>2022</v>
      </c>
      <c r="T2604" t="s">
        <v>36</v>
      </c>
    </row>
    <row r="2605" spans="1:20" hidden="1" x14ac:dyDescent="0.3">
      <c r="A2605">
        <v>4342</v>
      </c>
      <c r="B2605">
        <v>147</v>
      </c>
      <c r="C2605" t="s">
        <v>40</v>
      </c>
      <c r="D2605" t="s">
        <v>34</v>
      </c>
      <c r="E2605" t="s">
        <v>26</v>
      </c>
      <c r="F2605" s="1">
        <v>44614</v>
      </c>
      <c r="G2605" s="1">
        <v>44868</v>
      </c>
      <c r="H2605">
        <v>1739</v>
      </c>
      <c r="I2605">
        <v>4012.75</v>
      </c>
      <c r="J2605">
        <v>577.01</v>
      </c>
      <c r="K2605" t="s">
        <v>21</v>
      </c>
      <c r="L2605">
        <v>8</v>
      </c>
      <c r="M2605" t="str">
        <f t="shared" si="40"/>
        <v>6-12 Months</v>
      </c>
      <c r="N2605" s="1">
        <v>44868</v>
      </c>
      <c r="O2605">
        <v>1</v>
      </c>
      <c r="P2605">
        <v>2604</v>
      </c>
      <c r="Q2605" s="2">
        <v>0.33</v>
      </c>
      <c r="R2605" t="s">
        <v>27</v>
      </c>
      <c r="S2605">
        <v>2022</v>
      </c>
      <c r="T2605" t="s">
        <v>42</v>
      </c>
    </row>
    <row r="2606" spans="1:20" hidden="1" x14ac:dyDescent="0.3">
      <c r="A2606">
        <v>4343</v>
      </c>
      <c r="B2606">
        <v>419</v>
      </c>
      <c r="C2606" t="s">
        <v>24</v>
      </c>
      <c r="D2606" t="s">
        <v>25</v>
      </c>
      <c r="E2606" t="s">
        <v>37</v>
      </c>
      <c r="F2606" s="1">
        <v>44816</v>
      </c>
      <c r="G2606" s="1">
        <v>45239</v>
      </c>
      <c r="H2606">
        <v>1544</v>
      </c>
      <c r="I2606">
        <v>1257</v>
      </c>
      <c r="J2606">
        <v>287</v>
      </c>
      <c r="K2606" t="s">
        <v>21</v>
      </c>
      <c r="L2606">
        <v>13</v>
      </c>
      <c r="M2606" t="str">
        <f t="shared" si="40"/>
        <v>6-12 Months</v>
      </c>
      <c r="N2606" s="1">
        <v>45239</v>
      </c>
      <c r="O2606">
        <v>1</v>
      </c>
      <c r="P2606">
        <v>2605</v>
      </c>
      <c r="Q2606" s="2">
        <v>0.19</v>
      </c>
      <c r="R2606" t="s">
        <v>27</v>
      </c>
      <c r="S2606">
        <v>2023</v>
      </c>
      <c r="T2606" t="s">
        <v>42</v>
      </c>
    </row>
    <row r="2607" spans="1:20" hidden="1" x14ac:dyDescent="0.3">
      <c r="A2607">
        <v>4344</v>
      </c>
      <c r="B2607">
        <v>266</v>
      </c>
      <c r="C2607" t="s">
        <v>39</v>
      </c>
      <c r="D2607" t="s">
        <v>29</v>
      </c>
      <c r="E2607" t="s">
        <v>20</v>
      </c>
      <c r="F2607" s="1">
        <v>44828</v>
      </c>
      <c r="G2607" s="1">
        <v>45065</v>
      </c>
      <c r="H2607">
        <v>9042</v>
      </c>
      <c r="I2607">
        <v>7110</v>
      </c>
      <c r="J2607">
        <v>1932</v>
      </c>
      <c r="K2607" t="s">
        <v>54</v>
      </c>
      <c r="L2607">
        <v>7</v>
      </c>
      <c r="M2607" t="str">
        <f t="shared" si="40"/>
        <v>6-12 Months</v>
      </c>
      <c r="N2607" s="1">
        <v>45065</v>
      </c>
      <c r="O2607">
        <v>0</v>
      </c>
      <c r="P2607">
        <v>2606</v>
      </c>
      <c r="Q2607" s="2">
        <v>0.21</v>
      </c>
      <c r="R2607" t="s">
        <v>27</v>
      </c>
      <c r="S2607">
        <v>2023</v>
      </c>
      <c r="T2607" t="s">
        <v>28</v>
      </c>
    </row>
    <row r="2608" spans="1:20" hidden="1" x14ac:dyDescent="0.3">
      <c r="A2608">
        <v>4345</v>
      </c>
      <c r="B2608">
        <v>122</v>
      </c>
      <c r="C2608" t="s">
        <v>53</v>
      </c>
      <c r="D2608" t="s">
        <v>34</v>
      </c>
      <c r="E2608" t="s">
        <v>20</v>
      </c>
      <c r="F2608" s="1">
        <v>44888</v>
      </c>
      <c r="G2608" s="1">
        <v>44992</v>
      </c>
      <c r="H2608">
        <v>2403</v>
      </c>
      <c r="I2608">
        <v>4012.75</v>
      </c>
      <c r="J2608">
        <v>2490</v>
      </c>
      <c r="K2608" t="s">
        <v>54</v>
      </c>
      <c r="L2608">
        <v>3</v>
      </c>
      <c r="M2608" t="str">
        <f t="shared" si="40"/>
        <v>0-6 Months</v>
      </c>
      <c r="N2608" s="1">
        <v>44992</v>
      </c>
      <c r="O2608">
        <v>1</v>
      </c>
      <c r="P2608">
        <v>2607</v>
      </c>
      <c r="Q2608" s="2">
        <v>1.04</v>
      </c>
      <c r="R2608" t="s">
        <v>22</v>
      </c>
      <c r="S2608">
        <v>2023</v>
      </c>
      <c r="T2608" t="s">
        <v>38</v>
      </c>
    </row>
    <row r="2609" spans="1:20" hidden="1" x14ac:dyDescent="0.3">
      <c r="A2609">
        <v>4347</v>
      </c>
      <c r="B2609">
        <v>333</v>
      </c>
      <c r="C2609" t="s">
        <v>53</v>
      </c>
      <c r="D2609" t="s">
        <v>19</v>
      </c>
      <c r="E2609" t="s">
        <v>37</v>
      </c>
      <c r="F2609" s="1">
        <v>44925</v>
      </c>
      <c r="G2609" s="1">
        <v>45196</v>
      </c>
      <c r="H2609">
        <v>1613</v>
      </c>
      <c r="I2609">
        <v>4196</v>
      </c>
      <c r="J2609">
        <v>-2583</v>
      </c>
      <c r="K2609" t="s">
        <v>21</v>
      </c>
      <c r="L2609">
        <v>8</v>
      </c>
      <c r="M2609" t="str">
        <f t="shared" si="40"/>
        <v>6-12 Months</v>
      </c>
      <c r="N2609" s="1">
        <v>45196</v>
      </c>
      <c r="O2609">
        <v>0</v>
      </c>
      <c r="P2609">
        <v>2608</v>
      </c>
      <c r="Q2609" s="2">
        <v>-1.6</v>
      </c>
      <c r="R2609" t="s">
        <v>22</v>
      </c>
      <c r="S2609">
        <v>2023</v>
      </c>
      <c r="T2609" t="s">
        <v>30</v>
      </c>
    </row>
    <row r="2610" spans="1:20" x14ac:dyDescent="0.3">
      <c r="A2610">
        <v>4348</v>
      </c>
      <c r="B2610">
        <v>342</v>
      </c>
      <c r="C2610" t="s">
        <v>45</v>
      </c>
      <c r="D2610" t="s">
        <v>25</v>
      </c>
      <c r="E2610" t="s">
        <v>20</v>
      </c>
      <c r="F2610" s="1">
        <v>44900</v>
      </c>
      <c r="G2610" s="1">
        <v>45147</v>
      </c>
      <c r="H2610">
        <v>5309</v>
      </c>
      <c r="I2610">
        <v>7826</v>
      </c>
      <c r="J2610">
        <v>-2517</v>
      </c>
      <c r="K2610" t="s">
        <v>35</v>
      </c>
      <c r="L2610">
        <v>8</v>
      </c>
      <c r="M2610" t="str">
        <f t="shared" si="40"/>
        <v>6-12 Months</v>
      </c>
      <c r="N2610" s="1">
        <v>45147</v>
      </c>
      <c r="O2610">
        <v>1</v>
      </c>
      <c r="P2610">
        <v>2609</v>
      </c>
      <c r="Q2610" s="2">
        <v>-0.47</v>
      </c>
      <c r="R2610" t="s">
        <v>27</v>
      </c>
      <c r="S2610">
        <v>2023</v>
      </c>
      <c r="T2610" t="s">
        <v>36</v>
      </c>
    </row>
    <row r="2611" spans="1:20" hidden="1" x14ac:dyDescent="0.3">
      <c r="A2611">
        <v>4349</v>
      </c>
      <c r="B2611">
        <v>465</v>
      </c>
      <c r="C2611" t="s">
        <v>45</v>
      </c>
      <c r="D2611" t="s">
        <v>19</v>
      </c>
      <c r="E2611" t="s">
        <v>26</v>
      </c>
      <c r="F2611" s="1">
        <v>44633</v>
      </c>
      <c r="G2611" s="1">
        <v>45216</v>
      </c>
      <c r="H2611">
        <v>587</v>
      </c>
      <c r="I2611">
        <v>2114</v>
      </c>
      <c r="J2611">
        <v>-1527</v>
      </c>
      <c r="K2611" t="s">
        <v>54</v>
      </c>
      <c r="L2611">
        <v>19</v>
      </c>
      <c r="M2611" t="str">
        <f t="shared" si="40"/>
        <v>6-12 Months</v>
      </c>
      <c r="N2611" s="1">
        <v>45216</v>
      </c>
      <c r="O2611">
        <v>1</v>
      </c>
      <c r="P2611">
        <v>2610</v>
      </c>
      <c r="Q2611" s="2">
        <v>-2.6</v>
      </c>
      <c r="R2611" t="s">
        <v>22</v>
      </c>
      <c r="S2611">
        <v>2023</v>
      </c>
      <c r="T2611" t="s">
        <v>33</v>
      </c>
    </row>
    <row r="2612" spans="1:20" hidden="1" x14ac:dyDescent="0.3">
      <c r="A2612">
        <v>4351</v>
      </c>
      <c r="B2612">
        <v>136</v>
      </c>
      <c r="C2612" t="s">
        <v>24</v>
      </c>
      <c r="D2612" t="s">
        <v>29</v>
      </c>
      <c r="E2612" t="s">
        <v>37</v>
      </c>
      <c r="F2612" s="1">
        <v>44834</v>
      </c>
      <c r="G2612" s="1">
        <v>45427</v>
      </c>
      <c r="H2612">
        <v>4967.93</v>
      </c>
      <c r="I2612">
        <v>5695</v>
      </c>
      <c r="J2612">
        <v>-5842</v>
      </c>
      <c r="K2612" t="s">
        <v>54</v>
      </c>
      <c r="L2612">
        <v>19</v>
      </c>
      <c r="M2612" t="str">
        <f t="shared" si="40"/>
        <v>6-12 Months</v>
      </c>
      <c r="N2612" s="1">
        <v>45427</v>
      </c>
      <c r="O2612">
        <v>0</v>
      </c>
      <c r="P2612">
        <v>2611</v>
      </c>
      <c r="Q2612" s="2">
        <v>-1.18</v>
      </c>
      <c r="R2612" t="s">
        <v>22</v>
      </c>
      <c r="S2612">
        <v>2024</v>
      </c>
      <c r="T2612" t="s">
        <v>28</v>
      </c>
    </row>
    <row r="2613" spans="1:20" hidden="1" x14ac:dyDescent="0.3">
      <c r="A2613">
        <v>4353</v>
      </c>
      <c r="B2613">
        <v>211</v>
      </c>
      <c r="C2613" t="s">
        <v>24</v>
      </c>
      <c r="D2613" t="s">
        <v>29</v>
      </c>
      <c r="E2613" t="s">
        <v>26</v>
      </c>
      <c r="F2613" s="1">
        <v>44811</v>
      </c>
      <c r="G2613" s="1">
        <v>44985</v>
      </c>
      <c r="H2613">
        <v>1693</v>
      </c>
      <c r="I2613">
        <v>1142</v>
      </c>
      <c r="J2613">
        <v>551</v>
      </c>
      <c r="K2613" t="s">
        <v>21</v>
      </c>
      <c r="L2613">
        <v>5</v>
      </c>
      <c r="M2613" t="str">
        <f t="shared" si="40"/>
        <v>0-6 Months</v>
      </c>
      <c r="N2613" s="1">
        <v>44985</v>
      </c>
      <c r="O2613">
        <v>0</v>
      </c>
      <c r="P2613">
        <v>2612</v>
      </c>
      <c r="Q2613" s="2">
        <v>0.33</v>
      </c>
      <c r="R2613" t="s">
        <v>27</v>
      </c>
      <c r="S2613">
        <v>2023</v>
      </c>
      <c r="T2613" t="s">
        <v>43</v>
      </c>
    </row>
    <row r="2614" spans="1:20" hidden="1" x14ac:dyDescent="0.3">
      <c r="A2614">
        <v>4357</v>
      </c>
      <c r="B2614">
        <v>108</v>
      </c>
      <c r="C2614" t="s">
        <v>45</v>
      </c>
      <c r="D2614" t="s">
        <v>29</v>
      </c>
      <c r="E2614" t="s">
        <v>37</v>
      </c>
      <c r="F2614" s="1">
        <v>44841</v>
      </c>
      <c r="G2614" s="1">
        <v>45099</v>
      </c>
      <c r="H2614">
        <v>1488</v>
      </c>
      <c r="I2614">
        <v>1700</v>
      </c>
      <c r="J2614">
        <v>577.01</v>
      </c>
      <c r="K2614" t="s">
        <v>21</v>
      </c>
      <c r="L2614">
        <v>8</v>
      </c>
      <c r="M2614" t="str">
        <f t="shared" si="40"/>
        <v>6-12 Months</v>
      </c>
      <c r="N2614" s="1">
        <v>45099</v>
      </c>
      <c r="O2614">
        <v>1</v>
      </c>
      <c r="P2614">
        <v>2613</v>
      </c>
      <c r="Q2614" s="2">
        <v>0.39</v>
      </c>
      <c r="R2614" t="s">
        <v>27</v>
      </c>
      <c r="S2614">
        <v>2023</v>
      </c>
      <c r="T2614" t="s">
        <v>41</v>
      </c>
    </row>
    <row r="2615" spans="1:20" hidden="1" x14ac:dyDescent="0.3">
      <c r="A2615">
        <v>4358</v>
      </c>
      <c r="B2615">
        <v>258</v>
      </c>
      <c r="C2615" t="s">
        <v>53</v>
      </c>
      <c r="D2615" t="s">
        <v>19</v>
      </c>
      <c r="E2615" t="s">
        <v>26</v>
      </c>
      <c r="F2615" s="1">
        <v>44654</v>
      </c>
      <c r="G2615" s="1">
        <v>44982</v>
      </c>
      <c r="H2615">
        <v>3138</v>
      </c>
      <c r="I2615">
        <v>2944</v>
      </c>
      <c r="J2615">
        <v>577.01</v>
      </c>
      <c r="K2615" t="s">
        <v>54</v>
      </c>
      <c r="L2615">
        <v>10</v>
      </c>
      <c r="M2615" t="str">
        <f t="shared" si="40"/>
        <v>6-12 Months</v>
      </c>
      <c r="N2615" s="1">
        <v>44982</v>
      </c>
      <c r="O2615">
        <v>1</v>
      </c>
      <c r="P2615">
        <v>2614</v>
      </c>
      <c r="Q2615" s="2">
        <v>0.18</v>
      </c>
      <c r="R2615" t="s">
        <v>27</v>
      </c>
      <c r="S2615">
        <v>2023</v>
      </c>
      <c r="T2615" t="s">
        <v>43</v>
      </c>
    </row>
    <row r="2616" spans="1:20" hidden="1" x14ac:dyDescent="0.3">
      <c r="A2616">
        <v>4359</v>
      </c>
      <c r="B2616">
        <v>451</v>
      </c>
      <c r="C2616" t="s">
        <v>24</v>
      </c>
      <c r="D2616" t="s">
        <v>19</v>
      </c>
      <c r="E2616" t="s">
        <v>20</v>
      </c>
      <c r="F2616" s="1">
        <v>44637</v>
      </c>
      <c r="G2616" s="1">
        <v>45124</v>
      </c>
      <c r="H2616">
        <v>8839</v>
      </c>
      <c r="I2616">
        <v>3788</v>
      </c>
      <c r="J2616">
        <v>5051</v>
      </c>
      <c r="K2616" t="s">
        <v>21</v>
      </c>
      <c r="L2616">
        <v>16</v>
      </c>
      <c r="M2616" t="str">
        <f t="shared" si="40"/>
        <v>6-12 Months</v>
      </c>
      <c r="N2616" s="1">
        <v>45124</v>
      </c>
      <c r="O2616">
        <v>1</v>
      </c>
      <c r="P2616">
        <v>2615</v>
      </c>
      <c r="Q2616" s="2">
        <v>0.56999999999999995</v>
      </c>
      <c r="R2616" t="s">
        <v>27</v>
      </c>
      <c r="S2616">
        <v>2023</v>
      </c>
      <c r="T2616" t="s">
        <v>44</v>
      </c>
    </row>
    <row r="2617" spans="1:20" x14ac:dyDescent="0.3">
      <c r="A2617">
        <v>4361</v>
      </c>
      <c r="B2617">
        <v>227</v>
      </c>
      <c r="C2617" t="s">
        <v>39</v>
      </c>
      <c r="D2617" t="s">
        <v>19</v>
      </c>
      <c r="E2617" t="s">
        <v>20</v>
      </c>
      <c r="F2617" s="1">
        <v>44586</v>
      </c>
      <c r="G2617" s="1">
        <v>44931</v>
      </c>
      <c r="H2617">
        <v>1751</v>
      </c>
      <c r="I2617">
        <v>2386</v>
      </c>
      <c r="J2617">
        <v>577.01</v>
      </c>
      <c r="K2617" t="s">
        <v>35</v>
      </c>
      <c r="L2617">
        <v>11</v>
      </c>
      <c r="M2617" t="str">
        <f t="shared" si="40"/>
        <v>6-12 Months</v>
      </c>
      <c r="N2617" s="1">
        <v>44931</v>
      </c>
      <c r="O2617">
        <v>0</v>
      </c>
      <c r="P2617">
        <v>2616</v>
      </c>
      <c r="Q2617" s="2">
        <v>0.33</v>
      </c>
      <c r="R2617" t="s">
        <v>27</v>
      </c>
      <c r="S2617">
        <v>2023</v>
      </c>
      <c r="T2617" t="s">
        <v>23</v>
      </c>
    </row>
    <row r="2618" spans="1:20" x14ac:dyDescent="0.3">
      <c r="A2618">
        <v>4362</v>
      </c>
      <c r="B2618">
        <v>434</v>
      </c>
      <c r="C2618" t="s">
        <v>39</v>
      </c>
      <c r="D2618" t="s">
        <v>34</v>
      </c>
      <c r="E2618" t="s">
        <v>26</v>
      </c>
      <c r="F2618" s="1">
        <v>44727</v>
      </c>
      <c r="G2618" s="1">
        <v>44969</v>
      </c>
      <c r="H2618">
        <v>5197</v>
      </c>
      <c r="I2618">
        <v>1383</v>
      </c>
      <c r="J2618">
        <v>3814</v>
      </c>
      <c r="K2618" t="s">
        <v>35</v>
      </c>
      <c r="L2618">
        <v>7</v>
      </c>
      <c r="M2618" t="str">
        <f t="shared" si="40"/>
        <v>6-12 Months</v>
      </c>
      <c r="N2618" s="1">
        <v>44969</v>
      </c>
      <c r="O2618">
        <v>1</v>
      </c>
      <c r="P2618">
        <v>2617</v>
      </c>
      <c r="Q2618" s="2">
        <v>0.73</v>
      </c>
      <c r="R2618" t="s">
        <v>27</v>
      </c>
      <c r="S2618">
        <v>2023</v>
      </c>
      <c r="T2618" t="s">
        <v>43</v>
      </c>
    </row>
    <row r="2619" spans="1:20" x14ac:dyDescent="0.3">
      <c r="A2619">
        <v>4367</v>
      </c>
      <c r="B2619">
        <v>321</v>
      </c>
      <c r="C2619" t="s">
        <v>39</v>
      </c>
      <c r="D2619" t="s">
        <v>34</v>
      </c>
      <c r="E2619" t="s">
        <v>37</v>
      </c>
      <c r="F2619" s="1">
        <v>44812</v>
      </c>
      <c r="G2619" s="1">
        <v>45061</v>
      </c>
      <c r="H2619">
        <v>4464</v>
      </c>
      <c r="I2619">
        <v>6475</v>
      </c>
      <c r="J2619">
        <v>-2011</v>
      </c>
      <c r="K2619" t="s">
        <v>35</v>
      </c>
      <c r="L2619">
        <v>8</v>
      </c>
      <c r="M2619" t="str">
        <f t="shared" si="40"/>
        <v>6-12 Months</v>
      </c>
      <c r="N2619" s="1">
        <v>45061</v>
      </c>
      <c r="O2619">
        <v>1</v>
      </c>
      <c r="P2619">
        <v>2618</v>
      </c>
      <c r="Q2619" s="2">
        <v>-0.45</v>
      </c>
      <c r="R2619" t="s">
        <v>27</v>
      </c>
      <c r="S2619">
        <v>2023</v>
      </c>
      <c r="T2619" t="s">
        <v>28</v>
      </c>
    </row>
    <row r="2620" spans="1:20" x14ac:dyDescent="0.3">
      <c r="A2620">
        <v>4368</v>
      </c>
      <c r="B2620">
        <v>301</v>
      </c>
      <c r="C2620" t="s">
        <v>45</v>
      </c>
      <c r="D2620" t="s">
        <v>29</v>
      </c>
      <c r="E2620" t="s">
        <v>37</v>
      </c>
      <c r="F2620" s="1">
        <v>44599</v>
      </c>
      <c r="G2620" s="1">
        <v>44932</v>
      </c>
      <c r="H2620">
        <v>7728</v>
      </c>
      <c r="I2620">
        <v>1322</v>
      </c>
      <c r="J2620">
        <v>577.01</v>
      </c>
      <c r="K2620" t="s">
        <v>35</v>
      </c>
      <c r="L2620">
        <v>10</v>
      </c>
      <c r="M2620" t="str">
        <f t="shared" si="40"/>
        <v>6-12 Months</v>
      </c>
      <c r="N2620" s="1">
        <v>44932</v>
      </c>
      <c r="O2620">
        <v>1</v>
      </c>
      <c r="P2620">
        <v>2619</v>
      </c>
      <c r="Q2620" s="2">
        <v>7.0000000000000007E-2</v>
      </c>
      <c r="R2620" t="s">
        <v>27</v>
      </c>
      <c r="S2620">
        <v>2023</v>
      </c>
      <c r="T2620" t="s">
        <v>23</v>
      </c>
    </row>
    <row r="2621" spans="1:20" hidden="1" x14ac:dyDescent="0.3">
      <c r="A2621">
        <v>4369</v>
      </c>
      <c r="B2621">
        <v>342</v>
      </c>
      <c r="C2621" t="s">
        <v>45</v>
      </c>
      <c r="D2621" t="s">
        <v>29</v>
      </c>
      <c r="E2621" t="s">
        <v>26</v>
      </c>
      <c r="F2621" s="1">
        <v>44831</v>
      </c>
      <c r="G2621" s="1">
        <v>45067</v>
      </c>
      <c r="H2621">
        <v>4680</v>
      </c>
      <c r="I2621">
        <v>746</v>
      </c>
      <c r="J2621">
        <v>3934</v>
      </c>
      <c r="K2621" t="s">
        <v>21</v>
      </c>
      <c r="L2621">
        <v>7</v>
      </c>
      <c r="M2621" t="str">
        <f t="shared" si="40"/>
        <v>6-12 Months</v>
      </c>
      <c r="N2621" s="1">
        <v>45067</v>
      </c>
      <c r="O2621">
        <v>1</v>
      </c>
      <c r="P2621">
        <v>2620</v>
      </c>
      <c r="Q2621" s="2">
        <v>0.84</v>
      </c>
      <c r="R2621" t="s">
        <v>27</v>
      </c>
      <c r="S2621">
        <v>2023</v>
      </c>
      <c r="T2621" t="s">
        <v>28</v>
      </c>
    </row>
    <row r="2622" spans="1:20" hidden="1" x14ac:dyDescent="0.3">
      <c r="A2622">
        <v>4370</v>
      </c>
      <c r="B2622">
        <v>257</v>
      </c>
      <c r="C2622" t="s">
        <v>24</v>
      </c>
      <c r="D2622" t="s">
        <v>34</v>
      </c>
      <c r="E2622" t="s">
        <v>20</v>
      </c>
      <c r="F2622" s="1">
        <v>44684</v>
      </c>
      <c r="G2622" s="1">
        <v>45005</v>
      </c>
      <c r="H2622">
        <v>7320</v>
      </c>
      <c r="I2622">
        <v>7896</v>
      </c>
      <c r="J2622">
        <v>-576</v>
      </c>
      <c r="K2622" t="s">
        <v>54</v>
      </c>
      <c r="L2622">
        <v>10</v>
      </c>
      <c r="M2622" t="str">
        <f t="shared" si="40"/>
        <v>6-12 Months</v>
      </c>
      <c r="N2622" s="1">
        <v>45005</v>
      </c>
      <c r="O2622">
        <v>1</v>
      </c>
      <c r="P2622">
        <v>2621</v>
      </c>
      <c r="Q2622" s="2">
        <v>-0.08</v>
      </c>
      <c r="R2622" t="s">
        <v>27</v>
      </c>
      <c r="S2622">
        <v>2023</v>
      </c>
      <c r="T2622" t="s">
        <v>38</v>
      </c>
    </row>
    <row r="2623" spans="1:20" hidden="1" x14ac:dyDescent="0.3">
      <c r="A2623">
        <v>4372</v>
      </c>
      <c r="B2623">
        <v>436</v>
      </c>
      <c r="C2623" t="s">
        <v>45</v>
      </c>
      <c r="D2623" t="s">
        <v>25</v>
      </c>
      <c r="E2623" t="s">
        <v>20</v>
      </c>
      <c r="F2623" s="1">
        <v>44831</v>
      </c>
      <c r="G2623" s="1">
        <v>45256</v>
      </c>
      <c r="H2623">
        <v>7461</v>
      </c>
      <c r="I2623">
        <v>3524</v>
      </c>
      <c r="J2623">
        <v>3937</v>
      </c>
      <c r="K2623" t="s">
        <v>54</v>
      </c>
      <c r="L2623">
        <v>13</v>
      </c>
      <c r="M2623" t="str">
        <f t="shared" si="40"/>
        <v>6-12 Months</v>
      </c>
      <c r="N2623" s="1">
        <v>45256</v>
      </c>
      <c r="O2623">
        <v>1</v>
      </c>
      <c r="P2623">
        <v>2622</v>
      </c>
      <c r="Q2623" s="2">
        <v>0.53</v>
      </c>
      <c r="R2623" t="s">
        <v>27</v>
      </c>
      <c r="S2623">
        <v>2023</v>
      </c>
      <c r="T2623" t="s">
        <v>42</v>
      </c>
    </row>
    <row r="2624" spans="1:20" x14ac:dyDescent="0.3">
      <c r="A2624">
        <v>4373</v>
      </c>
      <c r="B2624">
        <v>253</v>
      </c>
      <c r="C2624" t="s">
        <v>40</v>
      </c>
      <c r="D2624" t="s">
        <v>34</v>
      </c>
      <c r="E2624" t="s">
        <v>37</v>
      </c>
      <c r="F2624" s="1">
        <v>44796</v>
      </c>
      <c r="G2624" s="1">
        <v>45236</v>
      </c>
      <c r="H2624">
        <v>907</v>
      </c>
      <c r="I2624">
        <v>399</v>
      </c>
      <c r="J2624">
        <v>508</v>
      </c>
      <c r="K2624" t="s">
        <v>35</v>
      </c>
      <c r="L2624">
        <v>14</v>
      </c>
      <c r="M2624" t="str">
        <f t="shared" si="40"/>
        <v>6-12 Months</v>
      </c>
      <c r="N2624" s="1">
        <v>45236</v>
      </c>
      <c r="O2624">
        <v>1</v>
      </c>
      <c r="P2624">
        <v>2623</v>
      </c>
      <c r="Q2624" s="2">
        <v>0.56000000000000005</v>
      </c>
      <c r="R2624" t="s">
        <v>27</v>
      </c>
      <c r="S2624">
        <v>2023</v>
      </c>
      <c r="T2624" t="s">
        <v>42</v>
      </c>
    </row>
    <row r="2625" spans="1:20" hidden="1" x14ac:dyDescent="0.3">
      <c r="A2625">
        <v>4375</v>
      </c>
      <c r="B2625">
        <v>147</v>
      </c>
      <c r="C2625" t="s">
        <v>40</v>
      </c>
      <c r="D2625" t="s">
        <v>34</v>
      </c>
      <c r="E2625" t="s">
        <v>37</v>
      </c>
      <c r="F2625" s="1">
        <v>44578</v>
      </c>
      <c r="G2625" s="1">
        <v>45155</v>
      </c>
      <c r="H2625">
        <v>75</v>
      </c>
      <c r="I2625">
        <v>6884</v>
      </c>
      <c r="J2625">
        <v>-6809</v>
      </c>
      <c r="K2625" t="s">
        <v>21</v>
      </c>
      <c r="L2625">
        <v>19</v>
      </c>
      <c r="M2625" t="str">
        <f t="shared" si="40"/>
        <v>6-12 Months</v>
      </c>
      <c r="N2625" s="1">
        <v>45155</v>
      </c>
      <c r="O2625">
        <v>0</v>
      </c>
      <c r="P2625">
        <v>2624</v>
      </c>
      <c r="Q2625" s="2">
        <v>-90.79</v>
      </c>
      <c r="R2625" t="s">
        <v>22</v>
      </c>
      <c r="S2625">
        <v>2023</v>
      </c>
      <c r="T2625" t="s">
        <v>36</v>
      </c>
    </row>
    <row r="2626" spans="1:20" hidden="1" x14ac:dyDescent="0.3">
      <c r="A2626">
        <v>4376</v>
      </c>
      <c r="B2626">
        <v>199</v>
      </c>
      <c r="C2626" t="s">
        <v>45</v>
      </c>
      <c r="D2626" t="s">
        <v>19</v>
      </c>
      <c r="E2626" t="s">
        <v>20</v>
      </c>
      <c r="F2626" s="1">
        <v>44635</v>
      </c>
      <c r="G2626" s="1">
        <v>44983</v>
      </c>
      <c r="H2626">
        <v>4284</v>
      </c>
      <c r="I2626">
        <v>3830</v>
      </c>
      <c r="J2626">
        <v>454</v>
      </c>
      <c r="K2626" t="s">
        <v>54</v>
      </c>
      <c r="L2626">
        <v>11</v>
      </c>
      <c r="M2626" t="str">
        <f t="shared" ref="M2626:M2689" si="41">IF(L2626&lt;6,"0-6 Months",IF(L2626&gt;6,"6-12 Months","12+ Months"))</f>
        <v>6-12 Months</v>
      </c>
      <c r="N2626" s="1">
        <v>44983</v>
      </c>
      <c r="O2626">
        <v>1</v>
      </c>
      <c r="P2626">
        <v>2625</v>
      </c>
      <c r="Q2626" s="2">
        <v>0.11</v>
      </c>
      <c r="R2626" t="s">
        <v>27</v>
      </c>
      <c r="S2626">
        <v>2023</v>
      </c>
      <c r="T2626" t="s">
        <v>43</v>
      </c>
    </row>
    <row r="2627" spans="1:20" hidden="1" x14ac:dyDescent="0.3">
      <c r="A2627">
        <v>4377</v>
      </c>
      <c r="B2627">
        <v>181</v>
      </c>
      <c r="C2627" t="s">
        <v>24</v>
      </c>
      <c r="D2627" t="s">
        <v>29</v>
      </c>
      <c r="E2627" t="s">
        <v>26</v>
      </c>
      <c r="F2627" s="1">
        <v>44660</v>
      </c>
      <c r="G2627" s="1">
        <v>45187</v>
      </c>
      <c r="H2627">
        <v>6659</v>
      </c>
      <c r="I2627">
        <v>4395</v>
      </c>
      <c r="J2627">
        <v>2264</v>
      </c>
      <c r="K2627" t="s">
        <v>21</v>
      </c>
      <c r="L2627">
        <v>17</v>
      </c>
      <c r="M2627" t="str">
        <f t="shared" si="41"/>
        <v>6-12 Months</v>
      </c>
      <c r="N2627" s="1">
        <v>45187</v>
      </c>
      <c r="O2627">
        <v>0</v>
      </c>
      <c r="P2627">
        <v>2626</v>
      </c>
      <c r="Q2627" s="2">
        <v>0.34</v>
      </c>
      <c r="R2627" t="s">
        <v>27</v>
      </c>
      <c r="S2627">
        <v>2023</v>
      </c>
      <c r="T2627" t="s">
        <v>30</v>
      </c>
    </row>
    <row r="2628" spans="1:20" x14ac:dyDescent="0.3">
      <c r="A2628">
        <v>4378</v>
      </c>
      <c r="B2628">
        <v>260</v>
      </c>
      <c r="C2628" t="s">
        <v>39</v>
      </c>
      <c r="D2628" t="s">
        <v>29</v>
      </c>
      <c r="E2628" t="s">
        <v>37</v>
      </c>
      <c r="F2628" s="1">
        <v>44734</v>
      </c>
      <c r="G2628" s="1">
        <v>44832</v>
      </c>
      <c r="H2628">
        <v>2924</v>
      </c>
      <c r="I2628">
        <v>1579</v>
      </c>
      <c r="J2628">
        <v>1345</v>
      </c>
      <c r="K2628" t="s">
        <v>35</v>
      </c>
      <c r="L2628">
        <v>3</v>
      </c>
      <c r="M2628" t="str">
        <f t="shared" si="41"/>
        <v>0-6 Months</v>
      </c>
      <c r="N2628" s="1">
        <v>44832</v>
      </c>
      <c r="O2628">
        <v>0</v>
      </c>
      <c r="P2628">
        <v>2627</v>
      </c>
      <c r="Q2628" s="2">
        <v>0.46</v>
      </c>
      <c r="R2628" t="s">
        <v>27</v>
      </c>
      <c r="S2628">
        <v>2022</v>
      </c>
      <c r="T2628" t="s">
        <v>30</v>
      </c>
    </row>
    <row r="2629" spans="1:20" hidden="1" x14ac:dyDescent="0.3">
      <c r="A2629">
        <v>4379</v>
      </c>
      <c r="B2629">
        <v>247</v>
      </c>
      <c r="C2629" t="s">
        <v>53</v>
      </c>
      <c r="D2629" t="s">
        <v>19</v>
      </c>
      <c r="E2629" t="s">
        <v>26</v>
      </c>
      <c r="F2629" s="1">
        <v>44660</v>
      </c>
      <c r="G2629" s="1">
        <v>44944</v>
      </c>
      <c r="H2629">
        <v>4967.93</v>
      </c>
      <c r="I2629">
        <v>3646</v>
      </c>
      <c r="J2629">
        <v>-4014</v>
      </c>
      <c r="K2629" t="s">
        <v>21</v>
      </c>
      <c r="L2629">
        <v>9</v>
      </c>
      <c r="M2629" t="str">
        <f t="shared" si="41"/>
        <v>6-12 Months</v>
      </c>
      <c r="N2629" s="1">
        <v>44944</v>
      </c>
      <c r="O2629">
        <v>0</v>
      </c>
      <c r="P2629">
        <v>2628</v>
      </c>
      <c r="Q2629" s="2">
        <v>-0.81</v>
      </c>
      <c r="R2629" t="s">
        <v>27</v>
      </c>
      <c r="S2629">
        <v>2023</v>
      </c>
      <c r="T2629" t="s">
        <v>23</v>
      </c>
    </row>
    <row r="2630" spans="1:20" x14ac:dyDescent="0.3">
      <c r="A2630">
        <v>4380</v>
      </c>
      <c r="B2630">
        <v>492</v>
      </c>
      <c r="C2630" t="s">
        <v>40</v>
      </c>
      <c r="D2630" t="s">
        <v>19</v>
      </c>
      <c r="E2630" t="s">
        <v>37</v>
      </c>
      <c r="F2630" s="1">
        <v>44678</v>
      </c>
      <c r="G2630" s="1">
        <v>45252</v>
      </c>
      <c r="H2630">
        <v>5579</v>
      </c>
      <c r="I2630">
        <v>3768</v>
      </c>
      <c r="J2630">
        <v>1811</v>
      </c>
      <c r="K2630" t="s">
        <v>35</v>
      </c>
      <c r="L2630">
        <v>18</v>
      </c>
      <c r="M2630" t="str">
        <f t="shared" si="41"/>
        <v>6-12 Months</v>
      </c>
      <c r="N2630" s="1">
        <v>45252</v>
      </c>
      <c r="O2630">
        <v>0</v>
      </c>
      <c r="P2630">
        <v>2629</v>
      </c>
      <c r="Q2630" s="2">
        <v>0.32</v>
      </c>
      <c r="R2630" t="s">
        <v>27</v>
      </c>
      <c r="S2630">
        <v>2023</v>
      </c>
      <c r="T2630" t="s">
        <v>42</v>
      </c>
    </row>
    <row r="2631" spans="1:20" hidden="1" x14ac:dyDescent="0.3">
      <c r="A2631">
        <v>4381</v>
      </c>
      <c r="B2631">
        <v>492</v>
      </c>
      <c r="C2631" t="s">
        <v>24</v>
      </c>
      <c r="D2631" t="s">
        <v>25</v>
      </c>
      <c r="E2631" t="s">
        <v>37</v>
      </c>
      <c r="F2631" s="1">
        <v>44768</v>
      </c>
      <c r="G2631" s="1">
        <v>45254</v>
      </c>
      <c r="H2631">
        <v>4223</v>
      </c>
      <c r="I2631">
        <v>7904</v>
      </c>
      <c r="J2631">
        <v>-3681</v>
      </c>
      <c r="K2631" t="s">
        <v>21</v>
      </c>
      <c r="L2631">
        <v>15</v>
      </c>
      <c r="M2631" t="str">
        <f t="shared" si="41"/>
        <v>6-12 Months</v>
      </c>
      <c r="N2631" s="1">
        <v>45254</v>
      </c>
      <c r="O2631">
        <v>1</v>
      </c>
      <c r="P2631">
        <v>2630</v>
      </c>
      <c r="Q2631" s="2">
        <v>-0.87</v>
      </c>
      <c r="R2631" t="s">
        <v>27</v>
      </c>
      <c r="S2631">
        <v>2023</v>
      </c>
      <c r="T2631" t="s">
        <v>42</v>
      </c>
    </row>
    <row r="2632" spans="1:20" hidden="1" x14ac:dyDescent="0.3">
      <c r="A2632">
        <v>4382</v>
      </c>
      <c r="B2632">
        <v>500</v>
      </c>
      <c r="C2632" t="s">
        <v>39</v>
      </c>
      <c r="D2632" t="s">
        <v>29</v>
      </c>
      <c r="E2632" t="s">
        <v>37</v>
      </c>
      <c r="F2632" s="1">
        <v>44882</v>
      </c>
      <c r="G2632" s="1">
        <v>45361</v>
      </c>
      <c r="H2632">
        <v>555</v>
      </c>
      <c r="I2632">
        <v>634</v>
      </c>
      <c r="J2632">
        <v>-79</v>
      </c>
      <c r="K2632" t="s">
        <v>54</v>
      </c>
      <c r="L2632">
        <v>15</v>
      </c>
      <c r="M2632" t="str">
        <f t="shared" si="41"/>
        <v>6-12 Months</v>
      </c>
      <c r="N2632" s="1">
        <v>45361</v>
      </c>
      <c r="O2632">
        <v>0</v>
      </c>
      <c r="P2632">
        <v>2631</v>
      </c>
      <c r="Q2632" s="2">
        <v>-0.14000000000000001</v>
      </c>
      <c r="R2632" t="s">
        <v>27</v>
      </c>
      <c r="S2632">
        <v>2024</v>
      </c>
      <c r="T2632" t="s">
        <v>38</v>
      </c>
    </row>
    <row r="2633" spans="1:20" x14ac:dyDescent="0.3">
      <c r="A2633">
        <v>4384</v>
      </c>
      <c r="B2633">
        <v>192</v>
      </c>
      <c r="C2633" t="s">
        <v>24</v>
      </c>
      <c r="D2633" t="s">
        <v>29</v>
      </c>
      <c r="E2633" t="s">
        <v>37</v>
      </c>
      <c r="F2633" s="1">
        <v>44711</v>
      </c>
      <c r="G2633" s="1">
        <v>45181</v>
      </c>
      <c r="H2633">
        <v>2175</v>
      </c>
      <c r="I2633">
        <v>7814</v>
      </c>
      <c r="J2633">
        <v>-5639</v>
      </c>
      <c r="K2633" t="s">
        <v>35</v>
      </c>
      <c r="L2633">
        <v>15</v>
      </c>
      <c r="M2633" t="str">
        <f t="shared" si="41"/>
        <v>6-12 Months</v>
      </c>
      <c r="N2633" s="1">
        <v>45181</v>
      </c>
      <c r="O2633">
        <v>0</v>
      </c>
      <c r="P2633">
        <v>2632</v>
      </c>
      <c r="Q2633" s="2">
        <v>-2.59</v>
      </c>
      <c r="R2633" t="s">
        <v>22</v>
      </c>
      <c r="S2633">
        <v>2023</v>
      </c>
      <c r="T2633" t="s">
        <v>30</v>
      </c>
    </row>
    <row r="2634" spans="1:20" hidden="1" x14ac:dyDescent="0.3">
      <c r="A2634">
        <v>4385</v>
      </c>
      <c r="B2634">
        <v>185</v>
      </c>
      <c r="C2634" t="s">
        <v>53</v>
      </c>
      <c r="D2634" t="s">
        <v>19</v>
      </c>
      <c r="E2634" t="s">
        <v>26</v>
      </c>
      <c r="F2634" s="1">
        <v>44720</v>
      </c>
      <c r="G2634" s="1">
        <v>44783</v>
      </c>
      <c r="H2634">
        <v>4986</v>
      </c>
      <c r="I2634">
        <v>7726</v>
      </c>
      <c r="J2634">
        <v>-2740</v>
      </c>
      <c r="K2634" t="s">
        <v>21</v>
      </c>
      <c r="L2634">
        <v>2</v>
      </c>
      <c r="M2634" t="str">
        <f t="shared" si="41"/>
        <v>0-6 Months</v>
      </c>
      <c r="N2634" s="1">
        <v>44783</v>
      </c>
      <c r="O2634">
        <v>1</v>
      </c>
      <c r="P2634">
        <v>2633</v>
      </c>
      <c r="Q2634" s="2">
        <v>-0.55000000000000004</v>
      </c>
      <c r="R2634" t="s">
        <v>27</v>
      </c>
      <c r="S2634">
        <v>2022</v>
      </c>
      <c r="T2634" t="s">
        <v>36</v>
      </c>
    </row>
    <row r="2635" spans="1:20" hidden="1" x14ac:dyDescent="0.3">
      <c r="A2635">
        <v>4386</v>
      </c>
      <c r="B2635">
        <v>470</v>
      </c>
      <c r="C2635" t="s">
        <v>40</v>
      </c>
      <c r="D2635" t="s">
        <v>25</v>
      </c>
      <c r="E2635" t="s">
        <v>37</v>
      </c>
      <c r="F2635" s="1">
        <v>44893</v>
      </c>
      <c r="G2635" s="1">
        <v>45430</v>
      </c>
      <c r="H2635">
        <v>4967.93</v>
      </c>
      <c r="I2635">
        <v>2358</v>
      </c>
      <c r="J2635">
        <v>-2671</v>
      </c>
      <c r="K2635" t="s">
        <v>54</v>
      </c>
      <c r="L2635">
        <v>17</v>
      </c>
      <c r="M2635" t="str">
        <f t="shared" si="41"/>
        <v>6-12 Months</v>
      </c>
      <c r="N2635" s="1">
        <v>45430</v>
      </c>
      <c r="O2635">
        <v>0</v>
      </c>
      <c r="P2635">
        <v>2634</v>
      </c>
      <c r="Q2635" s="2">
        <v>-0.54</v>
      </c>
      <c r="R2635" t="s">
        <v>27</v>
      </c>
      <c r="S2635">
        <v>2024</v>
      </c>
      <c r="T2635" t="s">
        <v>28</v>
      </c>
    </row>
    <row r="2636" spans="1:20" hidden="1" x14ac:dyDescent="0.3">
      <c r="A2636">
        <v>4388</v>
      </c>
      <c r="B2636">
        <v>337</v>
      </c>
      <c r="C2636" t="s">
        <v>24</v>
      </c>
      <c r="D2636" t="s">
        <v>34</v>
      </c>
      <c r="E2636" t="s">
        <v>37</v>
      </c>
      <c r="F2636" s="1">
        <v>44757</v>
      </c>
      <c r="G2636" s="1">
        <v>44956</v>
      </c>
      <c r="H2636">
        <v>9598</v>
      </c>
      <c r="I2636">
        <v>4012.75</v>
      </c>
      <c r="J2636">
        <v>10318</v>
      </c>
      <c r="K2636" t="s">
        <v>21</v>
      </c>
      <c r="L2636">
        <v>6</v>
      </c>
      <c r="M2636" t="str">
        <f t="shared" si="41"/>
        <v>12+ Months</v>
      </c>
      <c r="N2636" s="1">
        <v>44956</v>
      </c>
      <c r="O2636">
        <v>0</v>
      </c>
      <c r="P2636">
        <v>2635</v>
      </c>
      <c r="Q2636" s="2">
        <v>1.08</v>
      </c>
      <c r="R2636" t="s">
        <v>22</v>
      </c>
      <c r="S2636">
        <v>2023</v>
      </c>
      <c r="T2636" t="s">
        <v>23</v>
      </c>
    </row>
    <row r="2637" spans="1:20" x14ac:dyDescent="0.3">
      <c r="A2637">
        <v>4389</v>
      </c>
      <c r="B2637">
        <v>369</v>
      </c>
      <c r="C2637" t="s">
        <v>24</v>
      </c>
      <c r="D2637" t="s">
        <v>19</v>
      </c>
      <c r="E2637" t="s">
        <v>20</v>
      </c>
      <c r="F2637" s="1">
        <v>44574</v>
      </c>
      <c r="G2637" s="1">
        <v>44719</v>
      </c>
      <c r="H2637">
        <v>7643</v>
      </c>
      <c r="I2637">
        <v>1385</v>
      </c>
      <c r="J2637">
        <v>6258</v>
      </c>
      <c r="K2637" t="s">
        <v>35</v>
      </c>
      <c r="L2637">
        <v>4</v>
      </c>
      <c r="M2637" t="str">
        <f t="shared" si="41"/>
        <v>0-6 Months</v>
      </c>
      <c r="N2637" s="1">
        <v>44719</v>
      </c>
      <c r="O2637">
        <v>1</v>
      </c>
      <c r="P2637">
        <v>2636</v>
      </c>
      <c r="Q2637" s="2">
        <v>0.82</v>
      </c>
      <c r="R2637" t="s">
        <v>27</v>
      </c>
      <c r="S2637">
        <v>2022</v>
      </c>
      <c r="T2637" t="s">
        <v>41</v>
      </c>
    </row>
    <row r="2638" spans="1:20" hidden="1" x14ac:dyDescent="0.3">
      <c r="A2638">
        <v>4390</v>
      </c>
      <c r="B2638">
        <v>130</v>
      </c>
      <c r="C2638" t="s">
        <v>24</v>
      </c>
      <c r="D2638" t="s">
        <v>19</v>
      </c>
      <c r="E2638" t="s">
        <v>26</v>
      </c>
      <c r="F2638" s="1">
        <v>44604</v>
      </c>
      <c r="G2638" s="1">
        <v>45000</v>
      </c>
      <c r="H2638">
        <v>4967.93</v>
      </c>
      <c r="I2638">
        <v>4012.75</v>
      </c>
      <c r="J2638">
        <v>-231</v>
      </c>
      <c r="K2638" t="s">
        <v>21</v>
      </c>
      <c r="L2638">
        <v>13</v>
      </c>
      <c r="M2638" t="str">
        <f t="shared" si="41"/>
        <v>6-12 Months</v>
      </c>
      <c r="N2638" s="1">
        <v>45000</v>
      </c>
      <c r="O2638">
        <v>0</v>
      </c>
      <c r="P2638">
        <v>2637</v>
      </c>
      <c r="Q2638" s="2">
        <v>-0.05</v>
      </c>
      <c r="R2638" t="s">
        <v>27</v>
      </c>
      <c r="S2638">
        <v>2023</v>
      </c>
      <c r="T2638" t="s">
        <v>38</v>
      </c>
    </row>
    <row r="2639" spans="1:20" hidden="1" x14ac:dyDescent="0.3">
      <c r="A2639">
        <v>4392</v>
      </c>
      <c r="B2639">
        <v>256</v>
      </c>
      <c r="C2639" t="s">
        <v>24</v>
      </c>
      <c r="D2639" t="s">
        <v>19</v>
      </c>
      <c r="E2639" t="s">
        <v>20</v>
      </c>
      <c r="F2639" s="1">
        <v>44681</v>
      </c>
      <c r="G2639" s="1">
        <v>45193</v>
      </c>
      <c r="H2639">
        <v>2991</v>
      </c>
      <c r="I2639">
        <v>2845</v>
      </c>
      <c r="J2639">
        <v>577.01</v>
      </c>
      <c r="K2639" t="s">
        <v>54</v>
      </c>
      <c r="L2639">
        <v>16</v>
      </c>
      <c r="M2639" t="str">
        <f t="shared" si="41"/>
        <v>6-12 Months</v>
      </c>
      <c r="N2639" s="1">
        <v>45193</v>
      </c>
      <c r="O2639">
        <v>1</v>
      </c>
      <c r="P2639">
        <v>2638</v>
      </c>
      <c r="Q2639" s="2">
        <v>0.19</v>
      </c>
      <c r="R2639" t="s">
        <v>27</v>
      </c>
      <c r="S2639">
        <v>2023</v>
      </c>
      <c r="T2639" t="s">
        <v>30</v>
      </c>
    </row>
    <row r="2640" spans="1:20" hidden="1" x14ac:dyDescent="0.3">
      <c r="A2640">
        <v>4393</v>
      </c>
      <c r="B2640">
        <v>102</v>
      </c>
      <c r="C2640" t="s">
        <v>40</v>
      </c>
      <c r="D2640" t="s">
        <v>34</v>
      </c>
      <c r="E2640" t="s">
        <v>20</v>
      </c>
      <c r="F2640" s="1">
        <v>44915</v>
      </c>
      <c r="G2640" s="1">
        <v>45108</v>
      </c>
      <c r="H2640">
        <v>7186</v>
      </c>
      <c r="I2640">
        <v>1107</v>
      </c>
      <c r="J2640">
        <v>6079</v>
      </c>
      <c r="K2640" t="s">
        <v>54</v>
      </c>
      <c r="L2640">
        <v>6</v>
      </c>
      <c r="M2640" t="str">
        <f t="shared" si="41"/>
        <v>12+ Months</v>
      </c>
      <c r="N2640" s="1">
        <v>45108</v>
      </c>
      <c r="O2640">
        <v>0</v>
      </c>
      <c r="P2640">
        <v>2639</v>
      </c>
      <c r="Q2640" s="2">
        <v>0.85</v>
      </c>
      <c r="R2640" t="s">
        <v>27</v>
      </c>
      <c r="S2640">
        <v>2023</v>
      </c>
      <c r="T2640" t="s">
        <v>44</v>
      </c>
    </row>
    <row r="2641" spans="1:20" x14ac:dyDescent="0.3">
      <c r="A2641">
        <v>4395</v>
      </c>
      <c r="B2641">
        <v>446</v>
      </c>
      <c r="C2641" t="s">
        <v>40</v>
      </c>
      <c r="D2641" t="s">
        <v>29</v>
      </c>
      <c r="E2641" t="s">
        <v>20</v>
      </c>
      <c r="F2641" s="1">
        <v>44792</v>
      </c>
      <c r="G2641" s="1">
        <v>44883</v>
      </c>
      <c r="H2641">
        <v>4967.93</v>
      </c>
      <c r="I2641">
        <v>2244</v>
      </c>
      <c r="J2641">
        <v>-4163</v>
      </c>
      <c r="K2641" t="s">
        <v>35</v>
      </c>
      <c r="L2641">
        <v>2</v>
      </c>
      <c r="M2641" t="str">
        <f t="shared" si="41"/>
        <v>0-6 Months</v>
      </c>
      <c r="N2641" s="1">
        <v>44883</v>
      </c>
      <c r="O2641">
        <v>0</v>
      </c>
      <c r="P2641">
        <v>2640</v>
      </c>
      <c r="Q2641" s="2">
        <v>-0.84</v>
      </c>
      <c r="R2641" t="s">
        <v>27</v>
      </c>
      <c r="S2641">
        <v>2022</v>
      </c>
      <c r="T2641" t="s">
        <v>42</v>
      </c>
    </row>
    <row r="2642" spans="1:20" hidden="1" x14ac:dyDescent="0.3">
      <c r="A2642">
        <v>4396</v>
      </c>
      <c r="B2642">
        <v>165</v>
      </c>
      <c r="C2642" t="s">
        <v>45</v>
      </c>
      <c r="D2642" t="s">
        <v>25</v>
      </c>
      <c r="E2642" t="s">
        <v>37</v>
      </c>
      <c r="F2642" s="1">
        <v>44709</v>
      </c>
      <c r="G2642" s="1">
        <v>45301</v>
      </c>
      <c r="H2642">
        <v>5600</v>
      </c>
      <c r="I2642">
        <v>3242</v>
      </c>
      <c r="J2642">
        <v>2358</v>
      </c>
      <c r="K2642" t="s">
        <v>54</v>
      </c>
      <c r="L2642">
        <v>19</v>
      </c>
      <c r="M2642" t="str">
        <f t="shared" si="41"/>
        <v>6-12 Months</v>
      </c>
      <c r="N2642" s="1">
        <v>45301</v>
      </c>
      <c r="O2642">
        <v>1</v>
      </c>
      <c r="P2642">
        <v>2641</v>
      </c>
      <c r="Q2642" s="2">
        <v>0.42</v>
      </c>
      <c r="R2642" t="s">
        <v>27</v>
      </c>
      <c r="S2642">
        <v>2024</v>
      </c>
      <c r="T2642" t="s">
        <v>23</v>
      </c>
    </row>
    <row r="2643" spans="1:20" hidden="1" x14ac:dyDescent="0.3">
      <c r="A2643">
        <v>4397</v>
      </c>
      <c r="B2643">
        <v>204</v>
      </c>
      <c r="C2643" t="s">
        <v>45</v>
      </c>
      <c r="D2643" t="s">
        <v>25</v>
      </c>
      <c r="E2643" t="s">
        <v>26</v>
      </c>
      <c r="F2643" s="1">
        <v>44869</v>
      </c>
      <c r="G2643" s="1">
        <v>45433</v>
      </c>
      <c r="H2643">
        <v>8083</v>
      </c>
      <c r="I2643">
        <v>4012.75</v>
      </c>
      <c r="J2643">
        <v>8456</v>
      </c>
      <c r="K2643" t="s">
        <v>21</v>
      </c>
      <c r="L2643">
        <v>18</v>
      </c>
      <c r="M2643" t="str">
        <f t="shared" si="41"/>
        <v>6-12 Months</v>
      </c>
      <c r="N2643" s="1">
        <v>45433</v>
      </c>
      <c r="O2643">
        <v>1</v>
      </c>
      <c r="P2643">
        <v>2642</v>
      </c>
      <c r="Q2643" s="2">
        <v>1.05</v>
      </c>
      <c r="R2643" t="s">
        <v>22</v>
      </c>
      <c r="S2643">
        <v>2024</v>
      </c>
      <c r="T2643" t="s">
        <v>28</v>
      </c>
    </row>
    <row r="2644" spans="1:20" x14ac:dyDescent="0.3">
      <c r="A2644">
        <v>4400</v>
      </c>
      <c r="B2644">
        <v>402</v>
      </c>
      <c r="C2644" t="s">
        <v>53</v>
      </c>
      <c r="D2644" t="s">
        <v>25</v>
      </c>
      <c r="E2644" t="s">
        <v>37</v>
      </c>
      <c r="F2644" s="1">
        <v>44587</v>
      </c>
      <c r="G2644" s="1">
        <v>45111</v>
      </c>
      <c r="H2644">
        <v>3331</v>
      </c>
      <c r="I2644">
        <v>1480</v>
      </c>
      <c r="J2644">
        <v>1851</v>
      </c>
      <c r="K2644" t="s">
        <v>35</v>
      </c>
      <c r="L2644">
        <v>17</v>
      </c>
      <c r="M2644" t="str">
        <f t="shared" si="41"/>
        <v>6-12 Months</v>
      </c>
      <c r="N2644" s="1">
        <v>45111</v>
      </c>
      <c r="O2644">
        <v>0</v>
      </c>
      <c r="P2644">
        <v>2643</v>
      </c>
      <c r="Q2644" s="2">
        <v>0.56000000000000005</v>
      </c>
      <c r="R2644" t="s">
        <v>27</v>
      </c>
      <c r="S2644">
        <v>2023</v>
      </c>
      <c r="T2644" t="s">
        <v>44</v>
      </c>
    </row>
    <row r="2645" spans="1:20" hidden="1" x14ac:dyDescent="0.3">
      <c r="A2645">
        <v>4401</v>
      </c>
      <c r="B2645">
        <v>175</v>
      </c>
      <c r="C2645" t="s">
        <v>40</v>
      </c>
      <c r="D2645" t="s">
        <v>25</v>
      </c>
      <c r="E2645" t="s">
        <v>26</v>
      </c>
      <c r="F2645" s="1">
        <v>44605</v>
      </c>
      <c r="G2645" s="1">
        <v>45125</v>
      </c>
      <c r="H2645">
        <v>2851</v>
      </c>
      <c r="I2645">
        <v>2021</v>
      </c>
      <c r="J2645">
        <v>577.01</v>
      </c>
      <c r="K2645" t="s">
        <v>21</v>
      </c>
      <c r="L2645">
        <v>17</v>
      </c>
      <c r="M2645" t="str">
        <f t="shared" si="41"/>
        <v>6-12 Months</v>
      </c>
      <c r="N2645" s="1">
        <v>45125</v>
      </c>
      <c r="O2645">
        <v>0</v>
      </c>
      <c r="P2645">
        <v>2644</v>
      </c>
      <c r="Q2645" s="2">
        <v>0.2</v>
      </c>
      <c r="R2645" t="s">
        <v>27</v>
      </c>
      <c r="S2645">
        <v>2023</v>
      </c>
      <c r="T2645" t="s">
        <v>44</v>
      </c>
    </row>
    <row r="2646" spans="1:20" x14ac:dyDescent="0.3">
      <c r="A2646">
        <v>4403</v>
      </c>
      <c r="B2646">
        <v>357</v>
      </c>
      <c r="C2646" t="s">
        <v>40</v>
      </c>
      <c r="D2646" t="s">
        <v>34</v>
      </c>
      <c r="E2646" t="s">
        <v>20</v>
      </c>
      <c r="F2646" s="1">
        <v>44730</v>
      </c>
      <c r="G2646" s="1">
        <v>44854</v>
      </c>
      <c r="H2646">
        <v>3453</v>
      </c>
      <c r="I2646">
        <v>6066</v>
      </c>
      <c r="J2646">
        <v>-2613</v>
      </c>
      <c r="K2646" t="s">
        <v>35</v>
      </c>
      <c r="L2646">
        <v>4</v>
      </c>
      <c r="M2646" t="str">
        <f t="shared" si="41"/>
        <v>0-6 Months</v>
      </c>
      <c r="N2646" s="1">
        <v>44854</v>
      </c>
      <c r="O2646">
        <v>0</v>
      </c>
      <c r="P2646">
        <v>2645</v>
      </c>
      <c r="Q2646" s="2">
        <v>-0.76</v>
      </c>
      <c r="R2646" t="s">
        <v>27</v>
      </c>
      <c r="S2646">
        <v>2022</v>
      </c>
      <c r="T2646" t="s">
        <v>33</v>
      </c>
    </row>
    <row r="2647" spans="1:20" x14ac:dyDescent="0.3">
      <c r="A2647">
        <v>4404</v>
      </c>
      <c r="B2647">
        <v>279</v>
      </c>
      <c r="C2647" t="s">
        <v>40</v>
      </c>
      <c r="D2647" t="s">
        <v>29</v>
      </c>
      <c r="E2647" t="s">
        <v>26</v>
      </c>
      <c r="F2647" s="1">
        <v>44771</v>
      </c>
      <c r="G2647" s="1">
        <v>44982</v>
      </c>
      <c r="H2647">
        <v>2394</v>
      </c>
      <c r="I2647">
        <v>4213</v>
      </c>
      <c r="J2647">
        <v>-1819</v>
      </c>
      <c r="K2647" t="s">
        <v>35</v>
      </c>
      <c r="L2647">
        <v>6</v>
      </c>
      <c r="M2647" t="str">
        <f t="shared" si="41"/>
        <v>12+ Months</v>
      </c>
      <c r="N2647" s="1">
        <v>44982</v>
      </c>
      <c r="O2647">
        <v>0</v>
      </c>
      <c r="P2647">
        <v>2646</v>
      </c>
      <c r="Q2647" s="2">
        <v>-0.76</v>
      </c>
      <c r="R2647" t="s">
        <v>27</v>
      </c>
      <c r="S2647">
        <v>2023</v>
      </c>
      <c r="T2647" t="s">
        <v>43</v>
      </c>
    </row>
    <row r="2648" spans="1:20" hidden="1" x14ac:dyDescent="0.3">
      <c r="A2648">
        <v>4405</v>
      </c>
      <c r="B2648">
        <v>356</v>
      </c>
      <c r="C2648" t="s">
        <v>39</v>
      </c>
      <c r="D2648" t="s">
        <v>29</v>
      </c>
      <c r="E2648" t="s">
        <v>26</v>
      </c>
      <c r="F2648" s="1">
        <v>44883</v>
      </c>
      <c r="G2648" s="1">
        <v>45257</v>
      </c>
      <c r="H2648">
        <v>3355</v>
      </c>
      <c r="I2648">
        <v>4012.75</v>
      </c>
      <c r="J2648">
        <v>3915</v>
      </c>
      <c r="K2648" t="s">
        <v>21</v>
      </c>
      <c r="L2648">
        <v>12</v>
      </c>
      <c r="M2648" t="str">
        <f t="shared" si="41"/>
        <v>6-12 Months</v>
      </c>
      <c r="N2648" s="1">
        <v>45257</v>
      </c>
      <c r="O2648">
        <v>1</v>
      </c>
      <c r="P2648">
        <v>2647</v>
      </c>
      <c r="Q2648" s="2">
        <v>1.17</v>
      </c>
      <c r="R2648" t="s">
        <v>22</v>
      </c>
      <c r="S2648">
        <v>2023</v>
      </c>
      <c r="T2648" t="s">
        <v>42</v>
      </c>
    </row>
    <row r="2649" spans="1:20" hidden="1" x14ac:dyDescent="0.3">
      <c r="A2649">
        <v>4408</v>
      </c>
      <c r="B2649">
        <v>403</v>
      </c>
      <c r="C2649" t="s">
        <v>24</v>
      </c>
      <c r="D2649" t="s">
        <v>29</v>
      </c>
      <c r="E2649" t="s">
        <v>20</v>
      </c>
      <c r="F2649" s="1">
        <v>44655</v>
      </c>
      <c r="G2649" s="1">
        <v>44755</v>
      </c>
      <c r="H2649">
        <v>6712</v>
      </c>
      <c r="I2649">
        <v>6943</v>
      </c>
      <c r="J2649">
        <v>-231</v>
      </c>
      <c r="K2649" t="s">
        <v>54</v>
      </c>
      <c r="L2649">
        <v>3</v>
      </c>
      <c r="M2649" t="str">
        <f t="shared" si="41"/>
        <v>0-6 Months</v>
      </c>
      <c r="N2649" s="1">
        <v>44755</v>
      </c>
      <c r="O2649">
        <v>0</v>
      </c>
      <c r="P2649">
        <v>2648</v>
      </c>
      <c r="Q2649" s="2">
        <v>-0.03</v>
      </c>
      <c r="R2649" t="s">
        <v>27</v>
      </c>
      <c r="S2649">
        <v>2022</v>
      </c>
      <c r="T2649" t="s">
        <v>44</v>
      </c>
    </row>
    <row r="2650" spans="1:20" hidden="1" x14ac:dyDescent="0.3">
      <c r="A2650">
        <v>4409</v>
      </c>
      <c r="B2650">
        <v>439</v>
      </c>
      <c r="C2650" t="s">
        <v>39</v>
      </c>
      <c r="D2650" t="s">
        <v>25</v>
      </c>
      <c r="E2650" t="s">
        <v>26</v>
      </c>
      <c r="F2650" s="1">
        <v>44623</v>
      </c>
      <c r="G2650" s="1">
        <v>45092</v>
      </c>
      <c r="H2650">
        <v>1905</v>
      </c>
      <c r="I2650">
        <v>2218</v>
      </c>
      <c r="J2650">
        <v>-313</v>
      </c>
      <c r="K2650" t="s">
        <v>54</v>
      </c>
      <c r="L2650">
        <v>15</v>
      </c>
      <c r="M2650" t="str">
        <f t="shared" si="41"/>
        <v>6-12 Months</v>
      </c>
      <c r="N2650" s="1">
        <v>45092</v>
      </c>
      <c r="O2650">
        <v>0</v>
      </c>
      <c r="P2650">
        <v>2649</v>
      </c>
      <c r="Q2650" s="2">
        <v>-0.16</v>
      </c>
      <c r="R2650" t="s">
        <v>27</v>
      </c>
      <c r="S2650">
        <v>2023</v>
      </c>
      <c r="T2650" t="s">
        <v>41</v>
      </c>
    </row>
    <row r="2651" spans="1:20" hidden="1" x14ac:dyDescent="0.3">
      <c r="A2651">
        <v>4411</v>
      </c>
      <c r="B2651">
        <v>191</v>
      </c>
      <c r="C2651" t="s">
        <v>24</v>
      </c>
      <c r="D2651" t="s">
        <v>25</v>
      </c>
      <c r="E2651" t="s">
        <v>20</v>
      </c>
      <c r="F2651" s="1">
        <v>44887</v>
      </c>
      <c r="G2651" s="1">
        <v>45332</v>
      </c>
      <c r="H2651">
        <v>9869</v>
      </c>
      <c r="I2651">
        <v>7911</v>
      </c>
      <c r="J2651">
        <v>1958</v>
      </c>
      <c r="K2651" t="s">
        <v>54</v>
      </c>
      <c r="L2651">
        <v>14</v>
      </c>
      <c r="M2651" t="str">
        <f t="shared" si="41"/>
        <v>6-12 Months</v>
      </c>
      <c r="N2651" s="1">
        <v>45332</v>
      </c>
      <c r="O2651">
        <v>1</v>
      </c>
      <c r="P2651">
        <v>2650</v>
      </c>
      <c r="Q2651" s="2">
        <v>0.2</v>
      </c>
      <c r="R2651" t="s">
        <v>27</v>
      </c>
      <c r="S2651">
        <v>2024</v>
      </c>
      <c r="T2651" t="s">
        <v>43</v>
      </c>
    </row>
    <row r="2652" spans="1:20" hidden="1" x14ac:dyDescent="0.3">
      <c r="A2652">
        <v>4413</v>
      </c>
      <c r="B2652">
        <v>106</v>
      </c>
      <c r="C2652" t="s">
        <v>40</v>
      </c>
      <c r="D2652" t="s">
        <v>34</v>
      </c>
      <c r="E2652" t="s">
        <v>37</v>
      </c>
      <c r="F2652" s="1">
        <v>44585</v>
      </c>
      <c r="G2652" s="1">
        <v>45097</v>
      </c>
      <c r="H2652">
        <v>1522</v>
      </c>
      <c r="I2652">
        <v>6838</v>
      </c>
      <c r="J2652">
        <v>577.01</v>
      </c>
      <c r="K2652" t="s">
        <v>21</v>
      </c>
      <c r="L2652">
        <v>16</v>
      </c>
      <c r="M2652" t="str">
        <f t="shared" si="41"/>
        <v>6-12 Months</v>
      </c>
      <c r="N2652" s="1">
        <v>45097</v>
      </c>
      <c r="O2652">
        <v>0</v>
      </c>
      <c r="P2652">
        <v>2651</v>
      </c>
      <c r="Q2652" s="2">
        <v>0.38</v>
      </c>
      <c r="R2652" t="s">
        <v>27</v>
      </c>
      <c r="S2652">
        <v>2023</v>
      </c>
      <c r="T2652" t="s">
        <v>41</v>
      </c>
    </row>
    <row r="2653" spans="1:20" hidden="1" x14ac:dyDescent="0.3">
      <c r="A2653">
        <v>4414</v>
      </c>
      <c r="B2653">
        <v>305</v>
      </c>
      <c r="C2653" t="s">
        <v>24</v>
      </c>
      <c r="D2653" t="s">
        <v>34</v>
      </c>
      <c r="E2653" t="s">
        <v>26</v>
      </c>
      <c r="F2653" s="1">
        <v>44605</v>
      </c>
      <c r="G2653" s="1">
        <v>44734</v>
      </c>
      <c r="H2653">
        <v>5218</v>
      </c>
      <c r="I2653">
        <v>4041</v>
      </c>
      <c r="J2653">
        <v>1177</v>
      </c>
      <c r="K2653" t="s">
        <v>54</v>
      </c>
      <c r="L2653">
        <v>4</v>
      </c>
      <c r="M2653" t="str">
        <f t="shared" si="41"/>
        <v>0-6 Months</v>
      </c>
      <c r="N2653" s="1">
        <v>44734</v>
      </c>
      <c r="O2653">
        <v>0</v>
      </c>
      <c r="P2653">
        <v>2652</v>
      </c>
      <c r="Q2653" s="2">
        <v>0.23</v>
      </c>
      <c r="R2653" t="s">
        <v>27</v>
      </c>
      <c r="S2653">
        <v>2022</v>
      </c>
      <c r="T2653" t="s">
        <v>41</v>
      </c>
    </row>
    <row r="2654" spans="1:20" hidden="1" x14ac:dyDescent="0.3">
      <c r="A2654">
        <v>4416</v>
      </c>
      <c r="B2654">
        <v>321</v>
      </c>
      <c r="C2654" t="s">
        <v>24</v>
      </c>
      <c r="D2654" t="s">
        <v>19</v>
      </c>
      <c r="E2654" t="s">
        <v>26</v>
      </c>
      <c r="F2654" s="1">
        <v>44821</v>
      </c>
      <c r="G2654" s="1">
        <v>45351</v>
      </c>
      <c r="H2654">
        <v>3869</v>
      </c>
      <c r="I2654">
        <v>4012.75</v>
      </c>
      <c r="J2654">
        <v>4157</v>
      </c>
      <c r="K2654" t="s">
        <v>54</v>
      </c>
      <c r="L2654">
        <v>17</v>
      </c>
      <c r="M2654" t="str">
        <f t="shared" si="41"/>
        <v>6-12 Months</v>
      </c>
      <c r="N2654" s="1">
        <v>45351</v>
      </c>
      <c r="O2654">
        <v>0</v>
      </c>
      <c r="P2654">
        <v>2653</v>
      </c>
      <c r="Q2654" s="2">
        <v>1.07</v>
      </c>
      <c r="R2654" t="s">
        <v>22</v>
      </c>
      <c r="S2654">
        <v>2024</v>
      </c>
      <c r="T2654" t="s">
        <v>43</v>
      </c>
    </row>
    <row r="2655" spans="1:20" hidden="1" x14ac:dyDescent="0.3">
      <c r="A2655">
        <v>4417</v>
      </c>
      <c r="B2655">
        <v>459</v>
      </c>
      <c r="C2655" t="s">
        <v>53</v>
      </c>
      <c r="D2655" t="s">
        <v>34</v>
      </c>
      <c r="E2655" t="s">
        <v>37</v>
      </c>
      <c r="F2655" s="1">
        <v>44841</v>
      </c>
      <c r="G2655" s="1">
        <v>45129</v>
      </c>
      <c r="H2655">
        <v>8965</v>
      </c>
      <c r="I2655">
        <v>4012.75</v>
      </c>
      <c r="J2655">
        <v>9267</v>
      </c>
      <c r="K2655" t="s">
        <v>54</v>
      </c>
      <c r="L2655">
        <v>9</v>
      </c>
      <c r="M2655" t="str">
        <f t="shared" si="41"/>
        <v>6-12 Months</v>
      </c>
      <c r="N2655" s="1">
        <v>45129</v>
      </c>
      <c r="O2655">
        <v>1</v>
      </c>
      <c r="P2655">
        <v>2654</v>
      </c>
      <c r="Q2655" s="2">
        <v>1.03</v>
      </c>
      <c r="R2655" t="s">
        <v>22</v>
      </c>
      <c r="S2655">
        <v>2023</v>
      </c>
      <c r="T2655" t="s">
        <v>44</v>
      </c>
    </row>
    <row r="2656" spans="1:20" x14ac:dyDescent="0.3">
      <c r="A2656">
        <v>4419</v>
      </c>
      <c r="B2656">
        <v>261</v>
      </c>
      <c r="C2656" t="s">
        <v>39</v>
      </c>
      <c r="D2656" t="s">
        <v>19</v>
      </c>
      <c r="E2656" t="s">
        <v>26</v>
      </c>
      <c r="F2656" s="1">
        <v>44654</v>
      </c>
      <c r="G2656" s="1">
        <v>44763</v>
      </c>
      <c r="H2656">
        <v>3654</v>
      </c>
      <c r="I2656">
        <v>4012.75</v>
      </c>
      <c r="J2656">
        <v>4400</v>
      </c>
      <c r="K2656" t="s">
        <v>35</v>
      </c>
      <c r="L2656">
        <v>3</v>
      </c>
      <c r="M2656" t="str">
        <f t="shared" si="41"/>
        <v>0-6 Months</v>
      </c>
      <c r="N2656" s="1">
        <v>44763</v>
      </c>
      <c r="O2656">
        <v>0</v>
      </c>
      <c r="P2656">
        <v>2655</v>
      </c>
      <c r="Q2656" s="2">
        <v>1.2</v>
      </c>
      <c r="R2656" t="s">
        <v>22</v>
      </c>
      <c r="S2656">
        <v>2022</v>
      </c>
      <c r="T2656" t="s">
        <v>44</v>
      </c>
    </row>
    <row r="2657" spans="1:20" hidden="1" x14ac:dyDescent="0.3">
      <c r="A2657">
        <v>4420</v>
      </c>
      <c r="B2657">
        <v>495</v>
      </c>
      <c r="C2657" t="s">
        <v>53</v>
      </c>
      <c r="D2657" t="s">
        <v>25</v>
      </c>
      <c r="E2657" t="s">
        <v>26</v>
      </c>
      <c r="F2657" s="1">
        <v>44635</v>
      </c>
      <c r="G2657" s="1">
        <v>45023</v>
      </c>
      <c r="H2657">
        <v>888</v>
      </c>
      <c r="I2657">
        <v>7464</v>
      </c>
      <c r="J2657">
        <v>-6576</v>
      </c>
      <c r="K2657" t="s">
        <v>21</v>
      </c>
      <c r="L2657">
        <v>12</v>
      </c>
      <c r="M2657" t="str">
        <f t="shared" si="41"/>
        <v>6-12 Months</v>
      </c>
      <c r="N2657" s="1">
        <v>45023</v>
      </c>
      <c r="O2657">
        <v>1</v>
      </c>
      <c r="P2657">
        <v>2656</v>
      </c>
      <c r="Q2657" s="2">
        <v>-7.41</v>
      </c>
      <c r="R2657" t="s">
        <v>22</v>
      </c>
      <c r="S2657">
        <v>2023</v>
      </c>
      <c r="T2657" t="s">
        <v>32</v>
      </c>
    </row>
    <row r="2658" spans="1:20" hidden="1" x14ac:dyDescent="0.3">
      <c r="A2658">
        <v>4421</v>
      </c>
      <c r="B2658">
        <v>310</v>
      </c>
      <c r="C2658" t="s">
        <v>40</v>
      </c>
      <c r="D2658" t="s">
        <v>34</v>
      </c>
      <c r="E2658" t="s">
        <v>20</v>
      </c>
      <c r="F2658" s="1">
        <v>44582</v>
      </c>
      <c r="G2658" s="1">
        <v>44782</v>
      </c>
      <c r="H2658">
        <v>5960</v>
      </c>
      <c r="I2658">
        <v>5335</v>
      </c>
      <c r="J2658">
        <v>577.01</v>
      </c>
      <c r="K2658" t="s">
        <v>54</v>
      </c>
      <c r="L2658">
        <v>6</v>
      </c>
      <c r="M2658" t="str">
        <f t="shared" si="41"/>
        <v>12+ Months</v>
      </c>
      <c r="N2658" s="1">
        <v>44782</v>
      </c>
      <c r="O2658">
        <v>1</v>
      </c>
      <c r="P2658">
        <v>2657</v>
      </c>
      <c r="Q2658" s="2">
        <v>0.1</v>
      </c>
      <c r="R2658" t="s">
        <v>27</v>
      </c>
      <c r="S2658">
        <v>2022</v>
      </c>
      <c r="T2658" t="s">
        <v>36</v>
      </c>
    </row>
    <row r="2659" spans="1:20" hidden="1" x14ac:dyDescent="0.3">
      <c r="A2659">
        <v>4422</v>
      </c>
      <c r="B2659">
        <v>242</v>
      </c>
      <c r="C2659" t="s">
        <v>53</v>
      </c>
      <c r="D2659" t="s">
        <v>19</v>
      </c>
      <c r="E2659" t="s">
        <v>20</v>
      </c>
      <c r="F2659" s="1">
        <v>44742</v>
      </c>
      <c r="G2659" s="1">
        <v>45172</v>
      </c>
      <c r="H2659">
        <v>4967.93</v>
      </c>
      <c r="I2659">
        <v>3022</v>
      </c>
      <c r="J2659">
        <v>-3891</v>
      </c>
      <c r="K2659" t="s">
        <v>54</v>
      </c>
      <c r="L2659">
        <v>14</v>
      </c>
      <c r="M2659" t="str">
        <f t="shared" si="41"/>
        <v>6-12 Months</v>
      </c>
      <c r="N2659" s="1">
        <v>45172</v>
      </c>
      <c r="O2659">
        <v>0</v>
      </c>
      <c r="P2659">
        <v>2658</v>
      </c>
      <c r="Q2659" s="2">
        <v>-0.78</v>
      </c>
      <c r="R2659" t="s">
        <v>27</v>
      </c>
      <c r="S2659">
        <v>2023</v>
      </c>
      <c r="T2659" t="s">
        <v>30</v>
      </c>
    </row>
    <row r="2660" spans="1:20" x14ac:dyDescent="0.3">
      <c r="A2660">
        <v>4423</v>
      </c>
      <c r="B2660">
        <v>490</v>
      </c>
      <c r="C2660" t="s">
        <v>40</v>
      </c>
      <c r="D2660" t="s">
        <v>34</v>
      </c>
      <c r="E2660" t="s">
        <v>26</v>
      </c>
      <c r="F2660" s="1">
        <v>44905</v>
      </c>
      <c r="G2660" s="1">
        <v>45289</v>
      </c>
      <c r="H2660">
        <v>3133</v>
      </c>
      <c r="I2660">
        <v>4012.75</v>
      </c>
      <c r="J2660">
        <v>3679</v>
      </c>
      <c r="K2660" t="s">
        <v>35</v>
      </c>
      <c r="L2660">
        <v>12</v>
      </c>
      <c r="M2660" t="str">
        <f t="shared" si="41"/>
        <v>6-12 Months</v>
      </c>
      <c r="N2660" s="1">
        <v>45289</v>
      </c>
      <c r="O2660">
        <v>0</v>
      </c>
      <c r="P2660">
        <v>2659</v>
      </c>
      <c r="Q2660" s="2">
        <v>1.17</v>
      </c>
      <c r="R2660" t="s">
        <v>22</v>
      </c>
      <c r="S2660">
        <v>2023</v>
      </c>
      <c r="T2660" t="s">
        <v>31</v>
      </c>
    </row>
    <row r="2661" spans="1:20" hidden="1" x14ac:dyDescent="0.3">
      <c r="A2661">
        <v>4424</v>
      </c>
      <c r="B2661">
        <v>308</v>
      </c>
      <c r="C2661" t="s">
        <v>45</v>
      </c>
      <c r="D2661" t="s">
        <v>29</v>
      </c>
      <c r="E2661" t="s">
        <v>20</v>
      </c>
      <c r="F2661" s="1">
        <v>44643</v>
      </c>
      <c r="G2661" s="1">
        <v>44722</v>
      </c>
      <c r="H2661">
        <v>2984</v>
      </c>
      <c r="I2661">
        <v>5959</v>
      </c>
      <c r="J2661">
        <v>-2975</v>
      </c>
      <c r="K2661" t="s">
        <v>54</v>
      </c>
      <c r="L2661">
        <v>2</v>
      </c>
      <c r="M2661" t="str">
        <f t="shared" si="41"/>
        <v>0-6 Months</v>
      </c>
      <c r="N2661" s="1">
        <v>44722</v>
      </c>
      <c r="O2661">
        <v>0</v>
      </c>
      <c r="P2661">
        <v>2660</v>
      </c>
      <c r="Q2661" s="2">
        <v>-1</v>
      </c>
      <c r="R2661" t="s">
        <v>27</v>
      </c>
      <c r="S2661">
        <v>2022</v>
      </c>
      <c r="T2661" t="s">
        <v>41</v>
      </c>
    </row>
    <row r="2662" spans="1:20" hidden="1" x14ac:dyDescent="0.3">
      <c r="A2662">
        <v>4427</v>
      </c>
      <c r="B2662">
        <v>174</v>
      </c>
      <c r="C2662" t="s">
        <v>40</v>
      </c>
      <c r="D2662" t="s">
        <v>25</v>
      </c>
      <c r="E2662" t="s">
        <v>20</v>
      </c>
      <c r="F2662" s="1">
        <v>44662</v>
      </c>
      <c r="G2662" s="1">
        <v>45149</v>
      </c>
      <c r="H2662">
        <v>8118</v>
      </c>
      <c r="I2662">
        <v>6263</v>
      </c>
      <c r="J2662">
        <v>1855</v>
      </c>
      <c r="K2662" t="s">
        <v>54</v>
      </c>
      <c r="L2662">
        <v>16</v>
      </c>
      <c r="M2662" t="str">
        <f t="shared" si="41"/>
        <v>6-12 Months</v>
      </c>
      <c r="N2662" s="1">
        <v>45149</v>
      </c>
      <c r="O2662">
        <v>0</v>
      </c>
      <c r="P2662">
        <v>2661</v>
      </c>
      <c r="Q2662" s="2">
        <v>0.23</v>
      </c>
      <c r="R2662" t="s">
        <v>27</v>
      </c>
      <c r="S2662">
        <v>2023</v>
      </c>
      <c r="T2662" t="s">
        <v>36</v>
      </c>
    </row>
    <row r="2663" spans="1:20" x14ac:dyDescent="0.3">
      <c r="A2663">
        <v>4430</v>
      </c>
      <c r="B2663">
        <v>301</v>
      </c>
      <c r="C2663" t="s">
        <v>39</v>
      </c>
      <c r="D2663" t="s">
        <v>19</v>
      </c>
      <c r="E2663" t="s">
        <v>20</v>
      </c>
      <c r="F2663" s="1">
        <v>44724</v>
      </c>
      <c r="G2663" s="1">
        <v>44904</v>
      </c>
      <c r="H2663">
        <v>9168</v>
      </c>
      <c r="I2663">
        <v>1265</v>
      </c>
      <c r="J2663">
        <v>7903</v>
      </c>
      <c r="K2663" t="s">
        <v>35</v>
      </c>
      <c r="L2663">
        <v>5</v>
      </c>
      <c r="M2663" t="str">
        <f t="shared" si="41"/>
        <v>0-6 Months</v>
      </c>
      <c r="N2663" s="1">
        <v>44904</v>
      </c>
      <c r="O2663">
        <v>1</v>
      </c>
      <c r="P2663">
        <v>2662</v>
      </c>
      <c r="Q2663" s="2">
        <v>0.86</v>
      </c>
      <c r="R2663" t="s">
        <v>27</v>
      </c>
      <c r="S2663">
        <v>2022</v>
      </c>
      <c r="T2663" t="s">
        <v>31</v>
      </c>
    </row>
    <row r="2664" spans="1:20" hidden="1" x14ac:dyDescent="0.3">
      <c r="A2664">
        <v>4431</v>
      </c>
      <c r="B2664">
        <v>490</v>
      </c>
      <c r="C2664" t="s">
        <v>45</v>
      </c>
      <c r="D2664" t="s">
        <v>34</v>
      </c>
      <c r="E2664" t="s">
        <v>37</v>
      </c>
      <c r="F2664" s="1">
        <v>44815</v>
      </c>
      <c r="G2664" s="1">
        <v>45001</v>
      </c>
      <c r="H2664">
        <v>2430</v>
      </c>
      <c r="I2664">
        <v>5073</v>
      </c>
      <c r="J2664">
        <v>-2643</v>
      </c>
      <c r="K2664" t="s">
        <v>54</v>
      </c>
      <c r="L2664">
        <v>6</v>
      </c>
      <c r="M2664" t="str">
        <f t="shared" si="41"/>
        <v>12+ Months</v>
      </c>
      <c r="N2664" s="1">
        <v>45001</v>
      </c>
      <c r="O2664">
        <v>0</v>
      </c>
      <c r="P2664">
        <v>2663</v>
      </c>
      <c r="Q2664" s="2">
        <v>-1.0900000000000001</v>
      </c>
      <c r="R2664" t="s">
        <v>22</v>
      </c>
      <c r="S2664">
        <v>2023</v>
      </c>
      <c r="T2664" t="s">
        <v>38</v>
      </c>
    </row>
    <row r="2665" spans="1:20" hidden="1" x14ac:dyDescent="0.3">
      <c r="A2665">
        <v>4432</v>
      </c>
      <c r="B2665">
        <v>288</v>
      </c>
      <c r="C2665" t="s">
        <v>24</v>
      </c>
      <c r="D2665" t="s">
        <v>34</v>
      </c>
      <c r="E2665" t="s">
        <v>20</v>
      </c>
      <c r="F2665" s="1">
        <v>44812</v>
      </c>
      <c r="G2665" s="1">
        <v>45119</v>
      </c>
      <c r="H2665">
        <v>5641</v>
      </c>
      <c r="I2665">
        <v>1777</v>
      </c>
      <c r="J2665">
        <v>3864</v>
      </c>
      <c r="K2665" t="s">
        <v>54</v>
      </c>
      <c r="L2665">
        <v>10</v>
      </c>
      <c r="M2665" t="str">
        <f t="shared" si="41"/>
        <v>6-12 Months</v>
      </c>
      <c r="N2665" s="1">
        <v>45119</v>
      </c>
      <c r="O2665">
        <v>1</v>
      </c>
      <c r="P2665">
        <v>2664</v>
      </c>
      <c r="Q2665" s="2">
        <v>0.68</v>
      </c>
      <c r="R2665" t="s">
        <v>27</v>
      </c>
      <c r="S2665">
        <v>2023</v>
      </c>
      <c r="T2665" t="s">
        <v>44</v>
      </c>
    </row>
    <row r="2666" spans="1:20" hidden="1" x14ac:dyDescent="0.3">
      <c r="A2666">
        <v>4433</v>
      </c>
      <c r="B2666">
        <v>467</v>
      </c>
      <c r="C2666" t="s">
        <v>45</v>
      </c>
      <c r="D2666" t="s">
        <v>34</v>
      </c>
      <c r="E2666" t="s">
        <v>37</v>
      </c>
      <c r="F2666" s="1">
        <v>44742</v>
      </c>
      <c r="G2666" s="1">
        <v>45264</v>
      </c>
      <c r="H2666">
        <v>280</v>
      </c>
      <c r="I2666">
        <v>138</v>
      </c>
      <c r="J2666">
        <v>142</v>
      </c>
      <c r="K2666" t="s">
        <v>21</v>
      </c>
      <c r="L2666">
        <v>17</v>
      </c>
      <c r="M2666" t="str">
        <f t="shared" si="41"/>
        <v>6-12 Months</v>
      </c>
      <c r="N2666" s="1">
        <v>45264</v>
      </c>
      <c r="O2666">
        <v>0</v>
      </c>
      <c r="P2666">
        <v>2665</v>
      </c>
      <c r="Q2666" s="2">
        <v>0.51</v>
      </c>
      <c r="R2666" t="s">
        <v>27</v>
      </c>
      <c r="S2666">
        <v>2023</v>
      </c>
      <c r="T2666" t="s">
        <v>31</v>
      </c>
    </row>
    <row r="2667" spans="1:20" hidden="1" x14ac:dyDescent="0.3">
      <c r="A2667">
        <v>4434</v>
      </c>
      <c r="B2667">
        <v>143</v>
      </c>
      <c r="C2667" t="s">
        <v>45</v>
      </c>
      <c r="D2667" t="s">
        <v>29</v>
      </c>
      <c r="E2667" t="s">
        <v>37</v>
      </c>
      <c r="F2667" s="1">
        <v>44847</v>
      </c>
      <c r="G2667" s="1">
        <v>44986</v>
      </c>
      <c r="H2667">
        <v>2516</v>
      </c>
      <c r="I2667">
        <v>5594</v>
      </c>
      <c r="J2667">
        <v>-3078</v>
      </c>
      <c r="K2667" t="s">
        <v>21</v>
      </c>
      <c r="L2667">
        <v>4</v>
      </c>
      <c r="M2667" t="str">
        <f t="shared" si="41"/>
        <v>0-6 Months</v>
      </c>
      <c r="N2667" s="1">
        <v>44986</v>
      </c>
      <c r="O2667">
        <v>0</v>
      </c>
      <c r="P2667">
        <v>2666</v>
      </c>
      <c r="Q2667" s="2">
        <v>-1.22</v>
      </c>
      <c r="R2667" t="s">
        <v>22</v>
      </c>
      <c r="S2667">
        <v>2023</v>
      </c>
      <c r="T2667" t="s">
        <v>38</v>
      </c>
    </row>
    <row r="2668" spans="1:20" hidden="1" x14ac:dyDescent="0.3">
      <c r="A2668">
        <v>4435</v>
      </c>
      <c r="B2668">
        <v>446</v>
      </c>
      <c r="C2668" t="s">
        <v>53</v>
      </c>
      <c r="D2668" t="s">
        <v>25</v>
      </c>
      <c r="E2668" t="s">
        <v>20</v>
      </c>
      <c r="F2668" s="1">
        <v>44799</v>
      </c>
      <c r="G2668" s="1">
        <v>44870</v>
      </c>
      <c r="H2668">
        <v>9850</v>
      </c>
      <c r="I2668">
        <v>6505</v>
      </c>
      <c r="J2668">
        <v>3345</v>
      </c>
      <c r="K2668" t="s">
        <v>54</v>
      </c>
      <c r="L2668">
        <v>2</v>
      </c>
      <c r="M2668" t="str">
        <f t="shared" si="41"/>
        <v>0-6 Months</v>
      </c>
      <c r="N2668" s="1">
        <v>44870</v>
      </c>
      <c r="O2668">
        <v>1</v>
      </c>
      <c r="P2668">
        <v>2667</v>
      </c>
      <c r="Q2668" s="2">
        <v>0.34</v>
      </c>
      <c r="R2668" t="s">
        <v>27</v>
      </c>
      <c r="S2668">
        <v>2022</v>
      </c>
      <c r="T2668" t="s">
        <v>42</v>
      </c>
    </row>
    <row r="2669" spans="1:20" x14ac:dyDescent="0.3">
      <c r="A2669">
        <v>4437</v>
      </c>
      <c r="B2669">
        <v>382</v>
      </c>
      <c r="C2669" t="s">
        <v>24</v>
      </c>
      <c r="D2669" t="s">
        <v>29</v>
      </c>
      <c r="E2669" t="s">
        <v>20</v>
      </c>
      <c r="F2669" s="1">
        <v>44712</v>
      </c>
      <c r="G2669" s="1">
        <v>44803</v>
      </c>
      <c r="H2669">
        <v>1669</v>
      </c>
      <c r="I2669">
        <v>4356</v>
      </c>
      <c r="J2669">
        <v>-2687</v>
      </c>
      <c r="K2669" t="s">
        <v>35</v>
      </c>
      <c r="L2669">
        <v>2</v>
      </c>
      <c r="M2669" t="str">
        <f t="shared" si="41"/>
        <v>0-6 Months</v>
      </c>
      <c r="N2669" s="1">
        <v>44803</v>
      </c>
      <c r="O2669">
        <v>0</v>
      </c>
      <c r="P2669">
        <v>2668</v>
      </c>
      <c r="Q2669" s="2">
        <v>-1.61</v>
      </c>
      <c r="R2669" t="s">
        <v>22</v>
      </c>
      <c r="S2669">
        <v>2022</v>
      </c>
      <c r="T2669" t="s">
        <v>36</v>
      </c>
    </row>
    <row r="2670" spans="1:20" hidden="1" x14ac:dyDescent="0.3">
      <c r="A2670">
        <v>4439</v>
      </c>
      <c r="B2670">
        <v>260</v>
      </c>
      <c r="C2670" t="s">
        <v>40</v>
      </c>
      <c r="D2670" t="s">
        <v>29</v>
      </c>
      <c r="E2670" t="s">
        <v>20</v>
      </c>
      <c r="F2670" s="1">
        <v>44752</v>
      </c>
      <c r="G2670" s="1">
        <v>44957</v>
      </c>
      <c r="H2670">
        <v>9667</v>
      </c>
      <c r="I2670">
        <v>4154</v>
      </c>
      <c r="J2670">
        <v>5513</v>
      </c>
      <c r="K2670" t="s">
        <v>54</v>
      </c>
      <c r="L2670">
        <v>6</v>
      </c>
      <c r="M2670" t="str">
        <f t="shared" si="41"/>
        <v>12+ Months</v>
      </c>
      <c r="N2670" s="1">
        <v>44957</v>
      </c>
      <c r="O2670">
        <v>1</v>
      </c>
      <c r="P2670">
        <v>2669</v>
      </c>
      <c r="Q2670" s="2">
        <v>0.56999999999999995</v>
      </c>
      <c r="R2670" t="s">
        <v>27</v>
      </c>
      <c r="S2670">
        <v>2023</v>
      </c>
      <c r="T2670" t="s">
        <v>23</v>
      </c>
    </row>
    <row r="2671" spans="1:20" x14ac:dyDescent="0.3">
      <c r="A2671">
        <v>4440</v>
      </c>
      <c r="B2671">
        <v>312</v>
      </c>
      <c r="C2671" t="s">
        <v>53</v>
      </c>
      <c r="D2671" t="s">
        <v>19</v>
      </c>
      <c r="E2671" t="s">
        <v>37</v>
      </c>
      <c r="F2671" s="1">
        <v>44692</v>
      </c>
      <c r="G2671" s="1">
        <v>44938</v>
      </c>
      <c r="H2671">
        <v>5441</v>
      </c>
      <c r="I2671">
        <v>3367</v>
      </c>
      <c r="J2671">
        <v>2074</v>
      </c>
      <c r="K2671" t="s">
        <v>35</v>
      </c>
      <c r="L2671">
        <v>8</v>
      </c>
      <c r="M2671" t="str">
        <f t="shared" si="41"/>
        <v>6-12 Months</v>
      </c>
      <c r="N2671" s="1">
        <v>44938</v>
      </c>
      <c r="O2671">
        <v>1</v>
      </c>
      <c r="P2671">
        <v>2670</v>
      </c>
      <c r="Q2671" s="2">
        <v>0.38</v>
      </c>
      <c r="R2671" t="s">
        <v>27</v>
      </c>
      <c r="S2671">
        <v>2023</v>
      </c>
      <c r="T2671" t="s">
        <v>23</v>
      </c>
    </row>
    <row r="2672" spans="1:20" hidden="1" x14ac:dyDescent="0.3">
      <c r="A2672">
        <v>4441</v>
      </c>
      <c r="B2672">
        <v>463</v>
      </c>
      <c r="C2672" t="s">
        <v>24</v>
      </c>
      <c r="D2672" t="s">
        <v>25</v>
      </c>
      <c r="E2672" t="s">
        <v>26</v>
      </c>
      <c r="F2672" s="1">
        <v>44890</v>
      </c>
      <c r="G2672" s="1">
        <v>45333</v>
      </c>
      <c r="H2672">
        <v>4055</v>
      </c>
      <c r="I2672">
        <v>2951</v>
      </c>
      <c r="J2672">
        <v>1104</v>
      </c>
      <c r="K2672" t="s">
        <v>21</v>
      </c>
      <c r="L2672">
        <v>14</v>
      </c>
      <c r="M2672" t="str">
        <f t="shared" si="41"/>
        <v>6-12 Months</v>
      </c>
      <c r="N2672" s="1">
        <v>45333</v>
      </c>
      <c r="O2672">
        <v>0</v>
      </c>
      <c r="P2672">
        <v>2671</v>
      </c>
      <c r="Q2672" s="2">
        <v>0.27</v>
      </c>
      <c r="R2672" t="s">
        <v>27</v>
      </c>
      <c r="S2672">
        <v>2024</v>
      </c>
      <c r="T2672" t="s">
        <v>43</v>
      </c>
    </row>
    <row r="2673" spans="1:20" hidden="1" x14ac:dyDescent="0.3">
      <c r="A2673">
        <v>4443</v>
      </c>
      <c r="B2673">
        <v>405</v>
      </c>
      <c r="C2673" t="s">
        <v>39</v>
      </c>
      <c r="D2673" t="s">
        <v>29</v>
      </c>
      <c r="E2673" t="s">
        <v>20</v>
      </c>
      <c r="F2673" s="1">
        <v>44607</v>
      </c>
      <c r="G2673" s="1">
        <v>45190</v>
      </c>
      <c r="H2673">
        <v>4228</v>
      </c>
      <c r="I2673">
        <v>6317</v>
      </c>
      <c r="J2673">
        <v>-2089</v>
      </c>
      <c r="K2673" t="s">
        <v>21</v>
      </c>
      <c r="L2673">
        <v>19</v>
      </c>
      <c r="M2673" t="str">
        <f t="shared" si="41"/>
        <v>6-12 Months</v>
      </c>
      <c r="N2673" s="1">
        <v>45190</v>
      </c>
      <c r="O2673">
        <v>0</v>
      </c>
      <c r="P2673">
        <v>2672</v>
      </c>
      <c r="Q2673" s="2">
        <v>-0.49</v>
      </c>
      <c r="R2673" t="s">
        <v>27</v>
      </c>
      <c r="S2673">
        <v>2023</v>
      </c>
      <c r="T2673" t="s">
        <v>30</v>
      </c>
    </row>
    <row r="2674" spans="1:20" hidden="1" x14ac:dyDescent="0.3">
      <c r="A2674">
        <v>4444</v>
      </c>
      <c r="B2674">
        <v>241</v>
      </c>
      <c r="C2674" t="s">
        <v>53</v>
      </c>
      <c r="D2674" t="s">
        <v>25</v>
      </c>
      <c r="E2674" t="s">
        <v>37</v>
      </c>
      <c r="F2674" s="1">
        <v>44568</v>
      </c>
      <c r="G2674" s="1">
        <v>44764</v>
      </c>
      <c r="H2674">
        <v>3734</v>
      </c>
      <c r="I2674">
        <v>1655</v>
      </c>
      <c r="J2674">
        <v>577.01</v>
      </c>
      <c r="K2674" t="s">
        <v>54</v>
      </c>
      <c r="L2674">
        <v>6</v>
      </c>
      <c r="M2674" t="str">
        <f t="shared" si="41"/>
        <v>12+ Months</v>
      </c>
      <c r="N2674" s="1">
        <v>44764</v>
      </c>
      <c r="O2674">
        <v>0</v>
      </c>
      <c r="P2674">
        <v>2673</v>
      </c>
      <c r="Q2674" s="2">
        <v>0.15</v>
      </c>
      <c r="R2674" t="s">
        <v>27</v>
      </c>
      <c r="S2674">
        <v>2022</v>
      </c>
      <c r="T2674" t="s">
        <v>44</v>
      </c>
    </row>
    <row r="2675" spans="1:20" x14ac:dyDescent="0.3">
      <c r="A2675">
        <v>4446</v>
      </c>
      <c r="B2675">
        <v>129</v>
      </c>
      <c r="C2675" t="s">
        <v>53</v>
      </c>
      <c r="D2675" t="s">
        <v>25</v>
      </c>
      <c r="E2675" t="s">
        <v>26</v>
      </c>
      <c r="F2675" s="1">
        <v>44673</v>
      </c>
      <c r="G2675" s="1">
        <v>44711</v>
      </c>
      <c r="H2675">
        <v>5709</v>
      </c>
      <c r="I2675">
        <v>4012.75</v>
      </c>
      <c r="J2675">
        <v>577.01</v>
      </c>
      <c r="K2675" t="s">
        <v>35</v>
      </c>
      <c r="L2675">
        <v>1</v>
      </c>
      <c r="M2675" t="str">
        <f t="shared" si="41"/>
        <v>0-6 Months</v>
      </c>
      <c r="N2675" s="1">
        <v>44711</v>
      </c>
      <c r="O2675">
        <v>0</v>
      </c>
      <c r="P2675">
        <v>2674</v>
      </c>
      <c r="Q2675" s="2">
        <v>0.1</v>
      </c>
      <c r="R2675" t="s">
        <v>27</v>
      </c>
      <c r="S2675">
        <v>2022</v>
      </c>
      <c r="T2675" t="s">
        <v>28</v>
      </c>
    </row>
    <row r="2676" spans="1:20" hidden="1" x14ac:dyDescent="0.3">
      <c r="A2676">
        <v>4447</v>
      </c>
      <c r="B2676">
        <v>401</v>
      </c>
      <c r="C2676" t="s">
        <v>45</v>
      </c>
      <c r="D2676" t="s">
        <v>25</v>
      </c>
      <c r="E2676" t="s">
        <v>20</v>
      </c>
      <c r="F2676" s="1">
        <v>44710</v>
      </c>
      <c r="G2676" s="1">
        <v>45243</v>
      </c>
      <c r="H2676">
        <v>9402</v>
      </c>
      <c r="I2676">
        <v>3619</v>
      </c>
      <c r="J2676">
        <v>5783</v>
      </c>
      <c r="K2676" t="s">
        <v>54</v>
      </c>
      <c r="L2676">
        <v>17</v>
      </c>
      <c r="M2676" t="str">
        <f t="shared" si="41"/>
        <v>6-12 Months</v>
      </c>
      <c r="N2676" s="1">
        <v>45243</v>
      </c>
      <c r="O2676">
        <v>1</v>
      </c>
      <c r="P2676">
        <v>2675</v>
      </c>
      <c r="Q2676" s="2">
        <v>0.62</v>
      </c>
      <c r="R2676" t="s">
        <v>27</v>
      </c>
      <c r="S2676">
        <v>2023</v>
      </c>
      <c r="T2676" t="s">
        <v>42</v>
      </c>
    </row>
    <row r="2677" spans="1:20" hidden="1" x14ac:dyDescent="0.3">
      <c r="A2677">
        <v>4448</v>
      </c>
      <c r="B2677">
        <v>277</v>
      </c>
      <c r="C2677" t="s">
        <v>39</v>
      </c>
      <c r="D2677" t="s">
        <v>34</v>
      </c>
      <c r="E2677" t="s">
        <v>26</v>
      </c>
      <c r="F2677" s="1">
        <v>44607</v>
      </c>
      <c r="G2677" s="1">
        <v>44766</v>
      </c>
      <c r="H2677">
        <v>7846</v>
      </c>
      <c r="I2677">
        <v>5907</v>
      </c>
      <c r="J2677">
        <v>1939</v>
      </c>
      <c r="K2677" t="s">
        <v>54</v>
      </c>
      <c r="L2677">
        <v>5</v>
      </c>
      <c r="M2677" t="str">
        <f t="shared" si="41"/>
        <v>0-6 Months</v>
      </c>
      <c r="N2677" s="1">
        <v>44766</v>
      </c>
      <c r="O2677">
        <v>0</v>
      </c>
      <c r="P2677">
        <v>2676</v>
      </c>
      <c r="Q2677" s="2">
        <v>0.25</v>
      </c>
      <c r="R2677" t="s">
        <v>27</v>
      </c>
      <c r="S2677">
        <v>2022</v>
      </c>
      <c r="T2677" t="s">
        <v>44</v>
      </c>
    </row>
    <row r="2678" spans="1:20" hidden="1" x14ac:dyDescent="0.3">
      <c r="A2678">
        <v>4451</v>
      </c>
      <c r="B2678">
        <v>217</v>
      </c>
      <c r="C2678" t="s">
        <v>45</v>
      </c>
      <c r="D2678" t="s">
        <v>29</v>
      </c>
      <c r="E2678" t="s">
        <v>26</v>
      </c>
      <c r="F2678" s="1">
        <v>44786</v>
      </c>
      <c r="G2678" s="1">
        <v>45304</v>
      </c>
      <c r="H2678">
        <v>1017</v>
      </c>
      <c r="I2678">
        <v>2519</v>
      </c>
      <c r="J2678">
        <v>-1502</v>
      </c>
      <c r="K2678" t="s">
        <v>21</v>
      </c>
      <c r="L2678">
        <v>17</v>
      </c>
      <c r="M2678" t="str">
        <f t="shared" si="41"/>
        <v>6-12 Months</v>
      </c>
      <c r="N2678" s="1">
        <v>45304</v>
      </c>
      <c r="O2678">
        <v>1</v>
      </c>
      <c r="P2678">
        <v>2677</v>
      </c>
      <c r="Q2678" s="2">
        <v>-1.48</v>
      </c>
      <c r="R2678" t="s">
        <v>22</v>
      </c>
      <c r="S2678">
        <v>2024</v>
      </c>
      <c r="T2678" t="s">
        <v>23</v>
      </c>
    </row>
    <row r="2679" spans="1:20" x14ac:dyDescent="0.3">
      <c r="A2679">
        <v>4452</v>
      </c>
      <c r="B2679">
        <v>313</v>
      </c>
      <c r="C2679" t="s">
        <v>53</v>
      </c>
      <c r="D2679" t="s">
        <v>19</v>
      </c>
      <c r="E2679" t="s">
        <v>26</v>
      </c>
      <c r="F2679" s="1">
        <v>44887</v>
      </c>
      <c r="G2679" s="1">
        <v>45255</v>
      </c>
      <c r="H2679">
        <v>7279</v>
      </c>
      <c r="I2679">
        <v>3339</v>
      </c>
      <c r="J2679">
        <v>3940</v>
      </c>
      <c r="K2679" t="s">
        <v>35</v>
      </c>
      <c r="L2679">
        <v>12</v>
      </c>
      <c r="M2679" t="str">
        <f t="shared" si="41"/>
        <v>6-12 Months</v>
      </c>
      <c r="N2679" s="1">
        <v>45255</v>
      </c>
      <c r="O2679">
        <v>0</v>
      </c>
      <c r="P2679">
        <v>2678</v>
      </c>
      <c r="Q2679" s="2">
        <v>0.54</v>
      </c>
      <c r="R2679" t="s">
        <v>27</v>
      </c>
      <c r="S2679">
        <v>2023</v>
      </c>
      <c r="T2679" t="s">
        <v>42</v>
      </c>
    </row>
    <row r="2680" spans="1:20" x14ac:dyDescent="0.3">
      <c r="A2680">
        <v>4453</v>
      </c>
      <c r="B2680">
        <v>262</v>
      </c>
      <c r="C2680" t="s">
        <v>53</v>
      </c>
      <c r="D2680" t="s">
        <v>29</v>
      </c>
      <c r="E2680" t="s">
        <v>26</v>
      </c>
      <c r="F2680" s="1">
        <v>44828</v>
      </c>
      <c r="G2680" s="1">
        <v>44922</v>
      </c>
      <c r="H2680">
        <v>6161</v>
      </c>
      <c r="I2680">
        <v>2368</v>
      </c>
      <c r="J2680">
        <v>3793</v>
      </c>
      <c r="K2680" t="s">
        <v>35</v>
      </c>
      <c r="L2680">
        <v>3</v>
      </c>
      <c r="M2680" t="str">
        <f t="shared" si="41"/>
        <v>0-6 Months</v>
      </c>
      <c r="N2680" s="1">
        <v>44922</v>
      </c>
      <c r="O2680">
        <v>0</v>
      </c>
      <c r="P2680">
        <v>2679</v>
      </c>
      <c r="Q2680" s="2">
        <v>0.62</v>
      </c>
      <c r="R2680" t="s">
        <v>27</v>
      </c>
      <c r="S2680">
        <v>2022</v>
      </c>
      <c r="T2680" t="s">
        <v>31</v>
      </c>
    </row>
    <row r="2681" spans="1:20" hidden="1" x14ac:dyDescent="0.3">
      <c r="A2681">
        <v>4454</v>
      </c>
      <c r="B2681">
        <v>457</v>
      </c>
      <c r="C2681" t="s">
        <v>40</v>
      </c>
      <c r="D2681" t="s">
        <v>25</v>
      </c>
      <c r="E2681" t="s">
        <v>20</v>
      </c>
      <c r="F2681" s="1">
        <v>44826</v>
      </c>
      <c r="G2681" s="1">
        <v>45170</v>
      </c>
      <c r="H2681">
        <v>6690</v>
      </c>
      <c r="I2681">
        <v>4517</v>
      </c>
      <c r="J2681">
        <v>2173</v>
      </c>
      <c r="K2681" t="s">
        <v>21</v>
      </c>
      <c r="L2681">
        <v>11</v>
      </c>
      <c r="M2681" t="str">
        <f t="shared" si="41"/>
        <v>6-12 Months</v>
      </c>
      <c r="N2681" s="1">
        <v>45170</v>
      </c>
      <c r="O2681">
        <v>1</v>
      </c>
      <c r="P2681">
        <v>2680</v>
      </c>
      <c r="Q2681" s="2">
        <v>0.32</v>
      </c>
      <c r="R2681" t="s">
        <v>27</v>
      </c>
      <c r="S2681">
        <v>2023</v>
      </c>
      <c r="T2681" t="s">
        <v>30</v>
      </c>
    </row>
    <row r="2682" spans="1:20" hidden="1" x14ac:dyDescent="0.3">
      <c r="A2682">
        <v>4456</v>
      </c>
      <c r="B2682">
        <v>228</v>
      </c>
      <c r="C2682" t="s">
        <v>40</v>
      </c>
      <c r="D2682" t="s">
        <v>29</v>
      </c>
      <c r="E2682" t="s">
        <v>26</v>
      </c>
      <c r="F2682" s="1">
        <v>44801</v>
      </c>
      <c r="G2682" s="1">
        <v>44939</v>
      </c>
      <c r="H2682">
        <v>4967.93</v>
      </c>
      <c r="I2682">
        <v>245</v>
      </c>
      <c r="J2682">
        <v>-2118</v>
      </c>
      <c r="K2682" t="s">
        <v>21</v>
      </c>
      <c r="L2682">
        <v>4</v>
      </c>
      <c r="M2682" t="str">
        <f t="shared" si="41"/>
        <v>0-6 Months</v>
      </c>
      <c r="N2682" s="1">
        <v>44939</v>
      </c>
      <c r="O2682">
        <v>1</v>
      </c>
      <c r="P2682">
        <v>2681</v>
      </c>
      <c r="Q2682" s="2">
        <v>-0.43</v>
      </c>
      <c r="R2682" t="s">
        <v>27</v>
      </c>
      <c r="S2682">
        <v>2023</v>
      </c>
      <c r="T2682" t="s">
        <v>23</v>
      </c>
    </row>
    <row r="2683" spans="1:20" hidden="1" x14ac:dyDescent="0.3">
      <c r="A2683">
        <v>4457</v>
      </c>
      <c r="B2683">
        <v>321</v>
      </c>
      <c r="C2683" t="s">
        <v>39</v>
      </c>
      <c r="D2683" t="s">
        <v>29</v>
      </c>
      <c r="E2683" t="s">
        <v>20</v>
      </c>
      <c r="F2683" s="1">
        <v>44738</v>
      </c>
      <c r="G2683" s="1">
        <v>45046</v>
      </c>
      <c r="H2683">
        <v>7969</v>
      </c>
      <c r="I2683">
        <v>4012.75</v>
      </c>
      <c r="J2683">
        <v>8929</v>
      </c>
      <c r="K2683" t="s">
        <v>54</v>
      </c>
      <c r="L2683">
        <v>10</v>
      </c>
      <c r="M2683" t="str">
        <f t="shared" si="41"/>
        <v>6-12 Months</v>
      </c>
      <c r="N2683" s="1">
        <v>45046</v>
      </c>
      <c r="O2683">
        <v>0</v>
      </c>
      <c r="P2683">
        <v>2682</v>
      </c>
      <c r="Q2683" s="2">
        <v>1.1200000000000001</v>
      </c>
      <c r="R2683" t="s">
        <v>22</v>
      </c>
      <c r="S2683">
        <v>2023</v>
      </c>
      <c r="T2683" t="s">
        <v>32</v>
      </c>
    </row>
    <row r="2684" spans="1:20" hidden="1" x14ac:dyDescent="0.3">
      <c r="A2684">
        <v>4458</v>
      </c>
      <c r="B2684">
        <v>280</v>
      </c>
      <c r="C2684" t="s">
        <v>39</v>
      </c>
      <c r="D2684" t="s">
        <v>19</v>
      </c>
      <c r="E2684" t="s">
        <v>37</v>
      </c>
      <c r="F2684" s="1">
        <v>44607</v>
      </c>
      <c r="G2684" s="1">
        <v>45109</v>
      </c>
      <c r="H2684">
        <v>4015</v>
      </c>
      <c r="I2684">
        <v>2910</v>
      </c>
      <c r="J2684">
        <v>1105</v>
      </c>
      <c r="K2684" t="s">
        <v>21</v>
      </c>
      <c r="L2684">
        <v>16</v>
      </c>
      <c r="M2684" t="str">
        <f t="shared" si="41"/>
        <v>6-12 Months</v>
      </c>
      <c r="N2684" s="1">
        <v>45109</v>
      </c>
      <c r="O2684">
        <v>0</v>
      </c>
      <c r="P2684">
        <v>2683</v>
      </c>
      <c r="Q2684" s="2">
        <v>0.28000000000000003</v>
      </c>
      <c r="R2684" t="s">
        <v>27</v>
      </c>
      <c r="S2684">
        <v>2023</v>
      </c>
      <c r="T2684" t="s">
        <v>44</v>
      </c>
    </row>
    <row r="2685" spans="1:20" hidden="1" x14ac:dyDescent="0.3">
      <c r="A2685">
        <v>4459</v>
      </c>
      <c r="B2685">
        <v>369</v>
      </c>
      <c r="C2685" t="s">
        <v>39</v>
      </c>
      <c r="D2685" t="s">
        <v>34</v>
      </c>
      <c r="E2685" t="s">
        <v>20</v>
      </c>
      <c r="F2685" s="1">
        <v>44779</v>
      </c>
      <c r="G2685" s="1">
        <v>45056</v>
      </c>
      <c r="H2685">
        <v>4967.93</v>
      </c>
      <c r="I2685">
        <v>3945</v>
      </c>
      <c r="J2685">
        <v>-4299</v>
      </c>
      <c r="K2685" t="s">
        <v>54</v>
      </c>
      <c r="L2685">
        <v>9</v>
      </c>
      <c r="M2685" t="str">
        <f t="shared" si="41"/>
        <v>6-12 Months</v>
      </c>
      <c r="N2685" s="1">
        <v>45056</v>
      </c>
      <c r="O2685">
        <v>0</v>
      </c>
      <c r="P2685">
        <v>2684</v>
      </c>
      <c r="Q2685" s="2">
        <v>-0.87</v>
      </c>
      <c r="R2685" t="s">
        <v>27</v>
      </c>
      <c r="S2685">
        <v>2023</v>
      </c>
      <c r="T2685" t="s">
        <v>28</v>
      </c>
    </row>
    <row r="2686" spans="1:20" x14ac:dyDescent="0.3">
      <c r="A2686">
        <v>4460</v>
      </c>
      <c r="B2686">
        <v>125</v>
      </c>
      <c r="C2686" t="s">
        <v>39</v>
      </c>
      <c r="D2686" t="s">
        <v>19</v>
      </c>
      <c r="E2686" t="s">
        <v>26</v>
      </c>
      <c r="F2686" s="1">
        <v>44597</v>
      </c>
      <c r="G2686" s="1">
        <v>45175</v>
      </c>
      <c r="H2686">
        <v>6876</v>
      </c>
      <c r="I2686">
        <v>1991</v>
      </c>
      <c r="J2686">
        <v>577.01</v>
      </c>
      <c r="K2686" t="s">
        <v>35</v>
      </c>
      <c r="L2686">
        <v>19</v>
      </c>
      <c r="M2686" t="str">
        <f t="shared" si="41"/>
        <v>6-12 Months</v>
      </c>
      <c r="N2686" s="1">
        <v>45175</v>
      </c>
      <c r="O2686">
        <v>1</v>
      </c>
      <c r="P2686">
        <v>2685</v>
      </c>
      <c r="Q2686" s="2">
        <v>0.08</v>
      </c>
      <c r="R2686" t="s">
        <v>27</v>
      </c>
      <c r="S2686">
        <v>2023</v>
      </c>
      <c r="T2686" t="s">
        <v>30</v>
      </c>
    </row>
    <row r="2687" spans="1:20" hidden="1" x14ac:dyDescent="0.3">
      <c r="A2687">
        <v>4461</v>
      </c>
      <c r="B2687">
        <v>226</v>
      </c>
      <c r="C2687" t="s">
        <v>45</v>
      </c>
      <c r="D2687" t="s">
        <v>19</v>
      </c>
      <c r="E2687" t="s">
        <v>37</v>
      </c>
      <c r="F2687" s="1">
        <v>44777</v>
      </c>
      <c r="G2687" s="1">
        <v>45183</v>
      </c>
      <c r="H2687">
        <v>8763</v>
      </c>
      <c r="I2687">
        <v>7512</v>
      </c>
      <c r="J2687">
        <v>1251</v>
      </c>
      <c r="K2687" t="s">
        <v>54</v>
      </c>
      <c r="L2687">
        <v>13</v>
      </c>
      <c r="M2687" t="str">
        <f t="shared" si="41"/>
        <v>6-12 Months</v>
      </c>
      <c r="N2687" s="1">
        <v>45183</v>
      </c>
      <c r="O2687">
        <v>0</v>
      </c>
      <c r="P2687">
        <v>2686</v>
      </c>
      <c r="Q2687" s="2">
        <v>0.14000000000000001</v>
      </c>
      <c r="R2687" t="s">
        <v>27</v>
      </c>
      <c r="S2687">
        <v>2023</v>
      </c>
      <c r="T2687" t="s">
        <v>30</v>
      </c>
    </row>
    <row r="2688" spans="1:20" hidden="1" x14ac:dyDescent="0.3">
      <c r="A2688">
        <v>4463</v>
      </c>
      <c r="B2688">
        <v>245</v>
      </c>
      <c r="C2688" t="s">
        <v>39</v>
      </c>
      <c r="D2688" t="s">
        <v>34</v>
      </c>
      <c r="E2688" t="s">
        <v>20</v>
      </c>
      <c r="F2688" s="1">
        <v>44844</v>
      </c>
      <c r="G2688" s="1">
        <v>44897</v>
      </c>
      <c r="H2688">
        <v>8631</v>
      </c>
      <c r="I2688">
        <v>5519</v>
      </c>
      <c r="J2688">
        <v>3112</v>
      </c>
      <c r="K2688" t="s">
        <v>54</v>
      </c>
      <c r="L2688">
        <v>1</v>
      </c>
      <c r="M2688" t="str">
        <f t="shared" si="41"/>
        <v>0-6 Months</v>
      </c>
      <c r="N2688" s="1">
        <v>44897</v>
      </c>
      <c r="O2688">
        <v>0</v>
      </c>
      <c r="P2688">
        <v>2687</v>
      </c>
      <c r="Q2688" s="2">
        <v>0.36</v>
      </c>
      <c r="R2688" t="s">
        <v>27</v>
      </c>
      <c r="S2688">
        <v>2022</v>
      </c>
      <c r="T2688" t="s">
        <v>31</v>
      </c>
    </row>
    <row r="2689" spans="1:20" hidden="1" x14ac:dyDescent="0.3">
      <c r="A2689">
        <v>4464</v>
      </c>
      <c r="B2689">
        <v>292</v>
      </c>
      <c r="C2689" t="s">
        <v>53</v>
      </c>
      <c r="D2689" t="s">
        <v>25</v>
      </c>
      <c r="E2689" t="s">
        <v>37</v>
      </c>
      <c r="F2689" s="1">
        <v>44899</v>
      </c>
      <c r="G2689" s="1">
        <v>45059</v>
      </c>
      <c r="H2689">
        <v>9111</v>
      </c>
      <c r="I2689">
        <v>7480</v>
      </c>
      <c r="J2689">
        <v>1631</v>
      </c>
      <c r="K2689" t="s">
        <v>54</v>
      </c>
      <c r="L2689">
        <v>5</v>
      </c>
      <c r="M2689" t="str">
        <f t="shared" si="41"/>
        <v>0-6 Months</v>
      </c>
      <c r="N2689" s="1">
        <v>45059</v>
      </c>
      <c r="O2689">
        <v>0</v>
      </c>
      <c r="P2689">
        <v>2688</v>
      </c>
      <c r="Q2689" s="2">
        <v>0.18</v>
      </c>
      <c r="R2689" t="s">
        <v>27</v>
      </c>
      <c r="S2689">
        <v>2023</v>
      </c>
      <c r="T2689" t="s">
        <v>28</v>
      </c>
    </row>
    <row r="2690" spans="1:20" x14ac:dyDescent="0.3">
      <c r="A2690">
        <v>4465</v>
      </c>
      <c r="B2690">
        <v>497</v>
      </c>
      <c r="C2690" t="s">
        <v>45</v>
      </c>
      <c r="D2690" t="s">
        <v>25</v>
      </c>
      <c r="E2690" t="s">
        <v>20</v>
      </c>
      <c r="F2690" s="1">
        <v>44605</v>
      </c>
      <c r="G2690" s="1">
        <v>44942</v>
      </c>
      <c r="H2690">
        <v>6772</v>
      </c>
      <c r="I2690">
        <v>2608</v>
      </c>
      <c r="J2690">
        <v>4164</v>
      </c>
      <c r="K2690" t="s">
        <v>35</v>
      </c>
      <c r="L2690">
        <v>11</v>
      </c>
      <c r="M2690" t="str">
        <f t="shared" ref="M2690:M2753" si="42">IF(L2690&lt;6,"0-6 Months",IF(L2690&gt;6,"6-12 Months","12+ Months"))</f>
        <v>6-12 Months</v>
      </c>
      <c r="N2690" s="1">
        <v>44942</v>
      </c>
      <c r="O2690">
        <v>1</v>
      </c>
      <c r="P2690">
        <v>2689</v>
      </c>
      <c r="Q2690" s="2">
        <v>0.61</v>
      </c>
      <c r="R2690" t="s">
        <v>27</v>
      </c>
      <c r="S2690">
        <v>2023</v>
      </c>
      <c r="T2690" t="s">
        <v>23</v>
      </c>
    </row>
    <row r="2691" spans="1:20" hidden="1" x14ac:dyDescent="0.3">
      <c r="A2691">
        <v>4470</v>
      </c>
      <c r="B2691">
        <v>198</v>
      </c>
      <c r="C2691" t="s">
        <v>39</v>
      </c>
      <c r="D2691" t="s">
        <v>29</v>
      </c>
      <c r="E2691" t="s">
        <v>26</v>
      </c>
      <c r="F2691" s="1">
        <v>44903</v>
      </c>
      <c r="G2691" s="1">
        <v>45114</v>
      </c>
      <c r="H2691">
        <v>500</v>
      </c>
      <c r="I2691">
        <v>5525</v>
      </c>
      <c r="J2691">
        <v>-5025</v>
      </c>
      <c r="K2691" t="s">
        <v>54</v>
      </c>
      <c r="L2691">
        <v>6</v>
      </c>
      <c r="M2691" t="str">
        <f t="shared" si="42"/>
        <v>12+ Months</v>
      </c>
      <c r="N2691" s="1">
        <v>45114</v>
      </c>
      <c r="O2691">
        <v>0</v>
      </c>
      <c r="P2691">
        <v>2690</v>
      </c>
      <c r="Q2691" s="2">
        <v>-10.050000000000001</v>
      </c>
      <c r="R2691" t="s">
        <v>22</v>
      </c>
      <c r="S2691">
        <v>2023</v>
      </c>
      <c r="T2691" t="s">
        <v>44</v>
      </c>
    </row>
    <row r="2692" spans="1:20" x14ac:dyDescent="0.3">
      <c r="A2692">
        <v>4472</v>
      </c>
      <c r="B2692">
        <v>448</v>
      </c>
      <c r="C2692" t="s">
        <v>53</v>
      </c>
      <c r="D2692" t="s">
        <v>34</v>
      </c>
      <c r="E2692" t="s">
        <v>26</v>
      </c>
      <c r="F2692" s="1">
        <v>44572</v>
      </c>
      <c r="G2692" s="1">
        <v>44611</v>
      </c>
      <c r="H2692">
        <v>542</v>
      </c>
      <c r="I2692">
        <v>4099</v>
      </c>
      <c r="J2692">
        <v>-3557</v>
      </c>
      <c r="K2692" t="s">
        <v>35</v>
      </c>
      <c r="L2692">
        <v>1</v>
      </c>
      <c r="M2692" t="str">
        <f t="shared" si="42"/>
        <v>0-6 Months</v>
      </c>
      <c r="N2692" s="1">
        <v>44611</v>
      </c>
      <c r="O2692">
        <v>0</v>
      </c>
      <c r="P2692">
        <v>2691</v>
      </c>
      <c r="Q2692" s="2">
        <v>-6.56</v>
      </c>
      <c r="R2692" t="s">
        <v>22</v>
      </c>
      <c r="S2692">
        <v>2022</v>
      </c>
      <c r="T2692" t="s">
        <v>43</v>
      </c>
    </row>
    <row r="2693" spans="1:20" hidden="1" x14ac:dyDescent="0.3">
      <c r="A2693">
        <v>4473</v>
      </c>
      <c r="B2693">
        <v>375</v>
      </c>
      <c r="C2693" t="s">
        <v>53</v>
      </c>
      <c r="D2693" t="s">
        <v>25</v>
      </c>
      <c r="E2693" t="s">
        <v>20</v>
      </c>
      <c r="F2693" s="1">
        <v>44716</v>
      </c>
      <c r="G2693" s="1">
        <v>44908</v>
      </c>
      <c r="H2693">
        <v>4967.93</v>
      </c>
      <c r="I2693">
        <v>1476</v>
      </c>
      <c r="J2693">
        <v>-3279</v>
      </c>
      <c r="K2693" t="s">
        <v>54</v>
      </c>
      <c r="L2693">
        <v>6</v>
      </c>
      <c r="M2693" t="str">
        <f t="shared" si="42"/>
        <v>12+ Months</v>
      </c>
      <c r="N2693" s="1">
        <v>44908</v>
      </c>
      <c r="O2693">
        <v>1</v>
      </c>
      <c r="P2693">
        <v>2692</v>
      </c>
      <c r="Q2693" s="2">
        <v>-0.66</v>
      </c>
      <c r="R2693" t="s">
        <v>27</v>
      </c>
      <c r="S2693">
        <v>2022</v>
      </c>
      <c r="T2693" t="s">
        <v>31</v>
      </c>
    </row>
    <row r="2694" spans="1:20" x14ac:dyDescent="0.3">
      <c r="A2694">
        <v>4474</v>
      </c>
      <c r="B2694">
        <v>314</v>
      </c>
      <c r="C2694" t="s">
        <v>53</v>
      </c>
      <c r="D2694" t="s">
        <v>25</v>
      </c>
      <c r="E2694" t="s">
        <v>37</v>
      </c>
      <c r="F2694" s="1">
        <v>44882</v>
      </c>
      <c r="G2694" s="1">
        <v>45378</v>
      </c>
      <c r="H2694">
        <v>9981</v>
      </c>
      <c r="I2694">
        <v>601</v>
      </c>
      <c r="J2694">
        <v>9380</v>
      </c>
      <c r="K2694" t="s">
        <v>35</v>
      </c>
      <c r="L2694">
        <v>16</v>
      </c>
      <c r="M2694" t="str">
        <f t="shared" si="42"/>
        <v>6-12 Months</v>
      </c>
      <c r="N2694" s="1">
        <v>45378</v>
      </c>
      <c r="O2694">
        <v>1</v>
      </c>
      <c r="P2694">
        <v>2693</v>
      </c>
      <c r="Q2694" s="2">
        <v>0.94</v>
      </c>
      <c r="R2694" t="s">
        <v>27</v>
      </c>
      <c r="S2694">
        <v>2024</v>
      </c>
      <c r="T2694" t="s">
        <v>38</v>
      </c>
    </row>
    <row r="2695" spans="1:20" x14ac:dyDescent="0.3">
      <c r="A2695">
        <v>4478</v>
      </c>
      <c r="B2695">
        <v>209</v>
      </c>
      <c r="C2695" t="s">
        <v>53</v>
      </c>
      <c r="D2695" t="s">
        <v>34</v>
      </c>
      <c r="E2695" t="s">
        <v>37</v>
      </c>
      <c r="F2695" s="1">
        <v>44691</v>
      </c>
      <c r="G2695" s="1">
        <v>45017</v>
      </c>
      <c r="H2695">
        <v>7217</v>
      </c>
      <c r="I2695">
        <v>7589</v>
      </c>
      <c r="J2695">
        <v>-372</v>
      </c>
      <c r="K2695" t="s">
        <v>35</v>
      </c>
      <c r="L2695">
        <v>10</v>
      </c>
      <c r="M2695" t="str">
        <f t="shared" si="42"/>
        <v>6-12 Months</v>
      </c>
      <c r="N2695" s="1">
        <v>45017</v>
      </c>
      <c r="O2695">
        <v>0</v>
      </c>
      <c r="P2695">
        <v>2694</v>
      </c>
      <c r="Q2695" s="2">
        <v>-0.05</v>
      </c>
      <c r="R2695" t="s">
        <v>27</v>
      </c>
      <c r="S2695">
        <v>2023</v>
      </c>
      <c r="T2695" t="s">
        <v>32</v>
      </c>
    </row>
    <row r="2696" spans="1:20" hidden="1" x14ac:dyDescent="0.3">
      <c r="A2696">
        <v>4479</v>
      </c>
      <c r="B2696">
        <v>417</v>
      </c>
      <c r="C2696" t="s">
        <v>40</v>
      </c>
      <c r="D2696" t="s">
        <v>19</v>
      </c>
      <c r="E2696" t="s">
        <v>20</v>
      </c>
      <c r="F2696" s="1">
        <v>44845</v>
      </c>
      <c r="G2696" s="1">
        <v>45211</v>
      </c>
      <c r="H2696">
        <v>340</v>
      </c>
      <c r="I2696">
        <v>4012.75</v>
      </c>
      <c r="J2696">
        <v>443</v>
      </c>
      <c r="K2696" t="s">
        <v>54</v>
      </c>
      <c r="L2696">
        <v>12</v>
      </c>
      <c r="M2696" t="str">
        <f t="shared" si="42"/>
        <v>6-12 Months</v>
      </c>
      <c r="N2696" s="1">
        <v>45211</v>
      </c>
      <c r="O2696">
        <v>0</v>
      </c>
      <c r="P2696">
        <v>2695</v>
      </c>
      <c r="Q2696" s="2">
        <v>1.3</v>
      </c>
      <c r="R2696" t="s">
        <v>22</v>
      </c>
      <c r="S2696">
        <v>2023</v>
      </c>
      <c r="T2696" t="s">
        <v>33</v>
      </c>
    </row>
    <row r="2697" spans="1:20" hidden="1" x14ac:dyDescent="0.3">
      <c r="A2697">
        <v>4480</v>
      </c>
      <c r="B2697">
        <v>421</v>
      </c>
      <c r="C2697" t="s">
        <v>40</v>
      </c>
      <c r="D2697" t="s">
        <v>25</v>
      </c>
      <c r="E2697" t="s">
        <v>37</v>
      </c>
      <c r="F2697" s="1">
        <v>44734</v>
      </c>
      <c r="G2697" s="1">
        <v>45287</v>
      </c>
      <c r="H2697">
        <v>4967.93</v>
      </c>
      <c r="I2697">
        <v>3361</v>
      </c>
      <c r="J2697">
        <v>577.01</v>
      </c>
      <c r="K2697" t="s">
        <v>54</v>
      </c>
      <c r="L2697">
        <v>18</v>
      </c>
      <c r="M2697" t="str">
        <f t="shared" si="42"/>
        <v>6-12 Months</v>
      </c>
      <c r="N2697" s="1">
        <v>45287</v>
      </c>
      <c r="O2697">
        <v>1</v>
      </c>
      <c r="P2697">
        <v>2696</v>
      </c>
      <c r="Q2697" s="2">
        <v>0.12</v>
      </c>
      <c r="R2697" t="s">
        <v>27</v>
      </c>
      <c r="S2697">
        <v>2023</v>
      </c>
      <c r="T2697" t="s">
        <v>31</v>
      </c>
    </row>
    <row r="2698" spans="1:20" hidden="1" x14ac:dyDescent="0.3">
      <c r="A2698">
        <v>4481</v>
      </c>
      <c r="B2698">
        <v>128</v>
      </c>
      <c r="C2698" t="s">
        <v>24</v>
      </c>
      <c r="D2698" t="s">
        <v>29</v>
      </c>
      <c r="E2698" t="s">
        <v>20</v>
      </c>
      <c r="F2698" s="1">
        <v>44813</v>
      </c>
      <c r="G2698" s="1">
        <v>45292</v>
      </c>
      <c r="H2698">
        <v>4967.93</v>
      </c>
      <c r="I2698">
        <v>4012.75</v>
      </c>
      <c r="J2698">
        <v>-1638</v>
      </c>
      <c r="K2698" t="s">
        <v>54</v>
      </c>
      <c r="L2698">
        <v>15</v>
      </c>
      <c r="M2698" t="str">
        <f t="shared" si="42"/>
        <v>6-12 Months</v>
      </c>
      <c r="N2698" s="1">
        <v>45292</v>
      </c>
      <c r="O2698">
        <v>1</v>
      </c>
      <c r="P2698">
        <v>2697</v>
      </c>
      <c r="Q2698" s="2">
        <v>-0.33</v>
      </c>
      <c r="R2698" t="s">
        <v>27</v>
      </c>
      <c r="S2698">
        <v>2024</v>
      </c>
      <c r="T2698" t="s">
        <v>23</v>
      </c>
    </row>
    <row r="2699" spans="1:20" hidden="1" x14ac:dyDescent="0.3">
      <c r="A2699">
        <v>4483</v>
      </c>
      <c r="B2699">
        <v>288</v>
      </c>
      <c r="C2699" t="s">
        <v>40</v>
      </c>
      <c r="D2699" t="s">
        <v>19</v>
      </c>
      <c r="E2699" t="s">
        <v>37</v>
      </c>
      <c r="F2699" s="1">
        <v>44891</v>
      </c>
      <c r="G2699" s="1">
        <v>45428</v>
      </c>
      <c r="H2699">
        <v>532</v>
      </c>
      <c r="I2699">
        <v>2841</v>
      </c>
      <c r="J2699">
        <v>-2309</v>
      </c>
      <c r="K2699" t="s">
        <v>21</v>
      </c>
      <c r="L2699">
        <v>17</v>
      </c>
      <c r="M2699" t="str">
        <f t="shared" si="42"/>
        <v>6-12 Months</v>
      </c>
      <c r="N2699" s="1">
        <v>45428</v>
      </c>
      <c r="O2699">
        <v>1</v>
      </c>
      <c r="P2699">
        <v>2698</v>
      </c>
      <c r="Q2699" s="2">
        <v>-4.34</v>
      </c>
      <c r="R2699" t="s">
        <v>22</v>
      </c>
      <c r="S2699">
        <v>2024</v>
      </c>
      <c r="T2699" t="s">
        <v>28</v>
      </c>
    </row>
    <row r="2700" spans="1:20" hidden="1" x14ac:dyDescent="0.3">
      <c r="A2700">
        <v>4484</v>
      </c>
      <c r="B2700">
        <v>312</v>
      </c>
      <c r="C2700" t="s">
        <v>53</v>
      </c>
      <c r="D2700" t="s">
        <v>34</v>
      </c>
      <c r="E2700" t="s">
        <v>26</v>
      </c>
      <c r="F2700" s="1">
        <v>44581</v>
      </c>
      <c r="G2700" s="1">
        <v>44967</v>
      </c>
      <c r="H2700">
        <v>4129</v>
      </c>
      <c r="I2700">
        <v>2761</v>
      </c>
      <c r="J2700">
        <v>1368</v>
      </c>
      <c r="K2700" t="s">
        <v>54</v>
      </c>
      <c r="L2700">
        <v>12</v>
      </c>
      <c r="M2700" t="str">
        <f t="shared" si="42"/>
        <v>6-12 Months</v>
      </c>
      <c r="N2700" s="1">
        <v>44967</v>
      </c>
      <c r="O2700">
        <v>1</v>
      </c>
      <c r="P2700">
        <v>2699</v>
      </c>
      <c r="Q2700" s="2">
        <v>0.33</v>
      </c>
      <c r="R2700" t="s">
        <v>27</v>
      </c>
      <c r="S2700">
        <v>2023</v>
      </c>
      <c r="T2700" t="s">
        <v>43</v>
      </c>
    </row>
    <row r="2701" spans="1:20" hidden="1" x14ac:dyDescent="0.3">
      <c r="A2701">
        <v>4485</v>
      </c>
      <c r="B2701">
        <v>204</v>
      </c>
      <c r="C2701" t="s">
        <v>39</v>
      </c>
      <c r="D2701" t="s">
        <v>19</v>
      </c>
      <c r="E2701" t="s">
        <v>37</v>
      </c>
      <c r="F2701" s="1">
        <v>44807</v>
      </c>
      <c r="G2701" s="1">
        <v>44898</v>
      </c>
      <c r="H2701">
        <v>9691</v>
      </c>
      <c r="I2701">
        <v>6507</v>
      </c>
      <c r="J2701">
        <v>3184</v>
      </c>
      <c r="K2701" t="s">
        <v>54</v>
      </c>
      <c r="L2701">
        <v>3</v>
      </c>
      <c r="M2701" t="str">
        <f t="shared" si="42"/>
        <v>0-6 Months</v>
      </c>
      <c r="N2701" s="1">
        <v>44898</v>
      </c>
      <c r="O2701">
        <v>0</v>
      </c>
      <c r="P2701">
        <v>2700</v>
      </c>
      <c r="Q2701" s="2">
        <v>0.33</v>
      </c>
      <c r="R2701" t="s">
        <v>27</v>
      </c>
      <c r="S2701">
        <v>2022</v>
      </c>
      <c r="T2701" t="s">
        <v>31</v>
      </c>
    </row>
    <row r="2702" spans="1:20" hidden="1" x14ac:dyDescent="0.3">
      <c r="A2702">
        <v>4487</v>
      </c>
      <c r="B2702">
        <v>271</v>
      </c>
      <c r="C2702" t="s">
        <v>39</v>
      </c>
      <c r="D2702" t="s">
        <v>25</v>
      </c>
      <c r="E2702" t="s">
        <v>20</v>
      </c>
      <c r="F2702" s="1">
        <v>44733</v>
      </c>
      <c r="G2702" s="1">
        <v>45325</v>
      </c>
      <c r="H2702">
        <v>6308</v>
      </c>
      <c r="I2702">
        <v>7756</v>
      </c>
      <c r="J2702">
        <v>-1448</v>
      </c>
      <c r="K2702" t="s">
        <v>54</v>
      </c>
      <c r="L2702">
        <v>19</v>
      </c>
      <c r="M2702" t="str">
        <f t="shared" si="42"/>
        <v>6-12 Months</v>
      </c>
      <c r="N2702" s="1">
        <v>45325</v>
      </c>
      <c r="O2702">
        <v>0</v>
      </c>
      <c r="P2702">
        <v>2701</v>
      </c>
      <c r="Q2702" s="2">
        <v>-0.23</v>
      </c>
      <c r="R2702" t="s">
        <v>27</v>
      </c>
      <c r="S2702">
        <v>2024</v>
      </c>
      <c r="T2702" t="s">
        <v>43</v>
      </c>
    </row>
    <row r="2703" spans="1:20" x14ac:dyDescent="0.3">
      <c r="A2703">
        <v>4490</v>
      </c>
      <c r="B2703">
        <v>171</v>
      </c>
      <c r="C2703" t="s">
        <v>40</v>
      </c>
      <c r="D2703" t="s">
        <v>25</v>
      </c>
      <c r="E2703" t="s">
        <v>20</v>
      </c>
      <c r="F2703" s="1">
        <v>44714</v>
      </c>
      <c r="G2703" s="1">
        <v>44949</v>
      </c>
      <c r="H2703">
        <v>9141</v>
      </c>
      <c r="I2703">
        <v>7582</v>
      </c>
      <c r="J2703">
        <v>1559</v>
      </c>
      <c r="K2703" t="s">
        <v>35</v>
      </c>
      <c r="L2703">
        <v>7</v>
      </c>
      <c r="M2703" t="str">
        <f t="shared" si="42"/>
        <v>6-12 Months</v>
      </c>
      <c r="N2703" s="1">
        <v>44949</v>
      </c>
      <c r="O2703">
        <v>1</v>
      </c>
      <c r="P2703">
        <v>2702</v>
      </c>
      <c r="Q2703" s="2">
        <v>0.17</v>
      </c>
      <c r="R2703" t="s">
        <v>27</v>
      </c>
      <c r="S2703">
        <v>2023</v>
      </c>
      <c r="T2703" t="s">
        <v>23</v>
      </c>
    </row>
    <row r="2704" spans="1:20" hidden="1" x14ac:dyDescent="0.3">
      <c r="A2704">
        <v>4491</v>
      </c>
      <c r="B2704">
        <v>321</v>
      </c>
      <c r="C2704" t="s">
        <v>45</v>
      </c>
      <c r="D2704" t="s">
        <v>29</v>
      </c>
      <c r="E2704" t="s">
        <v>37</v>
      </c>
      <c r="F2704" s="1">
        <v>44650</v>
      </c>
      <c r="G2704" s="1">
        <v>44844</v>
      </c>
      <c r="H2704">
        <v>7082</v>
      </c>
      <c r="I2704">
        <v>6307</v>
      </c>
      <c r="J2704">
        <v>775</v>
      </c>
      <c r="K2704" t="s">
        <v>21</v>
      </c>
      <c r="L2704">
        <v>6</v>
      </c>
      <c r="M2704" t="str">
        <f t="shared" si="42"/>
        <v>12+ Months</v>
      </c>
      <c r="N2704" s="1">
        <v>44844</v>
      </c>
      <c r="O2704">
        <v>1</v>
      </c>
      <c r="P2704">
        <v>2703</v>
      </c>
      <c r="Q2704" s="2">
        <v>0.11</v>
      </c>
      <c r="R2704" t="s">
        <v>27</v>
      </c>
      <c r="S2704">
        <v>2022</v>
      </c>
      <c r="T2704" t="s">
        <v>33</v>
      </c>
    </row>
    <row r="2705" spans="1:20" hidden="1" x14ac:dyDescent="0.3">
      <c r="A2705">
        <v>4492</v>
      </c>
      <c r="B2705">
        <v>323</v>
      </c>
      <c r="C2705" t="s">
        <v>40</v>
      </c>
      <c r="D2705" t="s">
        <v>19</v>
      </c>
      <c r="E2705" t="s">
        <v>20</v>
      </c>
      <c r="F2705" s="1">
        <v>44592</v>
      </c>
      <c r="G2705" s="1">
        <v>44645</v>
      </c>
      <c r="H2705">
        <v>3697</v>
      </c>
      <c r="I2705">
        <v>7012</v>
      </c>
      <c r="J2705">
        <v>-3315</v>
      </c>
      <c r="K2705" t="s">
        <v>21</v>
      </c>
      <c r="L2705">
        <v>1</v>
      </c>
      <c r="M2705" t="str">
        <f t="shared" si="42"/>
        <v>0-6 Months</v>
      </c>
      <c r="N2705" s="1">
        <v>44645</v>
      </c>
      <c r="O2705">
        <v>1</v>
      </c>
      <c r="P2705">
        <v>2704</v>
      </c>
      <c r="Q2705" s="2">
        <v>-0.9</v>
      </c>
      <c r="R2705" t="s">
        <v>27</v>
      </c>
      <c r="S2705">
        <v>2022</v>
      </c>
      <c r="T2705" t="s">
        <v>38</v>
      </c>
    </row>
    <row r="2706" spans="1:20" hidden="1" x14ac:dyDescent="0.3">
      <c r="A2706">
        <v>4493</v>
      </c>
      <c r="B2706">
        <v>255</v>
      </c>
      <c r="C2706" t="s">
        <v>39</v>
      </c>
      <c r="D2706" t="s">
        <v>25</v>
      </c>
      <c r="E2706" t="s">
        <v>26</v>
      </c>
      <c r="F2706" s="1">
        <v>44854</v>
      </c>
      <c r="G2706" s="1">
        <v>45163</v>
      </c>
      <c r="H2706">
        <v>719</v>
      </c>
      <c r="I2706">
        <v>3944</v>
      </c>
      <c r="J2706">
        <v>-3225</v>
      </c>
      <c r="K2706" t="s">
        <v>54</v>
      </c>
      <c r="L2706">
        <v>10</v>
      </c>
      <c r="M2706" t="str">
        <f t="shared" si="42"/>
        <v>6-12 Months</v>
      </c>
      <c r="N2706" s="1">
        <v>45163</v>
      </c>
      <c r="O2706">
        <v>0</v>
      </c>
      <c r="P2706">
        <v>2705</v>
      </c>
      <c r="Q2706" s="2">
        <v>-4.49</v>
      </c>
      <c r="R2706" t="s">
        <v>22</v>
      </c>
      <c r="S2706">
        <v>2023</v>
      </c>
      <c r="T2706" t="s">
        <v>36</v>
      </c>
    </row>
    <row r="2707" spans="1:20" x14ac:dyDescent="0.3">
      <c r="A2707">
        <v>4494</v>
      </c>
      <c r="B2707">
        <v>387</v>
      </c>
      <c r="C2707" t="s">
        <v>45</v>
      </c>
      <c r="D2707" t="s">
        <v>29</v>
      </c>
      <c r="E2707" t="s">
        <v>20</v>
      </c>
      <c r="F2707" s="1">
        <v>44866</v>
      </c>
      <c r="G2707" s="1">
        <v>45166</v>
      </c>
      <c r="H2707">
        <v>9479</v>
      </c>
      <c r="I2707">
        <v>862</v>
      </c>
      <c r="J2707">
        <v>8617</v>
      </c>
      <c r="K2707" t="s">
        <v>35</v>
      </c>
      <c r="L2707">
        <v>9</v>
      </c>
      <c r="M2707" t="str">
        <f t="shared" si="42"/>
        <v>6-12 Months</v>
      </c>
      <c r="N2707" s="1">
        <v>45166</v>
      </c>
      <c r="O2707">
        <v>0</v>
      </c>
      <c r="P2707">
        <v>2706</v>
      </c>
      <c r="Q2707" s="2">
        <v>0.91</v>
      </c>
      <c r="R2707" t="s">
        <v>27</v>
      </c>
      <c r="S2707">
        <v>2023</v>
      </c>
      <c r="T2707" t="s">
        <v>36</v>
      </c>
    </row>
    <row r="2708" spans="1:20" hidden="1" x14ac:dyDescent="0.3">
      <c r="A2708">
        <v>4495</v>
      </c>
      <c r="B2708">
        <v>438</v>
      </c>
      <c r="C2708" t="s">
        <v>39</v>
      </c>
      <c r="D2708" t="s">
        <v>29</v>
      </c>
      <c r="E2708" t="s">
        <v>26</v>
      </c>
      <c r="F2708" s="1">
        <v>44640</v>
      </c>
      <c r="G2708" s="1">
        <v>45065</v>
      </c>
      <c r="H2708">
        <v>2160</v>
      </c>
      <c r="I2708">
        <v>6632</v>
      </c>
      <c r="J2708">
        <v>-4472</v>
      </c>
      <c r="K2708" t="s">
        <v>21</v>
      </c>
      <c r="L2708">
        <v>13</v>
      </c>
      <c r="M2708" t="str">
        <f t="shared" si="42"/>
        <v>6-12 Months</v>
      </c>
      <c r="N2708" s="1">
        <v>45065</v>
      </c>
      <c r="O2708">
        <v>0</v>
      </c>
      <c r="P2708">
        <v>2707</v>
      </c>
      <c r="Q2708" s="2">
        <v>-2.0699999999999998</v>
      </c>
      <c r="R2708" t="s">
        <v>22</v>
      </c>
      <c r="S2708">
        <v>2023</v>
      </c>
      <c r="T2708" t="s">
        <v>28</v>
      </c>
    </row>
    <row r="2709" spans="1:20" hidden="1" x14ac:dyDescent="0.3">
      <c r="A2709">
        <v>4497</v>
      </c>
      <c r="B2709">
        <v>235</v>
      </c>
      <c r="C2709" t="s">
        <v>39</v>
      </c>
      <c r="D2709" t="s">
        <v>29</v>
      </c>
      <c r="E2709" t="s">
        <v>26</v>
      </c>
      <c r="F2709" s="1">
        <v>44926</v>
      </c>
      <c r="G2709" s="1">
        <v>44964</v>
      </c>
      <c r="H2709">
        <v>3533</v>
      </c>
      <c r="I2709">
        <v>3761</v>
      </c>
      <c r="J2709">
        <v>577.01</v>
      </c>
      <c r="K2709" t="s">
        <v>21</v>
      </c>
      <c r="L2709">
        <v>1</v>
      </c>
      <c r="M2709" t="str">
        <f t="shared" si="42"/>
        <v>0-6 Months</v>
      </c>
      <c r="N2709" s="1">
        <v>44964</v>
      </c>
      <c r="O2709">
        <v>1</v>
      </c>
      <c r="P2709">
        <v>2708</v>
      </c>
      <c r="Q2709" s="2">
        <v>0.16</v>
      </c>
      <c r="R2709" t="s">
        <v>27</v>
      </c>
      <c r="S2709">
        <v>2023</v>
      </c>
      <c r="T2709" t="s">
        <v>43</v>
      </c>
    </row>
    <row r="2710" spans="1:20" hidden="1" x14ac:dyDescent="0.3">
      <c r="A2710">
        <v>4499</v>
      </c>
      <c r="B2710">
        <v>254</v>
      </c>
      <c r="C2710" t="s">
        <v>53</v>
      </c>
      <c r="D2710" t="s">
        <v>25</v>
      </c>
      <c r="E2710" t="s">
        <v>37</v>
      </c>
      <c r="F2710" s="1">
        <v>44673</v>
      </c>
      <c r="G2710" s="1">
        <v>44955</v>
      </c>
      <c r="H2710">
        <v>6933</v>
      </c>
      <c r="I2710">
        <v>4012.75</v>
      </c>
      <c r="J2710">
        <v>7824</v>
      </c>
      <c r="K2710" t="s">
        <v>54</v>
      </c>
      <c r="L2710">
        <v>9</v>
      </c>
      <c r="M2710" t="str">
        <f t="shared" si="42"/>
        <v>6-12 Months</v>
      </c>
      <c r="N2710" s="1">
        <v>44955</v>
      </c>
      <c r="O2710">
        <v>0</v>
      </c>
      <c r="P2710">
        <v>2709</v>
      </c>
      <c r="Q2710" s="2">
        <v>1.1299999999999999</v>
      </c>
      <c r="R2710" t="s">
        <v>22</v>
      </c>
      <c r="S2710">
        <v>2023</v>
      </c>
      <c r="T2710" t="s">
        <v>23</v>
      </c>
    </row>
    <row r="2711" spans="1:20" hidden="1" x14ac:dyDescent="0.3">
      <c r="A2711">
        <v>4500</v>
      </c>
      <c r="B2711">
        <v>280</v>
      </c>
      <c r="C2711" t="s">
        <v>53</v>
      </c>
      <c r="D2711" t="s">
        <v>25</v>
      </c>
      <c r="E2711" t="s">
        <v>26</v>
      </c>
      <c r="F2711" s="1">
        <v>44577</v>
      </c>
      <c r="G2711" s="1">
        <v>44793</v>
      </c>
      <c r="H2711">
        <v>3804</v>
      </c>
      <c r="I2711">
        <v>5661</v>
      </c>
      <c r="J2711">
        <v>-1857</v>
      </c>
      <c r="K2711" t="s">
        <v>54</v>
      </c>
      <c r="L2711">
        <v>7</v>
      </c>
      <c r="M2711" t="str">
        <f t="shared" si="42"/>
        <v>6-12 Months</v>
      </c>
      <c r="N2711" s="1">
        <v>44793</v>
      </c>
      <c r="O2711">
        <v>1</v>
      </c>
      <c r="P2711">
        <v>2710</v>
      </c>
      <c r="Q2711" s="2">
        <v>-0.49</v>
      </c>
      <c r="R2711" t="s">
        <v>27</v>
      </c>
      <c r="S2711">
        <v>2022</v>
      </c>
      <c r="T2711" t="s">
        <v>36</v>
      </c>
    </row>
    <row r="2712" spans="1:20" hidden="1" x14ac:dyDescent="0.3">
      <c r="A2712">
        <v>4503</v>
      </c>
      <c r="B2712">
        <v>311</v>
      </c>
      <c r="C2712" t="s">
        <v>45</v>
      </c>
      <c r="D2712" t="s">
        <v>25</v>
      </c>
      <c r="E2712" t="s">
        <v>37</v>
      </c>
      <c r="F2712" s="1">
        <v>44580</v>
      </c>
      <c r="G2712" s="1">
        <v>44999</v>
      </c>
      <c r="H2712">
        <v>4204</v>
      </c>
      <c r="I2712">
        <v>7657</v>
      </c>
      <c r="J2712">
        <v>577.01</v>
      </c>
      <c r="K2712" t="s">
        <v>54</v>
      </c>
      <c r="L2712">
        <v>13</v>
      </c>
      <c r="M2712" t="str">
        <f t="shared" si="42"/>
        <v>6-12 Months</v>
      </c>
      <c r="N2712" s="1">
        <v>44999</v>
      </c>
      <c r="O2712">
        <v>1</v>
      </c>
      <c r="P2712">
        <v>2711</v>
      </c>
      <c r="Q2712" s="2">
        <v>0.14000000000000001</v>
      </c>
      <c r="R2712" t="s">
        <v>27</v>
      </c>
      <c r="S2712">
        <v>2023</v>
      </c>
      <c r="T2712" t="s">
        <v>38</v>
      </c>
    </row>
    <row r="2713" spans="1:20" x14ac:dyDescent="0.3">
      <c r="A2713">
        <v>4507</v>
      </c>
      <c r="B2713">
        <v>419</v>
      </c>
      <c r="C2713" t="s">
        <v>40</v>
      </c>
      <c r="D2713" t="s">
        <v>19</v>
      </c>
      <c r="E2713" t="s">
        <v>37</v>
      </c>
      <c r="F2713" s="1">
        <v>44873</v>
      </c>
      <c r="G2713" s="1">
        <v>45099</v>
      </c>
      <c r="H2713">
        <v>992</v>
      </c>
      <c r="I2713">
        <v>3618</v>
      </c>
      <c r="J2713">
        <v>-2626</v>
      </c>
      <c r="K2713" t="s">
        <v>35</v>
      </c>
      <c r="L2713">
        <v>7</v>
      </c>
      <c r="M2713" t="str">
        <f t="shared" si="42"/>
        <v>6-12 Months</v>
      </c>
      <c r="N2713" s="1">
        <v>45099</v>
      </c>
      <c r="O2713">
        <v>0</v>
      </c>
      <c r="P2713">
        <v>2712</v>
      </c>
      <c r="Q2713" s="2">
        <v>-2.65</v>
      </c>
      <c r="R2713" t="s">
        <v>22</v>
      </c>
      <c r="S2713">
        <v>2023</v>
      </c>
      <c r="T2713" t="s">
        <v>41</v>
      </c>
    </row>
    <row r="2714" spans="1:20" hidden="1" x14ac:dyDescent="0.3">
      <c r="A2714">
        <v>4509</v>
      </c>
      <c r="B2714">
        <v>349</v>
      </c>
      <c r="C2714" t="s">
        <v>53</v>
      </c>
      <c r="D2714" t="s">
        <v>29</v>
      </c>
      <c r="E2714" t="s">
        <v>26</v>
      </c>
      <c r="F2714" s="1">
        <v>44684</v>
      </c>
      <c r="G2714" s="1">
        <v>45097</v>
      </c>
      <c r="H2714">
        <v>2384</v>
      </c>
      <c r="I2714">
        <v>3549</v>
      </c>
      <c r="J2714">
        <v>-1165</v>
      </c>
      <c r="K2714" t="s">
        <v>54</v>
      </c>
      <c r="L2714">
        <v>13</v>
      </c>
      <c r="M2714" t="str">
        <f t="shared" si="42"/>
        <v>6-12 Months</v>
      </c>
      <c r="N2714" s="1">
        <v>45097</v>
      </c>
      <c r="O2714">
        <v>0</v>
      </c>
      <c r="P2714">
        <v>2713</v>
      </c>
      <c r="Q2714" s="2">
        <v>-0.49</v>
      </c>
      <c r="R2714" t="s">
        <v>27</v>
      </c>
      <c r="S2714">
        <v>2023</v>
      </c>
      <c r="T2714" t="s">
        <v>41</v>
      </c>
    </row>
    <row r="2715" spans="1:20" hidden="1" x14ac:dyDescent="0.3">
      <c r="A2715">
        <v>4510</v>
      </c>
      <c r="B2715">
        <v>328</v>
      </c>
      <c r="C2715" t="s">
        <v>39</v>
      </c>
      <c r="D2715" t="s">
        <v>29</v>
      </c>
      <c r="E2715" t="s">
        <v>20</v>
      </c>
      <c r="F2715" s="1">
        <v>44635</v>
      </c>
      <c r="G2715" s="1">
        <v>44712</v>
      </c>
      <c r="H2715">
        <v>6352</v>
      </c>
      <c r="I2715">
        <v>1292</v>
      </c>
      <c r="J2715">
        <v>5060</v>
      </c>
      <c r="K2715" t="s">
        <v>21</v>
      </c>
      <c r="L2715">
        <v>2</v>
      </c>
      <c r="M2715" t="str">
        <f t="shared" si="42"/>
        <v>0-6 Months</v>
      </c>
      <c r="N2715" s="1">
        <v>44712</v>
      </c>
      <c r="O2715">
        <v>0</v>
      </c>
      <c r="P2715">
        <v>2714</v>
      </c>
      <c r="Q2715" s="2">
        <v>0.8</v>
      </c>
      <c r="R2715" t="s">
        <v>27</v>
      </c>
      <c r="S2715">
        <v>2022</v>
      </c>
      <c r="T2715" t="s">
        <v>28</v>
      </c>
    </row>
    <row r="2716" spans="1:20" hidden="1" x14ac:dyDescent="0.3">
      <c r="A2716">
        <v>4512</v>
      </c>
      <c r="B2716">
        <v>275</v>
      </c>
      <c r="C2716" t="s">
        <v>40</v>
      </c>
      <c r="D2716" t="s">
        <v>25</v>
      </c>
      <c r="E2716" t="s">
        <v>20</v>
      </c>
      <c r="F2716" s="1">
        <v>44622</v>
      </c>
      <c r="G2716" s="1">
        <v>44716</v>
      </c>
      <c r="H2716">
        <v>1472</v>
      </c>
      <c r="I2716">
        <v>245</v>
      </c>
      <c r="J2716">
        <v>1227</v>
      </c>
      <c r="K2716" t="s">
        <v>54</v>
      </c>
      <c r="L2716">
        <v>3</v>
      </c>
      <c r="M2716" t="str">
        <f t="shared" si="42"/>
        <v>0-6 Months</v>
      </c>
      <c r="N2716" s="1">
        <v>44716</v>
      </c>
      <c r="O2716">
        <v>1</v>
      </c>
      <c r="P2716">
        <v>2715</v>
      </c>
      <c r="Q2716" s="2">
        <v>0.83</v>
      </c>
      <c r="R2716" t="s">
        <v>27</v>
      </c>
      <c r="S2716">
        <v>2022</v>
      </c>
      <c r="T2716" t="s">
        <v>41</v>
      </c>
    </row>
    <row r="2717" spans="1:20" x14ac:dyDescent="0.3">
      <c r="A2717">
        <v>4513</v>
      </c>
      <c r="B2717">
        <v>374</v>
      </c>
      <c r="C2717" t="s">
        <v>40</v>
      </c>
      <c r="D2717" t="s">
        <v>34</v>
      </c>
      <c r="E2717" t="s">
        <v>37</v>
      </c>
      <c r="F2717" s="1">
        <v>44734</v>
      </c>
      <c r="G2717" s="1">
        <v>45235</v>
      </c>
      <c r="H2717">
        <v>7043</v>
      </c>
      <c r="I2717">
        <v>2446</v>
      </c>
      <c r="J2717">
        <v>4597</v>
      </c>
      <c r="K2717" t="s">
        <v>35</v>
      </c>
      <c r="L2717">
        <v>16</v>
      </c>
      <c r="M2717" t="str">
        <f t="shared" si="42"/>
        <v>6-12 Months</v>
      </c>
      <c r="N2717" s="1">
        <v>45235</v>
      </c>
      <c r="O2717">
        <v>1</v>
      </c>
      <c r="P2717">
        <v>2716</v>
      </c>
      <c r="Q2717" s="2">
        <v>0.65</v>
      </c>
      <c r="R2717" t="s">
        <v>27</v>
      </c>
      <c r="S2717">
        <v>2023</v>
      </c>
      <c r="T2717" t="s">
        <v>42</v>
      </c>
    </row>
    <row r="2718" spans="1:20" hidden="1" x14ac:dyDescent="0.3">
      <c r="A2718">
        <v>4514</v>
      </c>
      <c r="B2718">
        <v>252</v>
      </c>
      <c r="C2718" t="s">
        <v>53</v>
      </c>
      <c r="D2718" t="s">
        <v>19</v>
      </c>
      <c r="E2718" t="s">
        <v>37</v>
      </c>
      <c r="F2718" s="1">
        <v>44896</v>
      </c>
      <c r="G2718" s="1">
        <v>45097</v>
      </c>
      <c r="H2718">
        <v>6032</v>
      </c>
      <c r="I2718">
        <v>6945</v>
      </c>
      <c r="J2718">
        <v>-913</v>
      </c>
      <c r="K2718" t="s">
        <v>54</v>
      </c>
      <c r="L2718">
        <v>6</v>
      </c>
      <c r="M2718" t="str">
        <f t="shared" si="42"/>
        <v>12+ Months</v>
      </c>
      <c r="N2718" s="1">
        <v>45097</v>
      </c>
      <c r="O2718">
        <v>1</v>
      </c>
      <c r="P2718">
        <v>2717</v>
      </c>
      <c r="Q2718" s="2">
        <v>-0.15</v>
      </c>
      <c r="R2718" t="s">
        <v>27</v>
      </c>
      <c r="S2718">
        <v>2023</v>
      </c>
      <c r="T2718" t="s">
        <v>41</v>
      </c>
    </row>
    <row r="2719" spans="1:20" x14ac:dyDescent="0.3">
      <c r="A2719">
        <v>4516</v>
      </c>
      <c r="B2719">
        <v>326</v>
      </c>
      <c r="C2719" t="s">
        <v>40</v>
      </c>
      <c r="D2719" t="s">
        <v>25</v>
      </c>
      <c r="E2719" t="s">
        <v>37</v>
      </c>
      <c r="F2719" s="1">
        <v>44621</v>
      </c>
      <c r="G2719" s="1">
        <v>44952</v>
      </c>
      <c r="H2719">
        <v>5291</v>
      </c>
      <c r="I2719">
        <v>2396</v>
      </c>
      <c r="J2719">
        <v>2895</v>
      </c>
      <c r="K2719" t="s">
        <v>35</v>
      </c>
      <c r="L2719">
        <v>10</v>
      </c>
      <c r="M2719" t="str">
        <f t="shared" si="42"/>
        <v>6-12 Months</v>
      </c>
      <c r="N2719" s="1">
        <v>44952</v>
      </c>
      <c r="O2719">
        <v>1</v>
      </c>
      <c r="P2719">
        <v>2718</v>
      </c>
      <c r="Q2719" s="2">
        <v>0.55000000000000004</v>
      </c>
      <c r="R2719" t="s">
        <v>27</v>
      </c>
      <c r="S2719">
        <v>2023</v>
      </c>
      <c r="T2719" t="s">
        <v>23</v>
      </c>
    </row>
    <row r="2720" spans="1:20" hidden="1" x14ac:dyDescent="0.3">
      <c r="A2720">
        <v>4518</v>
      </c>
      <c r="B2720">
        <v>256</v>
      </c>
      <c r="C2720" t="s">
        <v>24</v>
      </c>
      <c r="D2720" t="s">
        <v>25</v>
      </c>
      <c r="E2720" t="s">
        <v>26</v>
      </c>
      <c r="F2720" s="1">
        <v>44655</v>
      </c>
      <c r="G2720" s="1">
        <v>44874</v>
      </c>
      <c r="H2720">
        <v>3217</v>
      </c>
      <c r="I2720">
        <v>389</v>
      </c>
      <c r="J2720">
        <v>2828</v>
      </c>
      <c r="K2720" t="s">
        <v>54</v>
      </c>
      <c r="L2720">
        <v>7</v>
      </c>
      <c r="M2720" t="str">
        <f t="shared" si="42"/>
        <v>6-12 Months</v>
      </c>
      <c r="N2720" s="1">
        <v>44874</v>
      </c>
      <c r="O2720">
        <v>1</v>
      </c>
      <c r="P2720">
        <v>2719</v>
      </c>
      <c r="Q2720" s="2">
        <v>0.88</v>
      </c>
      <c r="R2720" t="s">
        <v>27</v>
      </c>
      <c r="S2720">
        <v>2022</v>
      </c>
      <c r="T2720" t="s">
        <v>42</v>
      </c>
    </row>
    <row r="2721" spans="1:20" hidden="1" x14ac:dyDescent="0.3">
      <c r="A2721">
        <v>4521</v>
      </c>
      <c r="B2721">
        <v>482</v>
      </c>
      <c r="C2721" t="s">
        <v>39</v>
      </c>
      <c r="D2721" t="s">
        <v>19</v>
      </c>
      <c r="E2721" t="s">
        <v>20</v>
      </c>
      <c r="F2721" s="1">
        <v>44844</v>
      </c>
      <c r="G2721" s="1">
        <v>45281</v>
      </c>
      <c r="H2721">
        <v>2670</v>
      </c>
      <c r="I2721">
        <v>7327</v>
      </c>
      <c r="J2721">
        <v>-4657</v>
      </c>
      <c r="K2721" t="s">
        <v>54</v>
      </c>
      <c r="L2721">
        <v>14</v>
      </c>
      <c r="M2721" t="str">
        <f t="shared" si="42"/>
        <v>6-12 Months</v>
      </c>
      <c r="N2721" s="1">
        <v>45281</v>
      </c>
      <c r="O2721">
        <v>1</v>
      </c>
      <c r="P2721">
        <v>2720</v>
      </c>
      <c r="Q2721" s="2">
        <v>-1.74</v>
      </c>
      <c r="R2721" t="s">
        <v>22</v>
      </c>
      <c r="S2721">
        <v>2023</v>
      </c>
      <c r="T2721" t="s">
        <v>31</v>
      </c>
    </row>
    <row r="2722" spans="1:20" x14ac:dyDescent="0.3">
      <c r="A2722">
        <v>4522</v>
      </c>
      <c r="B2722">
        <v>130</v>
      </c>
      <c r="C2722" t="s">
        <v>40</v>
      </c>
      <c r="D2722" t="s">
        <v>25</v>
      </c>
      <c r="E2722" t="s">
        <v>37</v>
      </c>
      <c r="F2722" s="1">
        <v>44924</v>
      </c>
      <c r="G2722" s="1">
        <v>45457</v>
      </c>
      <c r="H2722">
        <v>8073</v>
      </c>
      <c r="I2722">
        <v>6606</v>
      </c>
      <c r="J2722">
        <v>1467</v>
      </c>
      <c r="K2722" t="s">
        <v>35</v>
      </c>
      <c r="L2722">
        <v>17</v>
      </c>
      <c r="M2722" t="str">
        <f t="shared" si="42"/>
        <v>6-12 Months</v>
      </c>
      <c r="N2722" s="1">
        <v>45457</v>
      </c>
      <c r="O2722">
        <v>1</v>
      </c>
      <c r="P2722">
        <v>2721</v>
      </c>
      <c r="Q2722" s="2">
        <v>0.18</v>
      </c>
      <c r="R2722" t="s">
        <v>27</v>
      </c>
      <c r="S2722">
        <v>2024</v>
      </c>
      <c r="T2722" t="s">
        <v>41</v>
      </c>
    </row>
    <row r="2723" spans="1:20" hidden="1" x14ac:dyDescent="0.3">
      <c r="A2723">
        <v>4523</v>
      </c>
      <c r="B2723">
        <v>286</v>
      </c>
      <c r="C2723" t="s">
        <v>45</v>
      </c>
      <c r="D2723" t="s">
        <v>34</v>
      </c>
      <c r="E2723" t="s">
        <v>20</v>
      </c>
      <c r="F2723" s="1">
        <v>44677</v>
      </c>
      <c r="G2723" s="1">
        <v>45052</v>
      </c>
      <c r="H2723">
        <v>9386</v>
      </c>
      <c r="I2723">
        <v>2608</v>
      </c>
      <c r="J2723">
        <v>6778</v>
      </c>
      <c r="K2723" t="s">
        <v>54</v>
      </c>
      <c r="L2723">
        <v>12</v>
      </c>
      <c r="M2723" t="str">
        <f t="shared" si="42"/>
        <v>6-12 Months</v>
      </c>
      <c r="N2723" s="1">
        <v>45052</v>
      </c>
      <c r="O2723">
        <v>0</v>
      </c>
      <c r="P2723">
        <v>2722</v>
      </c>
      <c r="Q2723" s="2">
        <v>0.72</v>
      </c>
      <c r="R2723" t="s">
        <v>27</v>
      </c>
      <c r="S2723">
        <v>2023</v>
      </c>
      <c r="T2723" t="s">
        <v>28</v>
      </c>
    </row>
    <row r="2724" spans="1:20" x14ac:dyDescent="0.3">
      <c r="A2724">
        <v>4524</v>
      </c>
      <c r="B2724">
        <v>469</v>
      </c>
      <c r="C2724" t="s">
        <v>40</v>
      </c>
      <c r="D2724" t="s">
        <v>34</v>
      </c>
      <c r="E2724" t="s">
        <v>26</v>
      </c>
      <c r="F2724" s="1">
        <v>44834</v>
      </c>
      <c r="G2724" s="1">
        <v>45108</v>
      </c>
      <c r="H2724">
        <v>4967.93</v>
      </c>
      <c r="I2724">
        <v>4582</v>
      </c>
      <c r="J2724">
        <v>-4935</v>
      </c>
      <c r="K2724" t="s">
        <v>35</v>
      </c>
      <c r="L2724">
        <v>9</v>
      </c>
      <c r="M2724" t="str">
        <f t="shared" si="42"/>
        <v>6-12 Months</v>
      </c>
      <c r="N2724" s="1">
        <v>45108</v>
      </c>
      <c r="O2724">
        <v>1</v>
      </c>
      <c r="P2724">
        <v>2723</v>
      </c>
      <c r="Q2724" s="2">
        <v>-0.99</v>
      </c>
      <c r="R2724" t="s">
        <v>27</v>
      </c>
      <c r="S2724">
        <v>2023</v>
      </c>
      <c r="T2724" t="s">
        <v>44</v>
      </c>
    </row>
    <row r="2725" spans="1:20" hidden="1" x14ac:dyDescent="0.3">
      <c r="A2725">
        <v>4526</v>
      </c>
      <c r="B2725">
        <v>116</v>
      </c>
      <c r="C2725" t="s">
        <v>39</v>
      </c>
      <c r="D2725" t="s">
        <v>19</v>
      </c>
      <c r="E2725" t="s">
        <v>37</v>
      </c>
      <c r="F2725" s="1">
        <v>44639</v>
      </c>
      <c r="G2725" s="1">
        <v>45070</v>
      </c>
      <c r="H2725">
        <v>8338</v>
      </c>
      <c r="I2725">
        <v>3198</v>
      </c>
      <c r="J2725">
        <v>5140</v>
      </c>
      <c r="K2725" t="s">
        <v>54</v>
      </c>
      <c r="L2725">
        <v>14</v>
      </c>
      <c r="M2725" t="str">
        <f t="shared" si="42"/>
        <v>6-12 Months</v>
      </c>
      <c r="N2725" s="1">
        <v>45070</v>
      </c>
      <c r="O2725">
        <v>1</v>
      </c>
      <c r="P2725">
        <v>2724</v>
      </c>
      <c r="Q2725" s="2">
        <v>0.62</v>
      </c>
      <c r="R2725" t="s">
        <v>27</v>
      </c>
      <c r="S2725">
        <v>2023</v>
      </c>
      <c r="T2725" t="s">
        <v>28</v>
      </c>
    </row>
    <row r="2726" spans="1:20" hidden="1" x14ac:dyDescent="0.3">
      <c r="A2726">
        <v>4531</v>
      </c>
      <c r="B2726">
        <v>256</v>
      </c>
      <c r="C2726" t="s">
        <v>24</v>
      </c>
      <c r="D2726" t="s">
        <v>25</v>
      </c>
      <c r="E2726" t="s">
        <v>37</v>
      </c>
      <c r="F2726" s="1">
        <v>44707</v>
      </c>
      <c r="G2726" s="1">
        <v>45143</v>
      </c>
      <c r="H2726">
        <v>658</v>
      </c>
      <c r="I2726">
        <v>3302</v>
      </c>
      <c r="J2726">
        <v>-2644</v>
      </c>
      <c r="K2726" t="s">
        <v>54</v>
      </c>
      <c r="L2726">
        <v>14</v>
      </c>
      <c r="M2726" t="str">
        <f t="shared" si="42"/>
        <v>6-12 Months</v>
      </c>
      <c r="N2726" s="1">
        <v>45143</v>
      </c>
      <c r="O2726">
        <v>0</v>
      </c>
      <c r="P2726">
        <v>2725</v>
      </c>
      <c r="Q2726" s="2">
        <v>-4.0199999999999996</v>
      </c>
      <c r="R2726" t="s">
        <v>22</v>
      </c>
      <c r="S2726">
        <v>2023</v>
      </c>
      <c r="T2726" t="s">
        <v>36</v>
      </c>
    </row>
    <row r="2727" spans="1:20" hidden="1" x14ac:dyDescent="0.3">
      <c r="A2727">
        <v>4532</v>
      </c>
      <c r="B2727">
        <v>323</v>
      </c>
      <c r="C2727" t="s">
        <v>40</v>
      </c>
      <c r="D2727" t="s">
        <v>29</v>
      </c>
      <c r="E2727" t="s">
        <v>26</v>
      </c>
      <c r="F2727" s="1">
        <v>44700</v>
      </c>
      <c r="G2727" s="1">
        <v>45228</v>
      </c>
      <c r="H2727">
        <v>4398</v>
      </c>
      <c r="I2727">
        <v>5584</v>
      </c>
      <c r="J2727">
        <v>577.01</v>
      </c>
      <c r="K2727" t="s">
        <v>54</v>
      </c>
      <c r="L2727">
        <v>17</v>
      </c>
      <c r="M2727" t="str">
        <f t="shared" si="42"/>
        <v>6-12 Months</v>
      </c>
      <c r="N2727" s="1">
        <v>45228</v>
      </c>
      <c r="O2727">
        <v>1</v>
      </c>
      <c r="P2727">
        <v>2726</v>
      </c>
      <c r="Q2727" s="2">
        <v>0.13</v>
      </c>
      <c r="R2727" t="s">
        <v>27</v>
      </c>
      <c r="S2727">
        <v>2023</v>
      </c>
      <c r="T2727" t="s">
        <v>33</v>
      </c>
    </row>
    <row r="2728" spans="1:20" hidden="1" x14ac:dyDescent="0.3">
      <c r="A2728">
        <v>4535</v>
      </c>
      <c r="B2728">
        <v>130</v>
      </c>
      <c r="C2728" t="s">
        <v>53</v>
      </c>
      <c r="D2728" t="s">
        <v>19</v>
      </c>
      <c r="E2728" t="s">
        <v>37</v>
      </c>
      <c r="F2728" s="1">
        <v>44562</v>
      </c>
      <c r="G2728" s="1">
        <v>44699</v>
      </c>
      <c r="H2728">
        <v>9661</v>
      </c>
      <c r="I2728">
        <v>6073</v>
      </c>
      <c r="J2728">
        <v>3588</v>
      </c>
      <c r="K2728" t="s">
        <v>21</v>
      </c>
      <c r="L2728">
        <v>4</v>
      </c>
      <c r="M2728" t="str">
        <f t="shared" si="42"/>
        <v>0-6 Months</v>
      </c>
      <c r="N2728" s="1">
        <v>44699</v>
      </c>
      <c r="O2728">
        <v>1</v>
      </c>
      <c r="P2728">
        <v>2727</v>
      </c>
      <c r="Q2728" s="2">
        <v>0.37</v>
      </c>
      <c r="R2728" t="s">
        <v>27</v>
      </c>
      <c r="S2728">
        <v>2022</v>
      </c>
      <c r="T2728" t="s">
        <v>28</v>
      </c>
    </row>
    <row r="2729" spans="1:20" x14ac:dyDescent="0.3">
      <c r="A2729">
        <v>4537</v>
      </c>
      <c r="B2729">
        <v>466</v>
      </c>
      <c r="C2729" t="s">
        <v>40</v>
      </c>
      <c r="D2729" t="s">
        <v>19</v>
      </c>
      <c r="E2729" t="s">
        <v>37</v>
      </c>
      <c r="F2729" s="1">
        <v>44651</v>
      </c>
      <c r="G2729" s="1">
        <v>45034</v>
      </c>
      <c r="H2729">
        <v>6977</v>
      </c>
      <c r="I2729">
        <v>4012.75</v>
      </c>
      <c r="J2729">
        <v>7759</v>
      </c>
      <c r="K2729" t="s">
        <v>35</v>
      </c>
      <c r="L2729">
        <v>12</v>
      </c>
      <c r="M2729" t="str">
        <f t="shared" si="42"/>
        <v>6-12 Months</v>
      </c>
      <c r="N2729" s="1">
        <v>45034</v>
      </c>
      <c r="O2729">
        <v>1</v>
      </c>
      <c r="P2729">
        <v>2728</v>
      </c>
      <c r="Q2729" s="2">
        <v>1.1100000000000001</v>
      </c>
      <c r="R2729" t="s">
        <v>22</v>
      </c>
      <c r="S2729">
        <v>2023</v>
      </c>
      <c r="T2729" t="s">
        <v>32</v>
      </c>
    </row>
    <row r="2730" spans="1:20" hidden="1" x14ac:dyDescent="0.3">
      <c r="A2730">
        <v>4538</v>
      </c>
      <c r="B2730">
        <v>433</v>
      </c>
      <c r="C2730" t="s">
        <v>45</v>
      </c>
      <c r="D2730" t="s">
        <v>19</v>
      </c>
      <c r="E2730" t="s">
        <v>26</v>
      </c>
      <c r="F2730" s="1">
        <v>44765</v>
      </c>
      <c r="G2730" s="1">
        <v>44939</v>
      </c>
      <c r="H2730">
        <v>4234</v>
      </c>
      <c r="I2730">
        <v>7081</v>
      </c>
      <c r="J2730">
        <v>-2847</v>
      </c>
      <c r="K2730" t="s">
        <v>54</v>
      </c>
      <c r="L2730">
        <v>5</v>
      </c>
      <c r="M2730" t="str">
        <f t="shared" si="42"/>
        <v>0-6 Months</v>
      </c>
      <c r="N2730" s="1">
        <v>44939</v>
      </c>
      <c r="O2730">
        <v>1</v>
      </c>
      <c r="P2730">
        <v>2729</v>
      </c>
      <c r="Q2730" s="2">
        <v>-0.67</v>
      </c>
      <c r="R2730" t="s">
        <v>27</v>
      </c>
      <c r="S2730">
        <v>2023</v>
      </c>
      <c r="T2730" t="s">
        <v>23</v>
      </c>
    </row>
    <row r="2731" spans="1:20" hidden="1" x14ac:dyDescent="0.3">
      <c r="A2731">
        <v>4540</v>
      </c>
      <c r="B2731">
        <v>120</v>
      </c>
      <c r="C2731" t="s">
        <v>45</v>
      </c>
      <c r="D2731" t="s">
        <v>29</v>
      </c>
      <c r="E2731" t="s">
        <v>20</v>
      </c>
      <c r="F2731" s="1">
        <v>44713</v>
      </c>
      <c r="G2731" s="1">
        <v>45092</v>
      </c>
      <c r="H2731">
        <v>7639</v>
      </c>
      <c r="I2731">
        <v>3216</v>
      </c>
      <c r="J2731">
        <v>4423</v>
      </c>
      <c r="K2731" t="s">
        <v>21</v>
      </c>
      <c r="L2731">
        <v>12</v>
      </c>
      <c r="M2731" t="str">
        <f t="shared" si="42"/>
        <v>6-12 Months</v>
      </c>
      <c r="N2731" s="1">
        <v>45092</v>
      </c>
      <c r="O2731">
        <v>1</v>
      </c>
      <c r="P2731">
        <v>2730</v>
      </c>
      <c r="Q2731" s="2">
        <v>0.57999999999999996</v>
      </c>
      <c r="R2731" t="s">
        <v>27</v>
      </c>
      <c r="S2731">
        <v>2023</v>
      </c>
      <c r="T2731" t="s">
        <v>41</v>
      </c>
    </row>
    <row r="2732" spans="1:20" x14ac:dyDescent="0.3">
      <c r="A2732">
        <v>4542</v>
      </c>
      <c r="B2732">
        <v>420</v>
      </c>
      <c r="C2732" t="s">
        <v>39</v>
      </c>
      <c r="D2732" t="s">
        <v>25</v>
      </c>
      <c r="E2732" t="s">
        <v>37</v>
      </c>
      <c r="F2732" s="1">
        <v>44799</v>
      </c>
      <c r="G2732" s="1">
        <v>45146</v>
      </c>
      <c r="H2732">
        <v>6533</v>
      </c>
      <c r="I2732">
        <v>1824</v>
      </c>
      <c r="J2732">
        <v>4709</v>
      </c>
      <c r="K2732" t="s">
        <v>35</v>
      </c>
      <c r="L2732">
        <v>11</v>
      </c>
      <c r="M2732" t="str">
        <f t="shared" si="42"/>
        <v>6-12 Months</v>
      </c>
      <c r="N2732" s="1">
        <v>45146</v>
      </c>
      <c r="O2732">
        <v>0</v>
      </c>
      <c r="P2732">
        <v>2731</v>
      </c>
      <c r="Q2732" s="2">
        <v>0.72</v>
      </c>
      <c r="R2732" t="s">
        <v>27</v>
      </c>
      <c r="S2732">
        <v>2023</v>
      </c>
      <c r="T2732" t="s">
        <v>36</v>
      </c>
    </row>
    <row r="2733" spans="1:20" hidden="1" x14ac:dyDescent="0.3">
      <c r="A2733">
        <v>4544</v>
      </c>
      <c r="B2733">
        <v>364</v>
      </c>
      <c r="C2733" t="s">
        <v>45</v>
      </c>
      <c r="D2733" t="s">
        <v>29</v>
      </c>
      <c r="E2733" t="s">
        <v>20</v>
      </c>
      <c r="F2733" s="1">
        <v>44677</v>
      </c>
      <c r="G2733" s="1">
        <v>45084</v>
      </c>
      <c r="H2733">
        <v>612</v>
      </c>
      <c r="I2733">
        <v>5102</v>
      </c>
      <c r="J2733">
        <v>-4490</v>
      </c>
      <c r="K2733" t="s">
        <v>21</v>
      </c>
      <c r="L2733">
        <v>13</v>
      </c>
      <c r="M2733" t="str">
        <f t="shared" si="42"/>
        <v>6-12 Months</v>
      </c>
      <c r="N2733" s="1">
        <v>45084</v>
      </c>
      <c r="O2733">
        <v>1</v>
      </c>
      <c r="P2733">
        <v>2732</v>
      </c>
      <c r="Q2733" s="2">
        <v>-7.34</v>
      </c>
      <c r="R2733" t="s">
        <v>22</v>
      </c>
      <c r="S2733">
        <v>2023</v>
      </c>
      <c r="T2733" t="s">
        <v>41</v>
      </c>
    </row>
    <row r="2734" spans="1:20" hidden="1" x14ac:dyDescent="0.3">
      <c r="A2734">
        <v>4546</v>
      </c>
      <c r="B2734">
        <v>290</v>
      </c>
      <c r="C2734" t="s">
        <v>24</v>
      </c>
      <c r="D2734" t="s">
        <v>25</v>
      </c>
      <c r="E2734" t="s">
        <v>26</v>
      </c>
      <c r="F2734" s="1">
        <v>44614</v>
      </c>
      <c r="G2734" s="1">
        <v>44772</v>
      </c>
      <c r="H2734">
        <v>7239</v>
      </c>
      <c r="I2734">
        <v>3755</v>
      </c>
      <c r="J2734">
        <v>3484</v>
      </c>
      <c r="K2734" t="s">
        <v>54</v>
      </c>
      <c r="L2734">
        <v>5</v>
      </c>
      <c r="M2734" t="str">
        <f t="shared" si="42"/>
        <v>0-6 Months</v>
      </c>
      <c r="N2734" s="1">
        <v>44772</v>
      </c>
      <c r="O2734">
        <v>1</v>
      </c>
      <c r="P2734">
        <v>2733</v>
      </c>
      <c r="Q2734" s="2">
        <v>0.48</v>
      </c>
      <c r="R2734" t="s">
        <v>27</v>
      </c>
      <c r="S2734">
        <v>2022</v>
      </c>
      <c r="T2734" t="s">
        <v>44</v>
      </c>
    </row>
    <row r="2735" spans="1:20" hidden="1" x14ac:dyDescent="0.3">
      <c r="A2735">
        <v>4547</v>
      </c>
      <c r="B2735">
        <v>148</v>
      </c>
      <c r="C2735" t="s">
        <v>40</v>
      </c>
      <c r="D2735" t="s">
        <v>34</v>
      </c>
      <c r="E2735" t="s">
        <v>37</v>
      </c>
      <c r="F2735" s="1">
        <v>44878</v>
      </c>
      <c r="G2735" s="1">
        <v>45128</v>
      </c>
      <c r="H2735">
        <v>2331</v>
      </c>
      <c r="I2735">
        <v>3834</v>
      </c>
      <c r="J2735">
        <v>-1503</v>
      </c>
      <c r="K2735" t="s">
        <v>54</v>
      </c>
      <c r="L2735">
        <v>8</v>
      </c>
      <c r="M2735" t="str">
        <f t="shared" si="42"/>
        <v>6-12 Months</v>
      </c>
      <c r="N2735" s="1">
        <v>45128</v>
      </c>
      <c r="O2735">
        <v>0</v>
      </c>
      <c r="P2735">
        <v>2734</v>
      </c>
      <c r="Q2735" s="2">
        <v>-0.64</v>
      </c>
      <c r="R2735" t="s">
        <v>27</v>
      </c>
      <c r="S2735">
        <v>2023</v>
      </c>
      <c r="T2735" t="s">
        <v>44</v>
      </c>
    </row>
    <row r="2736" spans="1:20" x14ac:dyDescent="0.3">
      <c r="A2736">
        <v>4550</v>
      </c>
      <c r="B2736">
        <v>450</v>
      </c>
      <c r="C2736" t="s">
        <v>39</v>
      </c>
      <c r="D2736" t="s">
        <v>29</v>
      </c>
      <c r="E2736" t="s">
        <v>20</v>
      </c>
      <c r="F2736" s="1">
        <v>44656</v>
      </c>
      <c r="G2736" s="1">
        <v>45223</v>
      </c>
      <c r="H2736">
        <v>7222</v>
      </c>
      <c r="I2736">
        <v>5952</v>
      </c>
      <c r="J2736">
        <v>1270</v>
      </c>
      <c r="K2736" t="s">
        <v>35</v>
      </c>
      <c r="L2736">
        <v>18</v>
      </c>
      <c r="M2736" t="str">
        <f t="shared" si="42"/>
        <v>6-12 Months</v>
      </c>
      <c r="N2736" s="1">
        <v>45223</v>
      </c>
      <c r="O2736">
        <v>0</v>
      </c>
      <c r="P2736">
        <v>2735</v>
      </c>
      <c r="Q2736" s="2">
        <v>0.18</v>
      </c>
      <c r="R2736" t="s">
        <v>27</v>
      </c>
      <c r="S2736">
        <v>2023</v>
      </c>
      <c r="T2736" t="s">
        <v>33</v>
      </c>
    </row>
    <row r="2737" spans="1:20" x14ac:dyDescent="0.3">
      <c r="A2737">
        <v>4553</v>
      </c>
      <c r="B2737">
        <v>487</v>
      </c>
      <c r="C2737" t="s">
        <v>39</v>
      </c>
      <c r="D2737" t="s">
        <v>25</v>
      </c>
      <c r="E2737" t="s">
        <v>37</v>
      </c>
      <c r="F2737" s="1">
        <v>44625</v>
      </c>
      <c r="G2737" s="1">
        <v>44819</v>
      </c>
      <c r="H2737">
        <v>5565</v>
      </c>
      <c r="I2737">
        <v>4631</v>
      </c>
      <c r="J2737">
        <v>934</v>
      </c>
      <c r="K2737" t="s">
        <v>35</v>
      </c>
      <c r="L2737">
        <v>6</v>
      </c>
      <c r="M2737" t="str">
        <f t="shared" si="42"/>
        <v>12+ Months</v>
      </c>
      <c r="N2737" s="1">
        <v>44819</v>
      </c>
      <c r="O2737">
        <v>1</v>
      </c>
      <c r="P2737">
        <v>2736</v>
      </c>
      <c r="Q2737" s="2">
        <v>0.17</v>
      </c>
      <c r="R2737" t="s">
        <v>27</v>
      </c>
      <c r="S2737">
        <v>2022</v>
      </c>
      <c r="T2737" t="s">
        <v>30</v>
      </c>
    </row>
    <row r="2738" spans="1:20" hidden="1" x14ac:dyDescent="0.3">
      <c r="A2738">
        <v>4554</v>
      </c>
      <c r="B2738">
        <v>203</v>
      </c>
      <c r="C2738" t="s">
        <v>53</v>
      </c>
      <c r="D2738" t="s">
        <v>19</v>
      </c>
      <c r="E2738" t="s">
        <v>20</v>
      </c>
      <c r="F2738" s="1">
        <v>44665</v>
      </c>
      <c r="G2738" s="1">
        <v>44842</v>
      </c>
      <c r="H2738">
        <v>6063</v>
      </c>
      <c r="I2738">
        <v>7978</v>
      </c>
      <c r="J2738">
        <v>-1915</v>
      </c>
      <c r="K2738" t="s">
        <v>21</v>
      </c>
      <c r="L2738">
        <v>5</v>
      </c>
      <c r="M2738" t="str">
        <f t="shared" si="42"/>
        <v>0-6 Months</v>
      </c>
      <c r="N2738" s="1">
        <v>44842</v>
      </c>
      <c r="O2738">
        <v>0</v>
      </c>
      <c r="P2738">
        <v>2737</v>
      </c>
      <c r="Q2738" s="2">
        <v>-0.32</v>
      </c>
      <c r="R2738" t="s">
        <v>27</v>
      </c>
      <c r="S2738">
        <v>2022</v>
      </c>
      <c r="T2738" t="s">
        <v>33</v>
      </c>
    </row>
    <row r="2739" spans="1:20" hidden="1" x14ac:dyDescent="0.3">
      <c r="A2739">
        <v>4556</v>
      </c>
      <c r="B2739">
        <v>127</v>
      </c>
      <c r="C2739" t="s">
        <v>45</v>
      </c>
      <c r="D2739" t="s">
        <v>34</v>
      </c>
      <c r="E2739" t="s">
        <v>37</v>
      </c>
      <c r="F2739" s="1">
        <v>44926</v>
      </c>
      <c r="G2739" s="1">
        <v>45508</v>
      </c>
      <c r="H2739">
        <v>2837</v>
      </c>
      <c r="I2739">
        <v>5836</v>
      </c>
      <c r="J2739">
        <v>-2999</v>
      </c>
      <c r="K2739" t="s">
        <v>54</v>
      </c>
      <c r="L2739">
        <v>19</v>
      </c>
      <c r="M2739" t="str">
        <f t="shared" si="42"/>
        <v>6-12 Months</v>
      </c>
      <c r="N2739" s="1">
        <v>45508</v>
      </c>
      <c r="O2739">
        <v>1</v>
      </c>
      <c r="P2739">
        <v>2738</v>
      </c>
      <c r="Q2739" s="2">
        <v>-1.06</v>
      </c>
      <c r="R2739" t="s">
        <v>22</v>
      </c>
      <c r="S2739">
        <v>2024</v>
      </c>
      <c r="T2739" t="s">
        <v>36</v>
      </c>
    </row>
    <row r="2740" spans="1:20" hidden="1" x14ac:dyDescent="0.3">
      <c r="A2740">
        <v>4560</v>
      </c>
      <c r="B2740">
        <v>307</v>
      </c>
      <c r="C2740" t="s">
        <v>40</v>
      </c>
      <c r="D2740" t="s">
        <v>29</v>
      </c>
      <c r="E2740" t="s">
        <v>37</v>
      </c>
      <c r="F2740" s="1">
        <v>44681</v>
      </c>
      <c r="G2740" s="1">
        <v>45264</v>
      </c>
      <c r="H2740">
        <v>5271</v>
      </c>
      <c r="I2740">
        <v>4374</v>
      </c>
      <c r="J2740">
        <v>897</v>
      </c>
      <c r="K2740" t="s">
        <v>54</v>
      </c>
      <c r="L2740">
        <v>19</v>
      </c>
      <c r="M2740" t="str">
        <f t="shared" si="42"/>
        <v>6-12 Months</v>
      </c>
      <c r="N2740" s="1">
        <v>45264</v>
      </c>
      <c r="O2740">
        <v>1</v>
      </c>
      <c r="P2740">
        <v>2739</v>
      </c>
      <c r="Q2740" s="2">
        <v>0.17</v>
      </c>
      <c r="R2740" t="s">
        <v>27</v>
      </c>
      <c r="S2740">
        <v>2023</v>
      </c>
      <c r="T2740" t="s">
        <v>31</v>
      </c>
    </row>
    <row r="2741" spans="1:20" hidden="1" x14ac:dyDescent="0.3">
      <c r="A2741">
        <v>4562</v>
      </c>
      <c r="B2741">
        <v>413</v>
      </c>
      <c r="C2741" t="s">
        <v>53</v>
      </c>
      <c r="D2741" t="s">
        <v>19</v>
      </c>
      <c r="E2741" t="s">
        <v>37</v>
      </c>
      <c r="F2741" s="1">
        <v>44737</v>
      </c>
      <c r="G2741" s="1">
        <v>45109</v>
      </c>
      <c r="H2741">
        <v>8645</v>
      </c>
      <c r="I2741">
        <v>687</v>
      </c>
      <c r="J2741">
        <v>7958</v>
      </c>
      <c r="K2741" t="s">
        <v>54</v>
      </c>
      <c r="L2741">
        <v>12</v>
      </c>
      <c r="M2741" t="str">
        <f t="shared" si="42"/>
        <v>6-12 Months</v>
      </c>
      <c r="N2741" s="1">
        <v>45109</v>
      </c>
      <c r="O2741">
        <v>1</v>
      </c>
      <c r="P2741">
        <v>2740</v>
      </c>
      <c r="Q2741" s="2">
        <v>0.92</v>
      </c>
      <c r="R2741" t="s">
        <v>27</v>
      </c>
      <c r="S2741">
        <v>2023</v>
      </c>
      <c r="T2741" t="s">
        <v>44</v>
      </c>
    </row>
    <row r="2742" spans="1:20" hidden="1" x14ac:dyDescent="0.3">
      <c r="A2742">
        <v>4563</v>
      </c>
      <c r="B2742">
        <v>176</v>
      </c>
      <c r="C2742" t="s">
        <v>24</v>
      </c>
      <c r="D2742" t="s">
        <v>34</v>
      </c>
      <c r="E2742" t="s">
        <v>20</v>
      </c>
      <c r="F2742" s="1">
        <v>44729</v>
      </c>
      <c r="G2742" s="1">
        <v>45269</v>
      </c>
      <c r="H2742">
        <v>4506</v>
      </c>
      <c r="I2742">
        <v>53</v>
      </c>
      <c r="J2742">
        <v>4453</v>
      </c>
      <c r="K2742" t="s">
        <v>21</v>
      </c>
      <c r="L2742">
        <v>17</v>
      </c>
      <c r="M2742" t="str">
        <f t="shared" si="42"/>
        <v>6-12 Months</v>
      </c>
      <c r="N2742" s="1">
        <v>45269</v>
      </c>
      <c r="O2742">
        <v>1</v>
      </c>
      <c r="P2742">
        <v>2741</v>
      </c>
      <c r="Q2742" s="2">
        <v>0.99</v>
      </c>
      <c r="R2742" t="s">
        <v>27</v>
      </c>
      <c r="S2742">
        <v>2023</v>
      </c>
      <c r="T2742" t="s">
        <v>31</v>
      </c>
    </row>
    <row r="2743" spans="1:20" hidden="1" x14ac:dyDescent="0.3">
      <c r="A2743">
        <v>4565</v>
      </c>
      <c r="B2743">
        <v>347</v>
      </c>
      <c r="C2743" t="s">
        <v>40</v>
      </c>
      <c r="D2743" t="s">
        <v>29</v>
      </c>
      <c r="E2743" t="s">
        <v>20</v>
      </c>
      <c r="F2743" s="1">
        <v>44783</v>
      </c>
      <c r="G2743" s="1">
        <v>45289</v>
      </c>
      <c r="H2743">
        <v>8636</v>
      </c>
      <c r="I2743">
        <v>1014</v>
      </c>
      <c r="J2743">
        <v>7622</v>
      </c>
      <c r="K2743" t="s">
        <v>54</v>
      </c>
      <c r="L2743">
        <v>16</v>
      </c>
      <c r="M2743" t="str">
        <f t="shared" si="42"/>
        <v>6-12 Months</v>
      </c>
      <c r="N2743" s="1">
        <v>45289</v>
      </c>
      <c r="O2743">
        <v>1</v>
      </c>
      <c r="P2743">
        <v>2742</v>
      </c>
      <c r="Q2743" s="2">
        <v>0.88</v>
      </c>
      <c r="R2743" t="s">
        <v>27</v>
      </c>
      <c r="S2743">
        <v>2023</v>
      </c>
      <c r="T2743" t="s">
        <v>31</v>
      </c>
    </row>
    <row r="2744" spans="1:20" hidden="1" x14ac:dyDescent="0.3">
      <c r="A2744">
        <v>4568</v>
      </c>
      <c r="B2744">
        <v>158</v>
      </c>
      <c r="C2744" t="s">
        <v>45</v>
      </c>
      <c r="D2744" t="s">
        <v>29</v>
      </c>
      <c r="E2744" t="s">
        <v>37</v>
      </c>
      <c r="F2744" s="1">
        <v>44671</v>
      </c>
      <c r="G2744" s="1">
        <v>45105</v>
      </c>
      <c r="H2744">
        <v>610</v>
      </c>
      <c r="I2744">
        <v>6794</v>
      </c>
      <c r="J2744">
        <v>577.01</v>
      </c>
      <c r="K2744" t="s">
        <v>54</v>
      </c>
      <c r="L2744">
        <v>14</v>
      </c>
      <c r="M2744" t="str">
        <f t="shared" si="42"/>
        <v>6-12 Months</v>
      </c>
      <c r="N2744" s="1">
        <v>45105</v>
      </c>
      <c r="O2744">
        <v>1</v>
      </c>
      <c r="P2744">
        <v>2743</v>
      </c>
      <c r="Q2744" s="2">
        <v>0.95</v>
      </c>
      <c r="R2744" t="s">
        <v>27</v>
      </c>
      <c r="S2744">
        <v>2023</v>
      </c>
      <c r="T2744" t="s">
        <v>41</v>
      </c>
    </row>
    <row r="2745" spans="1:20" hidden="1" x14ac:dyDescent="0.3">
      <c r="A2745">
        <v>4570</v>
      </c>
      <c r="B2745">
        <v>148</v>
      </c>
      <c r="C2745" t="s">
        <v>40</v>
      </c>
      <c r="D2745" t="s">
        <v>34</v>
      </c>
      <c r="E2745" t="s">
        <v>26</v>
      </c>
      <c r="F2745" s="1">
        <v>44779</v>
      </c>
      <c r="G2745" s="1">
        <v>44970</v>
      </c>
      <c r="H2745">
        <v>6557</v>
      </c>
      <c r="I2745">
        <v>148</v>
      </c>
      <c r="J2745">
        <v>6409</v>
      </c>
      <c r="K2745" t="s">
        <v>54</v>
      </c>
      <c r="L2745">
        <v>6</v>
      </c>
      <c r="M2745" t="str">
        <f t="shared" si="42"/>
        <v>12+ Months</v>
      </c>
      <c r="N2745" s="1">
        <v>44970</v>
      </c>
      <c r="O2745">
        <v>1</v>
      </c>
      <c r="P2745">
        <v>2744</v>
      </c>
      <c r="Q2745" s="2">
        <v>0.98</v>
      </c>
      <c r="R2745" t="s">
        <v>27</v>
      </c>
      <c r="S2745">
        <v>2023</v>
      </c>
      <c r="T2745" t="s">
        <v>43</v>
      </c>
    </row>
    <row r="2746" spans="1:20" x14ac:dyDescent="0.3">
      <c r="A2746">
        <v>4571</v>
      </c>
      <c r="B2746">
        <v>290</v>
      </c>
      <c r="C2746" t="s">
        <v>24</v>
      </c>
      <c r="D2746" t="s">
        <v>19</v>
      </c>
      <c r="E2746" t="s">
        <v>37</v>
      </c>
      <c r="F2746" s="1">
        <v>44844</v>
      </c>
      <c r="G2746" s="1">
        <v>45161</v>
      </c>
      <c r="H2746">
        <v>3862</v>
      </c>
      <c r="I2746">
        <v>2227</v>
      </c>
      <c r="J2746">
        <v>577.01</v>
      </c>
      <c r="K2746" t="s">
        <v>35</v>
      </c>
      <c r="L2746">
        <v>10</v>
      </c>
      <c r="M2746" t="str">
        <f t="shared" si="42"/>
        <v>6-12 Months</v>
      </c>
      <c r="N2746" s="1">
        <v>45161</v>
      </c>
      <c r="O2746">
        <v>1</v>
      </c>
      <c r="P2746">
        <v>2745</v>
      </c>
      <c r="Q2746" s="2">
        <v>0.15</v>
      </c>
      <c r="R2746" t="s">
        <v>27</v>
      </c>
      <c r="S2746">
        <v>2023</v>
      </c>
      <c r="T2746" t="s">
        <v>36</v>
      </c>
    </row>
    <row r="2747" spans="1:20" hidden="1" x14ac:dyDescent="0.3">
      <c r="A2747">
        <v>4573</v>
      </c>
      <c r="B2747">
        <v>310</v>
      </c>
      <c r="C2747" t="s">
        <v>24</v>
      </c>
      <c r="D2747" t="s">
        <v>25</v>
      </c>
      <c r="E2747" t="s">
        <v>20</v>
      </c>
      <c r="F2747" s="1">
        <v>44852</v>
      </c>
      <c r="G2747" s="1">
        <v>45246</v>
      </c>
      <c r="H2747">
        <v>6639</v>
      </c>
      <c r="I2747">
        <v>4701</v>
      </c>
      <c r="J2747">
        <v>1938</v>
      </c>
      <c r="K2747" t="s">
        <v>21</v>
      </c>
      <c r="L2747">
        <v>12</v>
      </c>
      <c r="M2747" t="str">
        <f t="shared" si="42"/>
        <v>6-12 Months</v>
      </c>
      <c r="N2747" s="1">
        <v>45246</v>
      </c>
      <c r="O2747">
        <v>1</v>
      </c>
      <c r="P2747">
        <v>2746</v>
      </c>
      <c r="Q2747" s="2">
        <v>0.28999999999999998</v>
      </c>
      <c r="R2747" t="s">
        <v>27</v>
      </c>
      <c r="S2747">
        <v>2023</v>
      </c>
      <c r="T2747" t="s">
        <v>42</v>
      </c>
    </row>
    <row r="2748" spans="1:20" hidden="1" x14ac:dyDescent="0.3">
      <c r="A2748">
        <v>4574</v>
      </c>
      <c r="B2748">
        <v>126</v>
      </c>
      <c r="C2748" t="s">
        <v>39</v>
      </c>
      <c r="D2748" t="s">
        <v>19</v>
      </c>
      <c r="E2748" t="s">
        <v>26</v>
      </c>
      <c r="F2748" s="1">
        <v>44733</v>
      </c>
      <c r="G2748" s="1">
        <v>45115</v>
      </c>
      <c r="H2748">
        <v>5141</v>
      </c>
      <c r="I2748">
        <v>1121</v>
      </c>
      <c r="J2748">
        <v>4020</v>
      </c>
      <c r="K2748" t="s">
        <v>21</v>
      </c>
      <c r="L2748">
        <v>12</v>
      </c>
      <c r="M2748" t="str">
        <f t="shared" si="42"/>
        <v>6-12 Months</v>
      </c>
      <c r="N2748" s="1">
        <v>45115</v>
      </c>
      <c r="O2748">
        <v>1</v>
      </c>
      <c r="P2748">
        <v>2747</v>
      </c>
      <c r="Q2748" s="2">
        <v>0.78</v>
      </c>
      <c r="R2748" t="s">
        <v>27</v>
      </c>
      <c r="S2748">
        <v>2023</v>
      </c>
      <c r="T2748" t="s">
        <v>44</v>
      </c>
    </row>
    <row r="2749" spans="1:20" hidden="1" x14ac:dyDescent="0.3">
      <c r="A2749">
        <v>4575</v>
      </c>
      <c r="B2749">
        <v>346</v>
      </c>
      <c r="C2749" t="s">
        <v>39</v>
      </c>
      <c r="D2749" t="s">
        <v>25</v>
      </c>
      <c r="E2749" t="s">
        <v>20</v>
      </c>
      <c r="F2749" s="1">
        <v>44690</v>
      </c>
      <c r="G2749" s="1">
        <v>45243</v>
      </c>
      <c r="H2749">
        <v>3899</v>
      </c>
      <c r="I2749">
        <v>4012.75</v>
      </c>
      <c r="J2749">
        <v>4123</v>
      </c>
      <c r="K2749" t="s">
        <v>54</v>
      </c>
      <c r="L2749">
        <v>18</v>
      </c>
      <c r="M2749" t="str">
        <f t="shared" si="42"/>
        <v>6-12 Months</v>
      </c>
      <c r="N2749" s="1">
        <v>45243</v>
      </c>
      <c r="O2749">
        <v>1</v>
      </c>
      <c r="P2749">
        <v>2748</v>
      </c>
      <c r="Q2749" s="2">
        <v>1.06</v>
      </c>
      <c r="R2749" t="s">
        <v>22</v>
      </c>
      <c r="S2749">
        <v>2023</v>
      </c>
      <c r="T2749" t="s">
        <v>42</v>
      </c>
    </row>
    <row r="2750" spans="1:20" x14ac:dyDescent="0.3">
      <c r="A2750">
        <v>4577</v>
      </c>
      <c r="B2750">
        <v>419</v>
      </c>
      <c r="C2750" t="s">
        <v>45</v>
      </c>
      <c r="D2750" t="s">
        <v>34</v>
      </c>
      <c r="E2750" t="s">
        <v>37</v>
      </c>
      <c r="F2750" s="1">
        <v>44715</v>
      </c>
      <c r="G2750" s="1">
        <v>45178</v>
      </c>
      <c r="H2750">
        <v>1143</v>
      </c>
      <c r="I2750">
        <v>4484</v>
      </c>
      <c r="J2750">
        <v>-3341</v>
      </c>
      <c r="K2750" t="s">
        <v>35</v>
      </c>
      <c r="L2750">
        <v>15</v>
      </c>
      <c r="M2750" t="str">
        <f t="shared" si="42"/>
        <v>6-12 Months</v>
      </c>
      <c r="N2750" s="1">
        <v>45178</v>
      </c>
      <c r="O2750">
        <v>0</v>
      </c>
      <c r="P2750">
        <v>2749</v>
      </c>
      <c r="Q2750" s="2">
        <v>-2.92</v>
      </c>
      <c r="R2750" t="s">
        <v>22</v>
      </c>
      <c r="S2750">
        <v>2023</v>
      </c>
      <c r="T2750" t="s">
        <v>30</v>
      </c>
    </row>
    <row r="2751" spans="1:20" hidden="1" x14ac:dyDescent="0.3">
      <c r="A2751">
        <v>4578</v>
      </c>
      <c r="B2751">
        <v>259</v>
      </c>
      <c r="C2751" t="s">
        <v>53</v>
      </c>
      <c r="D2751" t="s">
        <v>25</v>
      </c>
      <c r="E2751" t="s">
        <v>20</v>
      </c>
      <c r="F2751" s="1">
        <v>44837</v>
      </c>
      <c r="G2751" s="1">
        <v>45020</v>
      </c>
      <c r="H2751">
        <v>1964</v>
      </c>
      <c r="I2751">
        <v>3595</v>
      </c>
      <c r="J2751">
        <v>-1631</v>
      </c>
      <c r="K2751" t="s">
        <v>54</v>
      </c>
      <c r="L2751">
        <v>6</v>
      </c>
      <c r="M2751" t="str">
        <f t="shared" si="42"/>
        <v>12+ Months</v>
      </c>
      <c r="N2751" s="1">
        <v>45020</v>
      </c>
      <c r="O2751">
        <v>0</v>
      </c>
      <c r="P2751">
        <v>2750</v>
      </c>
      <c r="Q2751" s="2">
        <v>-0.83</v>
      </c>
      <c r="R2751" t="s">
        <v>27</v>
      </c>
      <c r="S2751">
        <v>2023</v>
      </c>
      <c r="T2751" t="s">
        <v>32</v>
      </c>
    </row>
    <row r="2752" spans="1:20" hidden="1" x14ac:dyDescent="0.3">
      <c r="A2752">
        <v>4579</v>
      </c>
      <c r="B2752">
        <v>363</v>
      </c>
      <c r="C2752" t="s">
        <v>40</v>
      </c>
      <c r="D2752" t="s">
        <v>34</v>
      </c>
      <c r="E2752" t="s">
        <v>20</v>
      </c>
      <c r="F2752" s="1">
        <v>44917</v>
      </c>
      <c r="G2752" s="1">
        <v>45287</v>
      </c>
      <c r="H2752">
        <v>5264</v>
      </c>
      <c r="I2752">
        <v>3167</v>
      </c>
      <c r="J2752">
        <v>2097</v>
      </c>
      <c r="K2752" t="s">
        <v>54</v>
      </c>
      <c r="L2752">
        <v>12</v>
      </c>
      <c r="M2752" t="str">
        <f t="shared" si="42"/>
        <v>6-12 Months</v>
      </c>
      <c r="N2752" s="1">
        <v>45287</v>
      </c>
      <c r="O2752">
        <v>0</v>
      </c>
      <c r="P2752">
        <v>2751</v>
      </c>
      <c r="Q2752" s="2">
        <v>0.4</v>
      </c>
      <c r="R2752" t="s">
        <v>27</v>
      </c>
      <c r="S2752">
        <v>2023</v>
      </c>
      <c r="T2752" t="s">
        <v>31</v>
      </c>
    </row>
    <row r="2753" spans="1:20" x14ac:dyDescent="0.3">
      <c r="A2753">
        <v>4581</v>
      </c>
      <c r="B2753">
        <v>303</v>
      </c>
      <c r="C2753" t="s">
        <v>40</v>
      </c>
      <c r="D2753" t="s">
        <v>29</v>
      </c>
      <c r="E2753" t="s">
        <v>20</v>
      </c>
      <c r="F2753" s="1">
        <v>44817</v>
      </c>
      <c r="G2753" s="1">
        <v>45059</v>
      </c>
      <c r="H2753">
        <v>5826</v>
      </c>
      <c r="I2753">
        <v>4887</v>
      </c>
      <c r="J2753">
        <v>939</v>
      </c>
      <c r="K2753" t="s">
        <v>35</v>
      </c>
      <c r="L2753">
        <v>8</v>
      </c>
      <c r="M2753" t="str">
        <f t="shared" si="42"/>
        <v>6-12 Months</v>
      </c>
      <c r="N2753" s="1">
        <v>45059</v>
      </c>
      <c r="O2753">
        <v>0</v>
      </c>
      <c r="P2753">
        <v>2752</v>
      </c>
      <c r="Q2753" s="2">
        <v>0.16</v>
      </c>
      <c r="R2753" t="s">
        <v>27</v>
      </c>
      <c r="S2753">
        <v>2023</v>
      </c>
      <c r="T2753" t="s">
        <v>28</v>
      </c>
    </row>
    <row r="2754" spans="1:20" x14ac:dyDescent="0.3">
      <c r="A2754">
        <v>4582</v>
      </c>
      <c r="B2754">
        <v>481</v>
      </c>
      <c r="C2754" t="s">
        <v>53</v>
      </c>
      <c r="D2754" t="s">
        <v>25</v>
      </c>
      <c r="E2754" t="s">
        <v>37</v>
      </c>
      <c r="F2754" s="1">
        <v>44917</v>
      </c>
      <c r="G2754" s="1">
        <v>45171</v>
      </c>
      <c r="H2754">
        <v>3578</v>
      </c>
      <c r="I2754">
        <v>3967</v>
      </c>
      <c r="J2754">
        <v>577.01</v>
      </c>
      <c r="K2754" t="s">
        <v>35</v>
      </c>
      <c r="L2754">
        <v>8</v>
      </c>
      <c r="M2754" t="str">
        <f t="shared" ref="M2754:M2817" si="43">IF(L2754&lt;6,"0-6 Months",IF(L2754&gt;6,"6-12 Months","12+ Months"))</f>
        <v>6-12 Months</v>
      </c>
      <c r="N2754" s="1">
        <v>45171</v>
      </c>
      <c r="O2754">
        <v>0</v>
      </c>
      <c r="P2754">
        <v>2753</v>
      </c>
      <c r="Q2754" s="2">
        <v>0.16</v>
      </c>
      <c r="R2754" t="s">
        <v>27</v>
      </c>
      <c r="S2754">
        <v>2023</v>
      </c>
      <c r="T2754" t="s">
        <v>30</v>
      </c>
    </row>
    <row r="2755" spans="1:20" x14ac:dyDescent="0.3">
      <c r="A2755">
        <v>4583</v>
      </c>
      <c r="B2755">
        <v>141</v>
      </c>
      <c r="C2755" t="s">
        <v>45</v>
      </c>
      <c r="D2755" t="s">
        <v>19</v>
      </c>
      <c r="E2755" t="s">
        <v>26</v>
      </c>
      <c r="F2755" s="1">
        <v>44853</v>
      </c>
      <c r="G2755" s="1">
        <v>45028</v>
      </c>
      <c r="H2755">
        <v>5244</v>
      </c>
      <c r="I2755">
        <v>5619</v>
      </c>
      <c r="J2755">
        <v>-375</v>
      </c>
      <c r="K2755" t="s">
        <v>35</v>
      </c>
      <c r="L2755">
        <v>5</v>
      </c>
      <c r="M2755" t="str">
        <f t="shared" si="43"/>
        <v>0-6 Months</v>
      </c>
      <c r="N2755" s="1">
        <v>45028</v>
      </c>
      <c r="O2755">
        <v>1</v>
      </c>
      <c r="P2755">
        <v>2754</v>
      </c>
      <c r="Q2755" s="2">
        <v>-7.0000000000000007E-2</v>
      </c>
      <c r="R2755" t="s">
        <v>27</v>
      </c>
      <c r="S2755">
        <v>2023</v>
      </c>
      <c r="T2755" t="s">
        <v>32</v>
      </c>
    </row>
    <row r="2756" spans="1:20" hidden="1" x14ac:dyDescent="0.3">
      <c r="A2756">
        <v>4584</v>
      </c>
      <c r="B2756">
        <v>114</v>
      </c>
      <c r="C2756" t="s">
        <v>40</v>
      </c>
      <c r="D2756" t="s">
        <v>29</v>
      </c>
      <c r="E2756" t="s">
        <v>26</v>
      </c>
      <c r="F2756" s="1">
        <v>44621</v>
      </c>
      <c r="G2756" s="1">
        <v>44695</v>
      </c>
      <c r="H2756">
        <v>1586</v>
      </c>
      <c r="I2756">
        <v>7830</v>
      </c>
      <c r="J2756">
        <v>-6244</v>
      </c>
      <c r="K2756" t="s">
        <v>21</v>
      </c>
      <c r="L2756">
        <v>2</v>
      </c>
      <c r="M2756" t="str">
        <f t="shared" si="43"/>
        <v>0-6 Months</v>
      </c>
      <c r="N2756" s="1">
        <v>44695</v>
      </c>
      <c r="O2756">
        <v>0</v>
      </c>
      <c r="P2756">
        <v>2755</v>
      </c>
      <c r="Q2756" s="2">
        <v>-3.94</v>
      </c>
      <c r="R2756" t="s">
        <v>22</v>
      </c>
      <c r="S2756">
        <v>2022</v>
      </c>
      <c r="T2756" t="s">
        <v>28</v>
      </c>
    </row>
    <row r="2757" spans="1:20" hidden="1" x14ac:dyDescent="0.3">
      <c r="A2757">
        <v>4585</v>
      </c>
      <c r="B2757">
        <v>170</v>
      </c>
      <c r="C2757" t="s">
        <v>45</v>
      </c>
      <c r="D2757" t="s">
        <v>29</v>
      </c>
      <c r="E2757" t="s">
        <v>26</v>
      </c>
      <c r="F2757" s="1">
        <v>44699</v>
      </c>
      <c r="G2757" s="1">
        <v>44915</v>
      </c>
      <c r="H2757">
        <v>4967.93</v>
      </c>
      <c r="I2757">
        <v>4012.75</v>
      </c>
      <c r="J2757">
        <v>-471</v>
      </c>
      <c r="K2757" t="s">
        <v>21</v>
      </c>
      <c r="L2757">
        <v>7</v>
      </c>
      <c r="M2757" t="str">
        <f t="shared" si="43"/>
        <v>6-12 Months</v>
      </c>
      <c r="N2757" s="1">
        <v>44915</v>
      </c>
      <c r="O2757">
        <v>1</v>
      </c>
      <c r="P2757">
        <v>2756</v>
      </c>
      <c r="Q2757" s="2">
        <v>-0.09</v>
      </c>
      <c r="R2757" t="s">
        <v>27</v>
      </c>
      <c r="S2757">
        <v>2022</v>
      </c>
      <c r="T2757" t="s">
        <v>31</v>
      </c>
    </row>
    <row r="2758" spans="1:20" x14ac:dyDescent="0.3">
      <c r="A2758">
        <v>4586</v>
      </c>
      <c r="B2758">
        <v>101</v>
      </c>
      <c r="C2758" t="s">
        <v>39</v>
      </c>
      <c r="D2758" t="s">
        <v>19</v>
      </c>
      <c r="E2758" t="s">
        <v>26</v>
      </c>
      <c r="F2758" s="1">
        <v>44673</v>
      </c>
      <c r="G2758" s="1">
        <v>44865</v>
      </c>
      <c r="H2758">
        <v>2029</v>
      </c>
      <c r="I2758">
        <v>4012.75</v>
      </c>
      <c r="J2758">
        <v>2514</v>
      </c>
      <c r="K2758" t="s">
        <v>35</v>
      </c>
      <c r="L2758">
        <v>6</v>
      </c>
      <c r="M2758" t="str">
        <f t="shared" si="43"/>
        <v>12+ Months</v>
      </c>
      <c r="N2758" s="1">
        <v>44865</v>
      </c>
      <c r="O2758">
        <v>0</v>
      </c>
      <c r="P2758">
        <v>2757</v>
      </c>
      <c r="Q2758" s="2">
        <v>1.24</v>
      </c>
      <c r="R2758" t="s">
        <v>22</v>
      </c>
      <c r="S2758">
        <v>2022</v>
      </c>
      <c r="T2758" t="s">
        <v>33</v>
      </c>
    </row>
    <row r="2759" spans="1:20" x14ac:dyDescent="0.3">
      <c r="A2759">
        <v>4588</v>
      </c>
      <c r="B2759">
        <v>447</v>
      </c>
      <c r="C2759" t="s">
        <v>45</v>
      </c>
      <c r="D2759" t="s">
        <v>19</v>
      </c>
      <c r="E2759" t="s">
        <v>26</v>
      </c>
      <c r="F2759" s="1">
        <v>44769</v>
      </c>
      <c r="G2759" s="1">
        <v>44825</v>
      </c>
      <c r="H2759">
        <v>4058</v>
      </c>
      <c r="I2759">
        <v>4012.75</v>
      </c>
      <c r="J2759">
        <v>4164</v>
      </c>
      <c r="K2759" t="s">
        <v>35</v>
      </c>
      <c r="L2759">
        <v>1</v>
      </c>
      <c r="M2759" t="str">
        <f t="shared" si="43"/>
        <v>0-6 Months</v>
      </c>
      <c r="N2759" s="1">
        <v>44825</v>
      </c>
      <c r="O2759">
        <v>0</v>
      </c>
      <c r="P2759">
        <v>2758</v>
      </c>
      <c r="Q2759" s="2">
        <v>1.03</v>
      </c>
      <c r="R2759" t="s">
        <v>22</v>
      </c>
      <c r="S2759">
        <v>2022</v>
      </c>
      <c r="T2759" t="s">
        <v>30</v>
      </c>
    </row>
    <row r="2760" spans="1:20" hidden="1" x14ac:dyDescent="0.3">
      <c r="A2760">
        <v>4590</v>
      </c>
      <c r="B2760">
        <v>297</v>
      </c>
      <c r="C2760" t="s">
        <v>24</v>
      </c>
      <c r="D2760" t="s">
        <v>19</v>
      </c>
      <c r="E2760" t="s">
        <v>26</v>
      </c>
      <c r="F2760" s="1">
        <v>44661</v>
      </c>
      <c r="G2760" s="1">
        <v>45081</v>
      </c>
      <c r="H2760">
        <v>5993</v>
      </c>
      <c r="I2760">
        <v>6949</v>
      </c>
      <c r="J2760">
        <v>-956</v>
      </c>
      <c r="K2760" t="s">
        <v>54</v>
      </c>
      <c r="L2760">
        <v>13</v>
      </c>
      <c r="M2760" t="str">
        <f t="shared" si="43"/>
        <v>6-12 Months</v>
      </c>
      <c r="N2760" s="1">
        <v>45081</v>
      </c>
      <c r="O2760">
        <v>1</v>
      </c>
      <c r="P2760">
        <v>2759</v>
      </c>
      <c r="Q2760" s="2">
        <v>-0.16</v>
      </c>
      <c r="R2760" t="s">
        <v>27</v>
      </c>
      <c r="S2760">
        <v>2023</v>
      </c>
      <c r="T2760" t="s">
        <v>41</v>
      </c>
    </row>
    <row r="2761" spans="1:20" hidden="1" x14ac:dyDescent="0.3">
      <c r="A2761">
        <v>4591</v>
      </c>
      <c r="B2761">
        <v>348</v>
      </c>
      <c r="C2761" t="s">
        <v>39</v>
      </c>
      <c r="D2761" t="s">
        <v>29</v>
      </c>
      <c r="E2761" t="s">
        <v>37</v>
      </c>
      <c r="F2761" s="1">
        <v>44577</v>
      </c>
      <c r="G2761" s="1">
        <v>44800</v>
      </c>
      <c r="H2761">
        <v>732</v>
      </c>
      <c r="I2761">
        <v>985</v>
      </c>
      <c r="J2761">
        <v>-253</v>
      </c>
      <c r="K2761" t="s">
        <v>21</v>
      </c>
      <c r="L2761">
        <v>7</v>
      </c>
      <c r="M2761" t="str">
        <f t="shared" si="43"/>
        <v>6-12 Months</v>
      </c>
      <c r="N2761" s="1">
        <v>44800</v>
      </c>
      <c r="O2761">
        <v>1</v>
      </c>
      <c r="P2761">
        <v>2760</v>
      </c>
      <c r="Q2761" s="2">
        <v>-0.35</v>
      </c>
      <c r="R2761" t="s">
        <v>27</v>
      </c>
      <c r="S2761">
        <v>2022</v>
      </c>
      <c r="T2761" t="s">
        <v>36</v>
      </c>
    </row>
    <row r="2762" spans="1:20" hidden="1" x14ac:dyDescent="0.3">
      <c r="A2762">
        <v>4592</v>
      </c>
      <c r="B2762">
        <v>357</v>
      </c>
      <c r="C2762" t="s">
        <v>24</v>
      </c>
      <c r="D2762" t="s">
        <v>34</v>
      </c>
      <c r="E2762" t="s">
        <v>37</v>
      </c>
      <c r="F2762" s="1">
        <v>44603</v>
      </c>
      <c r="G2762" s="1">
        <v>45109</v>
      </c>
      <c r="H2762">
        <v>4967.93</v>
      </c>
      <c r="I2762">
        <v>4545</v>
      </c>
      <c r="J2762">
        <v>-4957</v>
      </c>
      <c r="K2762" t="s">
        <v>54</v>
      </c>
      <c r="L2762">
        <v>16</v>
      </c>
      <c r="M2762" t="str">
        <f t="shared" si="43"/>
        <v>6-12 Months</v>
      </c>
      <c r="N2762" s="1">
        <v>45109</v>
      </c>
      <c r="O2762">
        <v>0</v>
      </c>
      <c r="P2762">
        <v>2761</v>
      </c>
      <c r="Q2762" s="2">
        <v>-1</v>
      </c>
      <c r="R2762" t="s">
        <v>27</v>
      </c>
      <c r="S2762">
        <v>2023</v>
      </c>
      <c r="T2762" t="s">
        <v>44</v>
      </c>
    </row>
    <row r="2763" spans="1:20" hidden="1" x14ac:dyDescent="0.3">
      <c r="A2763">
        <v>4593</v>
      </c>
      <c r="B2763">
        <v>315</v>
      </c>
      <c r="C2763" t="s">
        <v>39</v>
      </c>
      <c r="D2763" t="s">
        <v>25</v>
      </c>
      <c r="E2763" t="s">
        <v>37</v>
      </c>
      <c r="F2763" s="1">
        <v>44687</v>
      </c>
      <c r="G2763" s="1">
        <v>45048</v>
      </c>
      <c r="H2763">
        <v>7356</v>
      </c>
      <c r="I2763">
        <v>5813</v>
      </c>
      <c r="J2763">
        <v>1543</v>
      </c>
      <c r="K2763" t="s">
        <v>21</v>
      </c>
      <c r="L2763">
        <v>11</v>
      </c>
      <c r="M2763" t="str">
        <f t="shared" si="43"/>
        <v>6-12 Months</v>
      </c>
      <c r="N2763" s="1">
        <v>45048</v>
      </c>
      <c r="O2763">
        <v>0</v>
      </c>
      <c r="P2763">
        <v>2762</v>
      </c>
      <c r="Q2763" s="2">
        <v>0.21</v>
      </c>
      <c r="R2763" t="s">
        <v>27</v>
      </c>
      <c r="S2763">
        <v>2023</v>
      </c>
      <c r="T2763" t="s">
        <v>28</v>
      </c>
    </row>
    <row r="2764" spans="1:20" hidden="1" x14ac:dyDescent="0.3">
      <c r="A2764">
        <v>4594</v>
      </c>
      <c r="B2764">
        <v>125</v>
      </c>
      <c r="C2764" t="s">
        <v>24</v>
      </c>
      <c r="D2764" t="s">
        <v>34</v>
      </c>
      <c r="E2764" t="s">
        <v>37</v>
      </c>
      <c r="F2764" s="1">
        <v>44875</v>
      </c>
      <c r="G2764" s="1">
        <v>45020</v>
      </c>
      <c r="H2764">
        <v>4967.93</v>
      </c>
      <c r="I2764">
        <v>3698</v>
      </c>
      <c r="J2764">
        <v>577.01</v>
      </c>
      <c r="K2764" t="s">
        <v>54</v>
      </c>
      <c r="L2764">
        <v>4</v>
      </c>
      <c r="M2764" t="str">
        <f t="shared" si="43"/>
        <v>0-6 Months</v>
      </c>
      <c r="N2764" s="1">
        <v>45020</v>
      </c>
      <c r="O2764">
        <v>0</v>
      </c>
      <c r="P2764">
        <v>2763</v>
      </c>
      <c r="Q2764" s="2">
        <v>0.12</v>
      </c>
      <c r="R2764" t="s">
        <v>27</v>
      </c>
      <c r="S2764">
        <v>2023</v>
      </c>
      <c r="T2764" t="s">
        <v>32</v>
      </c>
    </row>
    <row r="2765" spans="1:20" hidden="1" x14ac:dyDescent="0.3">
      <c r="A2765">
        <v>4595</v>
      </c>
      <c r="B2765">
        <v>193</v>
      </c>
      <c r="C2765" t="s">
        <v>40</v>
      </c>
      <c r="D2765" t="s">
        <v>25</v>
      </c>
      <c r="E2765" t="s">
        <v>37</v>
      </c>
      <c r="F2765" s="1">
        <v>44781</v>
      </c>
      <c r="G2765" s="1">
        <v>44976</v>
      </c>
      <c r="H2765">
        <v>411</v>
      </c>
      <c r="I2765">
        <v>4739</v>
      </c>
      <c r="J2765">
        <v>-4328</v>
      </c>
      <c r="K2765" t="s">
        <v>54</v>
      </c>
      <c r="L2765">
        <v>6</v>
      </c>
      <c r="M2765" t="str">
        <f t="shared" si="43"/>
        <v>12+ Months</v>
      </c>
      <c r="N2765" s="1">
        <v>44976</v>
      </c>
      <c r="O2765">
        <v>1</v>
      </c>
      <c r="P2765">
        <v>2764</v>
      </c>
      <c r="Q2765" s="2">
        <v>-10.53</v>
      </c>
      <c r="R2765" t="s">
        <v>22</v>
      </c>
      <c r="S2765">
        <v>2023</v>
      </c>
      <c r="T2765" t="s">
        <v>43</v>
      </c>
    </row>
    <row r="2766" spans="1:20" hidden="1" x14ac:dyDescent="0.3">
      <c r="A2766">
        <v>4596</v>
      </c>
      <c r="B2766">
        <v>134</v>
      </c>
      <c r="C2766" t="s">
        <v>40</v>
      </c>
      <c r="D2766" t="s">
        <v>25</v>
      </c>
      <c r="E2766" t="s">
        <v>37</v>
      </c>
      <c r="F2766" s="1">
        <v>44634</v>
      </c>
      <c r="G2766" s="1">
        <v>44867</v>
      </c>
      <c r="H2766">
        <v>7437</v>
      </c>
      <c r="I2766">
        <v>7419</v>
      </c>
      <c r="J2766">
        <v>18</v>
      </c>
      <c r="K2766" t="s">
        <v>54</v>
      </c>
      <c r="L2766">
        <v>7</v>
      </c>
      <c r="M2766" t="str">
        <f t="shared" si="43"/>
        <v>6-12 Months</v>
      </c>
      <c r="N2766" s="1">
        <v>44867</v>
      </c>
      <c r="O2766">
        <v>0</v>
      </c>
      <c r="P2766">
        <v>2765</v>
      </c>
      <c r="Q2766" s="2">
        <v>0</v>
      </c>
      <c r="R2766" t="s">
        <v>27</v>
      </c>
      <c r="S2766">
        <v>2022</v>
      </c>
      <c r="T2766" t="s">
        <v>42</v>
      </c>
    </row>
    <row r="2767" spans="1:20" hidden="1" x14ac:dyDescent="0.3">
      <c r="A2767">
        <v>4597</v>
      </c>
      <c r="B2767">
        <v>368</v>
      </c>
      <c r="C2767" t="s">
        <v>39</v>
      </c>
      <c r="D2767" t="s">
        <v>25</v>
      </c>
      <c r="E2767" t="s">
        <v>20</v>
      </c>
      <c r="F2767" s="1">
        <v>44795</v>
      </c>
      <c r="G2767" s="1">
        <v>44845</v>
      </c>
      <c r="H2767">
        <v>6984</v>
      </c>
      <c r="I2767">
        <v>6579</v>
      </c>
      <c r="J2767">
        <v>405</v>
      </c>
      <c r="K2767" t="s">
        <v>21</v>
      </c>
      <c r="L2767">
        <v>1</v>
      </c>
      <c r="M2767" t="str">
        <f t="shared" si="43"/>
        <v>0-6 Months</v>
      </c>
      <c r="N2767" s="1">
        <v>44845</v>
      </c>
      <c r="O2767">
        <v>1</v>
      </c>
      <c r="P2767">
        <v>2766</v>
      </c>
      <c r="Q2767" s="2">
        <v>0.06</v>
      </c>
      <c r="R2767" t="s">
        <v>27</v>
      </c>
      <c r="S2767">
        <v>2022</v>
      </c>
      <c r="T2767" t="s">
        <v>33</v>
      </c>
    </row>
    <row r="2768" spans="1:20" hidden="1" x14ac:dyDescent="0.3">
      <c r="A2768">
        <v>4598</v>
      </c>
      <c r="B2768">
        <v>408</v>
      </c>
      <c r="C2768" t="s">
        <v>53</v>
      </c>
      <c r="D2768" t="s">
        <v>19</v>
      </c>
      <c r="E2768" t="s">
        <v>37</v>
      </c>
      <c r="F2768" s="1">
        <v>44717</v>
      </c>
      <c r="G2768" s="1">
        <v>45256</v>
      </c>
      <c r="H2768">
        <v>8523</v>
      </c>
      <c r="I2768">
        <v>2868</v>
      </c>
      <c r="J2768">
        <v>5655</v>
      </c>
      <c r="K2768" t="s">
        <v>54</v>
      </c>
      <c r="L2768">
        <v>17</v>
      </c>
      <c r="M2768" t="str">
        <f t="shared" si="43"/>
        <v>6-12 Months</v>
      </c>
      <c r="N2768" s="1">
        <v>45256</v>
      </c>
      <c r="O2768">
        <v>0</v>
      </c>
      <c r="P2768">
        <v>2767</v>
      </c>
      <c r="Q2768" s="2">
        <v>0.66</v>
      </c>
      <c r="R2768" t="s">
        <v>27</v>
      </c>
      <c r="S2768">
        <v>2023</v>
      </c>
      <c r="T2768" t="s">
        <v>42</v>
      </c>
    </row>
    <row r="2769" spans="1:20" hidden="1" x14ac:dyDescent="0.3">
      <c r="A2769">
        <v>4599</v>
      </c>
      <c r="B2769">
        <v>427</v>
      </c>
      <c r="C2769" t="s">
        <v>24</v>
      </c>
      <c r="D2769" t="s">
        <v>29</v>
      </c>
      <c r="E2769" t="s">
        <v>20</v>
      </c>
      <c r="F2769" s="1">
        <v>44740</v>
      </c>
      <c r="G2769" s="1">
        <v>44921</v>
      </c>
      <c r="H2769">
        <v>1252</v>
      </c>
      <c r="I2769">
        <v>920</v>
      </c>
      <c r="J2769">
        <v>332</v>
      </c>
      <c r="K2769" t="s">
        <v>21</v>
      </c>
      <c r="L2769">
        <v>5</v>
      </c>
      <c r="M2769" t="str">
        <f t="shared" si="43"/>
        <v>0-6 Months</v>
      </c>
      <c r="N2769" s="1">
        <v>44921</v>
      </c>
      <c r="O2769">
        <v>0</v>
      </c>
      <c r="P2769">
        <v>2768</v>
      </c>
      <c r="Q2769" s="2">
        <v>0.27</v>
      </c>
      <c r="R2769" t="s">
        <v>27</v>
      </c>
      <c r="S2769">
        <v>2022</v>
      </c>
      <c r="T2769" t="s">
        <v>31</v>
      </c>
    </row>
    <row r="2770" spans="1:20" hidden="1" x14ac:dyDescent="0.3">
      <c r="A2770">
        <v>4600</v>
      </c>
      <c r="B2770">
        <v>282</v>
      </c>
      <c r="C2770" t="s">
        <v>39</v>
      </c>
      <c r="D2770" t="s">
        <v>19</v>
      </c>
      <c r="E2770" t="s">
        <v>26</v>
      </c>
      <c r="F2770" s="1">
        <v>44754</v>
      </c>
      <c r="G2770" s="1">
        <v>44963</v>
      </c>
      <c r="H2770">
        <v>4967.93</v>
      </c>
      <c r="I2770">
        <v>2059</v>
      </c>
      <c r="J2770">
        <v>-2974</v>
      </c>
      <c r="K2770" t="s">
        <v>54</v>
      </c>
      <c r="L2770">
        <v>6</v>
      </c>
      <c r="M2770" t="str">
        <f t="shared" si="43"/>
        <v>12+ Months</v>
      </c>
      <c r="N2770" s="1">
        <v>44963</v>
      </c>
      <c r="O2770">
        <v>0</v>
      </c>
      <c r="P2770">
        <v>2769</v>
      </c>
      <c r="Q2770" s="2">
        <v>-0.6</v>
      </c>
      <c r="R2770" t="s">
        <v>27</v>
      </c>
      <c r="S2770">
        <v>2023</v>
      </c>
      <c r="T2770" t="s">
        <v>43</v>
      </c>
    </row>
    <row r="2771" spans="1:20" hidden="1" x14ac:dyDescent="0.3">
      <c r="A2771">
        <v>4603</v>
      </c>
      <c r="B2771">
        <v>174</v>
      </c>
      <c r="C2771" t="s">
        <v>40</v>
      </c>
      <c r="D2771" t="s">
        <v>25</v>
      </c>
      <c r="E2771" t="s">
        <v>26</v>
      </c>
      <c r="F2771" s="1">
        <v>44610</v>
      </c>
      <c r="G2771" s="1">
        <v>44771</v>
      </c>
      <c r="H2771">
        <v>9856</v>
      </c>
      <c r="I2771">
        <v>1530</v>
      </c>
      <c r="J2771">
        <v>8326</v>
      </c>
      <c r="K2771" t="s">
        <v>54</v>
      </c>
      <c r="L2771">
        <v>5</v>
      </c>
      <c r="M2771" t="str">
        <f t="shared" si="43"/>
        <v>0-6 Months</v>
      </c>
      <c r="N2771" s="1">
        <v>44771</v>
      </c>
      <c r="O2771">
        <v>0</v>
      </c>
      <c r="P2771">
        <v>2770</v>
      </c>
      <c r="Q2771" s="2">
        <v>0.84</v>
      </c>
      <c r="R2771" t="s">
        <v>27</v>
      </c>
      <c r="S2771">
        <v>2022</v>
      </c>
      <c r="T2771" t="s">
        <v>44</v>
      </c>
    </row>
    <row r="2772" spans="1:20" hidden="1" x14ac:dyDescent="0.3">
      <c r="A2772">
        <v>4604</v>
      </c>
      <c r="B2772">
        <v>132</v>
      </c>
      <c r="C2772" t="s">
        <v>40</v>
      </c>
      <c r="D2772" t="s">
        <v>29</v>
      </c>
      <c r="E2772" t="s">
        <v>26</v>
      </c>
      <c r="F2772" s="1">
        <v>44872</v>
      </c>
      <c r="G2772" s="1">
        <v>45458</v>
      </c>
      <c r="H2772">
        <v>2417</v>
      </c>
      <c r="I2772">
        <v>5792</v>
      </c>
      <c r="J2772">
        <v>-3375</v>
      </c>
      <c r="K2772" t="s">
        <v>21</v>
      </c>
      <c r="L2772">
        <v>19</v>
      </c>
      <c r="M2772" t="str">
        <f t="shared" si="43"/>
        <v>6-12 Months</v>
      </c>
      <c r="N2772" s="1">
        <v>45458</v>
      </c>
      <c r="O2772">
        <v>0</v>
      </c>
      <c r="P2772">
        <v>2771</v>
      </c>
      <c r="Q2772" s="2">
        <v>-1.4</v>
      </c>
      <c r="R2772" t="s">
        <v>22</v>
      </c>
      <c r="S2772">
        <v>2024</v>
      </c>
      <c r="T2772" t="s">
        <v>41</v>
      </c>
    </row>
    <row r="2773" spans="1:20" hidden="1" x14ac:dyDescent="0.3">
      <c r="A2773">
        <v>4605</v>
      </c>
      <c r="B2773">
        <v>244</v>
      </c>
      <c r="C2773" t="s">
        <v>45</v>
      </c>
      <c r="D2773" t="s">
        <v>19</v>
      </c>
      <c r="E2773" t="s">
        <v>26</v>
      </c>
      <c r="F2773" s="1">
        <v>44873</v>
      </c>
      <c r="G2773" s="1">
        <v>45087</v>
      </c>
      <c r="H2773">
        <v>9575</v>
      </c>
      <c r="I2773">
        <v>1680</v>
      </c>
      <c r="J2773">
        <v>7895</v>
      </c>
      <c r="K2773" t="s">
        <v>21</v>
      </c>
      <c r="L2773">
        <v>7</v>
      </c>
      <c r="M2773" t="str">
        <f t="shared" si="43"/>
        <v>6-12 Months</v>
      </c>
      <c r="N2773" s="1">
        <v>45087</v>
      </c>
      <c r="O2773">
        <v>0</v>
      </c>
      <c r="P2773">
        <v>2772</v>
      </c>
      <c r="Q2773" s="2">
        <v>0.82</v>
      </c>
      <c r="R2773" t="s">
        <v>27</v>
      </c>
      <c r="S2773">
        <v>2023</v>
      </c>
      <c r="T2773" t="s">
        <v>41</v>
      </c>
    </row>
    <row r="2774" spans="1:20" hidden="1" x14ac:dyDescent="0.3">
      <c r="A2774">
        <v>4606</v>
      </c>
      <c r="B2774">
        <v>438</v>
      </c>
      <c r="C2774" t="s">
        <v>40</v>
      </c>
      <c r="D2774" t="s">
        <v>19</v>
      </c>
      <c r="E2774" t="s">
        <v>20</v>
      </c>
      <c r="F2774" s="1">
        <v>44666</v>
      </c>
      <c r="G2774" s="1">
        <v>45053</v>
      </c>
      <c r="H2774">
        <v>4094</v>
      </c>
      <c r="I2774">
        <v>2989</v>
      </c>
      <c r="J2774">
        <v>1105</v>
      </c>
      <c r="K2774" t="s">
        <v>54</v>
      </c>
      <c r="L2774">
        <v>12</v>
      </c>
      <c r="M2774" t="str">
        <f t="shared" si="43"/>
        <v>6-12 Months</v>
      </c>
      <c r="N2774" s="1">
        <v>45053</v>
      </c>
      <c r="O2774">
        <v>1</v>
      </c>
      <c r="P2774">
        <v>2773</v>
      </c>
      <c r="Q2774" s="2">
        <v>0.27</v>
      </c>
      <c r="R2774" t="s">
        <v>27</v>
      </c>
      <c r="S2774">
        <v>2023</v>
      </c>
      <c r="T2774" t="s">
        <v>28</v>
      </c>
    </row>
    <row r="2775" spans="1:20" x14ac:dyDescent="0.3">
      <c r="A2775">
        <v>4608</v>
      </c>
      <c r="B2775">
        <v>349</v>
      </c>
      <c r="C2775" t="s">
        <v>45</v>
      </c>
      <c r="D2775" t="s">
        <v>25</v>
      </c>
      <c r="E2775" t="s">
        <v>37</v>
      </c>
      <c r="F2775" s="1">
        <v>44912</v>
      </c>
      <c r="G2775" s="1">
        <v>45155</v>
      </c>
      <c r="H2775">
        <v>5921</v>
      </c>
      <c r="I2775">
        <v>6040</v>
      </c>
      <c r="J2775">
        <v>-119</v>
      </c>
      <c r="K2775" t="s">
        <v>35</v>
      </c>
      <c r="L2775">
        <v>8</v>
      </c>
      <c r="M2775" t="str">
        <f t="shared" si="43"/>
        <v>6-12 Months</v>
      </c>
      <c r="N2775" s="1">
        <v>45155</v>
      </c>
      <c r="O2775">
        <v>1</v>
      </c>
      <c r="P2775">
        <v>2774</v>
      </c>
      <c r="Q2775" s="2">
        <v>-0.02</v>
      </c>
      <c r="R2775" t="s">
        <v>27</v>
      </c>
      <c r="S2775">
        <v>2023</v>
      </c>
      <c r="T2775" t="s">
        <v>36</v>
      </c>
    </row>
    <row r="2776" spans="1:20" hidden="1" x14ac:dyDescent="0.3">
      <c r="A2776">
        <v>4610</v>
      </c>
      <c r="B2776">
        <v>304</v>
      </c>
      <c r="C2776" t="s">
        <v>39</v>
      </c>
      <c r="D2776" t="s">
        <v>19</v>
      </c>
      <c r="E2776" t="s">
        <v>26</v>
      </c>
      <c r="F2776" s="1">
        <v>44885</v>
      </c>
      <c r="G2776" s="1">
        <v>45458</v>
      </c>
      <c r="H2776">
        <v>5980</v>
      </c>
      <c r="I2776">
        <v>1854</v>
      </c>
      <c r="J2776">
        <v>4126</v>
      </c>
      <c r="K2776" t="s">
        <v>21</v>
      </c>
      <c r="L2776">
        <v>18</v>
      </c>
      <c r="M2776" t="str">
        <f t="shared" si="43"/>
        <v>6-12 Months</v>
      </c>
      <c r="N2776" s="1">
        <v>45458</v>
      </c>
      <c r="O2776">
        <v>0</v>
      </c>
      <c r="P2776">
        <v>2775</v>
      </c>
      <c r="Q2776" s="2">
        <v>0.69</v>
      </c>
      <c r="R2776" t="s">
        <v>27</v>
      </c>
      <c r="S2776">
        <v>2024</v>
      </c>
      <c r="T2776" t="s">
        <v>41</v>
      </c>
    </row>
    <row r="2777" spans="1:20" hidden="1" x14ac:dyDescent="0.3">
      <c r="A2777">
        <v>4612</v>
      </c>
      <c r="B2777">
        <v>448</v>
      </c>
      <c r="C2777" t="s">
        <v>53</v>
      </c>
      <c r="D2777" t="s">
        <v>34</v>
      </c>
      <c r="E2777" t="s">
        <v>26</v>
      </c>
      <c r="F2777" s="1">
        <v>44719</v>
      </c>
      <c r="G2777" s="1">
        <v>45247</v>
      </c>
      <c r="H2777">
        <v>5433</v>
      </c>
      <c r="I2777">
        <v>764</v>
      </c>
      <c r="J2777">
        <v>4669</v>
      </c>
      <c r="K2777" t="s">
        <v>21</v>
      </c>
      <c r="L2777">
        <v>17</v>
      </c>
      <c r="M2777" t="str">
        <f t="shared" si="43"/>
        <v>6-12 Months</v>
      </c>
      <c r="N2777" s="1">
        <v>45247</v>
      </c>
      <c r="O2777">
        <v>1</v>
      </c>
      <c r="P2777">
        <v>2776</v>
      </c>
      <c r="Q2777" s="2">
        <v>0.86</v>
      </c>
      <c r="R2777" t="s">
        <v>27</v>
      </c>
      <c r="S2777">
        <v>2023</v>
      </c>
      <c r="T2777" t="s">
        <v>42</v>
      </c>
    </row>
    <row r="2778" spans="1:20" hidden="1" x14ac:dyDescent="0.3">
      <c r="A2778">
        <v>4613</v>
      </c>
      <c r="B2778">
        <v>354</v>
      </c>
      <c r="C2778" t="s">
        <v>40</v>
      </c>
      <c r="D2778" t="s">
        <v>19</v>
      </c>
      <c r="E2778" t="s">
        <v>26</v>
      </c>
      <c r="F2778" s="1">
        <v>44794</v>
      </c>
      <c r="G2778" s="1">
        <v>45018</v>
      </c>
      <c r="H2778">
        <v>297</v>
      </c>
      <c r="I2778">
        <v>4254</v>
      </c>
      <c r="J2778">
        <v>-3957</v>
      </c>
      <c r="K2778" t="s">
        <v>54</v>
      </c>
      <c r="L2778">
        <v>7</v>
      </c>
      <c r="M2778" t="str">
        <f t="shared" si="43"/>
        <v>6-12 Months</v>
      </c>
      <c r="N2778" s="1">
        <v>45018</v>
      </c>
      <c r="O2778">
        <v>1</v>
      </c>
      <c r="P2778">
        <v>2777</v>
      </c>
      <c r="Q2778" s="2">
        <v>-13.32</v>
      </c>
      <c r="R2778" t="s">
        <v>22</v>
      </c>
      <c r="S2778">
        <v>2023</v>
      </c>
      <c r="T2778" t="s">
        <v>32</v>
      </c>
    </row>
    <row r="2779" spans="1:20" hidden="1" x14ac:dyDescent="0.3">
      <c r="A2779">
        <v>4615</v>
      </c>
      <c r="B2779">
        <v>279</v>
      </c>
      <c r="C2779" t="s">
        <v>39</v>
      </c>
      <c r="D2779" t="s">
        <v>29</v>
      </c>
      <c r="E2779" t="s">
        <v>20</v>
      </c>
      <c r="F2779" s="1">
        <v>44852</v>
      </c>
      <c r="G2779" s="1">
        <v>45246</v>
      </c>
      <c r="H2779">
        <v>5749</v>
      </c>
      <c r="I2779">
        <v>3848</v>
      </c>
      <c r="J2779">
        <v>1901</v>
      </c>
      <c r="K2779" t="s">
        <v>21</v>
      </c>
      <c r="L2779">
        <v>12</v>
      </c>
      <c r="M2779" t="str">
        <f t="shared" si="43"/>
        <v>6-12 Months</v>
      </c>
      <c r="N2779" s="1">
        <v>45246</v>
      </c>
      <c r="O2779">
        <v>1</v>
      </c>
      <c r="P2779">
        <v>2778</v>
      </c>
      <c r="Q2779" s="2">
        <v>0.33</v>
      </c>
      <c r="R2779" t="s">
        <v>27</v>
      </c>
      <c r="S2779">
        <v>2023</v>
      </c>
      <c r="T2779" t="s">
        <v>42</v>
      </c>
    </row>
    <row r="2780" spans="1:20" hidden="1" x14ac:dyDescent="0.3">
      <c r="A2780">
        <v>4617</v>
      </c>
      <c r="B2780">
        <v>303</v>
      </c>
      <c r="C2780" t="s">
        <v>45</v>
      </c>
      <c r="D2780" t="s">
        <v>19</v>
      </c>
      <c r="E2780" t="s">
        <v>20</v>
      </c>
      <c r="F2780" s="1">
        <v>44902</v>
      </c>
      <c r="G2780" s="1">
        <v>45067</v>
      </c>
      <c r="H2780">
        <v>4967.93</v>
      </c>
      <c r="I2780">
        <v>573</v>
      </c>
      <c r="J2780">
        <v>577.01</v>
      </c>
      <c r="K2780" t="s">
        <v>21</v>
      </c>
      <c r="L2780">
        <v>5</v>
      </c>
      <c r="M2780" t="str">
        <f t="shared" si="43"/>
        <v>0-6 Months</v>
      </c>
      <c r="N2780" s="1">
        <v>45067</v>
      </c>
      <c r="O2780">
        <v>0</v>
      </c>
      <c r="P2780">
        <v>2779</v>
      </c>
      <c r="Q2780" s="2">
        <v>0.12</v>
      </c>
      <c r="R2780" t="s">
        <v>27</v>
      </c>
      <c r="S2780">
        <v>2023</v>
      </c>
      <c r="T2780" t="s">
        <v>28</v>
      </c>
    </row>
    <row r="2781" spans="1:20" hidden="1" x14ac:dyDescent="0.3">
      <c r="A2781">
        <v>4618</v>
      </c>
      <c r="B2781">
        <v>366</v>
      </c>
      <c r="C2781" t="s">
        <v>53</v>
      </c>
      <c r="D2781" t="s">
        <v>25</v>
      </c>
      <c r="E2781" t="s">
        <v>20</v>
      </c>
      <c r="F2781" s="1">
        <v>44595</v>
      </c>
      <c r="G2781" s="1">
        <v>45120</v>
      </c>
      <c r="H2781">
        <v>1335</v>
      </c>
      <c r="I2781">
        <v>2888</v>
      </c>
      <c r="J2781">
        <v>-1553</v>
      </c>
      <c r="K2781" t="s">
        <v>54</v>
      </c>
      <c r="L2781">
        <v>17</v>
      </c>
      <c r="M2781" t="str">
        <f t="shared" si="43"/>
        <v>6-12 Months</v>
      </c>
      <c r="N2781" s="1">
        <v>45120</v>
      </c>
      <c r="O2781">
        <v>0</v>
      </c>
      <c r="P2781">
        <v>2780</v>
      </c>
      <c r="Q2781" s="2">
        <v>-1.1599999999999999</v>
      </c>
      <c r="R2781" t="s">
        <v>22</v>
      </c>
      <c r="S2781">
        <v>2023</v>
      </c>
      <c r="T2781" t="s">
        <v>44</v>
      </c>
    </row>
    <row r="2782" spans="1:20" x14ac:dyDescent="0.3">
      <c r="A2782">
        <v>4620</v>
      </c>
      <c r="B2782">
        <v>225</v>
      </c>
      <c r="C2782" t="s">
        <v>45</v>
      </c>
      <c r="D2782" t="s">
        <v>34</v>
      </c>
      <c r="E2782" t="s">
        <v>37</v>
      </c>
      <c r="F2782" s="1">
        <v>44627</v>
      </c>
      <c r="G2782" s="1">
        <v>44763</v>
      </c>
      <c r="H2782">
        <v>665</v>
      </c>
      <c r="I2782">
        <v>1430</v>
      </c>
      <c r="J2782">
        <v>-765</v>
      </c>
      <c r="K2782" t="s">
        <v>35</v>
      </c>
      <c r="L2782">
        <v>4</v>
      </c>
      <c r="M2782" t="str">
        <f t="shared" si="43"/>
        <v>0-6 Months</v>
      </c>
      <c r="N2782" s="1">
        <v>44763</v>
      </c>
      <c r="O2782">
        <v>1</v>
      </c>
      <c r="P2782">
        <v>2781</v>
      </c>
      <c r="Q2782" s="2">
        <v>-1.1499999999999999</v>
      </c>
      <c r="R2782" t="s">
        <v>22</v>
      </c>
      <c r="S2782">
        <v>2022</v>
      </c>
      <c r="T2782" t="s">
        <v>44</v>
      </c>
    </row>
    <row r="2783" spans="1:20" hidden="1" x14ac:dyDescent="0.3">
      <c r="A2783">
        <v>4621</v>
      </c>
      <c r="B2783">
        <v>102</v>
      </c>
      <c r="C2783" t="s">
        <v>45</v>
      </c>
      <c r="D2783" t="s">
        <v>19</v>
      </c>
      <c r="E2783" t="s">
        <v>20</v>
      </c>
      <c r="F2783" s="1">
        <v>44766</v>
      </c>
      <c r="G2783" s="1">
        <v>45148</v>
      </c>
      <c r="H2783">
        <v>5389</v>
      </c>
      <c r="I2783">
        <v>3514</v>
      </c>
      <c r="J2783">
        <v>1875</v>
      </c>
      <c r="K2783" t="s">
        <v>54</v>
      </c>
      <c r="L2783">
        <v>12</v>
      </c>
      <c r="M2783" t="str">
        <f t="shared" si="43"/>
        <v>6-12 Months</v>
      </c>
      <c r="N2783" s="1">
        <v>45148</v>
      </c>
      <c r="O2783">
        <v>1</v>
      </c>
      <c r="P2783">
        <v>2782</v>
      </c>
      <c r="Q2783" s="2">
        <v>0.35</v>
      </c>
      <c r="R2783" t="s">
        <v>27</v>
      </c>
      <c r="S2783">
        <v>2023</v>
      </c>
      <c r="T2783" t="s">
        <v>36</v>
      </c>
    </row>
    <row r="2784" spans="1:20" hidden="1" x14ac:dyDescent="0.3">
      <c r="A2784">
        <v>4622</v>
      </c>
      <c r="B2784">
        <v>400</v>
      </c>
      <c r="C2784" t="s">
        <v>53</v>
      </c>
      <c r="D2784" t="s">
        <v>25</v>
      </c>
      <c r="E2784" t="s">
        <v>20</v>
      </c>
      <c r="F2784" s="1">
        <v>44590</v>
      </c>
      <c r="G2784" s="1">
        <v>45166</v>
      </c>
      <c r="H2784">
        <v>1721</v>
      </c>
      <c r="I2784">
        <v>1107</v>
      </c>
      <c r="J2784">
        <v>614</v>
      </c>
      <c r="K2784" t="s">
        <v>21</v>
      </c>
      <c r="L2784">
        <v>18</v>
      </c>
      <c r="M2784" t="str">
        <f t="shared" si="43"/>
        <v>6-12 Months</v>
      </c>
      <c r="N2784" s="1">
        <v>45166</v>
      </c>
      <c r="O2784">
        <v>0</v>
      </c>
      <c r="P2784">
        <v>2783</v>
      </c>
      <c r="Q2784" s="2">
        <v>0.36</v>
      </c>
      <c r="R2784" t="s">
        <v>27</v>
      </c>
      <c r="S2784">
        <v>2023</v>
      </c>
      <c r="T2784" t="s">
        <v>36</v>
      </c>
    </row>
    <row r="2785" spans="1:20" hidden="1" x14ac:dyDescent="0.3">
      <c r="A2785">
        <v>4624</v>
      </c>
      <c r="B2785">
        <v>318</v>
      </c>
      <c r="C2785" t="s">
        <v>53</v>
      </c>
      <c r="D2785" t="s">
        <v>29</v>
      </c>
      <c r="E2785" t="s">
        <v>20</v>
      </c>
      <c r="F2785" s="1">
        <v>44727</v>
      </c>
      <c r="G2785" s="1">
        <v>45080</v>
      </c>
      <c r="H2785">
        <v>2210</v>
      </c>
      <c r="I2785">
        <v>7624</v>
      </c>
      <c r="J2785">
        <v>-5414</v>
      </c>
      <c r="K2785" t="s">
        <v>54</v>
      </c>
      <c r="L2785">
        <v>11</v>
      </c>
      <c r="M2785" t="str">
        <f t="shared" si="43"/>
        <v>6-12 Months</v>
      </c>
      <c r="N2785" s="1">
        <v>45080</v>
      </c>
      <c r="O2785">
        <v>0</v>
      </c>
      <c r="P2785">
        <v>2784</v>
      </c>
      <c r="Q2785" s="2">
        <v>-2.4500000000000002</v>
      </c>
      <c r="R2785" t="s">
        <v>22</v>
      </c>
      <c r="S2785">
        <v>2023</v>
      </c>
      <c r="T2785" t="s">
        <v>41</v>
      </c>
    </row>
    <row r="2786" spans="1:20" x14ac:dyDescent="0.3">
      <c r="A2786">
        <v>4626</v>
      </c>
      <c r="B2786">
        <v>100</v>
      </c>
      <c r="C2786" t="s">
        <v>39</v>
      </c>
      <c r="D2786" t="s">
        <v>25</v>
      </c>
      <c r="E2786" t="s">
        <v>26</v>
      </c>
      <c r="F2786" s="1">
        <v>44794</v>
      </c>
      <c r="G2786" s="1">
        <v>45256</v>
      </c>
      <c r="H2786">
        <v>3907</v>
      </c>
      <c r="I2786">
        <v>1979</v>
      </c>
      <c r="J2786">
        <v>1928</v>
      </c>
      <c r="K2786" t="s">
        <v>35</v>
      </c>
      <c r="L2786">
        <v>15</v>
      </c>
      <c r="M2786" t="str">
        <f t="shared" si="43"/>
        <v>6-12 Months</v>
      </c>
      <c r="N2786" s="1">
        <v>45256</v>
      </c>
      <c r="O2786">
        <v>1</v>
      </c>
      <c r="P2786">
        <v>2785</v>
      </c>
      <c r="Q2786" s="2">
        <v>0.49</v>
      </c>
      <c r="R2786" t="s">
        <v>27</v>
      </c>
      <c r="S2786">
        <v>2023</v>
      </c>
      <c r="T2786" t="s">
        <v>42</v>
      </c>
    </row>
    <row r="2787" spans="1:20" hidden="1" x14ac:dyDescent="0.3">
      <c r="A2787">
        <v>4627</v>
      </c>
      <c r="B2787">
        <v>128</v>
      </c>
      <c r="C2787" t="s">
        <v>45</v>
      </c>
      <c r="D2787" t="s">
        <v>19</v>
      </c>
      <c r="E2787" t="s">
        <v>20</v>
      </c>
      <c r="F2787" s="1">
        <v>44800</v>
      </c>
      <c r="G2787" s="1">
        <v>45220</v>
      </c>
      <c r="H2787">
        <v>4752</v>
      </c>
      <c r="I2787">
        <v>6973</v>
      </c>
      <c r="J2787">
        <v>-2221</v>
      </c>
      <c r="K2787" t="s">
        <v>54</v>
      </c>
      <c r="L2787">
        <v>13</v>
      </c>
      <c r="M2787" t="str">
        <f t="shared" si="43"/>
        <v>6-12 Months</v>
      </c>
      <c r="N2787" s="1">
        <v>45220</v>
      </c>
      <c r="O2787">
        <v>1</v>
      </c>
      <c r="P2787">
        <v>2786</v>
      </c>
      <c r="Q2787" s="2">
        <v>-0.47</v>
      </c>
      <c r="R2787" t="s">
        <v>27</v>
      </c>
      <c r="S2787">
        <v>2023</v>
      </c>
      <c r="T2787" t="s">
        <v>33</v>
      </c>
    </row>
    <row r="2788" spans="1:20" x14ac:dyDescent="0.3">
      <c r="A2788">
        <v>4631</v>
      </c>
      <c r="B2788">
        <v>162</v>
      </c>
      <c r="C2788" t="s">
        <v>45</v>
      </c>
      <c r="D2788" t="s">
        <v>25</v>
      </c>
      <c r="E2788" t="s">
        <v>26</v>
      </c>
      <c r="F2788" s="1">
        <v>44829</v>
      </c>
      <c r="G2788" s="1">
        <v>44880</v>
      </c>
      <c r="H2788">
        <v>8119</v>
      </c>
      <c r="I2788">
        <v>6509</v>
      </c>
      <c r="J2788">
        <v>1610</v>
      </c>
      <c r="K2788" t="s">
        <v>35</v>
      </c>
      <c r="L2788">
        <v>1</v>
      </c>
      <c r="M2788" t="str">
        <f t="shared" si="43"/>
        <v>0-6 Months</v>
      </c>
      <c r="N2788" s="1">
        <v>44880</v>
      </c>
      <c r="O2788">
        <v>1</v>
      </c>
      <c r="P2788">
        <v>2787</v>
      </c>
      <c r="Q2788" s="2">
        <v>0.2</v>
      </c>
      <c r="R2788" t="s">
        <v>27</v>
      </c>
      <c r="S2788">
        <v>2022</v>
      </c>
      <c r="T2788" t="s">
        <v>42</v>
      </c>
    </row>
    <row r="2789" spans="1:20" hidden="1" x14ac:dyDescent="0.3">
      <c r="A2789">
        <v>4633</v>
      </c>
      <c r="B2789">
        <v>290</v>
      </c>
      <c r="C2789" t="s">
        <v>39</v>
      </c>
      <c r="D2789" t="s">
        <v>29</v>
      </c>
      <c r="E2789" t="s">
        <v>26</v>
      </c>
      <c r="F2789" s="1">
        <v>44817</v>
      </c>
      <c r="G2789" s="1">
        <v>45368</v>
      </c>
      <c r="H2789">
        <v>3173</v>
      </c>
      <c r="I2789">
        <v>4012.75</v>
      </c>
      <c r="J2789">
        <v>3877</v>
      </c>
      <c r="K2789" t="s">
        <v>54</v>
      </c>
      <c r="L2789">
        <v>18</v>
      </c>
      <c r="M2789" t="str">
        <f t="shared" si="43"/>
        <v>6-12 Months</v>
      </c>
      <c r="N2789" s="1">
        <v>45368</v>
      </c>
      <c r="O2789">
        <v>0</v>
      </c>
      <c r="P2789">
        <v>2788</v>
      </c>
      <c r="Q2789" s="2">
        <v>1.22</v>
      </c>
      <c r="R2789" t="s">
        <v>22</v>
      </c>
      <c r="S2789">
        <v>2024</v>
      </c>
      <c r="T2789" t="s">
        <v>38</v>
      </c>
    </row>
    <row r="2790" spans="1:20" hidden="1" x14ac:dyDescent="0.3">
      <c r="A2790">
        <v>4634</v>
      </c>
      <c r="B2790">
        <v>182</v>
      </c>
      <c r="C2790" t="s">
        <v>53</v>
      </c>
      <c r="D2790" t="s">
        <v>25</v>
      </c>
      <c r="E2790" t="s">
        <v>37</v>
      </c>
      <c r="F2790" s="1">
        <v>44648</v>
      </c>
      <c r="G2790" s="1">
        <v>44826</v>
      </c>
      <c r="H2790">
        <v>4967.93</v>
      </c>
      <c r="I2790">
        <v>6610</v>
      </c>
      <c r="J2790">
        <v>-7712</v>
      </c>
      <c r="K2790" t="s">
        <v>21</v>
      </c>
      <c r="L2790">
        <v>5</v>
      </c>
      <c r="M2790" t="str">
        <f t="shared" si="43"/>
        <v>0-6 Months</v>
      </c>
      <c r="N2790" s="1">
        <v>44826</v>
      </c>
      <c r="O2790">
        <v>0</v>
      </c>
      <c r="P2790">
        <v>2789</v>
      </c>
      <c r="Q2790" s="2">
        <v>-1.55</v>
      </c>
      <c r="R2790" t="s">
        <v>22</v>
      </c>
      <c r="S2790">
        <v>2022</v>
      </c>
      <c r="T2790" t="s">
        <v>30</v>
      </c>
    </row>
    <row r="2791" spans="1:20" hidden="1" x14ac:dyDescent="0.3">
      <c r="A2791">
        <v>4636</v>
      </c>
      <c r="B2791">
        <v>165</v>
      </c>
      <c r="C2791" t="s">
        <v>24</v>
      </c>
      <c r="D2791" t="s">
        <v>34</v>
      </c>
      <c r="E2791" t="s">
        <v>26</v>
      </c>
      <c r="F2791" s="1">
        <v>44823</v>
      </c>
      <c r="G2791" s="1">
        <v>45305</v>
      </c>
      <c r="H2791">
        <v>4880</v>
      </c>
      <c r="I2791">
        <v>2817</v>
      </c>
      <c r="J2791">
        <v>2063</v>
      </c>
      <c r="K2791" t="s">
        <v>54</v>
      </c>
      <c r="L2791">
        <v>15</v>
      </c>
      <c r="M2791" t="str">
        <f t="shared" si="43"/>
        <v>6-12 Months</v>
      </c>
      <c r="N2791" s="1">
        <v>45305</v>
      </c>
      <c r="O2791">
        <v>1</v>
      </c>
      <c r="P2791">
        <v>2790</v>
      </c>
      <c r="Q2791" s="2">
        <v>0.42</v>
      </c>
      <c r="R2791" t="s">
        <v>27</v>
      </c>
      <c r="S2791">
        <v>2024</v>
      </c>
      <c r="T2791" t="s">
        <v>23</v>
      </c>
    </row>
    <row r="2792" spans="1:20" x14ac:dyDescent="0.3">
      <c r="A2792">
        <v>4638</v>
      </c>
      <c r="B2792">
        <v>354</v>
      </c>
      <c r="C2792" t="s">
        <v>53</v>
      </c>
      <c r="D2792" t="s">
        <v>19</v>
      </c>
      <c r="E2792" t="s">
        <v>20</v>
      </c>
      <c r="F2792" s="1">
        <v>44621</v>
      </c>
      <c r="G2792" s="1">
        <v>44934</v>
      </c>
      <c r="H2792">
        <v>889</v>
      </c>
      <c r="I2792">
        <v>4012.75</v>
      </c>
      <c r="J2792">
        <v>977</v>
      </c>
      <c r="K2792" t="s">
        <v>35</v>
      </c>
      <c r="L2792">
        <v>10</v>
      </c>
      <c r="M2792" t="str">
        <f t="shared" si="43"/>
        <v>6-12 Months</v>
      </c>
      <c r="N2792" s="1">
        <v>44934</v>
      </c>
      <c r="O2792">
        <v>0</v>
      </c>
      <c r="P2792">
        <v>2791</v>
      </c>
      <c r="Q2792" s="2">
        <v>1.1000000000000001</v>
      </c>
      <c r="R2792" t="s">
        <v>22</v>
      </c>
      <c r="S2792">
        <v>2023</v>
      </c>
      <c r="T2792" t="s">
        <v>23</v>
      </c>
    </row>
    <row r="2793" spans="1:20" x14ac:dyDescent="0.3">
      <c r="A2793">
        <v>4639</v>
      </c>
      <c r="B2793">
        <v>148</v>
      </c>
      <c r="C2793" t="s">
        <v>45</v>
      </c>
      <c r="D2793" t="s">
        <v>25</v>
      </c>
      <c r="E2793" t="s">
        <v>26</v>
      </c>
      <c r="F2793" s="1">
        <v>44575</v>
      </c>
      <c r="G2793" s="1">
        <v>45006</v>
      </c>
      <c r="H2793">
        <v>9507</v>
      </c>
      <c r="I2793">
        <v>4012.75</v>
      </c>
      <c r="J2793">
        <v>9656</v>
      </c>
      <c r="K2793" t="s">
        <v>35</v>
      </c>
      <c r="L2793">
        <v>14</v>
      </c>
      <c r="M2793" t="str">
        <f t="shared" si="43"/>
        <v>6-12 Months</v>
      </c>
      <c r="N2793" s="1">
        <v>45006</v>
      </c>
      <c r="O2793">
        <v>0</v>
      </c>
      <c r="P2793">
        <v>2792</v>
      </c>
      <c r="Q2793" s="2">
        <v>1.02</v>
      </c>
      <c r="R2793" t="s">
        <v>22</v>
      </c>
      <c r="S2793">
        <v>2023</v>
      </c>
      <c r="T2793" t="s">
        <v>38</v>
      </c>
    </row>
    <row r="2794" spans="1:20" x14ac:dyDescent="0.3">
      <c r="A2794">
        <v>4640</v>
      </c>
      <c r="B2794">
        <v>358</v>
      </c>
      <c r="C2794" t="s">
        <v>24</v>
      </c>
      <c r="D2794" t="s">
        <v>25</v>
      </c>
      <c r="E2794" t="s">
        <v>20</v>
      </c>
      <c r="F2794" s="1">
        <v>44816</v>
      </c>
      <c r="G2794" s="1">
        <v>45338</v>
      </c>
      <c r="H2794">
        <v>9661</v>
      </c>
      <c r="I2794">
        <v>4524</v>
      </c>
      <c r="J2794">
        <v>577.01</v>
      </c>
      <c r="K2794" t="s">
        <v>35</v>
      </c>
      <c r="L2794">
        <v>17</v>
      </c>
      <c r="M2794" t="str">
        <f t="shared" si="43"/>
        <v>6-12 Months</v>
      </c>
      <c r="N2794" s="1">
        <v>45338</v>
      </c>
      <c r="O2794">
        <v>1</v>
      </c>
      <c r="P2794">
        <v>2793</v>
      </c>
      <c r="Q2794" s="2">
        <v>0.06</v>
      </c>
      <c r="R2794" t="s">
        <v>27</v>
      </c>
      <c r="S2794">
        <v>2024</v>
      </c>
      <c r="T2794" t="s">
        <v>43</v>
      </c>
    </row>
    <row r="2795" spans="1:20" x14ac:dyDescent="0.3">
      <c r="A2795">
        <v>4642</v>
      </c>
      <c r="B2795">
        <v>351</v>
      </c>
      <c r="C2795" t="s">
        <v>24</v>
      </c>
      <c r="D2795" t="s">
        <v>19</v>
      </c>
      <c r="E2795" t="s">
        <v>20</v>
      </c>
      <c r="F2795" s="1">
        <v>44628</v>
      </c>
      <c r="G2795" s="1">
        <v>45090</v>
      </c>
      <c r="H2795">
        <v>6201</v>
      </c>
      <c r="I2795">
        <v>6425</v>
      </c>
      <c r="J2795">
        <v>-224</v>
      </c>
      <c r="K2795" t="s">
        <v>35</v>
      </c>
      <c r="L2795">
        <v>15</v>
      </c>
      <c r="M2795" t="str">
        <f t="shared" si="43"/>
        <v>6-12 Months</v>
      </c>
      <c r="N2795" s="1">
        <v>45090</v>
      </c>
      <c r="O2795">
        <v>1</v>
      </c>
      <c r="P2795">
        <v>2794</v>
      </c>
      <c r="Q2795" s="2">
        <v>-0.04</v>
      </c>
      <c r="R2795" t="s">
        <v>27</v>
      </c>
      <c r="S2795">
        <v>2023</v>
      </c>
      <c r="T2795" t="s">
        <v>41</v>
      </c>
    </row>
    <row r="2796" spans="1:20" hidden="1" x14ac:dyDescent="0.3">
      <c r="A2796">
        <v>4645</v>
      </c>
      <c r="B2796">
        <v>225</v>
      </c>
      <c r="C2796" t="s">
        <v>40</v>
      </c>
      <c r="D2796" t="s">
        <v>25</v>
      </c>
      <c r="E2796" t="s">
        <v>26</v>
      </c>
      <c r="F2796" s="1">
        <v>44618</v>
      </c>
      <c r="G2796" s="1">
        <v>45058</v>
      </c>
      <c r="H2796">
        <v>3029</v>
      </c>
      <c r="I2796">
        <v>2997</v>
      </c>
      <c r="J2796">
        <v>32</v>
      </c>
      <c r="K2796" t="s">
        <v>54</v>
      </c>
      <c r="L2796">
        <v>14</v>
      </c>
      <c r="M2796" t="str">
        <f t="shared" si="43"/>
        <v>6-12 Months</v>
      </c>
      <c r="N2796" s="1">
        <v>45058</v>
      </c>
      <c r="O2796">
        <v>0</v>
      </c>
      <c r="P2796">
        <v>2795</v>
      </c>
      <c r="Q2796" s="2">
        <v>0.01</v>
      </c>
      <c r="R2796" t="s">
        <v>27</v>
      </c>
      <c r="S2796">
        <v>2023</v>
      </c>
      <c r="T2796" t="s">
        <v>28</v>
      </c>
    </row>
    <row r="2797" spans="1:20" hidden="1" x14ac:dyDescent="0.3">
      <c r="A2797">
        <v>4647</v>
      </c>
      <c r="B2797">
        <v>414</v>
      </c>
      <c r="C2797" t="s">
        <v>53</v>
      </c>
      <c r="D2797" t="s">
        <v>34</v>
      </c>
      <c r="E2797" t="s">
        <v>37</v>
      </c>
      <c r="F2797" s="1">
        <v>44823</v>
      </c>
      <c r="G2797" s="1">
        <v>45297</v>
      </c>
      <c r="H2797">
        <v>6935</v>
      </c>
      <c r="I2797">
        <v>6955</v>
      </c>
      <c r="J2797">
        <v>-20</v>
      </c>
      <c r="K2797" t="s">
        <v>21</v>
      </c>
      <c r="L2797">
        <v>15</v>
      </c>
      <c r="M2797" t="str">
        <f t="shared" si="43"/>
        <v>6-12 Months</v>
      </c>
      <c r="N2797" s="1">
        <v>45297</v>
      </c>
      <c r="O2797">
        <v>0</v>
      </c>
      <c r="P2797">
        <v>2796</v>
      </c>
      <c r="Q2797" s="2">
        <v>0</v>
      </c>
      <c r="R2797" t="s">
        <v>27</v>
      </c>
      <c r="S2797">
        <v>2024</v>
      </c>
      <c r="T2797" t="s">
        <v>23</v>
      </c>
    </row>
    <row r="2798" spans="1:20" hidden="1" x14ac:dyDescent="0.3">
      <c r="A2798">
        <v>4649</v>
      </c>
      <c r="B2798">
        <v>369</v>
      </c>
      <c r="C2798" t="s">
        <v>53</v>
      </c>
      <c r="D2798" t="s">
        <v>34</v>
      </c>
      <c r="E2798" t="s">
        <v>37</v>
      </c>
      <c r="F2798" s="1">
        <v>44643</v>
      </c>
      <c r="G2798" s="1">
        <v>44876</v>
      </c>
      <c r="H2798">
        <v>4967.93</v>
      </c>
      <c r="I2798">
        <v>3211</v>
      </c>
      <c r="J2798">
        <v>-4107</v>
      </c>
      <c r="K2798" t="s">
        <v>54</v>
      </c>
      <c r="L2798">
        <v>7</v>
      </c>
      <c r="M2798" t="str">
        <f t="shared" si="43"/>
        <v>6-12 Months</v>
      </c>
      <c r="N2798" s="1">
        <v>44876</v>
      </c>
      <c r="O2798">
        <v>1</v>
      </c>
      <c r="P2798">
        <v>2797</v>
      </c>
      <c r="Q2798" s="2">
        <v>-0.83</v>
      </c>
      <c r="R2798" t="s">
        <v>27</v>
      </c>
      <c r="S2798">
        <v>2022</v>
      </c>
      <c r="T2798" t="s">
        <v>42</v>
      </c>
    </row>
    <row r="2799" spans="1:20" hidden="1" x14ac:dyDescent="0.3">
      <c r="A2799">
        <v>4650</v>
      </c>
      <c r="B2799">
        <v>265</v>
      </c>
      <c r="C2799" t="s">
        <v>45</v>
      </c>
      <c r="D2799" t="s">
        <v>29</v>
      </c>
      <c r="E2799" t="s">
        <v>26</v>
      </c>
      <c r="F2799" s="1">
        <v>44642</v>
      </c>
      <c r="G2799" s="1">
        <v>44746</v>
      </c>
      <c r="H2799">
        <v>1626</v>
      </c>
      <c r="I2799">
        <v>7076</v>
      </c>
      <c r="J2799">
        <v>-5450</v>
      </c>
      <c r="K2799" t="s">
        <v>54</v>
      </c>
      <c r="L2799">
        <v>3</v>
      </c>
      <c r="M2799" t="str">
        <f t="shared" si="43"/>
        <v>0-6 Months</v>
      </c>
      <c r="N2799" s="1">
        <v>44746</v>
      </c>
      <c r="O2799">
        <v>1</v>
      </c>
      <c r="P2799">
        <v>2798</v>
      </c>
      <c r="Q2799" s="2">
        <v>-3.35</v>
      </c>
      <c r="R2799" t="s">
        <v>22</v>
      </c>
      <c r="S2799">
        <v>2022</v>
      </c>
      <c r="T2799" t="s">
        <v>44</v>
      </c>
    </row>
    <row r="2800" spans="1:20" hidden="1" x14ac:dyDescent="0.3">
      <c r="A2800">
        <v>4652</v>
      </c>
      <c r="B2800">
        <v>362</v>
      </c>
      <c r="C2800" t="s">
        <v>24</v>
      </c>
      <c r="D2800" t="s">
        <v>34</v>
      </c>
      <c r="E2800" t="s">
        <v>20</v>
      </c>
      <c r="F2800" s="1">
        <v>44692</v>
      </c>
      <c r="G2800" s="1">
        <v>45033</v>
      </c>
      <c r="H2800">
        <v>4967.93</v>
      </c>
      <c r="I2800">
        <v>6830</v>
      </c>
      <c r="J2800">
        <v>577.01</v>
      </c>
      <c r="K2800" t="s">
        <v>21</v>
      </c>
      <c r="L2800">
        <v>11</v>
      </c>
      <c r="M2800" t="str">
        <f t="shared" si="43"/>
        <v>6-12 Months</v>
      </c>
      <c r="N2800" s="1">
        <v>45033</v>
      </c>
      <c r="O2800">
        <v>0</v>
      </c>
      <c r="P2800">
        <v>2799</v>
      </c>
      <c r="Q2800" s="2">
        <v>0.12</v>
      </c>
      <c r="R2800" t="s">
        <v>27</v>
      </c>
      <c r="S2800">
        <v>2023</v>
      </c>
      <c r="T2800" t="s">
        <v>32</v>
      </c>
    </row>
    <row r="2801" spans="1:20" hidden="1" x14ac:dyDescent="0.3">
      <c r="A2801">
        <v>4654</v>
      </c>
      <c r="B2801">
        <v>265</v>
      </c>
      <c r="C2801" t="s">
        <v>39</v>
      </c>
      <c r="D2801" t="s">
        <v>29</v>
      </c>
      <c r="E2801" t="s">
        <v>20</v>
      </c>
      <c r="F2801" s="1">
        <v>44835</v>
      </c>
      <c r="G2801" s="1">
        <v>45353</v>
      </c>
      <c r="H2801">
        <v>4967.93</v>
      </c>
      <c r="I2801">
        <v>359</v>
      </c>
      <c r="J2801">
        <v>-639</v>
      </c>
      <c r="K2801" t="s">
        <v>21</v>
      </c>
      <c r="L2801">
        <v>17</v>
      </c>
      <c r="M2801" t="str">
        <f t="shared" si="43"/>
        <v>6-12 Months</v>
      </c>
      <c r="N2801" s="1">
        <v>45353</v>
      </c>
      <c r="O2801">
        <v>1</v>
      </c>
      <c r="P2801">
        <v>2800</v>
      </c>
      <c r="Q2801" s="2">
        <v>-0.13</v>
      </c>
      <c r="R2801" t="s">
        <v>27</v>
      </c>
      <c r="S2801">
        <v>2024</v>
      </c>
      <c r="T2801" t="s">
        <v>38</v>
      </c>
    </row>
    <row r="2802" spans="1:20" hidden="1" x14ac:dyDescent="0.3">
      <c r="A2802">
        <v>4655</v>
      </c>
      <c r="B2802">
        <v>120</v>
      </c>
      <c r="C2802" t="s">
        <v>45</v>
      </c>
      <c r="D2802" t="s">
        <v>19</v>
      </c>
      <c r="E2802" t="s">
        <v>26</v>
      </c>
      <c r="F2802" s="1">
        <v>44761</v>
      </c>
      <c r="G2802" s="1">
        <v>45081</v>
      </c>
      <c r="H2802">
        <v>8063</v>
      </c>
      <c r="I2802">
        <v>3962</v>
      </c>
      <c r="J2802">
        <v>4101</v>
      </c>
      <c r="K2802" t="s">
        <v>54</v>
      </c>
      <c r="L2802">
        <v>10</v>
      </c>
      <c r="M2802" t="str">
        <f t="shared" si="43"/>
        <v>6-12 Months</v>
      </c>
      <c r="N2802" s="1">
        <v>45081</v>
      </c>
      <c r="O2802">
        <v>0</v>
      </c>
      <c r="P2802">
        <v>2801</v>
      </c>
      <c r="Q2802" s="2">
        <v>0.51</v>
      </c>
      <c r="R2802" t="s">
        <v>27</v>
      </c>
      <c r="S2802">
        <v>2023</v>
      </c>
      <c r="T2802" t="s">
        <v>41</v>
      </c>
    </row>
    <row r="2803" spans="1:20" hidden="1" x14ac:dyDescent="0.3">
      <c r="A2803">
        <v>4656</v>
      </c>
      <c r="B2803">
        <v>436</v>
      </c>
      <c r="C2803" t="s">
        <v>24</v>
      </c>
      <c r="D2803" t="s">
        <v>25</v>
      </c>
      <c r="E2803" t="s">
        <v>26</v>
      </c>
      <c r="F2803" s="1">
        <v>44698</v>
      </c>
      <c r="G2803" s="1">
        <v>45063</v>
      </c>
      <c r="H2803">
        <v>1689</v>
      </c>
      <c r="I2803">
        <v>4025</v>
      </c>
      <c r="J2803">
        <v>-2336</v>
      </c>
      <c r="K2803" t="s">
        <v>54</v>
      </c>
      <c r="L2803">
        <v>12</v>
      </c>
      <c r="M2803" t="str">
        <f t="shared" si="43"/>
        <v>6-12 Months</v>
      </c>
      <c r="N2803" s="1">
        <v>45063</v>
      </c>
      <c r="O2803">
        <v>0</v>
      </c>
      <c r="P2803">
        <v>2802</v>
      </c>
      <c r="Q2803" s="2">
        <v>-1.38</v>
      </c>
      <c r="R2803" t="s">
        <v>22</v>
      </c>
      <c r="S2803">
        <v>2023</v>
      </c>
      <c r="T2803" t="s">
        <v>28</v>
      </c>
    </row>
    <row r="2804" spans="1:20" hidden="1" x14ac:dyDescent="0.3">
      <c r="A2804">
        <v>4658</v>
      </c>
      <c r="B2804">
        <v>223</v>
      </c>
      <c r="C2804" t="s">
        <v>45</v>
      </c>
      <c r="D2804" t="s">
        <v>29</v>
      </c>
      <c r="E2804" t="s">
        <v>26</v>
      </c>
      <c r="F2804" s="1">
        <v>44794</v>
      </c>
      <c r="G2804" s="1">
        <v>45264</v>
      </c>
      <c r="H2804">
        <v>7154</v>
      </c>
      <c r="I2804">
        <v>4012.75</v>
      </c>
      <c r="J2804">
        <v>7372</v>
      </c>
      <c r="K2804" t="s">
        <v>54</v>
      </c>
      <c r="L2804">
        <v>15</v>
      </c>
      <c r="M2804" t="str">
        <f t="shared" si="43"/>
        <v>6-12 Months</v>
      </c>
      <c r="N2804" s="1">
        <v>45264</v>
      </c>
      <c r="O2804">
        <v>0</v>
      </c>
      <c r="P2804">
        <v>2803</v>
      </c>
      <c r="Q2804" s="2">
        <v>1.03</v>
      </c>
      <c r="R2804" t="s">
        <v>22</v>
      </c>
      <c r="S2804">
        <v>2023</v>
      </c>
      <c r="T2804" t="s">
        <v>31</v>
      </c>
    </row>
    <row r="2805" spans="1:20" x14ac:dyDescent="0.3">
      <c r="A2805">
        <v>4660</v>
      </c>
      <c r="B2805">
        <v>280</v>
      </c>
      <c r="C2805" t="s">
        <v>24</v>
      </c>
      <c r="D2805" t="s">
        <v>29</v>
      </c>
      <c r="E2805" t="s">
        <v>37</v>
      </c>
      <c r="F2805" s="1">
        <v>44600</v>
      </c>
      <c r="G2805" s="1">
        <v>44804</v>
      </c>
      <c r="H2805">
        <v>149</v>
      </c>
      <c r="I2805">
        <v>6056</v>
      </c>
      <c r="J2805">
        <v>-5907</v>
      </c>
      <c r="K2805" t="s">
        <v>35</v>
      </c>
      <c r="L2805">
        <v>6</v>
      </c>
      <c r="M2805" t="str">
        <f t="shared" si="43"/>
        <v>12+ Months</v>
      </c>
      <c r="N2805" s="1">
        <v>44804</v>
      </c>
      <c r="O2805">
        <v>1</v>
      </c>
      <c r="P2805">
        <v>2804</v>
      </c>
      <c r="Q2805" s="2">
        <v>-39.64</v>
      </c>
      <c r="R2805" t="s">
        <v>22</v>
      </c>
      <c r="S2805">
        <v>2022</v>
      </c>
      <c r="T2805" t="s">
        <v>36</v>
      </c>
    </row>
    <row r="2806" spans="1:20" x14ac:dyDescent="0.3">
      <c r="A2806">
        <v>4661</v>
      </c>
      <c r="B2806">
        <v>260</v>
      </c>
      <c r="C2806" t="s">
        <v>45</v>
      </c>
      <c r="D2806" t="s">
        <v>19</v>
      </c>
      <c r="E2806" t="s">
        <v>37</v>
      </c>
      <c r="F2806" s="1">
        <v>44586</v>
      </c>
      <c r="G2806" s="1">
        <v>44737</v>
      </c>
      <c r="H2806">
        <v>1218</v>
      </c>
      <c r="I2806">
        <v>4469</v>
      </c>
      <c r="J2806">
        <v>-3251</v>
      </c>
      <c r="K2806" t="s">
        <v>35</v>
      </c>
      <c r="L2806">
        <v>5</v>
      </c>
      <c r="M2806" t="str">
        <f t="shared" si="43"/>
        <v>0-6 Months</v>
      </c>
      <c r="N2806" s="1">
        <v>44737</v>
      </c>
      <c r="O2806">
        <v>1</v>
      </c>
      <c r="P2806">
        <v>2805</v>
      </c>
      <c r="Q2806" s="2">
        <v>-2.67</v>
      </c>
      <c r="R2806" t="s">
        <v>22</v>
      </c>
      <c r="S2806">
        <v>2022</v>
      </c>
      <c r="T2806" t="s">
        <v>41</v>
      </c>
    </row>
    <row r="2807" spans="1:20" hidden="1" x14ac:dyDescent="0.3">
      <c r="A2807">
        <v>4663</v>
      </c>
      <c r="B2807">
        <v>363</v>
      </c>
      <c r="C2807" t="s">
        <v>53</v>
      </c>
      <c r="D2807" t="s">
        <v>29</v>
      </c>
      <c r="E2807" t="s">
        <v>20</v>
      </c>
      <c r="F2807" s="1">
        <v>44696</v>
      </c>
      <c r="G2807" s="1">
        <v>45134</v>
      </c>
      <c r="H2807">
        <v>1240</v>
      </c>
      <c r="I2807">
        <v>3206</v>
      </c>
      <c r="J2807">
        <v>577.01</v>
      </c>
      <c r="K2807" t="s">
        <v>21</v>
      </c>
      <c r="L2807">
        <v>14</v>
      </c>
      <c r="M2807" t="str">
        <f t="shared" si="43"/>
        <v>6-12 Months</v>
      </c>
      <c r="N2807" s="1">
        <v>45134</v>
      </c>
      <c r="O2807">
        <v>0</v>
      </c>
      <c r="P2807">
        <v>2806</v>
      </c>
      <c r="Q2807" s="2">
        <v>0.47</v>
      </c>
      <c r="R2807" t="s">
        <v>27</v>
      </c>
      <c r="S2807">
        <v>2023</v>
      </c>
      <c r="T2807" t="s">
        <v>44</v>
      </c>
    </row>
    <row r="2808" spans="1:20" hidden="1" x14ac:dyDescent="0.3">
      <c r="A2808">
        <v>4664</v>
      </c>
      <c r="B2808">
        <v>208</v>
      </c>
      <c r="C2808" t="s">
        <v>53</v>
      </c>
      <c r="D2808" t="s">
        <v>34</v>
      </c>
      <c r="E2808" t="s">
        <v>20</v>
      </c>
      <c r="F2808" s="1">
        <v>44745</v>
      </c>
      <c r="G2808" s="1">
        <v>44907</v>
      </c>
      <c r="H2808">
        <v>6781</v>
      </c>
      <c r="I2808">
        <v>4012.75</v>
      </c>
      <c r="J2808">
        <v>577.01</v>
      </c>
      <c r="K2808" t="s">
        <v>54</v>
      </c>
      <c r="L2808">
        <v>5</v>
      </c>
      <c r="M2808" t="str">
        <f t="shared" si="43"/>
        <v>0-6 Months</v>
      </c>
      <c r="N2808" s="1">
        <v>44907</v>
      </c>
      <c r="O2808">
        <v>1</v>
      </c>
      <c r="P2808">
        <v>2807</v>
      </c>
      <c r="Q2808" s="2">
        <v>0.09</v>
      </c>
      <c r="R2808" t="s">
        <v>27</v>
      </c>
      <c r="S2808">
        <v>2022</v>
      </c>
      <c r="T2808" t="s">
        <v>31</v>
      </c>
    </row>
    <row r="2809" spans="1:20" x14ac:dyDescent="0.3">
      <c r="A2809">
        <v>4666</v>
      </c>
      <c r="B2809">
        <v>242</v>
      </c>
      <c r="C2809" t="s">
        <v>24</v>
      </c>
      <c r="D2809" t="s">
        <v>34</v>
      </c>
      <c r="E2809" t="s">
        <v>20</v>
      </c>
      <c r="F2809" s="1">
        <v>44706</v>
      </c>
      <c r="G2809" s="1">
        <v>45237</v>
      </c>
      <c r="H2809">
        <v>9278</v>
      </c>
      <c r="I2809">
        <v>1943</v>
      </c>
      <c r="J2809">
        <v>7335</v>
      </c>
      <c r="K2809" t="s">
        <v>35</v>
      </c>
      <c r="L2809">
        <v>17</v>
      </c>
      <c r="M2809" t="str">
        <f t="shared" si="43"/>
        <v>6-12 Months</v>
      </c>
      <c r="N2809" s="1">
        <v>45237</v>
      </c>
      <c r="O2809">
        <v>0</v>
      </c>
      <c r="P2809">
        <v>2808</v>
      </c>
      <c r="Q2809" s="2">
        <v>0.79</v>
      </c>
      <c r="R2809" t="s">
        <v>27</v>
      </c>
      <c r="S2809">
        <v>2023</v>
      </c>
      <c r="T2809" t="s">
        <v>42</v>
      </c>
    </row>
    <row r="2810" spans="1:20" hidden="1" x14ac:dyDescent="0.3">
      <c r="A2810">
        <v>4668</v>
      </c>
      <c r="B2810">
        <v>126</v>
      </c>
      <c r="C2810" t="s">
        <v>39</v>
      </c>
      <c r="D2810" t="s">
        <v>34</v>
      </c>
      <c r="E2810" t="s">
        <v>20</v>
      </c>
      <c r="F2810" s="1">
        <v>44844</v>
      </c>
      <c r="G2810" s="1">
        <v>45294</v>
      </c>
      <c r="H2810">
        <v>4967.93</v>
      </c>
      <c r="I2810">
        <v>1574</v>
      </c>
      <c r="J2810">
        <v>-3041</v>
      </c>
      <c r="K2810" t="s">
        <v>54</v>
      </c>
      <c r="L2810">
        <v>14</v>
      </c>
      <c r="M2810" t="str">
        <f t="shared" si="43"/>
        <v>6-12 Months</v>
      </c>
      <c r="N2810" s="1">
        <v>45294</v>
      </c>
      <c r="O2810">
        <v>1</v>
      </c>
      <c r="P2810">
        <v>2809</v>
      </c>
      <c r="Q2810" s="2">
        <v>-0.61</v>
      </c>
      <c r="R2810" t="s">
        <v>27</v>
      </c>
      <c r="S2810">
        <v>2024</v>
      </c>
      <c r="T2810" t="s">
        <v>23</v>
      </c>
    </row>
    <row r="2811" spans="1:20" hidden="1" x14ac:dyDescent="0.3">
      <c r="A2811">
        <v>4669</v>
      </c>
      <c r="B2811">
        <v>242</v>
      </c>
      <c r="C2811" t="s">
        <v>45</v>
      </c>
      <c r="D2811" t="s">
        <v>34</v>
      </c>
      <c r="E2811" t="s">
        <v>37</v>
      </c>
      <c r="F2811" s="1">
        <v>44881</v>
      </c>
      <c r="G2811" s="1">
        <v>45162</v>
      </c>
      <c r="H2811">
        <v>1404</v>
      </c>
      <c r="I2811">
        <v>3458</v>
      </c>
      <c r="J2811">
        <v>-2054</v>
      </c>
      <c r="K2811" t="s">
        <v>54</v>
      </c>
      <c r="L2811">
        <v>9</v>
      </c>
      <c r="M2811" t="str">
        <f t="shared" si="43"/>
        <v>6-12 Months</v>
      </c>
      <c r="N2811" s="1">
        <v>45162</v>
      </c>
      <c r="O2811">
        <v>1</v>
      </c>
      <c r="P2811">
        <v>2810</v>
      </c>
      <c r="Q2811" s="2">
        <v>-1.46</v>
      </c>
      <c r="R2811" t="s">
        <v>22</v>
      </c>
      <c r="S2811">
        <v>2023</v>
      </c>
      <c r="T2811" t="s">
        <v>36</v>
      </c>
    </row>
    <row r="2812" spans="1:20" x14ac:dyDescent="0.3">
      <c r="A2812">
        <v>4672</v>
      </c>
      <c r="B2812">
        <v>391</v>
      </c>
      <c r="C2812" t="s">
        <v>39</v>
      </c>
      <c r="D2812" t="s">
        <v>29</v>
      </c>
      <c r="E2812" t="s">
        <v>26</v>
      </c>
      <c r="F2812" s="1">
        <v>44591</v>
      </c>
      <c r="G2812" s="1">
        <v>44941</v>
      </c>
      <c r="H2812">
        <v>4966</v>
      </c>
      <c r="I2812">
        <v>2943</v>
      </c>
      <c r="J2812">
        <v>2023</v>
      </c>
      <c r="K2812" t="s">
        <v>35</v>
      </c>
      <c r="L2812">
        <v>11</v>
      </c>
      <c r="M2812" t="str">
        <f t="shared" si="43"/>
        <v>6-12 Months</v>
      </c>
      <c r="N2812" s="1">
        <v>44941</v>
      </c>
      <c r="O2812">
        <v>1</v>
      </c>
      <c r="P2812">
        <v>2811</v>
      </c>
      <c r="Q2812" s="2">
        <v>0.41</v>
      </c>
      <c r="R2812" t="s">
        <v>27</v>
      </c>
      <c r="S2812">
        <v>2023</v>
      </c>
      <c r="T2812" t="s">
        <v>23</v>
      </c>
    </row>
    <row r="2813" spans="1:20" hidden="1" x14ac:dyDescent="0.3">
      <c r="A2813">
        <v>4675</v>
      </c>
      <c r="B2813">
        <v>467</v>
      </c>
      <c r="C2813" t="s">
        <v>40</v>
      </c>
      <c r="D2813" t="s">
        <v>34</v>
      </c>
      <c r="E2813" t="s">
        <v>20</v>
      </c>
      <c r="F2813" s="1">
        <v>44643</v>
      </c>
      <c r="G2813" s="1">
        <v>44832</v>
      </c>
      <c r="H2813">
        <v>4677</v>
      </c>
      <c r="I2813">
        <v>5407</v>
      </c>
      <c r="J2813">
        <v>-730</v>
      </c>
      <c r="K2813" t="s">
        <v>54</v>
      </c>
      <c r="L2813">
        <v>6</v>
      </c>
      <c r="M2813" t="str">
        <f t="shared" si="43"/>
        <v>12+ Months</v>
      </c>
      <c r="N2813" s="1">
        <v>44832</v>
      </c>
      <c r="O2813">
        <v>0</v>
      </c>
      <c r="P2813">
        <v>2812</v>
      </c>
      <c r="Q2813" s="2">
        <v>-0.16</v>
      </c>
      <c r="R2813" t="s">
        <v>27</v>
      </c>
      <c r="S2813">
        <v>2022</v>
      </c>
      <c r="T2813" t="s">
        <v>30</v>
      </c>
    </row>
    <row r="2814" spans="1:20" x14ac:dyDescent="0.3">
      <c r="A2814">
        <v>4677</v>
      </c>
      <c r="B2814">
        <v>371</v>
      </c>
      <c r="C2814" t="s">
        <v>39</v>
      </c>
      <c r="D2814" t="s">
        <v>19</v>
      </c>
      <c r="E2814" t="s">
        <v>37</v>
      </c>
      <c r="F2814" s="1">
        <v>44656</v>
      </c>
      <c r="G2814" s="1">
        <v>45090</v>
      </c>
      <c r="H2814">
        <v>9136</v>
      </c>
      <c r="I2814">
        <v>7028</v>
      </c>
      <c r="J2814">
        <v>2108</v>
      </c>
      <c r="K2814" t="s">
        <v>35</v>
      </c>
      <c r="L2814">
        <v>14</v>
      </c>
      <c r="M2814" t="str">
        <f t="shared" si="43"/>
        <v>6-12 Months</v>
      </c>
      <c r="N2814" s="1">
        <v>45090</v>
      </c>
      <c r="O2814">
        <v>1</v>
      </c>
      <c r="P2814">
        <v>2813</v>
      </c>
      <c r="Q2814" s="2">
        <v>0.23</v>
      </c>
      <c r="R2814" t="s">
        <v>27</v>
      </c>
      <c r="S2814">
        <v>2023</v>
      </c>
      <c r="T2814" t="s">
        <v>41</v>
      </c>
    </row>
    <row r="2815" spans="1:20" hidden="1" x14ac:dyDescent="0.3">
      <c r="A2815">
        <v>4678</v>
      </c>
      <c r="B2815">
        <v>363</v>
      </c>
      <c r="C2815" t="s">
        <v>24</v>
      </c>
      <c r="D2815" t="s">
        <v>19</v>
      </c>
      <c r="E2815" t="s">
        <v>37</v>
      </c>
      <c r="F2815" s="1">
        <v>44879</v>
      </c>
      <c r="G2815" s="1">
        <v>45084</v>
      </c>
      <c r="H2815">
        <v>5215</v>
      </c>
      <c r="I2815">
        <v>854</v>
      </c>
      <c r="J2815">
        <v>4361</v>
      </c>
      <c r="K2815" t="s">
        <v>21</v>
      </c>
      <c r="L2815">
        <v>6</v>
      </c>
      <c r="M2815" t="str">
        <f t="shared" si="43"/>
        <v>12+ Months</v>
      </c>
      <c r="N2815" s="1">
        <v>45084</v>
      </c>
      <c r="O2815">
        <v>0</v>
      </c>
      <c r="P2815">
        <v>2814</v>
      </c>
      <c r="Q2815" s="2">
        <v>0.84</v>
      </c>
      <c r="R2815" t="s">
        <v>27</v>
      </c>
      <c r="S2815">
        <v>2023</v>
      </c>
      <c r="T2815" t="s">
        <v>41</v>
      </c>
    </row>
    <row r="2816" spans="1:20" x14ac:dyDescent="0.3">
      <c r="A2816">
        <v>4679</v>
      </c>
      <c r="B2816">
        <v>495</v>
      </c>
      <c r="C2816" t="s">
        <v>45</v>
      </c>
      <c r="D2816" t="s">
        <v>19</v>
      </c>
      <c r="E2816" t="s">
        <v>26</v>
      </c>
      <c r="F2816" s="1">
        <v>44653</v>
      </c>
      <c r="G2816" s="1">
        <v>45050</v>
      </c>
      <c r="H2816">
        <v>208</v>
      </c>
      <c r="I2816">
        <v>5956</v>
      </c>
      <c r="J2816">
        <v>577.01</v>
      </c>
      <c r="K2816" t="s">
        <v>35</v>
      </c>
      <c r="L2816">
        <v>13</v>
      </c>
      <c r="M2816" t="str">
        <f t="shared" si="43"/>
        <v>6-12 Months</v>
      </c>
      <c r="N2816" s="1">
        <v>45050</v>
      </c>
      <c r="O2816">
        <v>1</v>
      </c>
      <c r="P2816">
        <v>2815</v>
      </c>
      <c r="Q2816" s="2">
        <v>2.77</v>
      </c>
      <c r="R2816" t="s">
        <v>22</v>
      </c>
      <c r="S2816">
        <v>2023</v>
      </c>
      <c r="T2816" t="s">
        <v>28</v>
      </c>
    </row>
    <row r="2817" spans="1:20" x14ac:dyDescent="0.3">
      <c r="A2817">
        <v>4680</v>
      </c>
      <c r="B2817">
        <v>221</v>
      </c>
      <c r="C2817" t="s">
        <v>39</v>
      </c>
      <c r="D2817" t="s">
        <v>25</v>
      </c>
      <c r="E2817" t="s">
        <v>20</v>
      </c>
      <c r="F2817" s="1">
        <v>44868</v>
      </c>
      <c r="G2817" s="1">
        <v>45252</v>
      </c>
      <c r="H2817">
        <v>583</v>
      </c>
      <c r="I2817">
        <v>3815</v>
      </c>
      <c r="J2817">
        <v>-3232</v>
      </c>
      <c r="K2817" t="s">
        <v>35</v>
      </c>
      <c r="L2817">
        <v>12</v>
      </c>
      <c r="M2817" t="str">
        <f t="shared" si="43"/>
        <v>6-12 Months</v>
      </c>
      <c r="N2817" s="1">
        <v>45252</v>
      </c>
      <c r="O2817">
        <v>1</v>
      </c>
      <c r="P2817">
        <v>2816</v>
      </c>
      <c r="Q2817" s="2">
        <v>-5.54</v>
      </c>
      <c r="R2817" t="s">
        <v>22</v>
      </c>
      <c r="S2817">
        <v>2023</v>
      </c>
      <c r="T2817" t="s">
        <v>42</v>
      </c>
    </row>
    <row r="2818" spans="1:20" hidden="1" x14ac:dyDescent="0.3">
      <c r="A2818">
        <v>4683</v>
      </c>
      <c r="B2818">
        <v>419</v>
      </c>
      <c r="C2818" t="s">
        <v>24</v>
      </c>
      <c r="D2818" t="s">
        <v>25</v>
      </c>
      <c r="E2818" t="s">
        <v>37</v>
      </c>
      <c r="F2818" s="1">
        <v>44614</v>
      </c>
      <c r="G2818" s="1">
        <v>45013</v>
      </c>
      <c r="H2818">
        <v>2349</v>
      </c>
      <c r="I2818">
        <v>7937</v>
      </c>
      <c r="J2818">
        <v>-5588</v>
      </c>
      <c r="K2818" t="s">
        <v>21</v>
      </c>
      <c r="L2818">
        <v>13</v>
      </c>
      <c r="M2818" t="str">
        <f t="shared" ref="M2818:M2881" si="44">IF(L2818&lt;6,"0-6 Months",IF(L2818&gt;6,"6-12 Months","12+ Months"))</f>
        <v>6-12 Months</v>
      </c>
      <c r="N2818" s="1">
        <v>45013</v>
      </c>
      <c r="O2818">
        <v>1</v>
      </c>
      <c r="P2818">
        <v>2817</v>
      </c>
      <c r="Q2818" s="2">
        <v>-2.38</v>
      </c>
      <c r="R2818" t="s">
        <v>22</v>
      </c>
      <c r="S2818">
        <v>2023</v>
      </c>
      <c r="T2818" t="s">
        <v>38</v>
      </c>
    </row>
    <row r="2819" spans="1:20" hidden="1" x14ac:dyDescent="0.3">
      <c r="A2819">
        <v>4684</v>
      </c>
      <c r="B2819">
        <v>366</v>
      </c>
      <c r="C2819" t="s">
        <v>53</v>
      </c>
      <c r="D2819" t="s">
        <v>34</v>
      </c>
      <c r="E2819" t="s">
        <v>20</v>
      </c>
      <c r="F2819" s="1">
        <v>44619</v>
      </c>
      <c r="G2819" s="1">
        <v>44730</v>
      </c>
      <c r="H2819">
        <v>2373</v>
      </c>
      <c r="I2819">
        <v>284</v>
      </c>
      <c r="J2819">
        <v>2089</v>
      </c>
      <c r="K2819" t="s">
        <v>54</v>
      </c>
      <c r="L2819">
        <v>3</v>
      </c>
      <c r="M2819" t="str">
        <f t="shared" si="44"/>
        <v>0-6 Months</v>
      </c>
      <c r="N2819" s="1">
        <v>44730</v>
      </c>
      <c r="O2819">
        <v>1</v>
      </c>
      <c r="P2819">
        <v>2818</v>
      </c>
      <c r="Q2819" s="2">
        <v>0.88</v>
      </c>
      <c r="R2819" t="s">
        <v>27</v>
      </c>
      <c r="S2819">
        <v>2022</v>
      </c>
      <c r="T2819" t="s">
        <v>41</v>
      </c>
    </row>
    <row r="2820" spans="1:20" hidden="1" x14ac:dyDescent="0.3">
      <c r="A2820">
        <v>4685</v>
      </c>
      <c r="B2820">
        <v>355</v>
      </c>
      <c r="C2820" t="s">
        <v>39</v>
      </c>
      <c r="D2820" t="s">
        <v>34</v>
      </c>
      <c r="E2820" t="s">
        <v>20</v>
      </c>
      <c r="F2820" s="1">
        <v>44740</v>
      </c>
      <c r="G2820" s="1">
        <v>45307</v>
      </c>
      <c r="H2820">
        <v>9785</v>
      </c>
      <c r="I2820">
        <v>2425</v>
      </c>
      <c r="J2820">
        <v>7360</v>
      </c>
      <c r="K2820" t="s">
        <v>54</v>
      </c>
      <c r="L2820">
        <v>18</v>
      </c>
      <c r="M2820" t="str">
        <f t="shared" si="44"/>
        <v>6-12 Months</v>
      </c>
      <c r="N2820" s="1">
        <v>45307</v>
      </c>
      <c r="O2820">
        <v>0</v>
      </c>
      <c r="P2820">
        <v>2819</v>
      </c>
      <c r="Q2820" s="2">
        <v>0.75</v>
      </c>
      <c r="R2820" t="s">
        <v>27</v>
      </c>
      <c r="S2820">
        <v>2024</v>
      </c>
      <c r="T2820" t="s">
        <v>23</v>
      </c>
    </row>
    <row r="2821" spans="1:20" x14ac:dyDescent="0.3">
      <c r="A2821">
        <v>4686</v>
      </c>
      <c r="B2821">
        <v>450</v>
      </c>
      <c r="C2821" t="s">
        <v>40</v>
      </c>
      <c r="D2821" t="s">
        <v>29</v>
      </c>
      <c r="E2821" t="s">
        <v>37</v>
      </c>
      <c r="F2821" s="1">
        <v>44630</v>
      </c>
      <c r="G2821" s="1">
        <v>44817</v>
      </c>
      <c r="H2821">
        <v>4967.93</v>
      </c>
      <c r="I2821">
        <v>4012.75</v>
      </c>
      <c r="J2821">
        <v>311</v>
      </c>
      <c r="K2821" t="s">
        <v>35</v>
      </c>
      <c r="L2821">
        <v>6</v>
      </c>
      <c r="M2821" t="str">
        <f t="shared" si="44"/>
        <v>12+ Months</v>
      </c>
      <c r="N2821" s="1">
        <v>44817</v>
      </c>
      <c r="O2821">
        <v>0</v>
      </c>
      <c r="P2821">
        <v>2820</v>
      </c>
      <c r="Q2821" s="2">
        <v>0.06</v>
      </c>
      <c r="R2821" t="s">
        <v>27</v>
      </c>
      <c r="S2821">
        <v>2022</v>
      </c>
      <c r="T2821" t="s">
        <v>30</v>
      </c>
    </row>
    <row r="2822" spans="1:20" x14ac:dyDescent="0.3">
      <c r="A2822">
        <v>4689</v>
      </c>
      <c r="B2822">
        <v>229</v>
      </c>
      <c r="C2822" t="s">
        <v>45</v>
      </c>
      <c r="D2822" t="s">
        <v>34</v>
      </c>
      <c r="E2822" t="s">
        <v>26</v>
      </c>
      <c r="F2822" s="1">
        <v>44696</v>
      </c>
      <c r="G2822" s="1">
        <v>45244</v>
      </c>
      <c r="H2822">
        <v>1081</v>
      </c>
      <c r="I2822">
        <v>2185</v>
      </c>
      <c r="J2822">
        <v>-1104</v>
      </c>
      <c r="K2822" t="s">
        <v>35</v>
      </c>
      <c r="L2822">
        <v>17</v>
      </c>
      <c r="M2822" t="str">
        <f t="shared" si="44"/>
        <v>6-12 Months</v>
      </c>
      <c r="N2822" s="1">
        <v>45244</v>
      </c>
      <c r="O2822">
        <v>0</v>
      </c>
      <c r="P2822">
        <v>2821</v>
      </c>
      <c r="Q2822" s="2">
        <v>-1.02</v>
      </c>
      <c r="R2822" t="s">
        <v>22</v>
      </c>
      <c r="S2822">
        <v>2023</v>
      </c>
      <c r="T2822" t="s">
        <v>42</v>
      </c>
    </row>
    <row r="2823" spans="1:20" hidden="1" x14ac:dyDescent="0.3">
      <c r="A2823">
        <v>4691</v>
      </c>
      <c r="B2823">
        <v>119</v>
      </c>
      <c r="C2823" t="s">
        <v>39</v>
      </c>
      <c r="D2823" t="s">
        <v>34</v>
      </c>
      <c r="E2823" t="s">
        <v>26</v>
      </c>
      <c r="F2823" s="1">
        <v>44699</v>
      </c>
      <c r="G2823" s="1">
        <v>45023</v>
      </c>
      <c r="H2823">
        <v>1082</v>
      </c>
      <c r="I2823">
        <v>7349</v>
      </c>
      <c r="J2823">
        <v>-6267</v>
      </c>
      <c r="K2823" t="s">
        <v>21</v>
      </c>
      <c r="L2823">
        <v>10</v>
      </c>
      <c r="M2823" t="str">
        <f t="shared" si="44"/>
        <v>6-12 Months</v>
      </c>
      <c r="N2823" s="1">
        <v>45023</v>
      </c>
      <c r="O2823">
        <v>0</v>
      </c>
      <c r="P2823">
        <v>2822</v>
      </c>
      <c r="Q2823" s="2">
        <v>-5.79</v>
      </c>
      <c r="R2823" t="s">
        <v>22</v>
      </c>
      <c r="S2823">
        <v>2023</v>
      </c>
      <c r="T2823" t="s">
        <v>32</v>
      </c>
    </row>
    <row r="2824" spans="1:20" x14ac:dyDescent="0.3">
      <c r="A2824">
        <v>4694</v>
      </c>
      <c r="B2824">
        <v>171</v>
      </c>
      <c r="C2824" t="s">
        <v>53</v>
      </c>
      <c r="D2824" t="s">
        <v>25</v>
      </c>
      <c r="E2824" t="s">
        <v>26</v>
      </c>
      <c r="F2824" s="1">
        <v>44768</v>
      </c>
      <c r="G2824" s="1">
        <v>44815</v>
      </c>
      <c r="H2824">
        <v>9988</v>
      </c>
      <c r="I2824">
        <v>1061</v>
      </c>
      <c r="J2824">
        <v>8927</v>
      </c>
      <c r="K2824" t="s">
        <v>35</v>
      </c>
      <c r="L2824">
        <v>1</v>
      </c>
      <c r="M2824" t="str">
        <f t="shared" si="44"/>
        <v>0-6 Months</v>
      </c>
      <c r="N2824" s="1">
        <v>44815</v>
      </c>
      <c r="O2824">
        <v>0</v>
      </c>
      <c r="P2824">
        <v>2823</v>
      </c>
      <c r="Q2824" s="2">
        <v>0.89</v>
      </c>
      <c r="R2824" t="s">
        <v>27</v>
      </c>
      <c r="S2824">
        <v>2022</v>
      </c>
      <c r="T2824" t="s">
        <v>30</v>
      </c>
    </row>
    <row r="2825" spans="1:20" hidden="1" x14ac:dyDescent="0.3">
      <c r="A2825">
        <v>4696</v>
      </c>
      <c r="B2825">
        <v>236</v>
      </c>
      <c r="C2825" t="s">
        <v>40</v>
      </c>
      <c r="D2825" t="s">
        <v>19</v>
      </c>
      <c r="E2825" t="s">
        <v>37</v>
      </c>
      <c r="F2825" s="1">
        <v>44813</v>
      </c>
      <c r="G2825" s="1">
        <v>45099</v>
      </c>
      <c r="H2825">
        <v>4967.93</v>
      </c>
      <c r="I2825">
        <v>6485</v>
      </c>
      <c r="J2825">
        <v>577.01</v>
      </c>
      <c r="K2825" t="s">
        <v>21</v>
      </c>
      <c r="L2825">
        <v>9</v>
      </c>
      <c r="M2825" t="str">
        <f t="shared" si="44"/>
        <v>6-12 Months</v>
      </c>
      <c r="N2825" s="1">
        <v>45099</v>
      </c>
      <c r="O2825">
        <v>1</v>
      </c>
      <c r="P2825">
        <v>2824</v>
      </c>
      <c r="Q2825" s="2">
        <v>0.12</v>
      </c>
      <c r="R2825" t="s">
        <v>27</v>
      </c>
      <c r="S2825">
        <v>2023</v>
      </c>
      <c r="T2825" t="s">
        <v>41</v>
      </c>
    </row>
    <row r="2826" spans="1:20" hidden="1" x14ac:dyDescent="0.3">
      <c r="A2826">
        <v>4697</v>
      </c>
      <c r="B2826">
        <v>218</v>
      </c>
      <c r="C2826" t="s">
        <v>24</v>
      </c>
      <c r="D2826" t="s">
        <v>25</v>
      </c>
      <c r="E2826" t="s">
        <v>20</v>
      </c>
      <c r="F2826" s="1">
        <v>44880</v>
      </c>
      <c r="G2826" s="1">
        <v>45443</v>
      </c>
      <c r="H2826">
        <v>4194</v>
      </c>
      <c r="I2826">
        <v>1419</v>
      </c>
      <c r="J2826">
        <v>2775</v>
      </c>
      <c r="K2826" t="s">
        <v>54</v>
      </c>
      <c r="L2826">
        <v>18</v>
      </c>
      <c r="M2826" t="str">
        <f t="shared" si="44"/>
        <v>6-12 Months</v>
      </c>
      <c r="N2826" s="1">
        <v>45443</v>
      </c>
      <c r="O2826">
        <v>1</v>
      </c>
      <c r="P2826">
        <v>2825</v>
      </c>
      <c r="Q2826" s="2">
        <v>0.66</v>
      </c>
      <c r="R2826" t="s">
        <v>27</v>
      </c>
      <c r="S2826">
        <v>2024</v>
      </c>
      <c r="T2826" t="s">
        <v>28</v>
      </c>
    </row>
    <row r="2827" spans="1:20" x14ac:dyDescent="0.3">
      <c r="A2827">
        <v>4698</v>
      </c>
      <c r="B2827">
        <v>112</v>
      </c>
      <c r="C2827" t="s">
        <v>40</v>
      </c>
      <c r="D2827" t="s">
        <v>29</v>
      </c>
      <c r="E2827" t="s">
        <v>37</v>
      </c>
      <c r="F2827" s="1">
        <v>44677</v>
      </c>
      <c r="G2827" s="1">
        <v>44767</v>
      </c>
      <c r="H2827">
        <v>5935</v>
      </c>
      <c r="I2827">
        <v>5226</v>
      </c>
      <c r="J2827">
        <v>709</v>
      </c>
      <c r="K2827" t="s">
        <v>35</v>
      </c>
      <c r="L2827">
        <v>2</v>
      </c>
      <c r="M2827" t="str">
        <f t="shared" si="44"/>
        <v>0-6 Months</v>
      </c>
      <c r="N2827" s="1">
        <v>44767</v>
      </c>
      <c r="O2827">
        <v>0</v>
      </c>
      <c r="P2827">
        <v>2826</v>
      </c>
      <c r="Q2827" s="2">
        <v>0.12</v>
      </c>
      <c r="R2827" t="s">
        <v>27</v>
      </c>
      <c r="S2827">
        <v>2022</v>
      </c>
      <c r="T2827" t="s">
        <v>44</v>
      </c>
    </row>
    <row r="2828" spans="1:20" hidden="1" x14ac:dyDescent="0.3">
      <c r="A2828">
        <v>4699</v>
      </c>
      <c r="B2828">
        <v>221</v>
      </c>
      <c r="C2828" t="s">
        <v>45</v>
      </c>
      <c r="D2828" t="s">
        <v>19</v>
      </c>
      <c r="E2828" t="s">
        <v>26</v>
      </c>
      <c r="F2828" s="1">
        <v>44877</v>
      </c>
      <c r="G2828" s="1">
        <v>45225</v>
      </c>
      <c r="H2828">
        <v>4968</v>
      </c>
      <c r="I2828">
        <v>5256</v>
      </c>
      <c r="J2828">
        <v>-288</v>
      </c>
      <c r="K2828" t="s">
        <v>21</v>
      </c>
      <c r="L2828">
        <v>11</v>
      </c>
      <c r="M2828" t="str">
        <f t="shared" si="44"/>
        <v>6-12 Months</v>
      </c>
      <c r="N2828" s="1">
        <v>45225</v>
      </c>
      <c r="O2828">
        <v>0</v>
      </c>
      <c r="P2828">
        <v>2827</v>
      </c>
      <c r="Q2828" s="2">
        <v>-0.06</v>
      </c>
      <c r="R2828" t="s">
        <v>27</v>
      </c>
      <c r="S2828">
        <v>2023</v>
      </c>
      <c r="T2828" t="s">
        <v>33</v>
      </c>
    </row>
    <row r="2829" spans="1:20" hidden="1" x14ac:dyDescent="0.3">
      <c r="A2829">
        <v>4700</v>
      </c>
      <c r="B2829">
        <v>171</v>
      </c>
      <c r="C2829" t="s">
        <v>45</v>
      </c>
      <c r="D2829" t="s">
        <v>25</v>
      </c>
      <c r="E2829" t="s">
        <v>20</v>
      </c>
      <c r="F2829" s="1">
        <v>44672</v>
      </c>
      <c r="G2829" s="1">
        <v>44720</v>
      </c>
      <c r="H2829">
        <v>8528</v>
      </c>
      <c r="I2829">
        <v>2910</v>
      </c>
      <c r="J2829">
        <v>5618</v>
      </c>
      <c r="K2829" t="s">
        <v>21</v>
      </c>
      <c r="L2829">
        <v>1</v>
      </c>
      <c r="M2829" t="str">
        <f t="shared" si="44"/>
        <v>0-6 Months</v>
      </c>
      <c r="N2829" s="1">
        <v>44720</v>
      </c>
      <c r="O2829">
        <v>1</v>
      </c>
      <c r="P2829">
        <v>2828</v>
      </c>
      <c r="Q2829" s="2">
        <v>0.66</v>
      </c>
      <c r="R2829" t="s">
        <v>27</v>
      </c>
      <c r="S2829">
        <v>2022</v>
      </c>
      <c r="T2829" t="s">
        <v>41</v>
      </c>
    </row>
    <row r="2830" spans="1:20" x14ac:dyDescent="0.3">
      <c r="A2830">
        <v>4701</v>
      </c>
      <c r="B2830">
        <v>145</v>
      </c>
      <c r="C2830" t="s">
        <v>53</v>
      </c>
      <c r="D2830" t="s">
        <v>25</v>
      </c>
      <c r="E2830" t="s">
        <v>26</v>
      </c>
      <c r="F2830" s="1">
        <v>44728</v>
      </c>
      <c r="G2830" s="1">
        <v>44845</v>
      </c>
      <c r="H2830">
        <v>4800</v>
      </c>
      <c r="I2830">
        <v>4727</v>
      </c>
      <c r="J2830">
        <v>73</v>
      </c>
      <c r="K2830" t="s">
        <v>35</v>
      </c>
      <c r="L2830">
        <v>3</v>
      </c>
      <c r="M2830" t="str">
        <f t="shared" si="44"/>
        <v>0-6 Months</v>
      </c>
      <c r="N2830" s="1">
        <v>44845</v>
      </c>
      <c r="O2830">
        <v>1</v>
      </c>
      <c r="P2830">
        <v>2829</v>
      </c>
      <c r="Q2830" s="2">
        <v>0.02</v>
      </c>
      <c r="R2830" t="s">
        <v>27</v>
      </c>
      <c r="S2830">
        <v>2022</v>
      </c>
      <c r="T2830" t="s">
        <v>33</v>
      </c>
    </row>
    <row r="2831" spans="1:20" hidden="1" x14ac:dyDescent="0.3">
      <c r="A2831">
        <v>4704</v>
      </c>
      <c r="B2831">
        <v>349</v>
      </c>
      <c r="C2831" t="s">
        <v>24</v>
      </c>
      <c r="D2831" t="s">
        <v>19</v>
      </c>
      <c r="E2831" t="s">
        <v>26</v>
      </c>
      <c r="F2831" s="1">
        <v>44617</v>
      </c>
      <c r="G2831" s="1">
        <v>44773</v>
      </c>
      <c r="H2831">
        <v>6194</v>
      </c>
      <c r="I2831">
        <v>7108</v>
      </c>
      <c r="J2831">
        <v>-914</v>
      </c>
      <c r="K2831" t="s">
        <v>21</v>
      </c>
      <c r="L2831">
        <v>5</v>
      </c>
      <c r="M2831" t="str">
        <f t="shared" si="44"/>
        <v>0-6 Months</v>
      </c>
      <c r="N2831" s="1">
        <v>44773</v>
      </c>
      <c r="O2831">
        <v>0</v>
      </c>
      <c r="P2831">
        <v>2830</v>
      </c>
      <c r="Q2831" s="2">
        <v>-0.15</v>
      </c>
      <c r="R2831" t="s">
        <v>27</v>
      </c>
      <c r="S2831">
        <v>2022</v>
      </c>
      <c r="T2831" t="s">
        <v>44</v>
      </c>
    </row>
    <row r="2832" spans="1:20" hidden="1" x14ac:dyDescent="0.3">
      <c r="A2832">
        <v>4705</v>
      </c>
      <c r="B2832">
        <v>209</v>
      </c>
      <c r="C2832" t="s">
        <v>24</v>
      </c>
      <c r="D2832" t="s">
        <v>19</v>
      </c>
      <c r="E2832" t="s">
        <v>37</v>
      </c>
      <c r="F2832" s="1">
        <v>44739</v>
      </c>
      <c r="G2832" s="1">
        <v>45205</v>
      </c>
      <c r="H2832">
        <v>4918</v>
      </c>
      <c r="I2832">
        <v>7056</v>
      </c>
      <c r="J2832">
        <v>-2138</v>
      </c>
      <c r="K2832" t="s">
        <v>54</v>
      </c>
      <c r="L2832">
        <v>15</v>
      </c>
      <c r="M2832" t="str">
        <f t="shared" si="44"/>
        <v>6-12 Months</v>
      </c>
      <c r="N2832" s="1">
        <v>45205</v>
      </c>
      <c r="O2832">
        <v>1</v>
      </c>
      <c r="P2832">
        <v>2831</v>
      </c>
      <c r="Q2832" s="2">
        <v>-0.43</v>
      </c>
      <c r="R2832" t="s">
        <v>27</v>
      </c>
      <c r="S2832">
        <v>2023</v>
      </c>
      <c r="T2832" t="s">
        <v>33</v>
      </c>
    </row>
    <row r="2833" spans="1:20" hidden="1" x14ac:dyDescent="0.3">
      <c r="A2833">
        <v>4706</v>
      </c>
      <c r="B2833">
        <v>303</v>
      </c>
      <c r="C2833" t="s">
        <v>53</v>
      </c>
      <c r="D2833" t="s">
        <v>34</v>
      </c>
      <c r="E2833" t="s">
        <v>37</v>
      </c>
      <c r="F2833" s="1">
        <v>44905</v>
      </c>
      <c r="G2833" s="1">
        <v>45167</v>
      </c>
      <c r="H2833">
        <v>7559</v>
      </c>
      <c r="I2833">
        <v>3633</v>
      </c>
      <c r="J2833">
        <v>3926</v>
      </c>
      <c r="K2833" t="s">
        <v>54</v>
      </c>
      <c r="L2833">
        <v>8</v>
      </c>
      <c r="M2833" t="str">
        <f t="shared" si="44"/>
        <v>6-12 Months</v>
      </c>
      <c r="N2833" s="1">
        <v>45167</v>
      </c>
      <c r="O2833">
        <v>0</v>
      </c>
      <c r="P2833">
        <v>2832</v>
      </c>
      <c r="Q2833" s="2">
        <v>0.52</v>
      </c>
      <c r="R2833" t="s">
        <v>27</v>
      </c>
      <c r="S2833">
        <v>2023</v>
      </c>
      <c r="T2833" t="s">
        <v>36</v>
      </c>
    </row>
    <row r="2834" spans="1:20" x14ac:dyDescent="0.3">
      <c r="A2834">
        <v>4707</v>
      </c>
      <c r="B2834">
        <v>444</v>
      </c>
      <c r="C2834" t="s">
        <v>39</v>
      </c>
      <c r="D2834" t="s">
        <v>29</v>
      </c>
      <c r="E2834" t="s">
        <v>26</v>
      </c>
      <c r="F2834" s="1">
        <v>44832</v>
      </c>
      <c r="G2834" s="1">
        <v>45062</v>
      </c>
      <c r="H2834">
        <v>9201</v>
      </c>
      <c r="I2834">
        <v>1193</v>
      </c>
      <c r="J2834">
        <v>8008</v>
      </c>
      <c r="K2834" t="s">
        <v>35</v>
      </c>
      <c r="L2834">
        <v>7</v>
      </c>
      <c r="M2834" t="str">
        <f t="shared" si="44"/>
        <v>6-12 Months</v>
      </c>
      <c r="N2834" s="1">
        <v>45062</v>
      </c>
      <c r="O2834">
        <v>0</v>
      </c>
      <c r="P2834">
        <v>2833</v>
      </c>
      <c r="Q2834" s="2">
        <v>0.87</v>
      </c>
      <c r="R2834" t="s">
        <v>27</v>
      </c>
      <c r="S2834">
        <v>2023</v>
      </c>
      <c r="T2834" t="s">
        <v>28</v>
      </c>
    </row>
    <row r="2835" spans="1:20" hidden="1" x14ac:dyDescent="0.3">
      <c r="A2835">
        <v>4708</v>
      </c>
      <c r="B2835">
        <v>387</v>
      </c>
      <c r="C2835" t="s">
        <v>53</v>
      </c>
      <c r="D2835" t="s">
        <v>25</v>
      </c>
      <c r="E2835" t="s">
        <v>37</v>
      </c>
      <c r="F2835" s="1">
        <v>44677</v>
      </c>
      <c r="G2835" s="1">
        <v>44976</v>
      </c>
      <c r="H2835">
        <v>6499</v>
      </c>
      <c r="I2835">
        <v>2341</v>
      </c>
      <c r="J2835">
        <v>4158</v>
      </c>
      <c r="K2835" t="s">
        <v>54</v>
      </c>
      <c r="L2835">
        <v>9</v>
      </c>
      <c r="M2835" t="str">
        <f t="shared" si="44"/>
        <v>6-12 Months</v>
      </c>
      <c r="N2835" s="1">
        <v>44976</v>
      </c>
      <c r="O2835">
        <v>1</v>
      </c>
      <c r="P2835">
        <v>2834</v>
      </c>
      <c r="Q2835" s="2">
        <v>0.64</v>
      </c>
      <c r="R2835" t="s">
        <v>27</v>
      </c>
      <c r="S2835">
        <v>2023</v>
      </c>
      <c r="T2835" t="s">
        <v>43</v>
      </c>
    </row>
    <row r="2836" spans="1:20" hidden="1" x14ac:dyDescent="0.3">
      <c r="A2836">
        <v>4709</v>
      </c>
      <c r="B2836">
        <v>116</v>
      </c>
      <c r="C2836" t="s">
        <v>53</v>
      </c>
      <c r="D2836" t="s">
        <v>19</v>
      </c>
      <c r="E2836" t="s">
        <v>26</v>
      </c>
      <c r="F2836" s="1">
        <v>44887</v>
      </c>
      <c r="G2836" s="1">
        <v>45044</v>
      </c>
      <c r="H2836">
        <v>5456</v>
      </c>
      <c r="I2836">
        <v>6046</v>
      </c>
      <c r="J2836">
        <v>-590</v>
      </c>
      <c r="K2836" t="s">
        <v>54</v>
      </c>
      <c r="L2836">
        <v>5</v>
      </c>
      <c r="M2836" t="str">
        <f t="shared" si="44"/>
        <v>0-6 Months</v>
      </c>
      <c r="N2836" s="1">
        <v>45044</v>
      </c>
      <c r="O2836">
        <v>0</v>
      </c>
      <c r="P2836">
        <v>2835</v>
      </c>
      <c r="Q2836" s="2">
        <v>-0.11</v>
      </c>
      <c r="R2836" t="s">
        <v>27</v>
      </c>
      <c r="S2836">
        <v>2023</v>
      </c>
      <c r="T2836" t="s">
        <v>32</v>
      </c>
    </row>
    <row r="2837" spans="1:20" hidden="1" x14ac:dyDescent="0.3">
      <c r="A2837">
        <v>4710</v>
      </c>
      <c r="B2837">
        <v>186</v>
      </c>
      <c r="C2837" t="s">
        <v>45</v>
      </c>
      <c r="D2837" t="s">
        <v>34</v>
      </c>
      <c r="E2837" t="s">
        <v>37</v>
      </c>
      <c r="F2837" s="1">
        <v>44637</v>
      </c>
      <c r="G2837" s="1">
        <v>44905</v>
      </c>
      <c r="H2837">
        <v>3114</v>
      </c>
      <c r="I2837">
        <v>3595</v>
      </c>
      <c r="J2837">
        <v>-481</v>
      </c>
      <c r="K2837" t="s">
        <v>54</v>
      </c>
      <c r="L2837">
        <v>8</v>
      </c>
      <c r="M2837" t="str">
        <f t="shared" si="44"/>
        <v>6-12 Months</v>
      </c>
      <c r="N2837" s="1">
        <v>44905</v>
      </c>
      <c r="O2837">
        <v>1</v>
      </c>
      <c r="P2837">
        <v>2836</v>
      </c>
      <c r="Q2837" s="2">
        <v>-0.15</v>
      </c>
      <c r="R2837" t="s">
        <v>27</v>
      </c>
      <c r="S2837">
        <v>2022</v>
      </c>
      <c r="T2837" t="s">
        <v>31</v>
      </c>
    </row>
    <row r="2838" spans="1:20" hidden="1" x14ac:dyDescent="0.3">
      <c r="A2838">
        <v>4711</v>
      </c>
      <c r="B2838">
        <v>422</v>
      </c>
      <c r="C2838" t="s">
        <v>24</v>
      </c>
      <c r="D2838" t="s">
        <v>29</v>
      </c>
      <c r="E2838" t="s">
        <v>26</v>
      </c>
      <c r="F2838" s="1">
        <v>44771</v>
      </c>
      <c r="G2838" s="1">
        <v>45022</v>
      </c>
      <c r="H2838">
        <v>1565</v>
      </c>
      <c r="I2838">
        <v>1967</v>
      </c>
      <c r="J2838">
        <v>-402</v>
      </c>
      <c r="K2838" t="s">
        <v>54</v>
      </c>
      <c r="L2838">
        <v>8</v>
      </c>
      <c r="M2838" t="str">
        <f t="shared" si="44"/>
        <v>6-12 Months</v>
      </c>
      <c r="N2838" s="1">
        <v>45022</v>
      </c>
      <c r="O2838">
        <v>0</v>
      </c>
      <c r="P2838">
        <v>2837</v>
      </c>
      <c r="Q2838" s="2">
        <v>-0.26</v>
      </c>
      <c r="R2838" t="s">
        <v>27</v>
      </c>
      <c r="S2838">
        <v>2023</v>
      </c>
      <c r="T2838" t="s">
        <v>32</v>
      </c>
    </row>
    <row r="2839" spans="1:20" hidden="1" x14ac:dyDescent="0.3">
      <c r="A2839">
        <v>4712</v>
      </c>
      <c r="B2839">
        <v>105</v>
      </c>
      <c r="C2839" t="s">
        <v>40</v>
      </c>
      <c r="D2839" t="s">
        <v>25</v>
      </c>
      <c r="E2839" t="s">
        <v>26</v>
      </c>
      <c r="F2839" s="1">
        <v>44874</v>
      </c>
      <c r="G2839" s="1">
        <v>45394</v>
      </c>
      <c r="H2839">
        <v>4675</v>
      </c>
      <c r="I2839">
        <v>696</v>
      </c>
      <c r="J2839">
        <v>3979</v>
      </c>
      <c r="K2839" t="s">
        <v>21</v>
      </c>
      <c r="L2839">
        <v>17</v>
      </c>
      <c r="M2839" t="str">
        <f t="shared" si="44"/>
        <v>6-12 Months</v>
      </c>
      <c r="N2839" s="1">
        <v>45394</v>
      </c>
      <c r="O2839">
        <v>1</v>
      </c>
      <c r="P2839">
        <v>2838</v>
      </c>
      <c r="Q2839" s="2">
        <v>0.85</v>
      </c>
      <c r="R2839" t="s">
        <v>27</v>
      </c>
      <c r="S2839">
        <v>2024</v>
      </c>
      <c r="T2839" t="s">
        <v>32</v>
      </c>
    </row>
    <row r="2840" spans="1:20" x14ac:dyDescent="0.3">
      <c r="A2840">
        <v>4715</v>
      </c>
      <c r="B2840">
        <v>267</v>
      </c>
      <c r="C2840" t="s">
        <v>39</v>
      </c>
      <c r="D2840" t="s">
        <v>25</v>
      </c>
      <c r="E2840" t="s">
        <v>20</v>
      </c>
      <c r="F2840" s="1">
        <v>44711</v>
      </c>
      <c r="G2840" s="1">
        <v>45254</v>
      </c>
      <c r="H2840">
        <v>2354</v>
      </c>
      <c r="I2840">
        <v>4012.75</v>
      </c>
      <c r="J2840">
        <v>2490</v>
      </c>
      <c r="K2840" t="s">
        <v>35</v>
      </c>
      <c r="L2840">
        <v>17</v>
      </c>
      <c r="M2840" t="str">
        <f t="shared" si="44"/>
        <v>6-12 Months</v>
      </c>
      <c r="N2840" s="1">
        <v>45254</v>
      </c>
      <c r="O2840">
        <v>1</v>
      </c>
      <c r="P2840">
        <v>2839</v>
      </c>
      <c r="Q2840" s="2">
        <v>1.06</v>
      </c>
      <c r="R2840" t="s">
        <v>22</v>
      </c>
      <c r="S2840">
        <v>2023</v>
      </c>
      <c r="T2840" t="s">
        <v>42</v>
      </c>
    </row>
    <row r="2841" spans="1:20" hidden="1" x14ac:dyDescent="0.3">
      <c r="A2841">
        <v>4717</v>
      </c>
      <c r="B2841">
        <v>401</v>
      </c>
      <c r="C2841" t="s">
        <v>53</v>
      </c>
      <c r="D2841" t="s">
        <v>25</v>
      </c>
      <c r="E2841" t="s">
        <v>26</v>
      </c>
      <c r="F2841" s="1">
        <v>44875</v>
      </c>
      <c r="G2841" s="1">
        <v>45430</v>
      </c>
      <c r="H2841">
        <v>7913</v>
      </c>
      <c r="I2841">
        <v>1235</v>
      </c>
      <c r="J2841">
        <v>6678</v>
      </c>
      <c r="K2841" t="s">
        <v>54</v>
      </c>
      <c r="L2841">
        <v>18</v>
      </c>
      <c r="M2841" t="str">
        <f t="shared" si="44"/>
        <v>6-12 Months</v>
      </c>
      <c r="N2841" s="1">
        <v>45430</v>
      </c>
      <c r="O2841">
        <v>1</v>
      </c>
      <c r="P2841">
        <v>2840</v>
      </c>
      <c r="Q2841" s="2">
        <v>0.84</v>
      </c>
      <c r="R2841" t="s">
        <v>27</v>
      </c>
      <c r="S2841">
        <v>2024</v>
      </c>
      <c r="T2841" t="s">
        <v>28</v>
      </c>
    </row>
    <row r="2842" spans="1:20" x14ac:dyDescent="0.3">
      <c r="A2842">
        <v>4718</v>
      </c>
      <c r="B2842">
        <v>105</v>
      </c>
      <c r="C2842" t="s">
        <v>53</v>
      </c>
      <c r="D2842" t="s">
        <v>34</v>
      </c>
      <c r="E2842" t="s">
        <v>26</v>
      </c>
      <c r="F2842" s="1">
        <v>44906</v>
      </c>
      <c r="G2842" s="1">
        <v>44973</v>
      </c>
      <c r="H2842">
        <v>4967.93</v>
      </c>
      <c r="I2842">
        <v>4895</v>
      </c>
      <c r="J2842">
        <v>-5224</v>
      </c>
      <c r="K2842" t="s">
        <v>35</v>
      </c>
      <c r="L2842">
        <v>2</v>
      </c>
      <c r="M2842" t="str">
        <f t="shared" si="44"/>
        <v>0-6 Months</v>
      </c>
      <c r="N2842" s="1">
        <v>44973</v>
      </c>
      <c r="O2842">
        <v>0</v>
      </c>
      <c r="P2842">
        <v>2841</v>
      </c>
      <c r="Q2842" s="2">
        <v>-1.05</v>
      </c>
      <c r="R2842" t="s">
        <v>22</v>
      </c>
      <c r="S2842">
        <v>2023</v>
      </c>
      <c r="T2842" t="s">
        <v>43</v>
      </c>
    </row>
    <row r="2843" spans="1:20" hidden="1" x14ac:dyDescent="0.3">
      <c r="A2843">
        <v>4720</v>
      </c>
      <c r="B2843">
        <v>438</v>
      </c>
      <c r="C2843" t="s">
        <v>45</v>
      </c>
      <c r="D2843" t="s">
        <v>34</v>
      </c>
      <c r="E2843" t="s">
        <v>37</v>
      </c>
      <c r="F2843" s="1">
        <v>44667</v>
      </c>
      <c r="G2843" s="1">
        <v>45052</v>
      </c>
      <c r="H2843">
        <v>7874</v>
      </c>
      <c r="I2843">
        <v>970</v>
      </c>
      <c r="J2843">
        <v>6904</v>
      </c>
      <c r="K2843" t="s">
        <v>54</v>
      </c>
      <c r="L2843">
        <v>12</v>
      </c>
      <c r="M2843" t="str">
        <f t="shared" si="44"/>
        <v>6-12 Months</v>
      </c>
      <c r="N2843" s="1">
        <v>45052</v>
      </c>
      <c r="O2843">
        <v>1</v>
      </c>
      <c r="P2843">
        <v>2842</v>
      </c>
      <c r="Q2843" s="2">
        <v>0.88</v>
      </c>
      <c r="R2843" t="s">
        <v>27</v>
      </c>
      <c r="S2843">
        <v>2023</v>
      </c>
      <c r="T2843" t="s">
        <v>28</v>
      </c>
    </row>
    <row r="2844" spans="1:20" hidden="1" x14ac:dyDescent="0.3">
      <c r="A2844">
        <v>4721</v>
      </c>
      <c r="B2844">
        <v>373</v>
      </c>
      <c r="C2844" t="s">
        <v>40</v>
      </c>
      <c r="D2844" t="s">
        <v>25</v>
      </c>
      <c r="E2844" t="s">
        <v>26</v>
      </c>
      <c r="F2844" s="1">
        <v>44686</v>
      </c>
      <c r="G2844" s="1">
        <v>45053</v>
      </c>
      <c r="H2844">
        <v>4967.93</v>
      </c>
      <c r="I2844">
        <v>6405</v>
      </c>
      <c r="J2844">
        <v>-8205</v>
      </c>
      <c r="K2844" t="s">
        <v>21</v>
      </c>
      <c r="L2844">
        <v>12</v>
      </c>
      <c r="M2844" t="str">
        <f t="shared" si="44"/>
        <v>6-12 Months</v>
      </c>
      <c r="N2844" s="1">
        <v>45053</v>
      </c>
      <c r="O2844">
        <v>1</v>
      </c>
      <c r="P2844">
        <v>2843</v>
      </c>
      <c r="Q2844" s="2">
        <v>-1.65</v>
      </c>
      <c r="R2844" t="s">
        <v>22</v>
      </c>
      <c r="S2844">
        <v>2023</v>
      </c>
      <c r="T2844" t="s">
        <v>28</v>
      </c>
    </row>
    <row r="2845" spans="1:20" hidden="1" x14ac:dyDescent="0.3">
      <c r="A2845">
        <v>4724</v>
      </c>
      <c r="B2845">
        <v>103</v>
      </c>
      <c r="C2845" t="s">
        <v>53</v>
      </c>
      <c r="D2845" t="s">
        <v>19</v>
      </c>
      <c r="E2845" t="s">
        <v>37</v>
      </c>
      <c r="F2845" s="1">
        <v>44917</v>
      </c>
      <c r="G2845" s="1">
        <v>45204</v>
      </c>
      <c r="H2845">
        <v>2931</v>
      </c>
      <c r="I2845">
        <v>7471</v>
      </c>
      <c r="J2845">
        <v>-4540</v>
      </c>
      <c r="K2845" t="s">
        <v>54</v>
      </c>
      <c r="L2845">
        <v>9</v>
      </c>
      <c r="M2845" t="str">
        <f t="shared" si="44"/>
        <v>6-12 Months</v>
      </c>
      <c r="N2845" s="1">
        <v>45204</v>
      </c>
      <c r="O2845">
        <v>1</v>
      </c>
      <c r="P2845">
        <v>2844</v>
      </c>
      <c r="Q2845" s="2">
        <v>-1.55</v>
      </c>
      <c r="R2845" t="s">
        <v>22</v>
      </c>
      <c r="S2845">
        <v>2023</v>
      </c>
      <c r="T2845" t="s">
        <v>33</v>
      </c>
    </row>
    <row r="2846" spans="1:20" x14ac:dyDescent="0.3">
      <c r="A2846">
        <v>4725</v>
      </c>
      <c r="B2846">
        <v>241</v>
      </c>
      <c r="C2846" t="s">
        <v>24</v>
      </c>
      <c r="D2846" t="s">
        <v>19</v>
      </c>
      <c r="E2846" t="s">
        <v>20</v>
      </c>
      <c r="F2846" s="1">
        <v>44626</v>
      </c>
      <c r="G2846" s="1">
        <v>44713</v>
      </c>
      <c r="H2846">
        <v>3885</v>
      </c>
      <c r="I2846">
        <v>7994</v>
      </c>
      <c r="J2846">
        <v>-4109</v>
      </c>
      <c r="K2846" t="s">
        <v>35</v>
      </c>
      <c r="L2846">
        <v>2</v>
      </c>
      <c r="M2846" t="str">
        <f t="shared" si="44"/>
        <v>0-6 Months</v>
      </c>
      <c r="N2846" s="1">
        <v>44713</v>
      </c>
      <c r="O2846">
        <v>0</v>
      </c>
      <c r="P2846">
        <v>2845</v>
      </c>
      <c r="Q2846" s="2">
        <v>-1.06</v>
      </c>
      <c r="R2846" t="s">
        <v>22</v>
      </c>
      <c r="S2846">
        <v>2022</v>
      </c>
      <c r="T2846" t="s">
        <v>41</v>
      </c>
    </row>
    <row r="2847" spans="1:20" x14ac:dyDescent="0.3">
      <c r="A2847">
        <v>4727</v>
      </c>
      <c r="B2847">
        <v>483</v>
      </c>
      <c r="C2847" t="s">
        <v>40</v>
      </c>
      <c r="D2847" t="s">
        <v>25</v>
      </c>
      <c r="E2847" t="s">
        <v>26</v>
      </c>
      <c r="F2847" s="1">
        <v>44821</v>
      </c>
      <c r="G2847" s="1">
        <v>44990</v>
      </c>
      <c r="H2847">
        <v>1532</v>
      </c>
      <c r="I2847">
        <v>362</v>
      </c>
      <c r="J2847">
        <v>1170</v>
      </c>
      <c r="K2847" t="s">
        <v>35</v>
      </c>
      <c r="L2847">
        <v>5</v>
      </c>
      <c r="M2847" t="str">
        <f t="shared" si="44"/>
        <v>0-6 Months</v>
      </c>
      <c r="N2847" s="1">
        <v>44990</v>
      </c>
      <c r="O2847">
        <v>0</v>
      </c>
      <c r="P2847">
        <v>2846</v>
      </c>
      <c r="Q2847" s="2">
        <v>0.76</v>
      </c>
      <c r="R2847" t="s">
        <v>27</v>
      </c>
      <c r="S2847">
        <v>2023</v>
      </c>
      <c r="T2847" t="s">
        <v>38</v>
      </c>
    </row>
    <row r="2848" spans="1:20" x14ac:dyDescent="0.3">
      <c r="A2848">
        <v>4728</v>
      </c>
      <c r="B2848">
        <v>169</v>
      </c>
      <c r="C2848" t="s">
        <v>24</v>
      </c>
      <c r="D2848" t="s">
        <v>29</v>
      </c>
      <c r="E2848" t="s">
        <v>37</v>
      </c>
      <c r="F2848" s="1">
        <v>44810</v>
      </c>
      <c r="G2848" s="1">
        <v>44937</v>
      </c>
      <c r="H2848">
        <v>8753</v>
      </c>
      <c r="I2848">
        <v>5988</v>
      </c>
      <c r="J2848">
        <v>2765</v>
      </c>
      <c r="K2848" t="s">
        <v>35</v>
      </c>
      <c r="L2848">
        <v>4</v>
      </c>
      <c r="M2848" t="str">
        <f t="shared" si="44"/>
        <v>0-6 Months</v>
      </c>
      <c r="N2848" s="1">
        <v>44937</v>
      </c>
      <c r="O2848">
        <v>0</v>
      </c>
      <c r="P2848">
        <v>2847</v>
      </c>
      <c r="Q2848" s="2">
        <v>0.32</v>
      </c>
      <c r="R2848" t="s">
        <v>27</v>
      </c>
      <c r="S2848">
        <v>2023</v>
      </c>
      <c r="T2848" t="s">
        <v>23</v>
      </c>
    </row>
    <row r="2849" spans="1:20" hidden="1" x14ac:dyDescent="0.3">
      <c r="A2849">
        <v>4734</v>
      </c>
      <c r="B2849">
        <v>415</v>
      </c>
      <c r="C2849" t="s">
        <v>24</v>
      </c>
      <c r="D2849" t="s">
        <v>25</v>
      </c>
      <c r="E2849" t="s">
        <v>20</v>
      </c>
      <c r="F2849" s="1">
        <v>44726</v>
      </c>
      <c r="G2849" s="1">
        <v>44965</v>
      </c>
      <c r="H2849">
        <v>4967.93</v>
      </c>
      <c r="I2849">
        <v>5171</v>
      </c>
      <c r="J2849">
        <v>-5721</v>
      </c>
      <c r="K2849" t="s">
        <v>54</v>
      </c>
      <c r="L2849">
        <v>7</v>
      </c>
      <c r="M2849" t="str">
        <f t="shared" si="44"/>
        <v>6-12 Months</v>
      </c>
      <c r="N2849" s="1">
        <v>44965</v>
      </c>
      <c r="O2849">
        <v>1</v>
      </c>
      <c r="P2849">
        <v>2848</v>
      </c>
      <c r="Q2849" s="2">
        <v>-1.1499999999999999</v>
      </c>
      <c r="R2849" t="s">
        <v>22</v>
      </c>
      <c r="S2849">
        <v>2023</v>
      </c>
      <c r="T2849" t="s">
        <v>43</v>
      </c>
    </row>
    <row r="2850" spans="1:20" hidden="1" x14ac:dyDescent="0.3">
      <c r="A2850">
        <v>4741</v>
      </c>
      <c r="B2850">
        <v>480</v>
      </c>
      <c r="C2850" t="s">
        <v>24</v>
      </c>
      <c r="D2850" t="s">
        <v>25</v>
      </c>
      <c r="E2850" t="s">
        <v>37</v>
      </c>
      <c r="F2850" s="1">
        <v>44714</v>
      </c>
      <c r="G2850" s="1">
        <v>45313</v>
      </c>
      <c r="H2850">
        <v>647</v>
      </c>
      <c r="I2850">
        <v>6385</v>
      </c>
      <c r="J2850">
        <v>-5738</v>
      </c>
      <c r="K2850" t="s">
        <v>54</v>
      </c>
      <c r="L2850">
        <v>19</v>
      </c>
      <c r="M2850" t="str">
        <f t="shared" si="44"/>
        <v>6-12 Months</v>
      </c>
      <c r="N2850" s="1">
        <v>45313</v>
      </c>
      <c r="O2850">
        <v>0</v>
      </c>
      <c r="P2850">
        <v>2849</v>
      </c>
      <c r="Q2850" s="2">
        <v>-8.8699999999999992</v>
      </c>
      <c r="R2850" t="s">
        <v>22</v>
      </c>
      <c r="S2850">
        <v>2024</v>
      </c>
      <c r="T2850" t="s">
        <v>23</v>
      </c>
    </row>
    <row r="2851" spans="1:20" x14ac:dyDescent="0.3">
      <c r="A2851">
        <v>4742</v>
      </c>
      <c r="B2851">
        <v>382</v>
      </c>
      <c r="C2851" t="s">
        <v>40</v>
      </c>
      <c r="D2851" t="s">
        <v>19</v>
      </c>
      <c r="E2851" t="s">
        <v>26</v>
      </c>
      <c r="F2851" s="1">
        <v>44835</v>
      </c>
      <c r="G2851" s="1">
        <v>45234</v>
      </c>
      <c r="H2851">
        <v>28</v>
      </c>
      <c r="I2851">
        <v>346</v>
      </c>
      <c r="J2851">
        <v>577.01</v>
      </c>
      <c r="K2851" t="s">
        <v>35</v>
      </c>
      <c r="L2851">
        <v>13</v>
      </c>
      <c r="M2851" t="str">
        <f t="shared" si="44"/>
        <v>6-12 Months</v>
      </c>
      <c r="N2851" s="1">
        <v>45234</v>
      </c>
      <c r="O2851">
        <v>1</v>
      </c>
      <c r="P2851">
        <v>2850</v>
      </c>
      <c r="Q2851" s="2">
        <v>20.61</v>
      </c>
      <c r="R2851" t="s">
        <v>22</v>
      </c>
      <c r="S2851">
        <v>2023</v>
      </c>
      <c r="T2851" t="s">
        <v>42</v>
      </c>
    </row>
    <row r="2852" spans="1:20" hidden="1" x14ac:dyDescent="0.3">
      <c r="A2852">
        <v>4744</v>
      </c>
      <c r="B2852">
        <v>473</v>
      </c>
      <c r="C2852" t="s">
        <v>24</v>
      </c>
      <c r="D2852" t="s">
        <v>25</v>
      </c>
      <c r="E2852" t="s">
        <v>26</v>
      </c>
      <c r="F2852" s="1">
        <v>44917</v>
      </c>
      <c r="G2852" s="1">
        <v>45222</v>
      </c>
      <c r="H2852">
        <v>5262</v>
      </c>
      <c r="I2852">
        <v>1768</v>
      </c>
      <c r="J2852">
        <v>3494</v>
      </c>
      <c r="K2852" t="s">
        <v>54</v>
      </c>
      <c r="L2852">
        <v>10</v>
      </c>
      <c r="M2852" t="str">
        <f t="shared" si="44"/>
        <v>6-12 Months</v>
      </c>
      <c r="N2852" s="1">
        <v>45222</v>
      </c>
      <c r="O2852">
        <v>0</v>
      </c>
      <c r="P2852">
        <v>2851</v>
      </c>
      <c r="Q2852" s="2">
        <v>0.66</v>
      </c>
      <c r="R2852" t="s">
        <v>27</v>
      </c>
      <c r="S2852">
        <v>2023</v>
      </c>
      <c r="T2852" t="s">
        <v>33</v>
      </c>
    </row>
    <row r="2853" spans="1:20" hidden="1" x14ac:dyDescent="0.3">
      <c r="A2853">
        <v>4745</v>
      </c>
      <c r="B2853">
        <v>471</v>
      </c>
      <c r="C2853" t="s">
        <v>53</v>
      </c>
      <c r="D2853" t="s">
        <v>34</v>
      </c>
      <c r="E2853" t="s">
        <v>26</v>
      </c>
      <c r="F2853" s="1">
        <v>44845</v>
      </c>
      <c r="G2853" s="1">
        <v>45049</v>
      </c>
      <c r="H2853">
        <v>4967.93</v>
      </c>
      <c r="I2853">
        <v>4012.75</v>
      </c>
      <c r="J2853">
        <v>-415</v>
      </c>
      <c r="K2853" t="s">
        <v>54</v>
      </c>
      <c r="L2853">
        <v>6</v>
      </c>
      <c r="M2853" t="str">
        <f t="shared" si="44"/>
        <v>12+ Months</v>
      </c>
      <c r="N2853" s="1">
        <v>45049</v>
      </c>
      <c r="O2853">
        <v>1</v>
      </c>
      <c r="P2853">
        <v>2852</v>
      </c>
      <c r="Q2853" s="2">
        <v>-0.08</v>
      </c>
      <c r="R2853" t="s">
        <v>27</v>
      </c>
      <c r="S2853">
        <v>2023</v>
      </c>
      <c r="T2853" t="s">
        <v>28</v>
      </c>
    </row>
    <row r="2854" spans="1:20" hidden="1" x14ac:dyDescent="0.3">
      <c r="A2854">
        <v>4746</v>
      </c>
      <c r="B2854">
        <v>417</v>
      </c>
      <c r="C2854" t="s">
        <v>40</v>
      </c>
      <c r="D2854" t="s">
        <v>34</v>
      </c>
      <c r="E2854" t="s">
        <v>37</v>
      </c>
      <c r="F2854" s="1">
        <v>44656</v>
      </c>
      <c r="G2854" s="1">
        <v>44812</v>
      </c>
      <c r="H2854">
        <v>4967.93</v>
      </c>
      <c r="I2854">
        <v>3110</v>
      </c>
      <c r="J2854">
        <v>-3576</v>
      </c>
      <c r="K2854" t="s">
        <v>21</v>
      </c>
      <c r="L2854">
        <v>5</v>
      </c>
      <c r="M2854" t="str">
        <f t="shared" si="44"/>
        <v>0-6 Months</v>
      </c>
      <c r="N2854" s="1">
        <v>44812</v>
      </c>
      <c r="O2854">
        <v>0</v>
      </c>
      <c r="P2854">
        <v>2853</v>
      </c>
      <c r="Q2854" s="2">
        <v>-0.72</v>
      </c>
      <c r="R2854" t="s">
        <v>27</v>
      </c>
      <c r="S2854">
        <v>2022</v>
      </c>
      <c r="T2854" t="s">
        <v>30</v>
      </c>
    </row>
    <row r="2855" spans="1:20" hidden="1" x14ac:dyDescent="0.3">
      <c r="A2855">
        <v>4748</v>
      </c>
      <c r="B2855">
        <v>428</v>
      </c>
      <c r="C2855" t="s">
        <v>39</v>
      </c>
      <c r="D2855" t="s">
        <v>29</v>
      </c>
      <c r="E2855" t="s">
        <v>20</v>
      </c>
      <c r="F2855" s="1">
        <v>44848</v>
      </c>
      <c r="G2855" s="1">
        <v>45284</v>
      </c>
      <c r="H2855">
        <v>4001</v>
      </c>
      <c r="I2855">
        <v>4686</v>
      </c>
      <c r="J2855">
        <v>-685</v>
      </c>
      <c r="K2855" t="s">
        <v>54</v>
      </c>
      <c r="L2855">
        <v>14</v>
      </c>
      <c r="M2855" t="str">
        <f t="shared" si="44"/>
        <v>6-12 Months</v>
      </c>
      <c r="N2855" s="1">
        <v>45284</v>
      </c>
      <c r="O2855">
        <v>1</v>
      </c>
      <c r="P2855">
        <v>2854</v>
      </c>
      <c r="Q2855" s="2">
        <v>-0.17</v>
      </c>
      <c r="R2855" t="s">
        <v>27</v>
      </c>
      <c r="S2855">
        <v>2023</v>
      </c>
      <c r="T2855" t="s">
        <v>31</v>
      </c>
    </row>
    <row r="2856" spans="1:20" hidden="1" x14ac:dyDescent="0.3">
      <c r="A2856">
        <v>4749</v>
      </c>
      <c r="B2856">
        <v>105</v>
      </c>
      <c r="C2856" t="s">
        <v>40</v>
      </c>
      <c r="D2856" t="s">
        <v>34</v>
      </c>
      <c r="E2856" t="s">
        <v>20</v>
      </c>
      <c r="F2856" s="1">
        <v>44689</v>
      </c>
      <c r="G2856" s="1">
        <v>44887</v>
      </c>
      <c r="H2856">
        <v>6390</v>
      </c>
      <c r="I2856">
        <v>4023</v>
      </c>
      <c r="J2856">
        <v>2367</v>
      </c>
      <c r="K2856" t="s">
        <v>21</v>
      </c>
      <c r="L2856">
        <v>6</v>
      </c>
      <c r="M2856" t="str">
        <f t="shared" si="44"/>
        <v>12+ Months</v>
      </c>
      <c r="N2856" s="1">
        <v>44887</v>
      </c>
      <c r="O2856">
        <v>1</v>
      </c>
      <c r="P2856">
        <v>2855</v>
      </c>
      <c r="Q2856" s="2">
        <v>0.37</v>
      </c>
      <c r="R2856" t="s">
        <v>27</v>
      </c>
      <c r="S2856">
        <v>2022</v>
      </c>
      <c r="T2856" t="s">
        <v>42</v>
      </c>
    </row>
    <row r="2857" spans="1:20" hidden="1" x14ac:dyDescent="0.3">
      <c r="A2857">
        <v>4750</v>
      </c>
      <c r="B2857">
        <v>186</v>
      </c>
      <c r="C2857" t="s">
        <v>40</v>
      </c>
      <c r="D2857" t="s">
        <v>34</v>
      </c>
      <c r="E2857" t="s">
        <v>20</v>
      </c>
      <c r="F2857" s="1">
        <v>44703</v>
      </c>
      <c r="G2857" s="1">
        <v>45242</v>
      </c>
      <c r="H2857">
        <v>8326</v>
      </c>
      <c r="I2857">
        <v>2622</v>
      </c>
      <c r="J2857">
        <v>577.01</v>
      </c>
      <c r="K2857" t="s">
        <v>54</v>
      </c>
      <c r="L2857">
        <v>17</v>
      </c>
      <c r="M2857" t="str">
        <f t="shared" si="44"/>
        <v>6-12 Months</v>
      </c>
      <c r="N2857" s="1">
        <v>45242</v>
      </c>
      <c r="O2857">
        <v>1</v>
      </c>
      <c r="P2857">
        <v>2856</v>
      </c>
      <c r="Q2857" s="2">
        <v>7.0000000000000007E-2</v>
      </c>
      <c r="R2857" t="s">
        <v>27</v>
      </c>
      <c r="S2857">
        <v>2023</v>
      </c>
      <c r="T2857" t="s">
        <v>42</v>
      </c>
    </row>
    <row r="2858" spans="1:20" hidden="1" x14ac:dyDescent="0.3">
      <c r="A2858">
        <v>4752</v>
      </c>
      <c r="B2858">
        <v>152</v>
      </c>
      <c r="C2858" t="s">
        <v>24</v>
      </c>
      <c r="D2858" t="s">
        <v>25</v>
      </c>
      <c r="E2858" t="s">
        <v>26</v>
      </c>
      <c r="F2858" s="1">
        <v>44812</v>
      </c>
      <c r="G2858" s="1">
        <v>45103</v>
      </c>
      <c r="H2858">
        <v>7865</v>
      </c>
      <c r="I2858">
        <v>4323</v>
      </c>
      <c r="J2858">
        <v>3542</v>
      </c>
      <c r="K2858" t="s">
        <v>54</v>
      </c>
      <c r="L2858">
        <v>9</v>
      </c>
      <c r="M2858" t="str">
        <f t="shared" si="44"/>
        <v>6-12 Months</v>
      </c>
      <c r="N2858" s="1">
        <v>45103</v>
      </c>
      <c r="O2858">
        <v>0</v>
      </c>
      <c r="P2858">
        <v>2857</v>
      </c>
      <c r="Q2858" s="2">
        <v>0.45</v>
      </c>
      <c r="R2858" t="s">
        <v>27</v>
      </c>
      <c r="S2858">
        <v>2023</v>
      </c>
      <c r="T2858" t="s">
        <v>41</v>
      </c>
    </row>
    <row r="2859" spans="1:20" x14ac:dyDescent="0.3">
      <c r="A2859">
        <v>4754</v>
      </c>
      <c r="B2859">
        <v>177</v>
      </c>
      <c r="C2859" t="s">
        <v>53</v>
      </c>
      <c r="D2859" t="s">
        <v>34</v>
      </c>
      <c r="E2859" t="s">
        <v>37</v>
      </c>
      <c r="F2859" s="1">
        <v>44576</v>
      </c>
      <c r="G2859" s="1">
        <v>44667</v>
      </c>
      <c r="H2859">
        <v>6590</v>
      </c>
      <c r="I2859">
        <v>5093</v>
      </c>
      <c r="J2859">
        <v>1497</v>
      </c>
      <c r="K2859" t="s">
        <v>35</v>
      </c>
      <c r="L2859">
        <v>3</v>
      </c>
      <c r="M2859" t="str">
        <f t="shared" si="44"/>
        <v>0-6 Months</v>
      </c>
      <c r="N2859" s="1">
        <v>44667</v>
      </c>
      <c r="O2859">
        <v>1</v>
      </c>
      <c r="P2859">
        <v>2858</v>
      </c>
      <c r="Q2859" s="2">
        <v>0.23</v>
      </c>
      <c r="R2859" t="s">
        <v>27</v>
      </c>
      <c r="S2859">
        <v>2022</v>
      </c>
      <c r="T2859" t="s">
        <v>32</v>
      </c>
    </row>
    <row r="2860" spans="1:20" x14ac:dyDescent="0.3">
      <c r="A2860">
        <v>4757</v>
      </c>
      <c r="B2860">
        <v>419</v>
      </c>
      <c r="C2860" t="s">
        <v>53</v>
      </c>
      <c r="D2860" t="s">
        <v>25</v>
      </c>
      <c r="E2860" t="s">
        <v>20</v>
      </c>
      <c r="F2860" s="1">
        <v>44571</v>
      </c>
      <c r="G2860" s="1">
        <v>45141</v>
      </c>
      <c r="H2860">
        <v>7962</v>
      </c>
      <c r="I2860">
        <v>3804</v>
      </c>
      <c r="J2860">
        <v>4158</v>
      </c>
      <c r="K2860" t="s">
        <v>35</v>
      </c>
      <c r="L2860">
        <v>18</v>
      </c>
      <c r="M2860" t="str">
        <f t="shared" si="44"/>
        <v>6-12 Months</v>
      </c>
      <c r="N2860" s="1">
        <v>45141</v>
      </c>
      <c r="O2860">
        <v>1</v>
      </c>
      <c r="P2860">
        <v>2859</v>
      </c>
      <c r="Q2860" s="2">
        <v>0.52</v>
      </c>
      <c r="R2860" t="s">
        <v>27</v>
      </c>
      <c r="S2860">
        <v>2023</v>
      </c>
      <c r="T2860" t="s">
        <v>36</v>
      </c>
    </row>
    <row r="2861" spans="1:20" hidden="1" x14ac:dyDescent="0.3">
      <c r="A2861">
        <v>4760</v>
      </c>
      <c r="B2861">
        <v>250</v>
      </c>
      <c r="C2861" t="s">
        <v>40</v>
      </c>
      <c r="D2861" t="s">
        <v>34</v>
      </c>
      <c r="E2861" t="s">
        <v>37</v>
      </c>
      <c r="F2861" s="1">
        <v>44722</v>
      </c>
      <c r="G2861" s="1">
        <v>44966</v>
      </c>
      <c r="H2861">
        <v>8261</v>
      </c>
      <c r="I2861">
        <v>2811</v>
      </c>
      <c r="J2861">
        <v>5450</v>
      </c>
      <c r="K2861" t="s">
        <v>54</v>
      </c>
      <c r="L2861">
        <v>7</v>
      </c>
      <c r="M2861" t="str">
        <f t="shared" si="44"/>
        <v>6-12 Months</v>
      </c>
      <c r="N2861" s="1">
        <v>44966</v>
      </c>
      <c r="O2861">
        <v>0</v>
      </c>
      <c r="P2861">
        <v>2860</v>
      </c>
      <c r="Q2861" s="2">
        <v>0.66</v>
      </c>
      <c r="R2861" t="s">
        <v>27</v>
      </c>
      <c r="S2861">
        <v>2023</v>
      </c>
      <c r="T2861" t="s">
        <v>43</v>
      </c>
    </row>
    <row r="2862" spans="1:20" hidden="1" x14ac:dyDescent="0.3">
      <c r="A2862">
        <v>4764</v>
      </c>
      <c r="B2862">
        <v>273</v>
      </c>
      <c r="C2862" t="s">
        <v>24</v>
      </c>
      <c r="D2862" t="s">
        <v>34</v>
      </c>
      <c r="E2862" t="s">
        <v>26</v>
      </c>
      <c r="F2862" s="1">
        <v>44594</v>
      </c>
      <c r="G2862" s="1">
        <v>45049</v>
      </c>
      <c r="H2862">
        <v>5188</v>
      </c>
      <c r="I2862">
        <v>3543</v>
      </c>
      <c r="J2862">
        <v>1645</v>
      </c>
      <c r="K2862" t="s">
        <v>54</v>
      </c>
      <c r="L2862">
        <v>15</v>
      </c>
      <c r="M2862" t="str">
        <f t="shared" si="44"/>
        <v>6-12 Months</v>
      </c>
      <c r="N2862" s="1">
        <v>45049</v>
      </c>
      <c r="O2862">
        <v>1</v>
      </c>
      <c r="P2862">
        <v>2861</v>
      </c>
      <c r="Q2862" s="2">
        <v>0.32</v>
      </c>
      <c r="R2862" t="s">
        <v>27</v>
      </c>
      <c r="S2862">
        <v>2023</v>
      </c>
      <c r="T2862" t="s">
        <v>28</v>
      </c>
    </row>
    <row r="2863" spans="1:20" hidden="1" x14ac:dyDescent="0.3">
      <c r="A2863">
        <v>4765</v>
      </c>
      <c r="B2863">
        <v>463</v>
      </c>
      <c r="C2863" t="s">
        <v>39</v>
      </c>
      <c r="D2863" t="s">
        <v>34</v>
      </c>
      <c r="E2863" t="s">
        <v>37</v>
      </c>
      <c r="F2863" s="1">
        <v>44764</v>
      </c>
      <c r="G2863" s="1">
        <v>45232</v>
      </c>
      <c r="H2863">
        <v>8416</v>
      </c>
      <c r="I2863">
        <v>6716</v>
      </c>
      <c r="J2863">
        <v>1700</v>
      </c>
      <c r="K2863" t="s">
        <v>21</v>
      </c>
      <c r="L2863">
        <v>15</v>
      </c>
      <c r="M2863" t="str">
        <f t="shared" si="44"/>
        <v>6-12 Months</v>
      </c>
      <c r="N2863" s="1">
        <v>45232</v>
      </c>
      <c r="O2863">
        <v>1</v>
      </c>
      <c r="P2863">
        <v>2862</v>
      </c>
      <c r="Q2863" s="2">
        <v>0.2</v>
      </c>
      <c r="R2863" t="s">
        <v>27</v>
      </c>
      <c r="S2863">
        <v>2023</v>
      </c>
      <c r="T2863" t="s">
        <v>42</v>
      </c>
    </row>
    <row r="2864" spans="1:20" hidden="1" x14ac:dyDescent="0.3">
      <c r="A2864">
        <v>4769</v>
      </c>
      <c r="B2864">
        <v>406</v>
      </c>
      <c r="C2864" t="s">
        <v>39</v>
      </c>
      <c r="D2864" t="s">
        <v>25</v>
      </c>
      <c r="E2864" t="s">
        <v>37</v>
      </c>
      <c r="F2864" s="1">
        <v>44666</v>
      </c>
      <c r="G2864" s="1">
        <v>45050</v>
      </c>
      <c r="H2864">
        <v>9548</v>
      </c>
      <c r="I2864">
        <v>3810</v>
      </c>
      <c r="J2864">
        <v>5738</v>
      </c>
      <c r="K2864" t="s">
        <v>54</v>
      </c>
      <c r="L2864">
        <v>12</v>
      </c>
      <c r="M2864" t="str">
        <f t="shared" si="44"/>
        <v>6-12 Months</v>
      </c>
      <c r="N2864" s="1">
        <v>45050</v>
      </c>
      <c r="O2864">
        <v>1</v>
      </c>
      <c r="P2864">
        <v>2863</v>
      </c>
      <c r="Q2864" s="2">
        <v>0.6</v>
      </c>
      <c r="R2864" t="s">
        <v>27</v>
      </c>
      <c r="S2864">
        <v>2023</v>
      </c>
      <c r="T2864" t="s">
        <v>28</v>
      </c>
    </row>
    <row r="2865" spans="1:20" x14ac:dyDescent="0.3">
      <c r="A2865">
        <v>4772</v>
      </c>
      <c r="B2865">
        <v>484</v>
      </c>
      <c r="C2865" t="s">
        <v>24</v>
      </c>
      <c r="D2865" t="s">
        <v>19</v>
      </c>
      <c r="E2865" t="s">
        <v>37</v>
      </c>
      <c r="F2865" s="1">
        <v>44588</v>
      </c>
      <c r="G2865" s="1">
        <v>44803</v>
      </c>
      <c r="H2865">
        <v>7510</v>
      </c>
      <c r="I2865">
        <v>6981</v>
      </c>
      <c r="J2865">
        <v>529</v>
      </c>
      <c r="K2865" t="s">
        <v>35</v>
      </c>
      <c r="L2865">
        <v>7</v>
      </c>
      <c r="M2865" t="str">
        <f t="shared" si="44"/>
        <v>6-12 Months</v>
      </c>
      <c r="N2865" s="1">
        <v>44803</v>
      </c>
      <c r="O2865">
        <v>0</v>
      </c>
      <c r="P2865">
        <v>2864</v>
      </c>
      <c r="Q2865" s="2">
        <v>7.0000000000000007E-2</v>
      </c>
      <c r="R2865" t="s">
        <v>27</v>
      </c>
      <c r="S2865">
        <v>2022</v>
      </c>
      <c r="T2865" t="s">
        <v>36</v>
      </c>
    </row>
    <row r="2866" spans="1:20" hidden="1" x14ac:dyDescent="0.3">
      <c r="A2866">
        <v>4773</v>
      </c>
      <c r="B2866">
        <v>321</v>
      </c>
      <c r="C2866" t="s">
        <v>53</v>
      </c>
      <c r="D2866" t="s">
        <v>25</v>
      </c>
      <c r="E2866" t="s">
        <v>37</v>
      </c>
      <c r="F2866" s="1">
        <v>44874</v>
      </c>
      <c r="G2866" s="1">
        <v>45165</v>
      </c>
      <c r="H2866">
        <v>4758</v>
      </c>
      <c r="I2866">
        <v>4012.75</v>
      </c>
      <c r="J2866">
        <v>5260</v>
      </c>
      <c r="K2866" t="s">
        <v>54</v>
      </c>
      <c r="L2866">
        <v>9</v>
      </c>
      <c r="M2866" t="str">
        <f t="shared" si="44"/>
        <v>6-12 Months</v>
      </c>
      <c r="N2866" s="1">
        <v>45165</v>
      </c>
      <c r="O2866">
        <v>1</v>
      </c>
      <c r="P2866">
        <v>2865</v>
      </c>
      <c r="Q2866" s="2">
        <v>1.1100000000000001</v>
      </c>
      <c r="R2866" t="s">
        <v>22</v>
      </c>
      <c r="S2866">
        <v>2023</v>
      </c>
      <c r="T2866" t="s">
        <v>36</v>
      </c>
    </row>
    <row r="2867" spans="1:20" hidden="1" x14ac:dyDescent="0.3">
      <c r="A2867">
        <v>4774</v>
      </c>
      <c r="B2867">
        <v>221</v>
      </c>
      <c r="C2867" t="s">
        <v>45</v>
      </c>
      <c r="D2867" t="s">
        <v>29</v>
      </c>
      <c r="E2867" t="s">
        <v>26</v>
      </c>
      <c r="F2867" s="1">
        <v>44877</v>
      </c>
      <c r="G2867" s="1">
        <v>45181</v>
      </c>
      <c r="H2867">
        <v>1309</v>
      </c>
      <c r="I2867">
        <v>7587</v>
      </c>
      <c r="J2867">
        <v>-6278</v>
      </c>
      <c r="K2867" t="s">
        <v>54</v>
      </c>
      <c r="L2867">
        <v>10</v>
      </c>
      <c r="M2867" t="str">
        <f t="shared" si="44"/>
        <v>6-12 Months</v>
      </c>
      <c r="N2867" s="1">
        <v>45181</v>
      </c>
      <c r="O2867">
        <v>0</v>
      </c>
      <c r="P2867">
        <v>2866</v>
      </c>
      <c r="Q2867" s="2">
        <v>-4.8</v>
      </c>
      <c r="R2867" t="s">
        <v>22</v>
      </c>
      <c r="S2867">
        <v>2023</v>
      </c>
      <c r="T2867" t="s">
        <v>30</v>
      </c>
    </row>
    <row r="2868" spans="1:20" hidden="1" x14ac:dyDescent="0.3">
      <c r="A2868">
        <v>4775</v>
      </c>
      <c r="B2868">
        <v>493</v>
      </c>
      <c r="C2868" t="s">
        <v>24</v>
      </c>
      <c r="D2868" t="s">
        <v>25</v>
      </c>
      <c r="E2868" t="s">
        <v>26</v>
      </c>
      <c r="F2868" s="1">
        <v>44637</v>
      </c>
      <c r="G2868" s="1">
        <v>45158</v>
      </c>
      <c r="H2868">
        <v>1580</v>
      </c>
      <c r="I2868">
        <v>4012.75</v>
      </c>
      <c r="J2868">
        <v>577.01</v>
      </c>
      <c r="K2868" t="s">
        <v>54</v>
      </c>
      <c r="L2868">
        <v>17</v>
      </c>
      <c r="M2868" t="str">
        <f t="shared" si="44"/>
        <v>6-12 Months</v>
      </c>
      <c r="N2868" s="1">
        <v>45158</v>
      </c>
      <c r="O2868">
        <v>0</v>
      </c>
      <c r="P2868">
        <v>2867</v>
      </c>
      <c r="Q2868" s="2">
        <v>0.37</v>
      </c>
      <c r="R2868" t="s">
        <v>27</v>
      </c>
      <c r="S2868">
        <v>2023</v>
      </c>
      <c r="T2868" t="s">
        <v>36</v>
      </c>
    </row>
    <row r="2869" spans="1:20" hidden="1" x14ac:dyDescent="0.3">
      <c r="A2869">
        <v>4777</v>
      </c>
      <c r="B2869">
        <v>272</v>
      </c>
      <c r="C2869" t="s">
        <v>39</v>
      </c>
      <c r="D2869" t="s">
        <v>34</v>
      </c>
      <c r="E2869" t="s">
        <v>26</v>
      </c>
      <c r="F2869" s="1">
        <v>44907</v>
      </c>
      <c r="G2869" s="1">
        <v>45418</v>
      </c>
      <c r="H2869">
        <v>3926</v>
      </c>
      <c r="I2869">
        <v>7720</v>
      </c>
      <c r="J2869">
        <v>577.01</v>
      </c>
      <c r="K2869" t="s">
        <v>54</v>
      </c>
      <c r="L2869">
        <v>16</v>
      </c>
      <c r="M2869" t="str">
        <f t="shared" si="44"/>
        <v>6-12 Months</v>
      </c>
      <c r="N2869" s="1">
        <v>45418</v>
      </c>
      <c r="O2869">
        <v>0</v>
      </c>
      <c r="P2869">
        <v>2868</v>
      </c>
      <c r="Q2869" s="2">
        <v>0.15</v>
      </c>
      <c r="R2869" t="s">
        <v>27</v>
      </c>
      <c r="S2869">
        <v>2024</v>
      </c>
      <c r="T2869" t="s">
        <v>28</v>
      </c>
    </row>
    <row r="2870" spans="1:20" x14ac:dyDescent="0.3">
      <c r="A2870">
        <v>4778</v>
      </c>
      <c r="B2870">
        <v>140</v>
      </c>
      <c r="C2870" t="s">
        <v>24</v>
      </c>
      <c r="D2870" t="s">
        <v>29</v>
      </c>
      <c r="E2870" t="s">
        <v>20</v>
      </c>
      <c r="F2870" s="1">
        <v>44694</v>
      </c>
      <c r="G2870" s="1">
        <v>45173</v>
      </c>
      <c r="H2870">
        <v>8557</v>
      </c>
      <c r="I2870">
        <v>6797</v>
      </c>
      <c r="J2870">
        <v>1760</v>
      </c>
      <c r="K2870" t="s">
        <v>35</v>
      </c>
      <c r="L2870">
        <v>15</v>
      </c>
      <c r="M2870" t="str">
        <f t="shared" si="44"/>
        <v>6-12 Months</v>
      </c>
      <c r="N2870" s="1">
        <v>45173</v>
      </c>
      <c r="O2870">
        <v>0</v>
      </c>
      <c r="P2870">
        <v>2869</v>
      </c>
      <c r="Q2870" s="2">
        <v>0.21</v>
      </c>
      <c r="R2870" t="s">
        <v>27</v>
      </c>
      <c r="S2870">
        <v>2023</v>
      </c>
      <c r="T2870" t="s">
        <v>30</v>
      </c>
    </row>
    <row r="2871" spans="1:20" hidden="1" x14ac:dyDescent="0.3">
      <c r="A2871">
        <v>4779</v>
      </c>
      <c r="B2871">
        <v>109</v>
      </c>
      <c r="C2871" t="s">
        <v>24</v>
      </c>
      <c r="D2871" t="s">
        <v>29</v>
      </c>
      <c r="E2871" t="s">
        <v>26</v>
      </c>
      <c r="F2871" s="1">
        <v>44793</v>
      </c>
      <c r="G2871" s="1">
        <v>45017</v>
      </c>
      <c r="H2871">
        <v>8585</v>
      </c>
      <c r="I2871">
        <v>6015</v>
      </c>
      <c r="J2871">
        <v>577.01</v>
      </c>
      <c r="K2871" t="s">
        <v>54</v>
      </c>
      <c r="L2871">
        <v>7</v>
      </c>
      <c r="M2871" t="str">
        <f t="shared" si="44"/>
        <v>6-12 Months</v>
      </c>
      <c r="N2871" s="1">
        <v>45017</v>
      </c>
      <c r="O2871">
        <v>0</v>
      </c>
      <c r="P2871">
        <v>2870</v>
      </c>
      <c r="Q2871" s="2">
        <v>7.0000000000000007E-2</v>
      </c>
      <c r="R2871" t="s">
        <v>27</v>
      </c>
      <c r="S2871">
        <v>2023</v>
      </c>
      <c r="T2871" t="s">
        <v>32</v>
      </c>
    </row>
    <row r="2872" spans="1:20" hidden="1" x14ac:dyDescent="0.3">
      <c r="A2872">
        <v>4781</v>
      </c>
      <c r="B2872">
        <v>202</v>
      </c>
      <c r="C2872" t="s">
        <v>39</v>
      </c>
      <c r="D2872" t="s">
        <v>34</v>
      </c>
      <c r="E2872" t="s">
        <v>26</v>
      </c>
      <c r="F2872" s="1">
        <v>44902</v>
      </c>
      <c r="G2872" s="1">
        <v>45007</v>
      </c>
      <c r="H2872">
        <v>8902</v>
      </c>
      <c r="I2872">
        <v>632</v>
      </c>
      <c r="J2872">
        <v>8270</v>
      </c>
      <c r="K2872" t="s">
        <v>54</v>
      </c>
      <c r="L2872">
        <v>3</v>
      </c>
      <c r="M2872" t="str">
        <f t="shared" si="44"/>
        <v>0-6 Months</v>
      </c>
      <c r="N2872" s="1">
        <v>45007</v>
      </c>
      <c r="O2872">
        <v>0</v>
      </c>
      <c r="P2872">
        <v>2871</v>
      </c>
      <c r="Q2872" s="2">
        <v>0.93</v>
      </c>
      <c r="R2872" t="s">
        <v>27</v>
      </c>
      <c r="S2872">
        <v>2023</v>
      </c>
      <c r="T2872" t="s">
        <v>38</v>
      </c>
    </row>
    <row r="2873" spans="1:20" x14ac:dyDescent="0.3">
      <c r="A2873">
        <v>4784</v>
      </c>
      <c r="B2873">
        <v>238</v>
      </c>
      <c r="C2873" t="s">
        <v>40</v>
      </c>
      <c r="D2873" t="s">
        <v>25</v>
      </c>
      <c r="E2873" t="s">
        <v>26</v>
      </c>
      <c r="F2873" s="1">
        <v>44908</v>
      </c>
      <c r="G2873" s="1">
        <v>45508</v>
      </c>
      <c r="H2873">
        <v>4481</v>
      </c>
      <c r="I2873">
        <v>3055</v>
      </c>
      <c r="J2873">
        <v>1426</v>
      </c>
      <c r="K2873" t="s">
        <v>35</v>
      </c>
      <c r="L2873">
        <v>19</v>
      </c>
      <c r="M2873" t="str">
        <f t="shared" si="44"/>
        <v>6-12 Months</v>
      </c>
      <c r="N2873" s="1">
        <v>45508</v>
      </c>
      <c r="O2873">
        <v>0</v>
      </c>
      <c r="P2873">
        <v>2872</v>
      </c>
      <c r="Q2873" s="2">
        <v>0.32</v>
      </c>
      <c r="R2873" t="s">
        <v>27</v>
      </c>
      <c r="S2873">
        <v>2024</v>
      </c>
      <c r="T2873" t="s">
        <v>36</v>
      </c>
    </row>
    <row r="2874" spans="1:20" hidden="1" x14ac:dyDescent="0.3">
      <c r="A2874">
        <v>4787</v>
      </c>
      <c r="B2874">
        <v>454</v>
      </c>
      <c r="C2874" t="s">
        <v>24</v>
      </c>
      <c r="D2874" t="s">
        <v>34</v>
      </c>
      <c r="E2874" t="s">
        <v>26</v>
      </c>
      <c r="F2874" s="1">
        <v>44576</v>
      </c>
      <c r="G2874" s="1">
        <v>45163</v>
      </c>
      <c r="H2874">
        <v>7633</v>
      </c>
      <c r="I2874">
        <v>6460</v>
      </c>
      <c r="J2874">
        <v>1173</v>
      </c>
      <c r="K2874" t="s">
        <v>54</v>
      </c>
      <c r="L2874">
        <v>19</v>
      </c>
      <c r="M2874" t="str">
        <f t="shared" si="44"/>
        <v>6-12 Months</v>
      </c>
      <c r="N2874" s="1">
        <v>45163</v>
      </c>
      <c r="O2874">
        <v>1</v>
      </c>
      <c r="P2874">
        <v>2873</v>
      </c>
      <c r="Q2874" s="2">
        <v>0.15</v>
      </c>
      <c r="R2874" t="s">
        <v>27</v>
      </c>
      <c r="S2874">
        <v>2023</v>
      </c>
      <c r="T2874" t="s">
        <v>36</v>
      </c>
    </row>
    <row r="2875" spans="1:20" hidden="1" x14ac:dyDescent="0.3">
      <c r="A2875">
        <v>4788</v>
      </c>
      <c r="B2875">
        <v>352</v>
      </c>
      <c r="C2875" t="s">
        <v>40</v>
      </c>
      <c r="D2875" t="s">
        <v>34</v>
      </c>
      <c r="E2875" t="s">
        <v>26</v>
      </c>
      <c r="F2875" s="1">
        <v>44657</v>
      </c>
      <c r="G2875" s="1">
        <v>44728</v>
      </c>
      <c r="H2875">
        <v>5074</v>
      </c>
      <c r="I2875">
        <v>5462</v>
      </c>
      <c r="J2875">
        <v>577.01</v>
      </c>
      <c r="K2875" t="s">
        <v>54</v>
      </c>
      <c r="L2875">
        <v>2</v>
      </c>
      <c r="M2875" t="str">
        <f t="shared" si="44"/>
        <v>0-6 Months</v>
      </c>
      <c r="N2875" s="1">
        <v>44728</v>
      </c>
      <c r="O2875">
        <v>0</v>
      </c>
      <c r="P2875">
        <v>2874</v>
      </c>
      <c r="Q2875" s="2">
        <v>0.11</v>
      </c>
      <c r="R2875" t="s">
        <v>27</v>
      </c>
      <c r="S2875">
        <v>2022</v>
      </c>
      <c r="T2875" t="s">
        <v>41</v>
      </c>
    </row>
    <row r="2876" spans="1:20" hidden="1" x14ac:dyDescent="0.3">
      <c r="A2876">
        <v>4789</v>
      </c>
      <c r="B2876">
        <v>394</v>
      </c>
      <c r="C2876" t="s">
        <v>40</v>
      </c>
      <c r="D2876" t="s">
        <v>25</v>
      </c>
      <c r="E2876" t="s">
        <v>26</v>
      </c>
      <c r="F2876" s="1">
        <v>44791</v>
      </c>
      <c r="G2876" s="1">
        <v>45190</v>
      </c>
      <c r="H2876">
        <v>5028</v>
      </c>
      <c r="I2876">
        <v>705</v>
      </c>
      <c r="J2876">
        <v>4323</v>
      </c>
      <c r="K2876" t="s">
        <v>54</v>
      </c>
      <c r="L2876">
        <v>13</v>
      </c>
      <c r="M2876" t="str">
        <f t="shared" si="44"/>
        <v>6-12 Months</v>
      </c>
      <c r="N2876" s="1">
        <v>45190</v>
      </c>
      <c r="O2876">
        <v>0</v>
      </c>
      <c r="P2876">
        <v>2875</v>
      </c>
      <c r="Q2876" s="2">
        <v>0.86</v>
      </c>
      <c r="R2876" t="s">
        <v>27</v>
      </c>
      <c r="S2876">
        <v>2023</v>
      </c>
      <c r="T2876" t="s">
        <v>30</v>
      </c>
    </row>
    <row r="2877" spans="1:20" hidden="1" x14ac:dyDescent="0.3">
      <c r="A2877">
        <v>4792</v>
      </c>
      <c r="B2877">
        <v>285</v>
      </c>
      <c r="C2877" t="s">
        <v>45</v>
      </c>
      <c r="D2877" t="s">
        <v>25</v>
      </c>
      <c r="E2877" t="s">
        <v>20</v>
      </c>
      <c r="F2877" s="1">
        <v>44711</v>
      </c>
      <c r="G2877" s="1">
        <v>45220</v>
      </c>
      <c r="H2877">
        <v>102</v>
      </c>
      <c r="I2877">
        <v>7293</v>
      </c>
      <c r="J2877">
        <v>-7191</v>
      </c>
      <c r="K2877" t="s">
        <v>54</v>
      </c>
      <c r="L2877">
        <v>16</v>
      </c>
      <c r="M2877" t="str">
        <f t="shared" si="44"/>
        <v>6-12 Months</v>
      </c>
      <c r="N2877" s="1">
        <v>45220</v>
      </c>
      <c r="O2877">
        <v>1</v>
      </c>
      <c r="P2877">
        <v>2876</v>
      </c>
      <c r="Q2877" s="2">
        <v>-70.5</v>
      </c>
      <c r="R2877" t="s">
        <v>22</v>
      </c>
      <c r="S2877">
        <v>2023</v>
      </c>
      <c r="T2877" t="s">
        <v>33</v>
      </c>
    </row>
    <row r="2878" spans="1:20" hidden="1" x14ac:dyDescent="0.3">
      <c r="A2878">
        <v>4793</v>
      </c>
      <c r="B2878">
        <v>475</v>
      </c>
      <c r="C2878" t="s">
        <v>53</v>
      </c>
      <c r="D2878" t="s">
        <v>34</v>
      </c>
      <c r="E2878" t="s">
        <v>26</v>
      </c>
      <c r="F2878" s="1">
        <v>44724</v>
      </c>
      <c r="G2878" s="1">
        <v>44843</v>
      </c>
      <c r="H2878">
        <v>4967.93</v>
      </c>
      <c r="I2878">
        <v>7066</v>
      </c>
      <c r="J2878">
        <v>-9054</v>
      </c>
      <c r="K2878" t="s">
        <v>21</v>
      </c>
      <c r="L2878">
        <v>3</v>
      </c>
      <c r="M2878" t="str">
        <f t="shared" si="44"/>
        <v>0-6 Months</v>
      </c>
      <c r="N2878" s="1">
        <v>44843</v>
      </c>
      <c r="O2878">
        <v>0</v>
      </c>
      <c r="P2878">
        <v>2877</v>
      </c>
      <c r="Q2878" s="2">
        <v>-1.82</v>
      </c>
      <c r="R2878" t="s">
        <v>22</v>
      </c>
      <c r="S2878">
        <v>2022</v>
      </c>
      <c r="T2878" t="s">
        <v>33</v>
      </c>
    </row>
    <row r="2879" spans="1:20" hidden="1" x14ac:dyDescent="0.3">
      <c r="A2879">
        <v>4794</v>
      </c>
      <c r="B2879">
        <v>326</v>
      </c>
      <c r="C2879" t="s">
        <v>24</v>
      </c>
      <c r="D2879" t="s">
        <v>29</v>
      </c>
      <c r="E2879" t="s">
        <v>37</v>
      </c>
      <c r="F2879" s="1">
        <v>44779</v>
      </c>
      <c r="G2879" s="1">
        <v>45115</v>
      </c>
      <c r="H2879">
        <v>928</v>
      </c>
      <c r="I2879">
        <v>3673</v>
      </c>
      <c r="J2879">
        <v>-2745</v>
      </c>
      <c r="K2879" t="s">
        <v>54</v>
      </c>
      <c r="L2879">
        <v>11</v>
      </c>
      <c r="M2879" t="str">
        <f t="shared" si="44"/>
        <v>6-12 Months</v>
      </c>
      <c r="N2879" s="1">
        <v>45115</v>
      </c>
      <c r="O2879">
        <v>1</v>
      </c>
      <c r="P2879">
        <v>2878</v>
      </c>
      <c r="Q2879" s="2">
        <v>-2.96</v>
      </c>
      <c r="R2879" t="s">
        <v>22</v>
      </c>
      <c r="S2879">
        <v>2023</v>
      </c>
      <c r="T2879" t="s">
        <v>44</v>
      </c>
    </row>
    <row r="2880" spans="1:20" hidden="1" x14ac:dyDescent="0.3">
      <c r="A2880">
        <v>4796</v>
      </c>
      <c r="B2880">
        <v>222</v>
      </c>
      <c r="C2880" t="s">
        <v>53</v>
      </c>
      <c r="D2880" t="s">
        <v>25</v>
      </c>
      <c r="E2880" t="s">
        <v>20</v>
      </c>
      <c r="F2880" s="1">
        <v>44773</v>
      </c>
      <c r="G2880" s="1">
        <v>44998</v>
      </c>
      <c r="H2880">
        <v>6131</v>
      </c>
      <c r="I2880">
        <v>7492</v>
      </c>
      <c r="J2880">
        <v>-1361</v>
      </c>
      <c r="K2880" t="s">
        <v>54</v>
      </c>
      <c r="L2880">
        <v>7</v>
      </c>
      <c r="M2880" t="str">
        <f t="shared" si="44"/>
        <v>6-12 Months</v>
      </c>
      <c r="N2880" s="1">
        <v>44998</v>
      </c>
      <c r="O2880">
        <v>0</v>
      </c>
      <c r="P2880">
        <v>2879</v>
      </c>
      <c r="Q2880" s="2">
        <v>-0.22</v>
      </c>
      <c r="R2880" t="s">
        <v>27</v>
      </c>
      <c r="S2880">
        <v>2023</v>
      </c>
      <c r="T2880" t="s">
        <v>38</v>
      </c>
    </row>
    <row r="2881" spans="1:20" hidden="1" x14ac:dyDescent="0.3">
      <c r="A2881">
        <v>4799</v>
      </c>
      <c r="B2881">
        <v>351</v>
      </c>
      <c r="C2881" t="s">
        <v>40</v>
      </c>
      <c r="D2881" t="s">
        <v>29</v>
      </c>
      <c r="E2881" t="s">
        <v>20</v>
      </c>
      <c r="F2881" s="1">
        <v>44854</v>
      </c>
      <c r="G2881" s="1">
        <v>45279</v>
      </c>
      <c r="H2881">
        <v>9718</v>
      </c>
      <c r="I2881">
        <v>715</v>
      </c>
      <c r="J2881">
        <v>9003</v>
      </c>
      <c r="K2881" t="s">
        <v>54</v>
      </c>
      <c r="L2881">
        <v>13</v>
      </c>
      <c r="M2881" t="str">
        <f t="shared" si="44"/>
        <v>6-12 Months</v>
      </c>
      <c r="N2881" s="1">
        <v>45279</v>
      </c>
      <c r="O2881">
        <v>0</v>
      </c>
      <c r="P2881">
        <v>2880</v>
      </c>
      <c r="Q2881" s="2">
        <v>0.93</v>
      </c>
      <c r="R2881" t="s">
        <v>27</v>
      </c>
      <c r="S2881">
        <v>2023</v>
      </c>
      <c r="T2881" t="s">
        <v>31</v>
      </c>
    </row>
    <row r="2882" spans="1:20" hidden="1" x14ac:dyDescent="0.3">
      <c r="A2882">
        <v>4801</v>
      </c>
      <c r="B2882">
        <v>268</v>
      </c>
      <c r="C2882" t="s">
        <v>40</v>
      </c>
      <c r="D2882" t="s">
        <v>34</v>
      </c>
      <c r="E2882" t="s">
        <v>20</v>
      </c>
      <c r="F2882" s="1">
        <v>44641</v>
      </c>
      <c r="G2882" s="1">
        <v>45060</v>
      </c>
      <c r="H2882">
        <v>3778</v>
      </c>
      <c r="I2882">
        <v>4012.75</v>
      </c>
      <c r="J2882">
        <v>4623</v>
      </c>
      <c r="K2882" t="s">
        <v>54</v>
      </c>
      <c r="L2882">
        <v>13</v>
      </c>
      <c r="M2882" t="str">
        <f t="shared" ref="M2882:M2945" si="45">IF(L2882&lt;6,"0-6 Months",IF(L2882&gt;6,"6-12 Months","12+ Months"))</f>
        <v>6-12 Months</v>
      </c>
      <c r="N2882" s="1">
        <v>45060</v>
      </c>
      <c r="O2882">
        <v>1</v>
      </c>
      <c r="P2882">
        <v>2881</v>
      </c>
      <c r="Q2882" s="2">
        <v>1.22</v>
      </c>
      <c r="R2882" t="s">
        <v>22</v>
      </c>
      <c r="S2882">
        <v>2023</v>
      </c>
      <c r="T2882" t="s">
        <v>28</v>
      </c>
    </row>
    <row r="2883" spans="1:20" x14ac:dyDescent="0.3">
      <c r="A2883">
        <v>4803</v>
      </c>
      <c r="B2883">
        <v>342</v>
      </c>
      <c r="C2883" t="s">
        <v>39</v>
      </c>
      <c r="D2883" t="s">
        <v>29</v>
      </c>
      <c r="E2883" t="s">
        <v>20</v>
      </c>
      <c r="F2883" s="1">
        <v>44737</v>
      </c>
      <c r="G2883" s="1">
        <v>45205</v>
      </c>
      <c r="H2883">
        <v>4967.93</v>
      </c>
      <c r="I2883">
        <v>633</v>
      </c>
      <c r="J2883">
        <v>577.01</v>
      </c>
      <c r="K2883" t="s">
        <v>35</v>
      </c>
      <c r="L2883">
        <v>15</v>
      </c>
      <c r="M2883" t="str">
        <f t="shared" si="45"/>
        <v>6-12 Months</v>
      </c>
      <c r="N2883" s="1">
        <v>45205</v>
      </c>
      <c r="O2883">
        <v>0</v>
      </c>
      <c r="P2883">
        <v>2882</v>
      </c>
      <c r="Q2883" s="2">
        <v>0.12</v>
      </c>
      <c r="R2883" t="s">
        <v>27</v>
      </c>
      <c r="S2883">
        <v>2023</v>
      </c>
      <c r="T2883" t="s">
        <v>33</v>
      </c>
    </row>
    <row r="2884" spans="1:20" hidden="1" x14ac:dyDescent="0.3">
      <c r="A2884">
        <v>4806</v>
      </c>
      <c r="B2884">
        <v>467</v>
      </c>
      <c r="C2884" t="s">
        <v>53</v>
      </c>
      <c r="D2884" t="s">
        <v>29</v>
      </c>
      <c r="E2884" t="s">
        <v>26</v>
      </c>
      <c r="F2884" s="1">
        <v>44671</v>
      </c>
      <c r="G2884" s="1">
        <v>44991</v>
      </c>
      <c r="H2884">
        <v>9793</v>
      </c>
      <c r="I2884">
        <v>5829</v>
      </c>
      <c r="J2884">
        <v>3964</v>
      </c>
      <c r="K2884" t="s">
        <v>54</v>
      </c>
      <c r="L2884">
        <v>10</v>
      </c>
      <c r="M2884" t="str">
        <f t="shared" si="45"/>
        <v>6-12 Months</v>
      </c>
      <c r="N2884" s="1">
        <v>44991</v>
      </c>
      <c r="O2884">
        <v>0</v>
      </c>
      <c r="P2884">
        <v>2883</v>
      </c>
      <c r="Q2884" s="2">
        <v>0.4</v>
      </c>
      <c r="R2884" t="s">
        <v>27</v>
      </c>
      <c r="S2884">
        <v>2023</v>
      </c>
      <c r="T2884" t="s">
        <v>38</v>
      </c>
    </row>
    <row r="2885" spans="1:20" hidden="1" x14ac:dyDescent="0.3">
      <c r="A2885">
        <v>4808</v>
      </c>
      <c r="B2885">
        <v>335</v>
      </c>
      <c r="C2885" t="s">
        <v>24</v>
      </c>
      <c r="D2885" t="s">
        <v>34</v>
      </c>
      <c r="E2885" t="s">
        <v>37</v>
      </c>
      <c r="F2885" s="1">
        <v>44600</v>
      </c>
      <c r="G2885" s="1">
        <v>44916</v>
      </c>
      <c r="H2885">
        <v>5762</v>
      </c>
      <c r="I2885">
        <v>4967</v>
      </c>
      <c r="J2885">
        <v>577.01</v>
      </c>
      <c r="K2885" t="s">
        <v>21</v>
      </c>
      <c r="L2885">
        <v>10</v>
      </c>
      <c r="M2885" t="str">
        <f t="shared" si="45"/>
        <v>6-12 Months</v>
      </c>
      <c r="N2885" s="1">
        <v>44916</v>
      </c>
      <c r="O2885">
        <v>0</v>
      </c>
      <c r="P2885">
        <v>2884</v>
      </c>
      <c r="Q2885" s="2">
        <v>0.1</v>
      </c>
      <c r="R2885" t="s">
        <v>27</v>
      </c>
      <c r="S2885">
        <v>2022</v>
      </c>
      <c r="T2885" t="s">
        <v>31</v>
      </c>
    </row>
    <row r="2886" spans="1:20" hidden="1" x14ac:dyDescent="0.3">
      <c r="A2886">
        <v>4809</v>
      </c>
      <c r="B2886">
        <v>128</v>
      </c>
      <c r="C2886" t="s">
        <v>24</v>
      </c>
      <c r="D2886" t="s">
        <v>29</v>
      </c>
      <c r="E2886" t="s">
        <v>20</v>
      </c>
      <c r="F2886" s="1">
        <v>44623</v>
      </c>
      <c r="G2886" s="1">
        <v>44683</v>
      </c>
      <c r="H2886">
        <v>4967.93</v>
      </c>
      <c r="I2886">
        <v>7985</v>
      </c>
      <c r="J2886">
        <v>-9154</v>
      </c>
      <c r="K2886" t="s">
        <v>54</v>
      </c>
      <c r="L2886">
        <v>1</v>
      </c>
      <c r="M2886" t="str">
        <f t="shared" si="45"/>
        <v>0-6 Months</v>
      </c>
      <c r="N2886" s="1">
        <v>44683</v>
      </c>
      <c r="O2886">
        <v>0</v>
      </c>
      <c r="P2886">
        <v>2885</v>
      </c>
      <c r="Q2886" s="2">
        <v>-1.84</v>
      </c>
      <c r="R2886" t="s">
        <v>22</v>
      </c>
      <c r="S2886">
        <v>2022</v>
      </c>
      <c r="T2886" t="s">
        <v>28</v>
      </c>
    </row>
    <row r="2887" spans="1:20" hidden="1" x14ac:dyDescent="0.3">
      <c r="A2887">
        <v>4810</v>
      </c>
      <c r="B2887">
        <v>294</v>
      </c>
      <c r="C2887" t="s">
        <v>40</v>
      </c>
      <c r="D2887" t="s">
        <v>19</v>
      </c>
      <c r="E2887" t="s">
        <v>37</v>
      </c>
      <c r="F2887" s="1">
        <v>44913</v>
      </c>
      <c r="G2887" s="1">
        <v>45034</v>
      </c>
      <c r="H2887">
        <v>7954</v>
      </c>
      <c r="I2887">
        <v>7973</v>
      </c>
      <c r="J2887">
        <v>-19</v>
      </c>
      <c r="K2887" t="s">
        <v>54</v>
      </c>
      <c r="L2887">
        <v>4</v>
      </c>
      <c r="M2887" t="str">
        <f t="shared" si="45"/>
        <v>0-6 Months</v>
      </c>
      <c r="N2887" s="1">
        <v>45034</v>
      </c>
      <c r="O2887">
        <v>1</v>
      </c>
      <c r="P2887">
        <v>2886</v>
      </c>
      <c r="Q2887" s="2">
        <v>0</v>
      </c>
      <c r="R2887" t="s">
        <v>27</v>
      </c>
      <c r="S2887">
        <v>2023</v>
      </c>
      <c r="T2887" t="s">
        <v>32</v>
      </c>
    </row>
    <row r="2888" spans="1:20" hidden="1" x14ac:dyDescent="0.3">
      <c r="A2888">
        <v>4813</v>
      </c>
      <c r="B2888">
        <v>309</v>
      </c>
      <c r="C2888" t="s">
        <v>24</v>
      </c>
      <c r="D2888" t="s">
        <v>34</v>
      </c>
      <c r="E2888" t="s">
        <v>37</v>
      </c>
      <c r="F2888" s="1">
        <v>44901</v>
      </c>
      <c r="G2888" s="1">
        <v>45372</v>
      </c>
      <c r="H2888">
        <v>5406</v>
      </c>
      <c r="I2888">
        <v>4012.75</v>
      </c>
      <c r="J2888">
        <v>6138</v>
      </c>
      <c r="K2888" t="s">
        <v>54</v>
      </c>
      <c r="L2888">
        <v>15</v>
      </c>
      <c r="M2888" t="str">
        <f t="shared" si="45"/>
        <v>6-12 Months</v>
      </c>
      <c r="N2888" s="1">
        <v>45372</v>
      </c>
      <c r="O2888">
        <v>1</v>
      </c>
      <c r="P2888">
        <v>2887</v>
      </c>
      <c r="Q2888" s="2">
        <v>1.1399999999999999</v>
      </c>
      <c r="R2888" t="s">
        <v>22</v>
      </c>
      <c r="S2888">
        <v>2024</v>
      </c>
      <c r="T2888" t="s">
        <v>38</v>
      </c>
    </row>
    <row r="2889" spans="1:20" hidden="1" x14ac:dyDescent="0.3">
      <c r="A2889">
        <v>4814</v>
      </c>
      <c r="B2889">
        <v>438</v>
      </c>
      <c r="C2889" t="s">
        <v>40</v>
      </c>
      <c r="D2889" t="s">
        <v>34</v>
      </c>
      <c r="E2889" t="s">
        <v>20</v>
      </c>
      <c r="F2889" s="1">
        <v>44723</v>
      </c>
      <c r="G2889" s="1">
        <v>45096</v>
      </c>
      <c r="H2889">
        <v>4967.93</v>
      </c>
      <c r="I2889">
        <v>3639</v>
      </c>
      <c r="J2889">
        <v>-5621</v>
      </c>
      <c r="K2889" t="s">
        <v>54</v>
      </c>
      <c r="L2889">
        <v>12</v>
      </c>
      <c r="M2889" t="str">
        <f t="shared" si="45"/>
        <v>6-12 Months</v>
      </c>
      <c r="N2889" s="1">
        <v>45096</v>
      </c>
      <c r="O2889">
        <v>0</v>
      </c>
      <c r="P2889">
        <v>2888</v>
      </c>
      <c r="Q2889" s="2">
        <v>-1.1299999999999999</v>
      </c>
      <c r="R2889" t="s">
        <v>22</v>
      </c>
      <c r="S2889">
        <v>2023</v>
      </c>
      <c r="T2889" t="s">
        <v>41</v>
      </c>
    </row>
    <row r="2890" spans="1:20" hidden="1" x14ac:dyDescent="0.3">
      <c r="A2890">
        <v>4817</v>
      </c>
      <c r="B2890">
        <v>312</v>
      </c>
      <c r="C2890" t="s">
        <v>40</v>
      </c>
      <c r="D2890" t="s">
        <v>25</v>
      </c>
      <c r="E2890" t="s">
        <v>26</v>
      </c>
      <c r="F2890" s="1">
        <v>44612</v>
      </c>
      <c r="G2890" s="1">
        <v>45061</v>
      </c>
      <c r="H2890">
        <v>927</v>
      </c>
      <c r="I2890">
        <v>601</v>
      </c>
      <c r="J2890">
        <v>326</v>
      </c>
      <c r="K2890" t="s">
        <v>21</v>
      </c>
      <c r="L2890">
        <v>14</v>
      </c>
      <c r="M2890" t="str">
        <f t="shared" si="45"/>
        <v>6-12 Months</v>
      </c>
      <c r="N2890" s="1">
        <v>45061</v>
      </c>
      <c r="O2890">
        <v>0</v>
      </c>
      <c r="P2890">
        <v>2889</v>
      </c>
      <c r="Q2890" s="2">
        <v>0.35</v>
      </c>
      <c r="R2890" t="s">
        <v>27</v>
      </c>
      <c r="S2890">
        <v>2023</v>
      </c>
      <c r="T2890" t="s">
        <v>28</v>
      </c>
    </row>
    <row r="2891" spans="1:20" hidden="1" x14ac:dyDescent="0.3">
      <c r="A2891">
        <v>4818</v>
      </c>
      <c r="B2891">
        <v>189</v>
      </c>
      <c r="C2891" t="s">
        <v>39</v>
      </c>
      <c r="D2891" t="s">
        <v>34</v>
      </c>
      <c r="E2891" t="s">
        <v>20</v>
      </c>
      <c r="F2891" s="1">
        <v>44574</v>
      </c>
      <c r="G2891" s="1">
        <v>44607</v>
      </c>
      <c r="H2891">
        <v>3492</v>
      </c>
      <c r="I2891">
        <v>4849</v>
      </c>
      <c r="J2891">
        <v>-1357</v>
      </c>
      <c r="K2891" t="s">
        <v>21</v>
      </c>
      <c r="L2891">
        <v>1</v>
      </c>
      <c r="M2891" t="str">
        <f t="shared" si="45"/>
        <v>0-6 Months</v>
      </c>
      <c r="N2891" s="1">
        <v>44607</v>
      </c>
      <c r="O2891">
        <v>0</v>
      </c>
      <c r="P2891">
        <v>2890</v>
      </c>
      <c r="Q2891" s="2">
        <v>-0.39</v>
      </c>
      <c r="R2891" t="s">
        <v>27</v>
      </c>
      <c r="S2891">
        <v>2022</v>
      </c>
      <c r="T2891" t="s">
        <v>43</v>
      </c>
    </row>
    <row r="2892" spans="1:20" hidden="1" x14ac:dyDescent="0.3">
      <c r="A2892">
        <v>4819</v>
      </c>
      <c r="B2892">
        <v>293</v>
      </c>
      <c r="C2892" t="s">
        <v>39</v>
      </c>
      <c r="D2892" t="s">
        <v>19</v>
      </c>
      <c r="E2892" t="s">
        <v>26</v>
      </c>
      <c r="F2892" s="1">
        <v>44595</v>
      </c>
      <c r="G2892" s="1">
        <v>44875</v>
      </c>
      <c r="H2892">
        <v>5082</v>
      </c>
      <c r="I2892">
        <v>5630</v>
      </c>
      <c r="J2892">
        <v>-548</v>
      </c>
      <c r="K2892" t="s">
        <v>21</v>
      </c>
      <c r="L2892">
        <v>9</v>
      </c>
      <c r="M2892" t="str">
        <f t="shared" si="45"/>
        <v>6-12 Months</v>
      </c>
      <c r="N2892" s="1">
        <v>44875</v>
      </c>
      <c r="O2892">
        <v>0</v>
      </c>
      <c r="P2892">
        <v>2891</v>
      </c>
      <c r="Q2892" s="2">
        <v>-0.11</v>
      </c>
      <c r="R2892" t="s">
        <v>27</v>
      </c>
      <c r="S2892">
        <v>2022</v>
      </c>
      <c r="T2892" t="s">
        <v>42</v>
      </c>
    </row>
    <row r="2893" spans="1:20" hidden="1" x14ac:dyDescent="0.3">
      <c r="A2893">
        <v>4820</v>
      </c>
      <c r="B2893">
        <v>332</v>
      </c>
      <c r="C2893" t="s">
        <v>53</v>
      </c>
      <c r="D2893" t="s">
        <v>29</v>
      </c>
      <c r="E2893" t="s">
        <v>37</v>
      </c>
      <c r="F2893" s="1">
        <v>44797</v>
      </c>
      <c r="G2893" s="1">
        <v>45073</v>
      </c>
      <c r="H2893">
        <v>9934</v>
      </c>
      <c r="I2893">
        <v>7777</v>
      </c>
      <c r="J2893">
        <v>577.01</v>
      </c>
      <c r="K2893" t="s">
        <v>54</v>
      </c>
      <c r="L2893">
        <v>9</v>
      </c>
      <c r="M2893" t="str">
        <f t="shared" si="45"/>
        <v>6-12 Months</v>
      </c>
      <c r="N2893" s="1">
        <v>45073</v>
      </c>
      <c r="O2893">
        <v>0</v>
      </c>
      <c r="P2893">
        <v>2892</v>
      </c>
      <c r="Q2893" s="2">
        <v>0.06</v>
      </c>
      <c r="R2893" t="s">
        <v>27</v>
      </c>
      <c r="S2893">
        <v>2023</v>
      </c>
      <c r="T2893" t="s">
        <v>28</v>
      </c>
    </row>
    <row r="2894" spans="1:20" hidden="1" x14ac:dyDescent="0.3">
      <c r="A2894">
        <v>4824</v>
      </c>
      <c r="B2894">
        <v>365</v>
      </c>
      <c r="C2894" t="s">
        <v>39</v>
      </c>
      <c r="D2894" t="s">
        <v>29</v>
      </c>
      <c r="E2894" t="s">
        <v>26</v>
      </c>
      <c r="F2894" s="1">
        <v>44776</v>
      </c>
      <c r="G2894" s="1">
        <v>45208</v>
      </c>
      <c r="H2894">
        <v>6608</v>
      </c>
      <c r="I2894">
        <v>1031</v>
      </c>
      <c r="J2894">
        <v>5577</v>
      </c>
      <c r="K2894" t="s">
        <v>54</v>
      </c>
      <c r="L2894">
        <v>14</v>
      </c>
      <c r="M2894" t="str">
        <f t="shared" si="45"/>
        <v>6-12 Months</v>
      </c>
      <c r="N2894" s="1">
        <v>45208</v>
      </c>
      <c r="O2894">
        <v>1</v>
      </c>
      <c r="P2894">
        <v>2893</v>
      </c>
      <c r="Q2894" s="2">
        <v>0.84</v>
      </c>
      <c r="R2894" t="s">
        <v>27</v>
      </c>
      <c r="S2894">
        <v>2023</v>
      </c>
      <c r="T2894" t="s">
        <v>33</v>
      </c>
    </row>
    <row r="2895" spans="1:20" hidden="1" x14ac:dyDescent="0.3">
      <c r="A2895">
        <v>4825</v>
      </c>
      <c r="B2895">
        <v>345</v>
      </c>
      <c r="C2895" t="s">
        <v>40</v>
      </c>
      <c r="D2895" t="s">
        <v>25</v>
      </c>
      <c r="E2895" t="s">
        <v>20</v>
      </c>
      <c r="F2895" s="1">
        <v>44719</v>
      </c>
      <c r="G2895" s="1">
        <v>44925</v>
      </c>
      <c r="H2895">
        <v>8757</v>
      </c>
      <c r="I2895">
        <v>2183</v>
      </c>
      <c r="J2895">
        <v>6574</v>
      </c>
      <c r="K2895" t="s">
        <v>21</v>
      </c>
      <c r="L2895">
        <v>6</v>
      </c>
      <c r="M2895" t="str">
        <f t="shared" si="45"/>
        <v>12+ Months</v>
      </c>
      <c r="N2895" s="1">
        <v>44925</v>
      </c>
      <c r="O2895">
        <v>0</v>
      </c>
      <c r="P2895">
        <v>2894</v>
      </c>
      <c r="Q2895" s="2">
        <v>0.75</v>
      </c>
      <c r="R2895" t="s">
        <v>27</v>
      </c>
      <c r="S2895">
        <v>2022</v>
      </c>
      <c r="T2895" t="s">
        <v>31</v>
      </c>
    </row>
    <row r="2896" spans="1:20" hidden="1" x14ac:dyDescent="0.3">
      <c r="A2896">
        <v>4827</v>
      </c>
      <c r="B2896">
        <v>384</v>
      </c>
      <c r="C2896" t="s">
        <v>40</v>
      </c>
      <c r="D2896" t="s">
        <v>25</v>
      </c>
      <c r="E2896" t="s">
        <v>37</v>
      </c>
      <c r="F2896" s="1">
        <v>44804</v>
      </c>
      <c r="G2896" s="1">
        <v>44864</v>
      </c>
      <c r="H2896">
        <v>3799</v>
      </c>
      <c r="I2896">
        <v>7056</v>
      </c>
      <c r="J2896">
        <v>-3257</v>
      </c>
      <c r="K2896" t="s">
        <v>54</v>
      </c>
      <c r="L2896">
        <v>1</v>
      </c>
      <c r="M2896" t="str">
        <f t="shared" si="45"/>
        <v>0-6 Months</v>
      </c>
      <c r="N2896" s="1">
        <v>44864</v>
      </c>
      <c r="O2896">
        <v>1</v>
      </c>
      <c r="P2896">
        <v>2895</v>
      </c>
      <c r="Q2896" s="2">
        <v>-0.86</v>
      </c>
      <c r="R2896" t="s">
        <v>27</v>
      </c>
      <c r="S2896">
        <v>2022</v>
      </c>
      <c r="T2896" t="s">
        <v>33</v>
      </c>
    </row>
    <row r="2897" spans="1:20" hidden="1" x14ac:dyDescent="0.3">
      <c r="A2897">
        <v>4828</v>
      </c>
      <c r="B2897">
        <v>282</v>
      </c>
      <c r="C2897" t="s">
        <v>40</v>
      </c>
      <c r="D2897" t="s">
        <v>19</v>
      </c>
      <c r="E2897" t="s">
        <v>37</v>
      </c>
      <c r="F2897" s="1">
        <v>44718</v>
      </c>
      <c r="G2897" s="1">
        <v>44968</v>
      </c>
      <c r="H2897">
        <v>6576</v>
      </c>
      <c r="I2897">
        <v>2635</v>
      </c>
      <c r="J2897">
        <v>3941</v>
      </c>
      <c r="K2897" t="s">
        <v>21</v>
      </c>
      <c r="L2897">
        <v>8</v>
      </c>
      <c r="M2897" t="str">
        <f t="shared" si="45"/>
        <v>6-12 Months</v>
      </c>
      <c r="N2897" s="1">
        <v>44968</v>
      </c>
      <c r="O2897">
        <v>1</v>
      </c>
      <c r="P2897">
        <v>2896</v>
      </c>
      <c r="Q2897" s="2">
        <v>0.6</v>
      </c>
      <c r="R2897" t="s">
        <v>27</v>
      </c>
      <c r="S2897">
        <v>2023</v>
      </c>
      <c r="T2897" t="s">
        <v>43</v>
      </c>
    </row>
    <row r="2898" spans="1:20" x14ac:dyDescent="0.3">
      <c r="A2898">
        <v>4829</v>
      </c>
      <c r="B2898">
        <v>203</v>
      </c>
      <c r="C2898" t="s">
        <v>39</v>
      </c>
      <c r="D2898" t="s">
        <v>29</v>
      </c>
      <c r="E2898" t="s">
        <v>20</v>
      </c>
      <c r="F2898" s="1">
        <v>44631</v>
      </c>
      <c r="G2898" s="1">
        <v>44961</v>
      </c>
      <c r="H2898">
        <v>7964</v>
      </c>
      <c r="I2898">
        <v>5776</v>
      </c>
      <c r="J2898">
        <v>2188</v>
      </c>
      <c r="K2898" t="s">
        <v>35</v>
      </c>
      <c r="L2898">
        <v>10</v>
      </c>
      <c r="M2898" t="str">
        <f t="shared" si="45"/>
        <v>6-12 Months</v>
      </c>
      <c r="N2898" s="1">
        <v>44961</v>
      </c>
      <c r="O2898">
        <v>1</v>
      </c>
      <c r="P2898">
        <v>2897</v>
      </c>
      <c r="Q2898" s="2">
        <v>0.27</v>
      </c>
      <c r="R2898" t="s">
        <v>27</v>
      </c>
      <c r="S2898">
        <v>2023</v>
      </c>
      <c r="T2898" t="s">
        <v>43</v>
      </c>
    </row>
    <row r="2899" spans="1:20" hidden="1" x14ac:dyDescent="0.3">
      <c r="A2899">
        <v>4831</v>
      </c>
      <c r="B2899">
        <v>106</v>
      </c>
      <c r="C2899" t="s">
        <v>24</v>
      </c>
      <c r="D2899" t="s">
        <v>29</v>
      </c>
      <c r="E2899" t="s">
        <v>37</v>
      </c>
      <c r="F2899" s="1">
        <v>44837</v>
      </c>
      <c r="G2899" s="1">
        <v>45424</v>
      </c>
      <c r="H2899">
        <v>5809</v>
      </c>
      <c r="I2899">
        <v>1689</v>
      </c>
      <c r="J2899">
        <v>4120</v>
      </c>
      <c r="K2899" t="s">
        <v>54</v>
      </c>
      <c r="L2899">
        <v>19</v>
      </c>
      <c r="M2899" t="str">
        <f t="shared" si="45"/>
        <v>6-12 Months</v>
      </c>
      <c r="N2899" s="1">
        <v>45424</v>
      </c>
      <c r="O2899">
        <v>1</v>
      </c>
      <c r="P2899">
        <v>2898</v>
      </c>
      <c r="Q2899" s="2">
        <v>0.71</v>
      </c>
      <c r="R2899" t="s">
        <v>27</v>
      </c>
      <c r="S2899">
        <v>2024</v>
      </c>
      <c r="T2899" t="s">
        <v>28</v>
      </c>
    </row>
    <row r="2900" spans="1:20" hidden="1" x14ac:dyDescent="0.3">
      <c r="A2900">
        <v>4832</v>
      </c>
      <c r="B2900">
        <v>162</v>
      </c>
      <c r="C2900" t="s">
        <v>53</v>
      </c>
      <c r="D2900" t="s">
        <v>25</v>
      </c>
      <c r="E2900" t="s">
        <v>20</v>
      </c>
      <c r="F2900" s="1">
        <v>44710</v>
      </c>
      <c r="G2900" s="1">
        <v>45008</v>
      </c>
      <c r="H2900">
        <v>2161</v>
      </c>
      <c r="I2900">
        <v>2807</v>
      </c>
      <c r="J2900">
        <v>-646</v>
      </c>
      <c r="K2900" t="s">
        <v>21</v>
      </c>
      <c r="L2900">
        <v>9</v>
      </c>
      <c r="M2900" t="str">
        <f t="shared" si="45"/>
        <v>6-12 Months</v>
      </c>
      <c r="N2900" s="1">
        <v>45008</v>
      </c>
      <c r="O2900">
        <v>0</v>
      </c>
      <c r="P2900">
        <v>2899</v>
      </c>
      <c r="Q2900" s="2">
        <v>-0.3</v>
      </c>
      <c r="R2900" t="s">
        <v>27</v>
      </c>
      <c r="S2900">
        <v>2023</v>
      </c>
      <c r="T2900" t="s">
        <v>38</v>
      </c>
    </row>
    <row r="2901" spans="1:20" hidden="1" x14ac:dyDescent="0.3">
      <c r="A2901">
        <v>4833</v>
      </c>
      <c r="B2901">
        <v>161</v>
      </c>
      <c r="C2901" t="s">
        <v>24</v>
      </c>
      <c r="D2901" t="s">
        <v>29</v>
      </c>
      <c r="E2901" t="s">
        <v>26</v>
      </c>
      <c r="F2901" s="1">
        <v>44891</v>
      </c>
      <c r="G2901" s="1">
        <v>44999</v>
      </c>
      <c r="H2901">
        <v>9235</v>
      </c>
      <c r="I2901">
        <v>7455</v>
      </c>
      <c r="J2901">
        <v>1780</v>
      </c>
      <c r="K2901" t="s">
        <v>54</v>
      </c>
      <c r="L2901">
        <v>3</v>
      </c>
      <c r="M2901" t="str">
        <f t="shared" si="45"/>
        <v>0-6 Months</v>
      </c>
      <c r="N2901" s="1">
        <v>44999</v>
      </c>
      <c r="O2901">
        <v>1</v>
      </c>
      <c r="P2901">
        <v>2900</v>
      </c>
      <c r="Q2901" s="2">
        <v>0.19</v>
      </c>
      <c r="R2901" t="s">
        <v>27</v>
      </c>
      <c r="S2901">
        <v>2023</v>
      </c>
      <c r="T2901" t="s">
        <v>38</v>
      </c>
    </row>
    <row r="2902" spans="1:20" hidden="1" x14ac:dyDescent="0.3">
      <c r="A2902">
        <v>4834</v>
      </c>
      <c r="B2902">
        <v>453</v>
      </c>
      <c r="C2902" t="s">
        <v>39</v>
      </c>
      <c r="D2902" t="s">
        <v>34</v>
      </c>
      <c r="E2902" t="s">
        <v>20</v>
      </c>
      <c r="F2902" s="1">
        <v>44818</v>
      </c>
      <c r="G2902" s="1">
        <v>45161</v>
      </c>
      <c r="H2902">
        <v>6184</v>
      </c>
      <c r="I2902">
        <v>6958</v>
      </c>
      <c r="J2902">
        <v>-774</v>
      </c>
      <c r="K2902" t="s">
        <v>54</v>
      </c>
      <c r="L2902">
        <v>11</v>
      </c>
      <c r="M2902" t="str">
        <f t="shared" si="45"/>
        <v>6-12 Months</v>
      </c>
      <c r="N2902" s="1">
        <v>45161</v>
      </c>
      <c r="O2902">
        <v>0</v>
      </c>
      <c r="P2902">
        <v>2901</v>
      </c>
      <c r="Q2902" s="2">
        <v>-0.13</v>
      </c>
      <c r="R2902" t="s">
        <v>27</v>
      </c>
      <c r="S2902">
        <v>2023</v>
      </c>
      <c r="T2902" t="s">
        <v>36</v>
      </c>
    </row>
    <row r="2903" spans="1:20" hidden="1" x14ac:dyDescent="0.3">
      <c r="A2903">
        <v>4835</v>
      </c>
      <c r="B2903">
        <v>272</v>
      </c>
      <c r="C2903" t="s">
        <v>39</v>
      </c>
      <c r="D2903" t="s">
        <v>29</v>
      </c>
      <c r="E2903" t="s">
        <v>26</v>
      </c>
      <c r="F2903" s="1">
        <v>44821</v>
      </c>
      <c r="G2903" s="1">
        <v>44911</v>
      </c>
      <c r="H2903">
        <v>4140</v>
      </c>
      <c r="I2903">
        <v>732</v>
      </c>
      <c r="J2903">
        <v>3408</v>
      </c>
      <c r="K2903" t="s">
        <v>54</v>
      </c>
      <c r="L2903">
        <v>2</v>
      </c>
      <c r="M2903" t="str">
        <f t="shared" si="45"/>
        <v>0-6 Months</v>
      </c>
      <c r="N2903" s="1">
        <v>44911</v>
      </c>
      <c r="O2903">
        <v>1</v>
      </c>
      <c r="P2903">
        <v>2902</v>
      </c>
      <c r="Q2903" s="2">
        <v>0.82</v>
      </c>
      <c r="R2903" t="s">
        <v>27</v>
      </c>
      <c r="S2903">
        <v>2022</v>
      </c>
      <c r="T2903" t="s">
        <v>31</v>
      </c>
    </row>
    <row r="2904" spans="1:20" hidden="1" x14ac:dyDescent="0.3">
      <c r="A2904">
        <v>4836</v>
      </c>
      <c r="B2904">
        <v>229</v>
      </c>
      <c r="C2904" t="s">
        <v>40</v>
      </c>
      <c r="D2904" t="s">
        <v>29</v>
      </c>
      <c r="E2904" t="s">
        <v>37</v>
      </c>
      <c r="F2904" s="1">
        <v>44767</v>
      </c>
      <c r="G2904" s="1">
        <v>45196</v>
      </c>
      <c r="H2904">
        <v>7709</v>
      </c>
      <c r="I2904">
        <v>1829</v>
      </c>
      <c r="J2904">
        <v>5880</v>
      </c>
      <c r="K2904" t="s">
        <v>21</v>
      </c>
      <c r="L2904">
        <v>14</v>
      </c>
      <c r="M2904" t="str">
        <f t="shared" si="45"/>
        <v>6-12 Months</v>
      </c>
      <c r="N2904" s="1">
        <v>45196</v>
      </c>
      <c r="O2904">
        <v>0</v>
      </c>
      <c r="P2904">
        <v>2903</v>
      </c>
      <c r="Q2904" s="2">
        <v>0.76</v>
      </c>
      <c r="R2904" t="s">
        <v>27</v>
      </c>
      <c r="S2904">
        <v>2023</v>
      </c>
      <c r="T2904" t="s">
        <v>30</v>
      </c>
    </row>
    <row r="2905" spans="1:20" hidden="1" x14ac:dyDescent="0.3">
      <c r="A2905">
        <v>4838</v>
      </c>
      <c r="B2905">
        <v>263</v>
      </c>
      <c r="C2905" t="s">
        <v>45</v>
      </c>
      <c r="D2905" t="s">
        <v>19</v>
      </c>
      <c r="E2905" t="s">
        <v>26</v>
      </c>
      <c r="F2905" s="1">
        <v>44707</v>
      </c>
      <c r="G2905" s="1">
        <v>45185</v>
      </c>
      <c r="H2905">
        <v>4967.93</v>
      </c>
      <c r="I2905">
        <v>6994</v>
      </c>
      <c r="J2905">
        <v>-8347</v>
      </c>
      <c r="K2905" t="s">
        <v>54</v>
      </c>
      <c r="L2905">
        <v>15</v>
      </c>
      <c r="M2905" t="str">
        <f t="shared" si="45"/>
        <v>6-12 Months</v>
      </c>
      <c r="N2905" s="1">
        <v>45185</v>
      </c>
      <c r="O2905">
        <v>0</v>
      </c>
      <c r="P2905">
        <v>2904</v>
      </c>
      <c r="Q2905" s="2">
        <v>-1.68</v>
      </c>
      <c r="R2905" t="s">
        <v>22</v>
      </c>
      <c r="S2905">
        <v>2023</v>
      </c>
      <c r="T2905" t="s">
        <v>30</v>
      </c>
    </row>
    <row r="2906" spans="1:20" hidden="1" x14ac:dyDescent="0.3">
      <c r="A2906">
        <v>4839</v>
      </c>
      <c r="B2906">
        <v>336</v>
      </c>
      <c r="C2906" t="s">
        <v>24</v>
      </c>
      <c r="D2906" t="s">
        <v>19</v>
      </c>
      <c r="E2906" t="s">
        <v>20</v>
      </c>
      <c r="F2906" s="1">
        <v>44784</v>
      </c>
      <c r="G2906" s="1">
        <v>45096</v>
      </c>
      <c r="H2906">
        <v>266</v>
      </c>
      <c r="I2906">
        <v>4397</v>
      </c>
      <c r="J2906">
        <v>-4131</v>
      </c>
      <c r="K2906" t="s">
        <v>21</v>
      </c>
      <c r="L2906">
        <v>10</v>
      </c>
      <c r="M2906" t="str">
        <f t="shared" si="45"/>
        <v>6-12 Months</v>
      </c>
      <c r="N2906" s="1">
        <v>45096</v>
      </c>
      <c r="O2906">
        <v>0</v>
      </c>
      <c r="P2906">
        <v>2905</v>
      </c>
      <c r="Q2906" s="2">
        <v>-15.53</v>
      </c>
      <c r="R2906" t="s">
        <v>22</v>
      </c>
      <c r="S2906">
        <v>2023</v>
      </c>
      <c r="T2906" t="s">
        <v>41</v>
      </c>
    </row>
    <row r="2907" spans="1:20" hidden="1" x14ac:dyDescent="0.3">
      <c r="A2907">
        <v>4840</v>
      </c>
      <c r="B2907">
        <v>272</v>
      </c>
      <c r="C2907" t="s">
        <v>53</v>
      </c>
      <c r="D2907" t="s">
        <v>29</v>
      </c>
      <c r="E2907" t="s">
        <v>20</v>
      </c>
      <c r="F2907" s="1">
        <v>44687</v>
      </c>
      <c r="G2907" s="1">
        <v>45146</v>
      </c>
      <c r="H2907">
        <v>4967.93</v>
      </c>
      <c r="I2907">
        <v>7946</v>
      </c>
      <c r="J2907">
        <v>-7969</v>
      </c>
      <c r="K2907" t="s">
        <v>21</v>
      </c>
      <c r="L2907">
        <v>15</v>
      </c>
      <c r="M2907" t="str">
        <f t="shared" si="45"/>
        <v>6-12 Months</v>
      </c>
      <c r="N2907" s="1">
        <v>45146</v>
      </c>
      <c r="O2907">
        <v>1</v>
      </c>
      <c r="P2907">
        <v>2906</v>
      </c>
      <c r="Q2907" s="2">
        <v>-1.6</v>
      </c>
      <c r="R2907" t="s">
        <v>22</v>
      </c>
      <c r="S2907">
        <v>2023</v>
      </c>
      <c r="T2907" t="s">
        <v>36</v>
      </c>
    </row>
    <row r="2908" spans="1:20" hidden="1" x14ac:dyDescent="0.3">
      <c r="A2908">
        <v>4842</v>
      </c>
      <c r="B2908">
        <v>375</v>
      </c>
      <c r="C2908" t="s">
        <v>45</v>
      </c>
      <c r="D2908" t="s">
        <v>29</v>
      </c>
      <c r="E2908" t="s">
        <v>37</v>
      </c>
      <c r="F2908" s="1">
        <v>44887</v>
      </c>
      <c r="G2908" s="1">
        <v>45139</v>
      </c>
      <c r="H2908">
        <v>4967.93</v>
      </c>
      <c r="I2908">
        <v>4012.75</v>
      </c>
      <c r="J2908">
        <v>-596</v>
      </c>
      <c r="K2908" t="s">
        <v>54</v>
      </c>
      <c r="L2908">
        <v>8</v>
      </c>
      <c r="M2908" t="str">
        <f t="shared" si="45"/>
        <v>6-12 Months</v>
      </c>
      <c r="N2908" s="1">
        <v>45139</v>
      </c>
      <c r="O2908">
        <v>0</v>
      </c>
      <c r="P2908">
        <v>2907</v>
      </c>
      <c r="Q2908" s="2">
        <v>-0.12</v>
      </c>
      <c r="R2908" t="s">
        <v>27</v>
      </c>
      <c r="S2908">
        <v>2023</v>
      </c>
      <c r="T2908" t="s">
        <v>36</v>
      </c>
    </row>
    <row r="2909" spans="1:20" x14ac:dyDescent="0.3">
      <c r="A2909">
        <v>4843</v>
      </c>
      <c r="B2909">
        <v>254</v>
      </c>
      <c r="C2909" t="s">
        <v>45</v>
      </c>
      <c r="D2909" t="s">
        <v>19</v>
      </c>
      <c r="E2909" t="s">
        <v>26</v>
      </c>
      <c r="F2909" s="1">
        <v>44885</v>
      </c>
      <c r="G2909" s="1">
        <v>45211</v>
      </c>
      <c r="H2909">
        <v>8636</v>
      </c>
      <c r="I2909">
        <v>5418</v>
      </c>
      <c r="J2909">
        <v>3218</v>
      </c>
      <c r="K2909" t="s">
        <v>35</v>
      </c>
      <c r="L2909">
        <v>10</v>
      </c>
      <c r="M2909" t="str">
        <f t="shared" si="45"/>
        <v>6-12 Months</v>
      </c>
      <c r="N2909" s="1">
        <v>45211</v>
      </c>
      <c r="O2909">
        <v>0</v>
      </c>
      <c r="P2909">
        <v>2908</v>
      </c>
      <c r="Q2909" s="2">
        <v>0.37</v>
      </c>
      <c r="R2909" t="s">
        <v>27</v>
      </c>
      <c r="S2909">
        <v>2023</v>
      </c>
      <c r="T2909" t="s">
        <v>33</v>
      </c>
    </row>
    <row r="2910" spans="1:20" hidden="1" x14ac:dyDescent="0.3">
      <c r="A2910">
        <v>4844</v>
      </c>
      <c r="B2910">
        <v>325</v>
      </c>
      <c r="C2910" t="s">
        <v>45</v>
      </c>
      <c r="D2910" t="s">
        <v>25</v>
      </c>
      <c r="E2910" t="s">
        <v>20</v>
      </c>
      <c r="F2910" s="1">
        <v>44636</v>
      </c>
      <c r="G2910" s="1">
        <v>45203</v>
      </c>
      <c r="H2910">
        <v>8385</v>
      </c>
      <c r="I2910">
        <v>2035</v>
      </c>
      <c r="J2910">
        <v>6350</v>
      </c>
      <c r="K2910" t="s">
        <v>54</v>
      </c>
      <c r="L2910">
        <v>18</v>
      </c>
      <c r="M2910" t="str">
        <f t="shared" si="45"/>
        <v>6-12 Months</v>
      </c>
      <c r="N2910" s="1">
        <v>45203</v>
      </c>
      <c r="O2910">
        <v>1</v>
      </c>
      <c r="P2910">
        <v>2909</v>
      </c>
      <c r="Q2910" s="2">
        <v>0.76</v>
      </c>
      <c r="R2910" t="s">
        <v>27</v>
      </c>
      <c r="S2910">
        <v>2023</v>
      </c>
      <c r="T2910" t="s">
        <v>33</v>
      </c>
    </row>
    <row r="2911" spans="1:20" hidden="1" x14ac:dyDescent="0.3">
      <c r="A2911">
        <v>4846</v>
      </c>
      <c r="B2911">
        <v>136</v>
      </c>
      <c r="C2911" t="s">
        <v>53</v>
      </c>
      <c r="D2911" t="s">
        <v>25</v>
      </c>
      <c r="E2911" t="s">
        <v>26</v>
      </c>
      <c r="F2911" s="1">
        <v>44917</v>
      </c>
      <c r="G2911" s="1">
        <v>45159</v>
      </c>
      <c r="H2911">
        <v>9874</v>
      </c>
      <c r="I2911">
        <v>4894</v>
      </c>
      <c r="J2911">
        <v>4980</v>
      </c>
      <c r="K2911" t="s">
        <v>54</v>
      </c>
      <c r="L2911">
        <v>7</v>
      </c>
      <c r="M2911" t="str">
        <f t="shared" si="45"/>
        <v>6-12 Months</v>
      </c>
      <c r="N2911" s="1">
        <v>45159</v>
      </c>
      <c r="O2911">
        <v>0</v>
      </c>
      <c r="P2911">
        <v>2910</v>
      </c>
      <c r="Q2911" s="2">
        <v>0.5</v>
      </c>
      <c r="R2911" t="s">
        <v>27</v>
      </c>
      <c r="S2911">
        <v>2023</v>
      </c>
      <c r="T2911" t="s">
        <v>36</v>
      </c>
    </row>
    <row r="2912" spans="1:20" x14ac:dyDescent="0.3">
      <c r="A2912">
        <v>4849</v>
      </c>
      <c r="B2912">
        <v>392</v>
      </c>
      <c r="C2912" t="s">
        <v>39</v>
      </c>
      <c r="D2912" t="s">
        <v>19</v>
      </c>
      <c r="E2912" t="s">
        <v>26</v>
      </c>
      <c r="F2912" s="1">
        <v>44767</v>
      </c>
      <c r="G2912" s="1">
        <v>44955</v>
      </c>
      <c r="H2912">
        <v>4434</v>
      </c>
      <c r="I2912">
        <v>2411</v>
      </c>
      <c r="J2912">
        <v>2023</v>
      </c>
      <c r="K2912" t="s">
        <v>35</v>
      </c>
      <c r="L2912">
        <v>6</v>
      </c>
      <c r="M2912" t="str">
        <f t="shared" si="45"/>
        <v>12+ Months</v>
      </c>
      <c r="N2912" s="1">
        <v>44955</v>
      </c>
      <c r="O2912">
        <v>0</v>
      </c>
      <c r="P2912">
        <v>2911</v>
      </c>
      <c r="Q2912" s="2">
        <v>0.46</v>
      </c>
      <c r="R2912" t="s">
        <v>27</v>
      </c>
      <c r="S2912">
        <v>2023</v>
      </c>
      <c r="T2912" t="s">
        <v>23</v>
      </c>
    </row>
    <row r="2913" spans="1:20" hidden="1" x14ac:dyDescent="0.3">
      <c r="A2913">
        <v>4851</v>
      </c>
      <c r="B2913">
        <v>388</v>
      </c>
      <c r="C2913" t="s">
        <v>40</v>
      </c>
      <c r="D2913" t="s">
        <v>29</v>
      </c>
      <c r="E2913" t="s">
        <v>37</v>
      </c>
      <c r="F2913" s="1">
        <v>44892</v>
      </c>
      <c r="G2913" s="1">
        <v>44980</v>
      </c>
      <c r="H2913">
        <v>3578</v>
      </c>
      <c r="I2913">
        <v>7064</v>
      </c>
      <c r="J2913">
        <v>577.01</v>
      </c>
      <c r="K2913" t="s">
        <v>54</v>
      </c>
      <c r="L2913">
        <v>2</v>
      </c>
      <c r="M2913" t="str">
        <f t="shared" si="45"/>
        <v>0-6 Months</v>
      </c>
      <c r="N2913" s="1">
        <v>44980</v>
      </c>
      <c r="O2913">
        <v>0</v>
      </c>
      <c r="P2913">
        <v>2912</v>
      </c>
      <c r="Q2913" s="2">
        <v>0.16</v>
      </c>
      <c r="R2913" t="s">
        <v>27</v>
      </c>
      <c r="S2913">
        <v>2023</v>
      </c>
      <c r="T2913" t="s">
        <v>43</v>
      </c>
    </row>
    <row r="2914" spans="1:20" hidden="1" x14ac:dyDescent="0.3">
      <c r="A2914">
        <v>4853</v>
      </c>
      <c r="B2914">
        <v>403</v>
      </c>
      <c r="C2914" t="s">
        <v>39</v>
      </c>
      <c r="D2914" t="s">
        <v>34</v>
      </c>
      <c r="E2914" t="s">
        <v>20</v>
      </c>
      <c r="F2914" s="1">
        <v>44696</v>
      </c>
      <c r="G2914" s="1">
        <v>44840</v>
      </c>
      <c r="H2914">
        <v>1295</v>
      </c>
      <c r="I2914">
        <v>406</v>
      </c>
      <c r="J2914">
        <v>889</v>
      </c>
      <c r="K2914" t="s">
        <v>54</v>
      </c>
      <c r="L2914">
        <v>4</v>
      </c>
      <c r="M2914" t="str">
        <f t="shared" si="45"/>
        <v>0-6 Months</v>
      </c>
      <c r="N2914" s="1">
        <v>44840</v>
      </c>
      <c r="O2914">
        <v>1</v>
      </c>
      <c r="P2914">
        <v>2913</v>
      </c>
      <c r="Q2914" s="2">
        <v>0.69</v>
      </c>
      <c r="R2914" t="s">
        <v>27</v>
      </c>
      <c r="S2914">
        <v>2022</v>
      </c>
      <c r="T2914" t="s">
        <v>33</v>
      </c>
    </row>
    <row r="2915" spans="1:20" x14ac:dyDescent="0.3">
      <c r="A2915">
        <v>4855</v>
      </c>
      <c r="B2915">
        <v>213</v>
      </c>
      <c r="C2915" t="s">
        <v>39</v>
      </c>
      <c r="D2915" t="s">
        <v>25</v>
      </c>
      <c r="E2915" t="s">
        <v>37</v>
      </c>
      <c r="F2915" s="1">
        <v>44718</v>
      </c>
      <c r="G2915" s="1">
        <v>45295</v>
      </c>
      <c r="H2915">
        <v>6656</v>
      </c>
      <c r="I2915">
        <v>984</v>
      </c>
      <c r="J2915">
        <v>5672</v>
      </c>
      <c r="K2915" t="s">
        <v>35</v>
      </c>
      <c r="L2915">
        <v>18</v>
      </c>
      <c r="M2915" t="str">
        <f t="shared" si="45"/>
        <v>6-12 Months</v>
      </c>
      <c r="N2915" s="1">
        <v>45295</v>
      </c>
      <c r="O2915">
        <v>0</v>
      </c>
      <c r="P2915">
        <v>2914</v>
      </c>
      <c r="Q2915" s="2">
        <v>0.85</v>
      </c>
      <c r="R2915" t="s">
        <v>27</v>
      </c>
      <c r="S2915">
        <v>2024</v>
      </c>
      <c r="T2915" t="s">
        <v>23</v>
      </c>
    </row>
    <row r="2916" spans="1:20" x14ac:dyDescent="0.3">
      <c r="A2916">
        <v>4857</v>
      </c>
      <c r="B2916">
        <v>236</v>
      </c>
      <c r="C2916" t="s">
        <v>45</v>
      </c>
      <c r="D2916" t="s">
        <v>34</v>
      </c>
      <c r="E2916" t="s">
        <v>37</v>
      </c>
      <c r="F2916" s="1">
        <v>44575</v>
      </c>
      <c r="G2916" s="1">
        <v>45151</v>
      </c>
      <c r="H2916">
        <v>2698</v>
      </c>
      <c r="I2916">
        <v>4770</v>
      </c>
      <c r="J2916">
        <v>-2072</v>
      </c>
      <c r="K2916" t="s">
        <v>35</v>
      </c>
      <c r="L2916">
        <v>18</v>
      </c>
      <c r="M2916" t="str">
        <f t="shared" si="45"/>
        <v>6-12 Months</v>
      </c>
      <c r="N2916" s="1">
        <v>45151</v>
      </c>
      <c r="O2916">
        <v>1</v>
      </c>
      <c r="P2916">
        <v>2915</v>
      </c>
      <c r="Q2916" s="2">
        <v>-0.77</v>
      </c>
      <c r="R2916" t="s">
        <v>27</v>
      </c>
      <c r="S2916">
        <v>2023</v>
      </c>
      <c r="T2916" t="s">
        <v>36</v>
      </c>
    </row>
    <row r="2917" spans="1:20" hidden="1" x14ac:dyDescent="0.3">
      <c r="A2917">
        <v>4860</v>
      </c>
      <c r="B2917">
        <v>172</v>
      </c>
      <c r="C2917" t="s">
        <v>53</v>
      </c>
      <c r="D2917" t="s">
        <v>25</v>
      </c>
      <c r="E2917" t="s">
        <v>20</v>
      </c>
      <c r="F2917" s="1">
        <v>44856</v>
      </c>
      <c r="G2917" s="1">
        <v>44972</v>
      </c>
      <c r="H2917">
        <v>9181</v>
      </c>
      <c r="I2917">
        <v>3873</v>
      </c>
      <c r="J2917">
        <v>5308</v>
      </c>
      <c r="K2917" t="s">
        <v>54</v>
      </c>
      <c r="L2917">
        <v>3</v>
      </c>
      <c r="M2917" t="str">
        <f t="shared" si="45"/>
        <v>0-6 Months</v>
      </c>
      <c r="N2917" s="1">
        <v>44972</v>
      </c>
      <c r="O2917">
        <v>1</v>
      </c>
      <c r="P2917">
        <v>2916</v>
      </c>
      <c r="Q2917" s="2">
        <v>0.57999999999999996</v>
      </c>
      <c r="R2917" t="s">
        <v>27</v>
      </c>
      <c r="S2917">
        <v>2023</v>
      </c>
      <c r="T2917" t="s">
        <v>43</v>
      </c>
    </row>
    <row r="2918" spans="1:20" x14ac:dyDescent="0.3">
      <c r="A2918">
        <v>4862</v>
      </c>
      <c r="B2918">
        <v>312</v>
      </c>
      <c r="C2918" t="s">
        <v>24</v>
      </c>
      <c r="D2918" t="s">
        <v>19</v>
      </c>
      <c r="E2918" t="s">
        <v>26</v>
      </c>
      <c r="F2918" s="1">
        <v>44711</v>
      </c>
      <c r="G2918" s="1">
        <v>45181</v>
      </c>
      <c r="H2918">
        <v>9486</v>
      </c>
      <c r="I2918">
        <v>4435</v>
      </c>
      <c r="J2918">
        <v>5051</v>
      </c>
      <c r="K2918" t="s">
        <v>35</v>
      </c>
      <c r="L2918">
        <v>15</v>
      </c>
      <c r="M2918" t="str">
        <f t="shared" si="45"/>
        <v>6-12 Months</v>
      </c>
      <c r="N2918" s="1">
        <v>45181</v>
      </c>
      <c r="O2918">
        <v>1</v>
      </c>
      <c r="P2918">
        <v>2917</v>
      </c>
      <c r="Q2918" s="2">
        <v>0.53</v>
      </c>
      <c r="R2918" t="s">
        <v>27</v>
      </c>
      <c r="S2918">
        <v>2023</v>
      </c>
      <c r="T2918" t="s">
        <v>30</v>
      </c>
    </row>
    <row r="2919" spans="1:20" hidden="1" x14ac:dyDescent="0.3">
      <c r="A2919">
        <v>4864</v>
      </c>
      <c r="B2919">
        <v>490</v>
      </c>
      <c r="C2919" t="s">
        <v>53</v>
      </c>
      <c r="D2919" t="s">
        <v>34</v>
      </c>
      <c r="E2919" t="s">
        <v>37</v>
      </c>
      <c r="F2919" s="1">
        <v>44654</v>
      </c>
      <c r="G2919" s="1">
        <v>44730</v>
      </c>
      <c r="H2919">
        <v>307</v>
      </c>
      <c r="I2919">
        <v>4012.75</v>
      </c>
      <c r="J2919">
        <v>746</v>
      </c>
      <c r="K2919" t="s">
        <v>54</v>
      </c>
      <c r="L2919">
        <v>2</v>
      </c>
      <c r="M2919" t="str">
        <f t="shared" si="45"/>
        <v>0-6 Months</v>
      </c>
      <c r="N2919" s="1">
        <v>44730</v>
      </c>
      <c r="O2919">
        <v>0</v>
      </c>
      <c r="P2919">
        <v>2918</v>
      </c>
      <c r="Q2919" s="2">
        <v>2.4300000000000002</v>
      </c>
      <c r="R2919" t="s">
        <v>22</v>
      </c>
      <c r="S2919">
        <v>2022</v>
      </c>
      <c r="T2919" t="s">
        <v>41</v>
      </c>
    </row>
    <row r="2920" spans="1:20" x14ac:dyDescent="0.3">
      <c r="A2920">
        <v>4865</v>
      </c>
      <c r="B2920">
        <v>197</v>
      </c>
      <c r="C2920" t="s">
        <v>24</v>
      </c>
      <c r="D2920" t="s">
        <v>19</v>
      </c>
      <c r="E2920" t="s">
        <v>20</v>
      </c>
      <c r="F2920" s="1">
        <v>44675</v>
      </c>
      <c r="G2920" s="1">
        <v>45232</v>
      </c>
      <c r="H2920">
        <v>6873</v>
      </c>
      <c r="I2920">
        <v>6989</v>
      </c>
      <c r="J2920">
        <v>-116</v>
      </c>
      <c r="K2920" t="s">
        <v>35</v>
      </c>
      <c r="L2920">
        <v>18</v>
      </c>
      <c r="M2920" t="str">
        <f t="shared" si="45"/>
        <v>6-12 Months</v>
      </c>
      <c r="N2920" s="1">
        <v>45232</v>
      </c>
      <c r="O2920">
        <v>0</v>
      </c>
      <c r="P2920">
        <v>2919</v>
      </c>
      <c r="Q2920" s="2">
        <v>-0.02</v>
      </c>
      <c r="R2920" t="s">
        <v>27</v>
      </c>
      <c r="S2920">
        <v>2023</v>
      </c>
      <c r="T2920" t="s">
        <v>42</v>
      </c>
    </row>
    <row r="2921" spans="1:20" hidden="1" x14ac:dyDescent="0.3">
      <c r="A2921">
        <v>4866</v>
      </c>
      <c r="B2921">
        <v>443</v>
      </c>
      <c r="C2921" t="s">
        <v>45</v>
      </c>
      <c r="D2921" t="s">
        <v>19</v>
      </c>
      <c r="E2921" t="s">
        <v>20</v>
      </c>
      <c r="F2921" s="1">
        <v>44839</v>
      </c>
      <c r="G2921" s="1">
        <v>45434</v>
      </c>
      <c r="H2921">
        <v>7493</v>
      </c>
      <c r="I2921">
        <v>7212</v>
      </c>
      <c r="J2921">
        <v>281</v>
      </c>
      <c r="K2921" t="s">
        <v>54</v>
      </c>
      <c r="L2921">
        <v>19</v>
      </c>
      <c r="M2921" t="str">
        <f t="shared" si="45"/>
        <v>6-12 Months</v>
      </c>
      <c r="N2921" s="1">
        <v>45434</v>
      </c>
      <c r="O2921">
        <v>1</v>
      </c>
      <c r="P2921">
        <v>2920</v>
      </c>
      <c r="Q2921" s="2">
        <v>0.04</v>
      </c>
      <c r="R2921" t="s">
        <v>27</v>
      </c>
      <c r="S2921">
        <v>2024</v>
      </c>
      <c r="T2921" t="s">
        <v>28</v>
      </c>
    </row>
    <row r="2922" spans="1:20" hidden="1" x14ac:dyDescent="0.3">
      <c r="A2922">
        <v>4867</v>
      </c>
      <c r="B2922">
        <v>294</v>
      </c>
      <c r="C2922" t="s">
        <v>39</v>
      </c>
      <c r="D2922" t="s">
        <v>34</v>
      </c>
      <c r="E2922" t="s">
        <v>37</v>
      </c>
      <c r="F2922" s="1">
        <v>44642</v>
      </c>
      <c r="G2922" s="1">
        <v>44813</v>
      </c>
      <c r="H2922">
        <v>4795</v>
      </c>
      <c r="I2922">
        <v>1464</v>
      </c>
      <c r="J2922">
        <v>3331</v>
      </c>
      <c r="K2922" t="s">
        <v>54</v>
      </c>
      <c r="L2922">
        <v>5</v>
      </c>
      <c r="M2922" t="str">
        <f t="shared" si="45"/>
        <v>0-6 Months</v>
      </c>
      <c r="N2922" s="1">
        <v>44813</v>
      </c>
      <c r="O2922">
        <v>0</v>
      </c>
      <c r="P2922">
        <v>2921</v>
      </c>
      <c r="Q2922" s="2">
        <v>0.69</v>
      </c>
      <c r="R2922" t="s">
        <v>27</v>
      </c>
      <c r="S2922">
        <v>2022</v>
      </c>
      <c r="T2922" t="s">
        <v>30</v>
      </c>
    </row>
    <row r="2923" spans="1:20" hidden="1" x14ac:dyDescent="0.3">
      <c r="A2923">
        <v>4869</v>
      </c>
      <c r="B2923">
        <v>389</v>
      </c>
      <c r="C2923" t="s">
        <v>40</v>
      </c>
      <c r="D2923" t="s">
        <v>34</v>
      </c>
      <c r="E2923" t="s">
        <v>26</v>
      </c>
      <c r="F2923" s="1">
        <v>44905</v>
      </c>
      <c r="G2923" s="1">
        <v>45029</v>
      </c>
      <c r="H2923">
        <v>4967.93</v>
      </c>
      <c r="I2923">
        <v>3294</v>
      </c>
      <c r="J2923">
        <v>-5057</v>
      </c>
      <c r="K2923" t="s">
        <v>54</v>
      </c>
      <c r="L2923">
        <v>4</v>
      </c>
      <c r="M2923" t="str">
        <f t="shared" si="45"/>
        <v>0-6 Months</v>
      </c>
      <c r="N2923" s="1">
        <v>45029</v>
      </c>
      <c r="O2923">
        <v>0</v>
      </c>
      <c r="P2923">
        <v>2922</v>
      </c>
      <c r="Q2923" s="2">
        <v>-1.02</v>
      </c>
      <c r="R2923" t="s">
        <v>22</v>
      </c>
      <c r="S2923">
        <v>2023</v>
      </c>
      <c r="T2923" t="s">
        <v>32</v>
      </c>
    </row>
    <row r="2924" spans="1:20" hidden="1" x14ac:dyDescent="0.3">
      <c r="A2924">
        <v>4870</v>
      </c>
      <c r="B2924">
        <v>161</v>
      </c>
      <c r="C2924" t="s">
        <v>39</v>
      </c>
      <c r="D2924" t="s">
        <v>25</v>
      </c>
      <c r="E2924" t="s">
        <v>20</v>
      </c>
      <c r="F2924" s="1">
        <v>44733</v>
      </c>
      <c r="G2924" s="1">
        <v>45156</v>
      </c>
      <c r="H2924">
        <v>392</v>
      </c>
      <c r="I2924">
        <v>3243</v>
      </c>
      <c r="J2924">
        <v>-2851</v>
      </c>
      <c r="K2924" t="s">
        <v>54</v>
      </c>
      <c r="L2924">
        <v>13</v>
      </c>
      <c r="M2924" t="str">
        <f t="shared" si="45"/>
        <v>6-12 Months</v>
      </c>
      <c r="N2924" s="1">
        <v>45156</v>
      </c>
      <c r="O2924">
        <v>1</v>
      </c>
      <c r="P2924">
        <v>2923</v>
      </c>
      <c r="Q2924" s="2">
        <v>-7.27</v>
      </c>
      <c r="R2924" t="s">
        <v>22</v>
      </c>
      <c r="S2924">
        <v>2023</v>
      </c>
      <c r="T2924" t="s">
        <v>36</v>
      </c>
    </row>
    <row r="2925" spans="1:20" hidden="1" x14ac:dyDescent="0.3">
      <c r="A2925">
        <v>4876</v>
      </c>
      <c r="B2925">
        <v>390</v>
      </c>
      <c r="C2925" t="s">
        <v>53</v>
      </c>
      <c r="D2925" t="s">
        <v>29</v>
      </c>
      <c r="E2925" t="s">
        <v>20</v>
      </c>
      <c r="F2925" s="1">
        <v>44577</v>
      </c>
      <c r="G2925" s="1">
        <v>44650</v>
      </c>
      <c r="H2925">
        <v>9209</v>
      </c>
      <c r="I2925">
        <v>594</v>
      </c>
      <c r="J2925">
        <v>8615</v>
      </c>
      <c r="K2925" t="s">
        <v>21</v>
      </c>
      <c r="L2925">
        <v>2</v>
      </c>
      <c r="M2925" t="str">
        <f t="shared" si="45"/>
        <v>0-6 Months</v>
      </c>
      <c r="N2925" s="1">
        <v>44650</v>
      </c>
      <c r="O2925">
        <v>1</v>
      </c>
      <c r="P2925">
        <v>2924</v>
      </c>
      <c r="Q2925" s="2">
        <v>0.94</v>
      </c>
      <c r="R2925" t="s">
        <v>27</v>
      </c>
      <c r="S2925">
        <v>2022</v>
      </c>
      <c r="T2925" t="s">
        <v>38</v>
      </c>
    </row>
    <row r="2926" spans="1:20" hidden="1" x14ac:dyDescent="0.3">
      <c r="A2926">
        <v>4877</v>
      </c>
      <c r="B2926">
        <v>241</v>
      </c>
      <c r="C2926" t="s">
        <v>24</v>
      </c>
      <c r="D2926" t="s">
        <v>34</v>
      </c>
      <c r="E2926" t="s">
        <v>26</v>
      </c>
      <c r="F2926" s="1">
        <v>44869</v>
      </c>
      <c r="G2926" s="1">
        <v>45022</v>
      </c>
      <c r="H2926">
        <v>8526</v>
      </c>
      <c r="I2926">
        <v>816</v>
      </c>
      <c r="J2926">
        <v>7710</v>
      </c>
      <c r="K2926" t="s">
        <v>54</v>
      </c>
      <c r="L2926">
        <v>5</v>
      </c>
      <c r="M2926" t="str">
        <f t="shared" si="45"/>
        <v>0-6 Months</v>
      </c>
      <c r="N2926" s="1">
        <v>45022</v>
      </c>
      <c r="O2926">
        <v>0</v>
      </c>
      <c r="P2926">
        <v>2925</v>
      </c>
      <c r="Q2926" s="2">
        <v>0.9</v>
      </c>
      <c r="R2926" t="s">
        <v>27</v>
      </c>
      <c r="S2926">
        <v>2023</v>
      </c>
      <c r="T2926" t="s">
        <v>32</v>
      </c>
    </row>
    <row r="2927" spans="1:20" hidden="1" x14ac:dyDescent="0.3">
      <c r="A2927">
        <v>4878</v>
      </c>
      <c r="B2927">
        <v>336</v>
      </c>
      <c r="C2927" t="s">
        <v>39</v>
      </c>
      <c r="D2927" t="s">
        <v>25</v>
      </c>
      <c r="E2927" t="s">
        <v>37</v>
      </c>
      <c r="F2927" s="1">
        <v>44574</v>
      </c>
      <c r="G2927" s="1">
        <v>45128</v>
      </c>
      <c r="H2927">
        <v>4967.93</v>
      </c>
      <c r="I2927">
        <v>758</v>
      </c>
      <c r="J2927">
        <v>-955</v>
      </c>
      <c r="K2927" t="s">
        <v>21</v>
      </c>
      <c r="L2927">
        <v>18</v>
      </c>
      <c r="M2927" t="str">
        <f t="shared" si="45"/>
        <v>6-12 Months</v>
      </c>
      <c r="N2927" s="1">
        <v>45128</v>
      </c>
      <c r="O2927">
        <v>1</v>
      </c>
      <c r="P2927">
        <v>2926</v>
      </c>
      <c r="Q2927" s="2">
        <v>-0.19</v>
      </c>
      <c r="R2927" t="s">
        <v>27</v>
      </c>
      <c r="S2927">
        <v>2023</v>
      </c>
      <c r="T2927" t="s">
        <v>44</v>
      </c>
    </row>
    <row r="2928" spans="1:20" hidden="1" x14ac:dyDescent="0.3">
      <c r="A2928">
        <v>4881</v>
      </c>
      <c r="B2928">
        <v>107</v>
      </c>
      <c r="C2928" t="s">
        <v>24</v>
      </c>
      <c r="D2928" t="s">
        <v>29</v>
      </c>
      <c r="E2928" t="s">
        <v>26</v>
      </c>
      <c r="F2928" s="1">
        <v>44620</v>
      </c>
      <c r="G2928" s="1">
        <v>45197</v>
      </c>
      <c r="H2928">
        <v>87</v>
      </c>
      <c r="I2928">
        <v>6893</v>
      </c>
      <c r="J2928">
        <v>-6806</v>
      </c>
      <c r="K2928" t="s">
        <v>54</v>
      </c>
      <c r="L2928">
        <v>19</v>
      </c>
      <c r="M2928" t="str">
        <f t="shared" si="45"/>
        <v>6-12 Months</v>
      </c>
      <c r="N2928" s="1">
        <v>45197</v>
      </c>
      <c r="O2928">
        <v>0</v>
      </c>
      <c r="P2928">
        <v>2927</v>
      </c>
      <c r="Q2928" s="2">
        <v>-78.23</v>
      </c>
      <c r="R2928" t="s">
        <v>22</v>
      </c>
      <c r="S2928">
        <v>2023</v>
      </c>
      <c r="T2928" t="s">
        <v>30</v>
      </c>
    </row>
    <row r="2929" spans="1:20" x14ac:dyDescent="0.3">
      <c r="A2929">
        <v>4883</v>
      </c>
      <c r="B2929">
        <v>413</v>
      </c>
      <c r="C2929" t="s">
        <v>39</v>
      </c>
      <c r="D2929" t="s">
        <v>34</v>
      </c>
      <c r="E2929" t="s">
        <v>26</v>
      </c>
      <c r="F2929" s="1">
        <v>44819</v>
      </c>
      <c r="G2929" s="1">
        <v>45035</v>
      </c>
      <c r="H2929">
        <v>8452</v>
      </c>
      <c r="I2929">
        <v>4012.75</v>
      </c>
      <c r="J2929">
        <v>8588</v>
      </c>
      <c r="K2929" t="s">
        <v>35</v>
      </c>
      <c r="L2929">
        <v>7</v>
      </c>
      <c r="M2929" t="str">
        <f t="shared" si="45"/>
        <v>6-12 Months</v>
      </c>
      <c r="N2929" s="1">
        <v>45035</v>
      </c>
      <c r="O2929">
        <v>0</v>
      </c>
      <c r="P2929">
        <v>2928</v>
      </c>
      <c r="Q2929" s="2">
        <v>1.02</v>
      </c>
      <c r="R2929" t="s">
        <v>22</v>
      </c>
      <c r="S2929">
        <v>2023</v>
      </c>
      <c r="T2929" t="s">
        <v>32</v>
      </c>
    </row>
    <row r="2930" spans="1:20" hidden="1" x14ac:dyDescent="0.3">
      <c r="A2930">
        <v>4884</v>
      </c>
      <c r="B2930">
        <v>255</v>
      </c>
      <c r="C2930" t="s">
        <v>24</v>
      </c>
      <c r="D2930" t="s">
        <v>19</v>
      </c>
      <c r="E2930" t="s">
        <v>37</v>
      </c>
      <c r="F2930" s="1">
        <v>44789</v>
      </c>
      <c r="G2930" s="1">
        <v>44833</v>
      </c>
      <c r="H2930">
        <v>7796</v>
      </c>
      <c r="I2930">
        <v>6547</v>
      </c>
      <c r="J2930">
        <v>577.01</v>
      </c>
      <c r="K2930" t="s">
        <v>54</v>
      </c>
      <c r="L2930">
        <v>1</v>
      </c>
      <c r="M2930" t="str">
        <f t="shared" si="45"/>
        <v>0-6 Months</v>
      </c>
      <c r="N2930" s="1">
        <v>44833</v>
      </c>
      <c r="O2930">
        <v>1</v>
      </c>
      <c r="P2930">
        <v>2929</v>
      </c>
      <c r="Q2930" s="2">
        <v>7.0000000000000007E-2</v>
      </c>
      <c r="R2930" t="s">
        <v>27</v>
      </c>
      <c r="S2930">
        <v>2022</v>
      </c>
      <c r="T2930" t="s">
        <v>30</v>
      </c>
    </row>
    <row r="2931" spans="1:20" hidden="1" x14ac:dyDescent="0.3">
      <c r="A2931">
        <v>4885</v>
      </c>
      <c r="B2931">
        <v>480</v>
      </c>
      <c r="C2931" t="s">
        <v>24</v>
      </c>
      <c r="D2931" t="s">
        <v>29</v>
      </c>
      <c r="E2931" t="s">
        <v>26</v>
      </c>
      <c r="F2931" s="1">
        <v>44833</v>
      </c>
      <c r="G2931" s="1">
        <v>45023</v>
      </c>
      <c r="H2931">
        <v>9747</v>
      </c>
      <c r="I2931">
        <v>2686</v>
      </c>
      <c r="J2931">
        <v>577.01</v>
      </c>
      <c r="K2931" t="s">
        <v>54</v>
      </c>
      <c r="L2931">
        <v>6</v>
      </c>
      <c r="M2931" t="str">
        <f t="shared" si="45"/>
        <v>12+ Months</v>
      </c>
      <c r="N2931" s="1">
        <v>45023</v>
      </c>
      <c r="O2931">
        <v>0</v>
      </c>
      <c r="P2931">
        <v>2930</v>
      </c>
      <c r="Q2931" s="2">
        <v>0.06</v>
      </c>
      <c r="R2931" t="s">
        <v>27</v>
      </c>
      <c r="S2931">
        <v>2023</v>
      </c>
      <c r="T2931" t="s">
        <v>32</v>
      </c>
    </row>
    <row r="2932" spans="1:20" hidden="1" x14ac:dyDescent="0.3">
      <c r="A2932">
        <v>4886</v>
      </c>
      <c r="B2932">
        <v>224</v>
      </c>
      <c r="C2932" t="s">
        <v>45</v>
      </c>
      <c r="D2932" t="s">
        <v>34</v>
      </c>
      <c r="E2932" t="s">
        <v>20</v>
      </c>
      <c r="F2932" s="1">
        <v>44743</v>
      </c>
      <c r="G2932" s="1">
        <v>45305</v>
      </c>
      <c r="H2932">
        <v>4677</v>
      </c>
      <c r="I2932">
        <v>5015</v>
      </c>
      <c r="J2932">
        <v>-338</v>
      </c>
      <c r="K2932" t="s">
        <v>54</v>
      </c>
      <c r="L2932">
        <v>18</v>
      </c>
      <c r="M2932" t="str">
        <f t="shared" si="45"/>
        <v>6-12 Months</v>
      </c>
      <c r="N2932" s="1">
        <v>45305</v>
      </c>
      <c r="O2932">
        <v>1</v>
      </c>
      <c r="P2932">
        <v>2931</v>
      </c>
      <c r="Q2932" s="2">
        <v>-7.0000000000000007E-2</v>
      </c>
      <c r="R2932" t="s">
        <v>27</v>
      </c>
      <c r="S2932">
        <v>2024</v>
      </c>
      <c r="T2932" t="s">
        <v>23</v>
      </c>
    </row>
    <row r="2933" spans="1:20" hidden="1" x14ac:dyDescent="0.3">
      <c r="A2933">
        <v>4890</v>
      </c>
      <c r="B2933">
        <v>455</v>
      </c>
      <c r="C2933" t="s">
        <v>45</v>
      </c>
      <c r="D2933" t="s">
        <v>25</v>
      </c>
      <c r="E2933" t="s">
        <v>20</v>
      </c>
      <c r="F2933" s="1">
        <v>44608</v>
      </c>
      <c r="G2933" s="1">
        <v>44825</v>
      </c>
      <c r="H2933">
        <v>9707</v>
      </c>
      <c r="I2933">
        <v>5993</v>
      </c>
      <c r="J2933">
        <v>577.01</v>
      </c>
      <c r="K2933" t="s">
        <v>54</v>
      </c>
      <c r="L2933">
        <v>7</v>
      </c>
      <c r="M2933" t="str">
        <f t="shared" si="45"/>
        <v>6-12 Months</v>
      </c>
      <c r="N2933" s="1">
        <v>44825</v>
      </c>
      <c r="O2933">
        <v>1</v>
      </c>
      <c r="P2933">
        <v>2932</v>
      </c>
      <c r="Q2933" s="2">
        <v>0.06</v>
      </c>
      <c r="R2933" t="s">
        <v>27</v>
      </c>
      <c r="S2933">
        <v>2022</v>
      </c>
      <c r="T2933" t="s">
        <v>30</v>
      </c>
    </row>
    <row r="2934" spans="1:20" hidden="1" x14ac:dyDescent="0.3">
      <c r="A2934">
        <v>4891</v>
      </c>
      <c r="B2934">
        <v>367</v>
      </c>
      <c r="C2934" t="s">
        <v>39</v>
      </c>
      <c r="D2934" t="s">
        <v>25</v>
      </c>
      <c r="E2934" t="s">
        <v>37</v>
      </c>
      <c r="F2934" s="1">
        <v>44621</v>
      </c>
      <c r="G2934" s="1">
        <v>44922</v>
      </c>
      <c r="H2934">
        <v>9567</v>
      </c>
      <c r="I2934">
        <v>6122</v>
      </c>
      <c r="J2934">
        <v>3445</v>
      </c>
      <c r="K2934" t="s">
        <v>21</v>
      </c>
      <c r="L2934">
        <v>9</v>
      </c>
      <c r="M2934" t="str">
        <f t="shared" si="45"/>
        <v>6-12 Months</v>
      </c>
      <c r="N2934" s="1">
        <v>44922</v>
      </c>
      <c r="O2934">
        <v>1</v>
      </c>
      <c r="P2934">
        <v>2933</v>
      </c>
      <c r="Q2934" s="2">
        <v>0.36</v>
      </c>
      <c r="R2934" t="s">
        <v>27</v>
      </c>
      <c r="S2934">
        <v>2022</v>
      </c>
      <c r="T2934" t="s">
        <v>31</v>
      </c>
    </row>
    <row r="2935" spans="1:20" x14ac:dyDescent="0.3">
      <c r="A2935">
        <v>4892</v>
      </c>
      <c r="B2935">
        <v>201</v>
      </c>
      <c r="C2935" t="s">
        <v>53</v>
      </c>
      <c r="D2935" t="s">
        <v>34</v>
      </c>
      <c r="E2935" t="s">
        <v>26</v>
      </c>
      <c r="F2935" s="1">
        <v>44857</v>
      </c>
      <c r="G2935" s="1">
        <v>45360</v>
      </c>
      <c r="H2935">
        <v>7136</v>
      </c>
      <c r="I2935">
        <v>4010</v>
      </c>
      <c r="J2935">
        <v>3126</v>
      </c>
      <c r="K2935" t="s">
        <v>35</v>
      </c>
      <c r="L2935">
        <v>16</v>
      </c>
      <c r="M2935" t="str">
        <f t="shared" si="45"/>
        <v>6-12 Months</v>
      </c>
      <c r="N2935" s="1">
        <v>45360</v>
      </c>
      <c r="O2935">
        <v>0</v>
      </c>
      <c r="P2935">
        <v>2934</v>
      </c>
      <c r="Q2935" s="2">
        <v>0.44</v>
      </c>
      <c r="R2935" t="s">
        <v>27</v>
      </c>
      <c r="S2935">
        <v>2024</v>
      </c>
      <c r="T2935" t="s">
        <v>38</v>
      </c>
    </row>
    <row r="2936" spans="1:20" x14ac:dyDescent="0.3">
      <c r="A2936">
        <v>4894</v>
      </c>
      <c r="B2936">
        <v>130</v>
      </c>
      <c r="C2936" t="s">
        <v>24</v>
      </c>
      <c r="D2936" t="s">
        <v>25</v>
      </c>
      <c r="E2936" t="s">
        <v>26</v>
      </c>
      <c r="F2936" s="1">
        <v>44810</v>
      </c>
      <c r="G2936" s="1">
        <v>45004</v>
      </c>
      <c r="H2936">
        <v>8017</v>
      </c>
      <c r="I2936">
        <v>1623</v>
      </c>
      <c r="J2936">
        <v>6394</v>
      </c>
      <c r="K2936" t="s">
        <v>35</v>
      </c>
      <c r="L2936">
        <v>6</v>
      </c>
      <c r="M2936" t="str">
        <f t="shared" si="45"/>
        <v>12+ Months</v>
      </c>
      <c r="N2936" s="1">
        <v>45004</v>
      </c>
      <c r="O2936">
        <v>0</v>
      </c>
      <c r="P2936">
        <v>2935</v>
      </c>
      <c r="Q2936" s="2">
        <v>0.8</v>
      </c>
      <c r="R2936" t="s">
        <v>27</v>
      </c>
      <c r="S2936">
        <v>2023</v>
      </c>
      <c r="T2936" t="s">
        <v>38</v>
      </c>
    </row>
    <row r="2937" spans="1:20" hidden="1" x14ac:dyDescent="0.3">
      <c r="A2937">
        <v>4896</v>
      </c>
      <c r="B2937">
        <v>218</v>
      </c>
      <c r="C2937" t="s">
        <v>53</v>
      </c>
      <c r="D2937" t="s">
        <v>25</v>
      </c>
      <c r="E2937" t="s">
        <v>37</v>
      </c>
      <c r="F2937" s="1">
        <v>44627</v>
      </c>
      <c r="G2937" s="1">
        <v>44876</v>
      </c>
      <c r="H2937">
        <v>3856</v>
      </c>
      <c r="I2937">
        <v>4012.75</v>
      </c>
      <c r="J2937">
        <v>4532</v>
      </c>
      <c r="K2937" t="s">
        <v>54</v>
      </c>
      <c r="L2937">
        <v>8</v>
      </c>
      <c r="M2937" t="str">
        <f t="shared" si="45"/>
        <v>6-12 Months</v>
      </c>
      <c r="N2937" s="1">
        <v>44876</v>
      </c>
      <c r="O2937">
        <v>1</v>
      </c>
      <c r="P2937">
        <v>2936</v>
      </c>
      <c r="Q2937" s="2">
        <v>1.18</v>
      </c>
      <c r="R2937" t="s">
        <v>22</v>
      </c>
      <c r="S2937">
        <v>2022</v>
      </c>
      <c r="T2937" t="s">
        <v>42</v>
      </c>
    </row>
    <row r="2938" spans="1:20" x14ac:dyDescent="0.3">
      <c r="A2938">
        <v>4897</v>
      </c>
      <c r="B2938">
        <v>485</v>
      </c>
      <c r="C2938" t="s">
        <v>53</v>
      </c>
      <c r="D2938" t="s">
        <v>29</v>
      </c>
      <c r="E2938" t="s">
        <v>20</v>
      </c>
      <c r="F2938" s="1">
        <v>44735</v>
      </c>
      <c r="G2938" s="1">
        <v>44958</v>
      </c>
      <c r="H2938">
        <v>1793</v>
      </c>
      <c r="I2938">
        <v>5623</v>
      </c>
      <c r="J2938">
        <v>-3830</v>
      </c>
      <c r="K2938" t="s">
        <v>35</v>
      </c>
      <c r="L2938">
        <v>7</v>
      </c>
      <c r="M2938" t="str">
        <f t="shared" si="45"/>
        <v>6-12 Months</v>
      </c>
      <c r="N2938" s="1">
        <v>44958</v>
      </c>
      <c r="O2938">
        <v>0</v>
      </c>
      <c r="P2938">
        <v>2937</v>
      </c>
      <c r="Q2938" s="2">
        <v>-2.14</v>
      </c>
      <c r="R2938" t="s">
        <v>22</v>
      </c>
      <c r="S2938">
        <v>2023</v>
      </c>
      <c r="T2938" t="s">
        <v>43</v>
      </c>
    </row>
    <row r="2939" spans="1:20" x14ac:dyDescent="0.3">
      <c r="A2939">
        <v>4898</v>
      </c>
      <c r="B2939">
        <v>203</v>
      </c>
      <c r="C2939" t="s">
        <v>53</v>
      </c>
      <c r="D2939" t="s">
        <v>25</v>
      </c>
      <c r="E2939" t="s">
        <v>26</v>
      </c>
      <c r="F2939" s="1">
        <v>44593</v>
      </c>
      <c r="G2939" s="1">
        <v>44946</v>
      </c>
      <c r="H2939">
        <v>7612</v>
      </c>
      <c r="I2939">
        <v>3554</v>
      </c>
      <c r="J2939">
        <v>4058</v>
      </c>
      <c r="K2939" t="s">
        <v>35</v>
      </c>
      <c r="L2939">
        <v>11</v>
      </c>
      <c r="M2939" t="str">
        <f t="shared" si="45"/>
        <v>6-12 Months</v>
      </c>
      <c r="N2939" s="1">
        <v>44946</v>
      </c>
      <c r="O2939">
        <v>0</v>
      </c>
      <c r="P2939">
        <v>2938</v>
      </c>
      <c r="Q2939" s="2">
        <v>0.53</v>
      </c>
      <c r="R2939" t="s">
        <v>27</v>
      </c>
      <c r="S2939">
        <v>2023</v>
      </c>
      <c r="T2939" t="s">
        <v>23</v>
      </c>
    </row>
    <row r="2940" spans="1:20" hidden="1" x14ac:dyDescent="0.3">
      <c r="A2940">
        <v>4899</v>
      </c>
      <c r="B2940">
        <v>331</v>
      </c>
      <c r="C2940" t="s">
        <v>24</v>
      </c>
      <c r="D2940" t="s">
        <v>19</v>
      </c>
      <c r="E2940" t="s">
        <v>37</v>
      </c>
      <c r="F2940" s="1">
        <v>44593</v>
      </c>
      <c r="G2940" s="1">
        <v>44801</v>
      </c>
      <c r="H2940">
        <v>8424</v>
      </c>
      <c r="I2940">
        <v>5716</v>
      </c>
      <c r="J2940">
        <v>2708</v>
      </c>
      <c r="K2940" t="s">
        <v>54</v>
      </c>
      <c r="L2940">
        <v>6</v>
      </c>
      <c r="M2940" t="str">
        <f t="shared" si="45"/>
        <v>12+ Months</v>
      </c>
      <c r="N2940" s="1">
        <v>44801</v>
      </c>
      <c r="O2940">
        <v>0</v>
      </c>
      <c r="P2940">
        <v>2939</v>
      </c>
      <c r="Q2940" s="2">
        <v>0.32</v>
      </c>
      <c r="R2940" t="s">
        <v>27</v>
      </c>
      <c r="S2940">
        <v>2022</v>
      </c>
      <c r="T2940" t="s">
        <v>36</v>
      </c>
    </row>
    <row r="2941" spans="1:20" hidden="1" x14ac:dyDescent="0.3">
      <c r="A2941">
        <v>4901</v>
      </c>
      <c r="B2941">
        <v>434</v>
      </c>
      <c r="C2941" t="s">
        <v>39</v>
      </c>
      <c r="D2941" t="s">
        <v>34</v>
      </c>
      <c r="E2941" t="s">
        <v>37</v>
      </c>
      <c r="F2941" s="1">
        <v>44721</v>
      </c>
      <c r="G2941" s="1">
        <v>44866</v>
      </c>
      <c r="H2941">
        <v>8812</v>
      </c>
      <c r="I2941">
        <v>6402</v>
      </c>
      <c r="J2941">
        <v>2410</v>
      </c>
      <c r="K2941" t="s">
        <v>54</v>
      </c>
      <c r="L2941">
        <v>4</v>
      </c>
      <c r="M2941" t="str">
        <f t="shared" si="45"/>
        <v>0-6 Months</v>
      </c>
      <c r="N2941" s="1">
        <v>44866</v>
      </c>
      <c r="O2941">
        <v>1</v>
      </c>
      <c r="P2941">
        <v>2940</v>
      </c>
      <c r="Q2941" s="2">
        <v>0.27</v>
      </c>
      <c r="R2941" t="s">
        <v>27</v>
      </c>
      <c r="S2941">
        <v>2022</v>
      </c>
      <c r="T2941" t="s">
        <v>42</v>
      </c>
    </row>
    <row r="2942" spans="1:20" hidden="1" x14ac:dyDescent="0.3">
      <c r="A2942">
        <v>4902</v>
      </c>
      <c r="B2942">
        <v>241</v>
      </c>
      <c r="C2942" t="s">
        <v>24</v>
      </c>
      <c r="D2942" t="s">
        <v>19</v>
      </c>
      <c r="E2942" t="s">
        <v>37</v>
      </c>
      <c r="F2942" s="1">
        <v>44923</v>
      </c>
      <c r="G2942" s="1">
        <v>45210</v>
      </c>
      <c r="H2942">
        <v>6883</v>
      </c>
      <c r="I2942">
        <v>4805</v>
      </c>
      <c r="J2942">
        <v>2078</v>
      </c>
      <c r="K2942" t="s">
        <v>54</v>
      </c>
      <c r="L2942">
        <v>9</v>
      </c>
      <c r="M2942" t="str">
        <f t="shared" si="45"/>
        <v>6-12 Months</v>
      </c>
      <c r="N2942" s="1">
        <v>45210</v>
      </c>
      <c r="O2942">
        <v>0</v>
      </c>
      <c r="P2942">
        <v>2941</v>
      </c>
      <c r="Q2942" s="2">
        <v>0.3</v>
      </c>
      <c r="R2942" t="s">
        <v>27</v>
      </c>
      <c r="S2942">
        <v>2023</v>
      </c>
      <c r="T2942" t="s">
        <v>33</v>
      </c>
    </row>
    <row r="2943" spans="1:20" hidden="1" x14ac:dyDescent="0.3">
      <c r="A2943">
        <v>4903</v>
      </c>
      <c r="B2943">
        <v>274</v>
      </c>
      <c r="C2943" t="s">
        <v>53</v>
      </c>
      <c r="D2943" t="s">
        <v>19</v>
      </c>
      <c r="E2943" t="s">
        <v>37</v>
      </c>
      <c r="F2943" s="1">
        <v>44873</v>
      </c>
      <c r="G2943" s="1">
        <v>45471</v>
      </c>
      <c r="H2943">
        <v>1603</v>
      </c>
      <c r="I2943">
        <v>5162</v>
      </c>
      <c r="J2943">
        <v>-3559</v>
      </c>
      <c r="K2943" t="s">
        <v>21</v>
      </c>
      <c r="L2943">
        <v>19</v>
      </c>
      <c r="M2943" t="str">
        <f t="shared" si="45"/>
        <v>6-12 Months</v>
      </c>
      <c r="N2943" s="1">
        <v>45471</v>
      </c>
      <c r="O2943">
        <v>0</v>
      </c>
      <c r="P2943">
        <v>2942</v>
      </c>
      <c r="Q2943" s="2">
        <v>-2.2200000000000002</v>
      </c>
      <c r="R2943" t="s">
        <v>22</v>
      </c>
      <c r="S2943">
        <v>2024</v>
      </c>
      <c r="T2943" t="s">
        <v>41</v>
      </c>
    </row>
    <row r="2944" spans="1:20" hidden="1" x14ac:dyDescent="0.3">
      <c r="A2944">
        <v>4905</v>
      </c>
      <c r="B2944">
        <v>232</v>
      </c>
      <c r="C2944" t="s">
        <v>53</v>
      </c>
      <c r="D2944" t="s">
        <v>25</v>
      </c>
      <c r="E2944" t="s">
        <v>26</v>
      </c>
      <c r="F2944" s="1">
        <v>44630</v>
      </c>
      <c r="G2944" s="1">
        <v>45100</v>
      </c>
      <c r="H2944">
        <v>4328</v>
      </c>
      <c r="I2944">
        <v>6262</v>
      </c>
      <c r="J2944">
        <v>-1934</v>
      </c>
      <c r="K2944" t="s">
        <v>54</v>
      </c>
      <c r="L2944">
        <v>15</v>
      </c>
      <c r="M2944" t="str">
        <f t="shared" si="45"/>
        <v>6-12 Months</v>
      </c>
      <c r="N2944" s="1">
        <v>45100</v>
      </c>
      <c r="O2944">
        <v>0</v>
      </c>
      <c r="P2944">
        <v>2943</v>
      </c>
      <c r="Q2944" s="2">
        <v>-0.45</v>
      </c>
      <c r="R2944" t="s">
        <v>27</v>
      </c>
      <c r="S2944">
        <v>2023</v>
      </c>
      <c r="T2944" t="s">
        <v>41</v>
      </c>
    </row>
    <row r="2945" spans="1:20" hidden="1" x14ac:dyDescent="0.3">
      <c r="A2945">
        <v>4906</v>
      </c>
      <c r="B2945">
        <v>316</v>
      </c>
      <c r="C2945" t="s">
        <v>53</v>
      </c>
      <c r="D2945" t="s">
        <v>19</v>
      </c>
      <c r="E2945" t="s">
        <v>26</v>
      </c>
      <c r="F2945" s="1">
        <v>44848</v>
      </c>
      <c r="G2945" s="1">
        <v>44907</v>
      </c>
      <c r="H2945">
        <v>4454</v>
      </c>
      <c r="I2945">
        <v>4041</v>
      </c>
      <c r="J2945">
        <v>413</v>
      </c>
      <c r="K2945" t="s">
        <v>21</v>
      </c>
      <c r="L2945">
        <v>1</v>
      </c>
      <c r="M2945" t="str">
        <f t="shared" si="45"/>
        <v>0-6 Months</v>
      </c>
      <c r="N2945" s="1">
        <v>44907</v>
      </c>
      <c r="O2945">
        <v>1</v>
      </c>
      <c r="P2945">
        <v>2944</v>
      </c>
      <c r="Q2945" s="2">
        <v>0.09</v>
      </c>
      <c r="R2945" t="s">
        <v>27</v>
      </c>
      <c r="S2945">
        <v>2022</v>
      </c>
      <c r="T2945" t="s">
        <v>31</v>
      </c>
    </row>
    <row r="2946" spans="1:20" hidden="1" x14ac:dyDescent="0.3">
      <c r="A2946">
        <v>4907</v>
      </c>
      <c r="B2946">
        <v>425</v>
      </c>
      <c r="C2946" t="s">
        <v>24</v>
      </c>
      <c r="D2946" t="s">
        <v>19</v>
      </c>
      <c r="E2946" t="s">
        <v>37</v>
      </c>
      <c r="F2946" s="1">
        <v>44823</v>
      </c>
      <c r="G2946" s="1">
        <v>45030</v>
      </c>
      <c r="H2946">
        <v>559</v>
      </c>
      <c r="I2946">
        <v>3220</v>
      </c>
      <c r="J2946">
        <v>-2661</v>
      </c>
      <c r="K2946" t="s">
        <v>54</v>
      </c>
      <c r="L2946">
        <v>6</v>
      </c>
      <c r="M2946" t="str">
        <f t="shared" ref="M2946:M2995" si="46">IF(L2946&lt;6,"0-6 Months",IF(L2946&gt;6,"6-12 Months","12+ Months"))</f>
        <v>12+ Months</v>
      </c>
      <c r="N2946" s="1">
        <v>45030</v>
      </c>
      <c r="O2946">
        <v>1</v>
      </c>
      <c r="P2946">
        <v>2945</v>
      </c>
      <c r="Q2946" s="2">
        <v>-4.76</v>
      </c>
      <c r="R2946" t="s">
        <v>22</v>
      </c>
      <c r="S2946">
        <v>2023</v>
      </c>
      <c r="T2946" t="s">
        <v>32</v>
      </c>
    </row>
    <row r="2947" spans="1:20" x14ac:dyDescent="0.3">
      <c r="A2947">
        <v>4908</v>
      </c>
      <c r="B2947">
        <v>290</v>
      </c>
      <c r="C2947" t="s">
        <v>45</v>
      </c>
      <c r="D2947" t="s">
        <v>19</v>
      </c>
      <c r="E2947" t="s">
        <v>26</v>
      </c>
      <c r="F2947" s="1">
        <v>44869</v>
      </c>
      <c r="G2947" s="1">
        <v>45021</v>
      </c>
      <c r="H2947">
        <v>4406</v>
      </c>
      <c r="I2947">
        <v>5360</v>
      </c>
      <c r="J2947">
        <v>577.01</v>
      </c>
      <c r="K2947" t="s">
        <v>35</v>
      </c>
      <c r="L2947">
        <v>5</v>
      </c>
      <c r="M2947" t="str">
        <f t="shared" si="46"/>
        <v>0-6 Months</v>
      </c>
      <c r="N2947" s="1">
        <v>45021</v>
      </c>
      <c r="O2947">
        <v>0</v>
      </c>
      <c r="P2947">
        <v>2946</v>
      </c>
      <c r="Q2947" s="2">
        <v>0.13</v>
      </c>
      <c r="R2947" t="s">
        <v>27</v>
      </c>
      <c r="S2947">
        <v>2023</v>
      </c>
      <c r="T2947" t="s">
        <v>32</v>
      </c>
    </row>
    <row r="2948" spans="1:20" x14ac:dyDescent="0.3">
      <c r="A2948">
        <v>4910</v>
      </c>
      <c r="B2948">
        <v>283</v>
      </c>
      <c r="C2948" t="s">
        <v>53</v>
      </c>
      <c r="D2948" t="s">
        <v>25</v>
      </c>
      <c r="E2948" t="s">
        <v>26</v>
      </c>
      <c r="F2948" s="1">
        <v>44785</v>
      </c>
      <c r="G2948" s="1">
        <v>44835</v>
      </c>
      <c r="H2948">
        <v>8709</v>
      </c>
      <c r="I2948">
        <v>4405</v>
      </c>
      <c r="J2948">
        <v>4304</v>
      </c>
      <c r="K2948" t="s">
        <v>35</v>
      </c>
      <c r="L2948">
        <v>1</v>
      </c>
      <c r="M2948" t="str">
        <f t="shared" si="46"/>
        <v>0-6 Months</v>
      </c>
      <c r="N2948" s="1">
        <v>44835</v>
      </c>
      <c r="O2948">
        <v>1</v>
      </c>
      <c r="P2948">
        <v>2947</v>
      </c>
      <c r="Q2948" s="2">
        <v>0.49</v>
      </c>
      <c r="R2948" t="s">
        <v>27</v>
      </c>
      <c r="S2948">
        <v>2022</v>
      </c>
      <c r="T2948" t="s">
        <v>33</v>
      </c>
    </row>
    <row r="2949" spans="1:20" hidden="1" x14ac:dyDescent="0.3">
      <c r="A2949">
        <v>4911</v>
      </c>
      <c r="B2949">
        <v>411</v>
      </c>
      <c r="C2949" t="s">
        <v>45</v>
      </c>
      <c r="D2949" t="s">
        <v>29</v>
      </c>
      <c r="E2949" t="s">
        <v>37</v>
      </c>
      <c r="F2949" s="1">
        <v>44904</v>
      </c>
      <c r="G2949" s="1">
        <v>45485</v>
      </c>
      <c r="H2949">
        <v>6239</v>
      </c>
      <c r="I2949">
        <v>923</v>
      </c>
      <c r="J2949">
        <v>5316</v>
      </c>
      <c r="K2949" t="s">
        <v>54</v>
      </c>
      <c r="L2949">
        <v>19</v>
      </c>
      <c r="M2949" t="str">
        <f t="shared" si="46"/>
        <v>6-12 Months</v>
      </c>
      <c r="N2949" s="1">
        <v>45485</v>
      </c>
      <c r="O2949">
        <v>1</v>
      </c>
      <c r="P2949">
        <v>2948</v>
      </c>
      <c r="Q2949" s="2">
        <v>0.85</v>
      </c>
      <c r="R2949" t="s">
        <v>27</v>
      </c>
      <c r="S2949">
        <v>2024</v>
      </c>
      <c r="T2949" t="s">
        <v>44</v>
      </c>
    </row>
    <row r="2950" spans="1:20" hidden="1" x14ac:dyDescent="0.3">
      <c r="A2950">
        <v>4912</v>
      </c>
      <c r="B2950">
        <v>291</v>
      </c>
      <c r="C2950" t="s">
        <v>53</v>
      </c>
      <c r="D2950" t="s">
        <v>34</v>
      </c>
      <c r="E2950" t="s">
        <v>37</v>
      </c>
      <c r="F2950" s="1">
        <v>44767</v>
      </c>
      <c r="G2950" s="1">
        <v>44936</v>
      </c>
      <c r="H2950">
        <v>4967.93</v>
      </c>
      <c r="I2950">
        <v>1831</v>
      </c>
      <c r="J2950">
        <v>-2401</v>
      </c>
      <c r="K2950" t="s">
        <v>21</v>
      </c>
      <c r="L2950">
        <v>5</v>
      </c>
      <c r="M2950" t="str">
        <f t="shared" si="46"/>
        <v>0-6 Months</v>
      </c>
      <c r="N2950" s="1">
        <v>44936</v>
      </c>
      <c r="O2950">
        <v>1</v>
      </c>
      <c r="P2950">
        <v>2949</v>
      </c>
      <c r="Q2950" s="2">
        <v>-0.48</v>
      </c>
      <c r="R2950" t="s">
        <v>27</v>
      </c>
      <c r="S2950">
        <v>2023</v>
      </c>
      <c r="T2950" t="s">
        <v>23</v>
      </c>
    </row>
    <row r="2951" spans="1:20" hidden="1" x14ac:dyDescent="0.3">
      <c r="A2951">
        <v>4914</v>
      </c>
      <c r="B2951">
        <v>354</v>
      </c>
      <c r="C2951" t="s">
        <v>39</v>
      </c>
      <c r="D2951" t="s">
        <v>19</v>
      </c>
      <c r="E2951" t="s">
        <v>26</v>
      </c>
      <c r="F2951" s="1">
        <v>44564</v>
      </c>
      <c r="G2951" s="1">
        <v>44604</v>
      </c>
      <c r="H2951">
        <v>644</v>
      </c>
      <c r="I2951">
        <v>4986</v>
      </c>
      <c r="J2951">
        <v>577.01</v>
      </c>
      <c r="K2951" t="s">
        <v>54</v>
      </c>
      <c r="L2951">
        <v>1</v>
      </c>
      <c r="M2951" t="str">
        <f t="shared" si="46"/>
        <v>0-6 Months</v>
      </c>
      <c r="N2951" s="1">
        <v>44604</v>
      </c>
      <c r="O2951">
        <v>1</v>
      </c>
      <c r="P2951">
        <v>2950</v>
      </c>
      <c r="Q2951" s="2">
        <v>0.9</v>
      </c>
      <c r="R2951" t="s">
        <v>27</v>
      </c>
      <c r="S2951">
        <v>2022</v>
      </c>
      <c r="T2951" t="s">
        <v>43</v>
      </c>
    </row>
    <row r="2952" spans="1:20" hidden="1" x14ac:dyDescent="0.3">
      <c r="A2952">
        <v>4916</v>
      </c>
      <c r="B2952">
        <v>208</v>
      </c>
      <c r="C2952" t="s">
        <v>45</v>
      </c>
      <c r="D2952" t="s">
        <v>34</v>
      </c>
      <c r="E2952" t="s">
        <v>37</v>
      </c>
      <c r="F2952" s="1">
        <v>44752</v>
      </c>
      <c r="G2952" s="1">
        <v>45206</v>
      </c>
      <c r="H2952">
        <v>5974</v>
      </c>
      <c r="I2952">
        <v>4708</v>
      </c>
      <c r="J2952">
        <v>1266</v>
      </c>
      <c r="K2952" t="s">
        <v>21</v>
      </c>
      <c r="L2952">
        <v>14</v>
      </c>
      <c r="M2952" t="str">
        <f t="shared" si="46"/>
        <v>6-12 Months</v>
      </c>
      <c r="N2952" s="1">
        <v>45206</v>
      </c>
      <c r="O2952">
        <v>1</v>
      </c>
      <c r="P2952">
        <v>2951</v>
      </c>
      <c r="Q2952" s="2">
        <v>0.21</v>
      </c>
      <c r="R2952" t="s">
        <v>27</v>
      </c>
      <c r="S2952">
        <v>2023</v>
      </c>
      <c r="T2952" t="s">
        <v>33</v>
      </c>
    </row>
    <row r="2953" spans="1:20" hidden="1" x14ac:dyDescent="0.3">
      <c r="A2953">
        <v>4919</v>
      </c>
      <c r="B2953">
        <v>213</v>
      </c>
      <c r="C2953" t="s">
        <v>40</v>
      </c>
      <c r="D2953" t="s">
        <v>19</v>
      </c>
      <c r="E2953" t="s">
        <v>37</v>
      </c>
      <c r="F2953" s="1">
        <v>44657</v>
      </c>
      <c r="G2953" s="1">
        <v>44969</v>
      </c>
      <c r="H2953">
        <v>7417</v>
      </c>
      <c r="I2953">
        <v>7323</v>
      </c>
      <c r="J2953">
        <v>94</v>
      </c>
      <c r="K2953" t="s">
        <v>54</v>
      </c>
      <c r="L2953">
        <v>10</v>
      </c>
      <c r="M2953" t="str">
        <f t="shared" si="46"/>
        <v>6-12 Months</v>
      </c>
      <c r="N2953" s="1">
        <v>44969</v>
      </c>
      <c r="O2953">
        <v>0</v>
      </c>
      <c r="P2953">
        <v>2952</v>
      </c>
      <c r="Q2953" s="2">
        <v>0.01</v>
      </c>
      <c r="R2953" t="s">
        <v>27</v>
      </c>
      <c r="S2953">
        <v>2023</v>
      </c>
      <c r="T2953" t="s">
        <v>43</v>
      </c>
    </row>
    <row r="2954" spans="1:20" hidden="1" x14ac:dyDescent="0.3">
      <c r="A2954">
        <v>4920</v>
      </c>
      <c r="B2954">
        <v>410</v>
      </c>
      <c r="C2954" t="s">
        <v>45</v>
      </c>
      <c r="D2954" t="s">
        <v>25</v>
      </c>
      <c r="E2954" t="s">
        <v>26</v>
      </c>
      <c r="F2954" s="1">
        <v>44902</v>
      </c>
      <c r="G2954" s="1">
        <v>45229</v>
      </c>
      <c r="H2954">
        <v>1079</v>
      </c>
      <c r="I2954">
        <v>1319</v>
      </c>
      <c r="J2954">
        <v>577.01</v>
      </c>
      <c r="K2954" t="s">
        <v>54</v>
      </c>
      <c r="L2954">
        <v>10</v>
      </c>
      <c r="M2954" t="str">
        <f t="shared" si="46"/>
        <v>6-12 Months</v>
      </c>
      <c r="N2954" s="1">
        <v>45229</v>
      </c>
      <c r="O2954">
        <v>1</v>
      </c>
      <c r="P2954">
        <v>2953</v>
      </c>
      <c r="Q2954" s="2">
        <v>0.53</v>
      </c>
      <c r="R2954" t="s">
        <v>27</v>
      </c>
      <c r="S2954">
        <v>2023</v>
      </c>
      <c r="T2954" t="s">
        <v>33</v>
      </c>
    </row>
    <row r="2955" spans="1:20" hidden="1" x14ac:dyDescent="0.3">
      <c r="A2955">
        <v>4922</v>
      </c>
      <c r="B2955">
        <v>283</v>
      </c>
      <c r="C2955" t="s">
        <v>45</v>
      </c>
      <c r="D2955" t="s">
        <v>19</v>
      </c>
      <c r="E2955" t="s">
        <v>20</v>
      </c>
      <c r="F2955" s="1">
        <v>44623</v>
      </c>
      <c r="G2955" s="1">
        <v>45041</v>
      </c>
      <c r="H2955">
        <v>3220</v>
      </c>
      <c r="I2955">
        <v>282</v>
      </c>
      <c r="J2955">
        <v>2938</v>
      </c>
      <c r="K2955" t="s">
        <v>21</v>
      </c>
      <c r="L2955">
        <v>13</v>
      </c>
      <c r="M2955" t="str">
        <f t="shared" si="46"/>
        <v>6-12 Months</v>
      </c>
      <c r="N2955" s="1">
        <v>45041</v>
      </c>
      <c r="O2955">
        <v>1</v>
      </c>
      <c r="P2955">
        <v>2954</v>
      </c>
      <c r="Q2955" s="2">
        <v>0.91</v>
      </c>
      <c r="R2955" t="s">
        <v>27</v>
      </c>
      <c r="S2955">
        <v>2023</v>
      </c>
      <c r="T2955" t="s">
        <v>32</v>
      </c>
    </row>
    <row r="2956" spans="1:20" hidden="1" x14ac:dyDescent="0.3">
      <c r="A2956">
        <v>4923</v>
      </c>
      <c r="B2956">
        <v>499</v>
      </c>
      <c r="C2956" t="s">
        <v>24</v>
      </c>
      <c r="D2956" t="s">
        <v>29</v>
      </c>
      <c r="E2956" t="s">
        <v>37</v>
      </c>
      <c r="F2956" s="1">
        <v>44685</v>
      </c>
      <c r="G2956" s="1">
        <v>44968</v>
      </c>
      <c r="H2956">
        <v>4967.93</v>
      </c>
      <c r="I2956">
        <v>4042</v>
      </c>
      <c r="J2956">
        <v>-5903</v>
      </c>
      <c r="K2956" t="s">
        <v>54</v>
      </c>
      <c r="L2956">
        <v>9</v>
      </c>
      <c r="M2956" t="str">
        <f t="shared" si="46"/>
        <v>6-12 Months</v>
      </c>
      <c r="N2956" s="1">
        <v>44968</v>
      </c>
      <c r="O2956">
        <v>0</v>
      </c>
      <c r="P2956">
        <v>2955</v>
      </c>
      <c r="Q2956" s="2">
        <v>-1.19</v>
      </c>
      <c r="R2956" t="s">
        <v>22</v>
      </c>
      <c r="S2956">
        <v>2023</v>
      </c>
      <c r="T2956" t="s">
        <v>43</v>
      </c>
    </row>
    <row r="2957" spans="1:20" x14ac:dyDescent="0.3">
      <c r="A2957">
        <v>4924</v>
      </c>
      <c r="B2957">
        <v>173</v>
      </c>
      <c r="C2957" t="s">
        <v>45</v>
      </c>
      <c r="D2957" t="s">
        <v>29</v>
      </c>
      <c r="E2957" t="s">
        <v>37</v>
      </c>
      <c r="F2957" s="1">
        <v>44919</v>
      </c>
      <c r="G2957" s="1">
        <v>44999</v>
      </c>
      <c r="H2957">
        <v>7118</v>
      </c>
      <c r="I2957">
        <v>5591</v>
      </c>
      <c r="J2957">
        <v>1527</v>
      </c>
      <c r="K2957" t="s">
        <v>35</v>
      </c>
      <c r="L2957">
        <v>2</v>
      </c>
      <c r="M2957" t="str">
        <f t="shared" si="46"/>
        <v>0-6 Months</v>
      </c>
      <c r="N2957" s="1">
        <v>44999</v>
      </c>
      <c r="O2957">
        <v>0</v>
      </c>
      <c r="P2957">
        <v>2956</v>
      </c>
      <c r="Q2957" s="2">
        <v>0.21</v>
      </c>
      <c r="R2957" t="s">
        <v>27</v>
      </c>
      <c r="S2957">
        <v>2023</v>
      </c>
      <c r="T2957" t="s">
        <v>38</v>
      </c>
    </row>
    <row r="2958" spans="1:20" hidden="1" x14ac:dyDescent="0.3">
      <c r="A2958">
        <v>4925</v>
      </c>
      <c r="B2958">
        <v>413</v>
      </c>
      <c r="C2958" t="s">
        <v>45</v>
      </c>
      <c r="D2958" t="s">
        <v>34</v>
      </c>
      <c r="E2958" t="s">
        <v>37</v>
      </c>
      <c r="F2958" s="1">
        <v>44622</v>
      </c>
      <c r="G2958" s="1">
        <v>45000</v>
      </c>
      <c r="H2958">
        <v>614</v>
      </c>
      <c r="I2958">
        <v>4012.75</v>
      </c>
      <c r="J2958">
        <v>577.01</v>
      </c>
      <c r="K2958" t="s">
        <v>21</v>
      </c>
      <c r="L2958">
        <v>12</v>
      </c>
      <c r="M2958" t="str">
        <f t="shared" si="46"/>
        <v>6-12 Months</v>
      </c>
      <c r="N2958" s="1">
        <v>45000</v>
      </c>
      <c r="O2958">
        <v>1</v>
      </c>
      <c r="P2958">
        <v>2957</v>
      </c>
      <c r="Q2958" s="2">
        <v>0.94</v>
      </c>
      <c r="R2958" t="s">
        <v>27</v>
      </c>
      <c r="S2958">
        <v>2023</v>
      </c>
      <c r="T2958" t="s">
        <v>38</v>
      </c>
    </row>
    <row r="2959" spans="1:20" hidden="1" x14ac:dyDescent="0.3">
      <c r="A2959">
        <v>4926</v>
      </c>
      <c r="B2959">
        <v>130</v>
      </c>
      <c r="C2959" t="s">
        <v>45</v>
      </c>
      <c r="D2959" t="s">
        <v>25</v>
      </c>
      <c r="E2959" t="s">
        <v>37</v>
      </c>
      <c r="F2959" s="1">
        <v>44601</v>
      </c>
      <c r="G2959" s="1">
        <v>44824</v>
      </c>
      <c r="H2959">
        <v>7879</v>
      </c>
      <c r="I2959">
        <v>3156</v>
      </c>
      <c r="J2959">
        <v>4723</v>
      </c>
      <c r="K2959" t="s">
        <v>21</v>
      </c>
      <c r="L2959">
        <v>7</v>
      </c>
      <c r="M2959" t="str">
        <f t="shared" si="46"/>
        <v>6-12 Months</v>
      </c>
      <c r="N2959" s="1">
        <v>44824</v>
      </c>
      <c r="O2959">
        <v>1</v>
      </c>
      <c r="P2959">
        <v>2958</v>
      </c>
      <c r="Q2959" s="2">
        <v>0.6</v>
      </c>
      <c r="R2959" t="s">
        <v>27</v>
      </c>
      <c r="S2959">
        <v>2022</v>
      </c>
      <c r="T2959" t="s">
        <v>30</v>
      </c>
    </row>
    <row r="2960" spans="1:20" hidden="1" x14ac:dyDescent="0.3">
      <c r="A2960">
        <v>4927</v>
      </c>
      <c r="B2960">
        <v>330</v>
      </c>
      <c r="C2960" t="s">
        <v>45</v>
      </c>
      <c r="D2960" t="s">
        <v>34</v>
      </c>
      <c r="E2960" t="s">
        <v>37</v>
      </c>
      <c r="F2960" s="1">
        <v>44815</v>
      </c>
      <c r="G2960" s="1">
        <v>45219</v>
      </c>
      <c r="H2960">
        <v>9825</v>
      </c>
      <c r="I2960">
        <v>7769</v>
      </c>
      <c r="J2960">
        <v>2056</v>
      </c>
      <c r="K2960" t="s">
        <v>54</v>
      </c>
      <c r="L2960">
        <v>13</v>
      </c>
      <c r="M2960" t="str">
        <f t="shared" si="46"/>
        <v>6-12 Months</v>
      </c>
      <c r="N2960" s="1">
        <v>45219</v>
      </c>
      <c r="O2960">
        <v>0</v>
      </c>
      <c r="P2960">
        <v>2959</v>
      </c>
      <c r="Q2960" s="2">
        <v>0.21</v>
      </c>
      <c r="R2960" t="s">
        <v>27</v>
      </c>
      <c r="S2960">
        <v>2023</v>
      </c>
      <c r="T2960" t="s">
        <v>33</v>
      </c>
    </row>
    <row r="2961" spans="1:20" hidden="1" x14ac:dyDescent="0.3">
      <c r="A2961">
        <v>4928</v>
      </c>
      <c r="B2961">
        <v>255</v>
      </c>
      <c r="C2961" t="s">
        <v>39</v>
      </c>
      <c r="D2961" t="s">
        <v>19</v>
      </c>
      <c r="E2961" t="s">
        <v>37</v>
      </c>
      <c r="F2961" s="1">
        <v>44826</v>
      </c>
      <c r="G2961" s="1">
        <v>45342</v>
      </c>
      <c r="H2961">
        <v>4533</v>
      </c>
      <c r="I2961">
        <v>2187</v>
      </c>
      <c r="J2961">
        <v>2346</v>
      </c>
      <c r="K2961" t="s">
        <v>21</v>
      </c>
      <c r="L2961">
        <v>16</v>
      </c>
      <c r="M2961" t="str">
        <f t="shared" si="46"/>
        <v>6-12 Months</v>
      </c>
      <c r="N2961" s="1">
        <v>45342</v>
      </c>
      <c r="O2961">
        <v>0</v>
      </c>
      <c r="P2961">
        <v>2960</v>
      </c>
      <c r="Q2961" s="2">
        <v>0.52</v>
      </c>
      <c r="R2961" t="s">
        <v>27</v>
      </c>
      <c r="S2961">
        <v>2024</v>
      </c>
      <c r="T2961" t="s">
        <v>43</v>
      </c>
    </row>
    <row r="2962" spans="1:20" hidden="1" x14ac:dyDescent="0.3">
      <c r="A2962">
        <v>4930</v>
      </c>
      <c r="B2962">
        <v>371</v>
      </c>
      <c r="C2962" t="s">
        <v>24</v>
      </c>
      <c r="D2962" t="s">
        <v>29</v>
      </c>
      <c r="E2962" t="s">
        <v>37</v>
      </c>
      <c r="F2962" s="1">
        <v>44562</v>
      </c>
      <c r="G2962" s="1">
        <v>45062</v>
      </c>
      <c r="H2962">
        <v>4967.93</v>
      </c>
      <c r="I2962">
        <v>4012.75</v>
      </c>
      <c r="J2962">
        <v>18</v>
      </c>
      <c r="K2962" t="s">
        <v>21</v>
      </c>
      <c r="L2962">
        <v>16</v>
      </c>
      <c r="M2962" t="str">
        <f t="shared" si="46"/>
        <v>6-12 Months</v>
      </c>
      <c r="N2962" s="1">
        <v>45062</v>
      </c>
      <c r="O2962">
        <v>0</v>
      </c>
      <c r="P2962">
        <v>2961</v>
      </c>
      <c r="Q2962" s="2">
        <v>0</v>
      </c>
      <c r="R2962" t="s">
        <v>27</v>
      </c>
      <c r="S2962">
        <v>2023</v>
      </c>
      <c r="T2962" t="s">
        <v>28</v>
      </c>
    </row>
    <row r="2963" spans="1:20" hidden="1" x14ac:dyDescent="0.3">
      <c r="A2963">
        <v>4931</v>
      </c>
      <c r="B2963">
        <v>199</v>
      </c>
      <c r="C2963" t="s">
        <v>53</v>
      </c>
      <c r="D2963" t="s">
        <v>25</v>
      </c>
      <c r="E2963" t="s">
        <v>37</v>
      </c>
      <c r="F2963" s="1">
        <v>44705</v>
      </c>
      <c r="G2963" s="1">
        <v>44909</v>
      </c>
      <c r="H2963">
        <v>4967.93</v>
      </c>
      <c r="I2963">
        <v>4012.75</v>
      </c>
      <c r="J2963">
        <v>567</v>
      </c>
      <c r="K2963" t="s">
        <v>54</v>
      </c>
      <c r="L2963">
        <v>6</v>
      </c>
      <c r="M2963" t="str">
        <f t="shared" si="46"/>
        <v>12+ Months</v>
      </c>
      <c r="N2963" s="1">
        <v>44909</v>
      </c>
      <c r="O2963">
        <v>0</v>
      </c>
      <c r="P2963">
        <v>2962</v>
      </c>
      <c r="Q2963" s="2">
        <v>0.11</v>
      </c>
      <c r="R2963" t="s">
        <v>27</v>
      </c>
      <c r="S2963">
        <v>2022</v>
      </c>
      <c r="T2963" t="s">
        <v>31</v>
      </c>
    </row>
    <row r="2964" spans="1:20" hidden="1" x14ac:dyDescent="0.3">
      <c r="A2964">
        <v>4932</v>
      </c>
      <c r="B2964">
        <v>374</v>
      </c>
      <c r="C2964" t="s">
        <v>40</v>
      </c>
      <c r="D2964" t="s">
        <v>34</v>
      </c>
      <c r="E2964" t="s">
        <v>20</v>
      </c>
      <c r="F2964" s="1">
        <v>44620</v>
      </c>
      <c r="G2964" s="1">
        <v>45092</v>
      </c>
      <c r="H2964">
        <v>6946</v>
      </c>
      <c r="I2964">
        <v>2977</v>
      </c>
      <c r="J2964">
        <v>577.01</v>
      </c>
      <c r="K2964" t="s">
        <v>21</v>
      </c>
      <c r="L2964">
        <v>15</v>
      </c>
      <c r="M2964" t="str">
        <f t="shared" si="46"/>
        <v>6-12 Months</v>
      </c>
      <c r="N2964" s="1">
        <v>45092</v>
      </c>
      <c r="O2964">
        <v>0</v>
      </c>
      <c r="P2964">
        <v>2963</v>
      </c>
      <c r="Q2964" s="2">
        <v>0.08</v>
      </c>
      <c r="R2964" t="s">
        <v>27</v>
      </c>
      <c r="S2964">
        <v>2023</v>
      </c>
      <c r="T2964" t="s">
        <v>41</v>
      </c>
    </row>
    <row r="2965" spans="1:20" hidden="1" x14ac:dyDescent="0.3">
      <c r="A2965">
        <v>4933</v>
      </c>
      <c r="B2965">
        <v>262</v>
      </c>
      <c r="C2965" t="s">
        <v>45</v>
      </c>
      <c r="D2965" t="s">
        <v>34</v>
      </c>
      <c r="E2965" t="s">
        <v>20</v>
      </c>
      <c r="F2965" s="1">
        <v>44687</v>
      </c>
      <c r="G2965" s="1">
        <v>45001</v>
      </c>
      <c r="H2965">
        <v>3760</v>
      </c>
      <c r="I2965">
        <v>1108</v>
      </c>
      <c r="J2965">
        <v>2652</v>
      </c>
      <c r="K2965" t="s">
        <v>54</v>
      </c>
      <c r="L2965">
        <v>10</v>
      </c>
      <c r="M2965" t="str">
        <f t="shared" si="46"/>
        <v>6-12 Months</v>
      </c>
      <c r="N2965" s="1">
        <v>45001</v>
      </c>
      <c r="O2965">
        <v>0</v>
      </c>
      <c r="P2965">
        <v>2964</v>
      </c>
      <c r="Q2965" s="2">
        <v>0.71</v>
      </c>
      <c r="R2965" t="s">
        <v>27</v>
      </c>
      <c r="S2965">
        <v>2023</v>
      </c>
      <c r="T2965" t="s">
        <v>38</v>
      </c>
    </row>
    <row r="2966" spans="1:20" hidden="1" x14ac:dyDescent="0.3">
      <c r="A2966">
        <v>4935</v>
      </c>
      <c r="B2966">
        <v>108</v>
      </c>
      <c r="C2966" t="s">
        <v>24</v>
      </c>
      <c r="D2966" t="s">
        <v>19</v>
      </c>
      <c r="E2966" t="s">
        <v>20</v>
      </c>
      <c r="F2966" s="1">
        <v>44608</v>
      </c>
      <c r="G2966" s="1">
        <v>45023</v>
      </c>
      <c r="H2966">
        <v>1368</v>
      </c>
      <c r="I2966">
        <v>2777</v>
      </c>
      <c r="J2966">
        <v>577.01</v>
      </c>
      <c r="K2966" t="s">
        <v>54</v>
      </c>
      <c r="L2966">
        <v>13</v>
      </c>
      <c r="M2966" t="str">
        <f t="shared" si="46"/>
        <v>6-12 Months</v>
      </c>
      <c r="N2966" s="1">
        <v>45023</v>
      </c>
      <c r="O2966">
        <v>0</v>
      </c>
      <c r="P2966">
        <v>2965</v>
      </c>
      <c r="Q2966" s="2">
        <v>0.42</v>
      </c>
      <c r="R2966" t="s">
        <v>27</v>
      </c>
      <c r="S2966">
        <v>2023</v>
      </c>
      <c r="T2966" t="s">
        <v>32</v>
      </c>
    </row>
    <row r="2967" spans="1:20" x14ac:dyDescent="0.3">
      <c r="A2967">
        <v>4937</v>
      </c>
      <c r="B2967">
        <v>214</v>
      </c>
      <c r="C2967" t="s">
        <v>40</v>
      </c>
      <c r="D2967" t="s">
        <v>34</v>
      </c>
      <c r="E2967" t="s">
        <v>37</v>
      </c>
      <c r="F2967" s="1">
        <v>44911</v>
      </c>
      <c r="G2967" s="1">
        <v>45006</v>
      </c>
      <c r="H2967">
        <v>4967.93</v>
      </c>
      <c r="I2967">
        <v>729</v>
      </c>
      <c r="J2967">
        <v>577.01</v>
      </c>
      <c r="K2967" t="s">
        <v>35</v>
      </c>
      <c r="L2967">
        <v>3</v>
      </c>
      <c r="M2967" t="str">
        <f t="shared" si="46"/>
        <v>0-6 Months</v>
      </c>
      <c r="N2967" s="1">
        <v>45006</v>
      </c>
      <c r="O2967">
        <v>1</v>
      </c>
      <c r="P2967">
        <v>2966</v>
      </c>
      <c r="Q2967" s="2">
        <v>0.12</v>
      </c>
      <c r="R2967" t="s">
        <v>27</v>
      </c>
      <c r="S2967">
        <v>2023</v>
      </c>
      <c r="T2967" t="s">
        <v>38</v>
      </c>
    </row>
    <row r="2968" spans="1:20" hidden="1" x14ac:dyDescent="0.3">
      <c r="A2968">
        <v>4941</v>
      </c>
      <c r="B2968">
        <v>200</v>
      </c>
      <c r="C2968" t="s">
        <v>53</v>
      </c>
      <c r="D2968" t="s">
        <v>34</v>
      </c>
      <c r="E2968" t="s">
        <v>26</v>
      </c>
      <c r="F2968" s="1">
        <v>44866</v>
      </c>
      <c r="G2968" s="1">
        <v>44897</v>
      </c>
      <c r="H2968">
        <v>655</v>
      </c>
      <c r="I2968">
        <v>6650</v>
      </c>
      <c r="J2968">
        <v>577.01</v>
      </c>
      <c r="K2968" t="s">
        <v>54</v>
      </c>
      <c r="L2968">
        <v>1</v>
      </c>
      <c r="M2968" t="str">
        <f t="shared" si="46"/>
        <v>0-6 Months</v>
      </c>
      <c r="N2968" s="1">
        <v>44897</v>
      </c>
      <c r="O2968">
        <v>0</v>
      </c>
      <c r="P2968">
        <v>2967</v>
      </c>
      <c r="Q2968" s="2">
        <v>0.88</v>
      </c>
      <c r="R2968" t="s">
        <v>27</v>
      </c>
      <c r="S2968">
        <v>2022</v>
      </c>
      <c r="T2968" t="s">
        <v>31</v>
      </c>
    </row>
    <row r="2969" spans="1:20" x14ac:dyDescent="0.3">
      <c r="A2969">
        <v>4944</v>
      </c>
      <c r="B2969">
        <v>177</v>
      </c>
      <c r="C2969" t="s">
        <v>39</v>
      </c>
      <c r="D2969" t="s">
        <v>34</v>
      </c>
      <c r="E2969" t="s">
        <v>26</v>
      </c>
      <c r="F2969" s="1">
        <v>44609</v>
      </c>
      <c r="G2969" s="1">
        <v>44780</v>
      </c>
      <c r="H2969">
        <v>5170</v>
      </c>
      <c r="I2969">
        <v>7623</v>
      </c>
      <c r="J2969">
        <v>-2453</v>
      </c>
      <c r="K2969" t="s">
        <v>35</v>
      </c>
      <c r="L2969">
        <v>5</v>
      </c>
      <c r="M2969" t="str">
        <f t="shared" si="46"/>
        <v>0-6 Months</v>
      </c>
      <c r="N2969" s="1">
        <v>44780</v>
      </c>
      <c r="O2969">
        <v>0</v>
      </c>
      <c r="P2969">
        <v>2968</v>
      </c>
      <c r="Q2969" s="2">
        <v>-0.47</v>
      </c>
      <c r="R2969" t="s">
        <v>27</v>
      </c>
      <c r="S2969">
        <v>2022</v>
      </c>
      <c r="T2969" t="s">
        <v>36</v>
      </c>
    </row>
    <row r="2970" spans="1:20" hidden="1" x14ac:dyDescent="0.3">
      <c r="A2970">
        <v>4945</v>
      </c>
      <c r="B2970">
        <v>500</v>
      </c>
      <c r="C2970" t="s">
        <v>53</v>
      </c>
      <c r="D2970" t="s">
        <v>19</v>
      </c>
      <c r="E2970" t="s">
        <v>20</v>
      </c>
      <c r="F2970" s="1">
        <v>44823</v>
      </c>
      <c r="G2970" s="1">
        <v>44952</v>
      </c>
      <c r="H2970">
        <v>2791</v>
      </c>
      <c r="I2970">
        <v>1028</v>
      </c>
      <c r="J2970">
        <v>1763</v>
      </c>
      <c r="K2970" t="s">
        <v>54</v>
      </c>
      <c r="L2970">
        <v>4</v>
      </c>
      <c r="M2970" t="str">
        <f t="shared" si="46"/>
        <v>0-6 Months</v>
      </c>
      <c r="N2970" s="1">
        <v>44952</v>
      </c>
      <c r="O2970">
        <v>0</v>
      </c>
      <c r="P2970">
        <v>2969</v>
      </c>
      <c r="Q2970" s="2">
        <v>0.63</v>
      </c>
      <c r="R2970" t="s">
        <v>27</v>
      </c>
      <c r="S2970">
        <v>2023</v>
      </c>
      <c r="T2970" t="s">
        <v>23</v>
      </c>
    </row>
    <row r="2971" spans="1:20" hidden="1" x14ac:dyDescent="0.3">
      <c r="A2971">
        <v>4947</v>
      </c>
      <c r="B2971">
        <v>487</v>
      </c>
      <c r="C2971" t="s">
        <v>39</v>
      </c>
      <c r="D2971" t="s">
        <v>34</v>
      </c>
      <c r="E2971" t="s">
        <v>37</v>
      </c>
      <c r="F2971" s="1">
        <v>44835</v>
      </c>
      <c r="G2971" s="1">
        <v>45224</v>
      </c>
      <c r="H2971">
        <v>8107</v>
      </c>
      <c r="I2971">
        <v>4012.75</v>
      </c>
      <c r="J2971">
        <v>8878</v>
      </c>
      <c r="K2971" t="s">
        <v>54</v>
      </c>
      <c r="L2971">
        <v>12</v>
      </c>
      <c r="M2971" t="str">
        <f t="shared" si="46"/>
        <v>6-12 Months</v>
      </c>
      <c r="N2971" s="1">
        <v>45224</v>
      </c>
      <c r="O2971">
        <v>1</v>
      </c>
      <c r="P2971">
        <v>2970</v>
      </c>
      <c r="Q2971" s="2">
        <v>1.1000000000000001</v>
      </c>
      <c r="R2971" t="s">
        <v>22</v>
      </c>
      <c r="S2971">
        <v>2023</v>
      </c>
      <c r="T2971" t="s">
        <v>33</v>
      </c>
    </row>
    <row r="2972" spans="1:20" hidden="1" x14ac:dyDescent="0.3">
      <c r="A2972">
        <v>4948</v>
      </c>
      <c r="B2972">
        <v>195</v>
      </c>
      <c r="C2972" t="s">
        <v>39</v>
      </c>
      <c r="D2972" t="s">
        <v>25</v>
      </c>
      <c r="E2972" t="s">
        <v>20</v>
      </c>
      <c r="F2972" s="1">
        <v>44877</v>
      </c>
      <c r="G2972" s="1">
        <v>45355</v>
      </c>
      <c r="H2972">
        <v>6977</v>
      </c>
      <c r="I2972">
        <v>3577</v>
      </c>
      <c r="J2972">
        <v>3400</v>
      </c>
      <c r="K2972" t="s">
        <v>54</v>
      </c>
      <c r="L2972">
        <v>15</v>
      </c>
      <c r="M2972" t="str">
        <f t="shared" si="46"/>
        <v>6-12 Months</v>
      </c>
      <c r="N2972" s="1">
        <v>45355</v>
      </c>
      <c r="O2972">
        <v>1</v>
      </c>
      <c r="P2972">
        <v>2971</v>
      </c>
      <c r="Q2972" s="2">
        <v>0.49</v>
      </c>
      <c r="R2972" t="s">
        <v>27</v>
      </c>
      <c r="S2972">
        <v>2024</v>
      </c>
      <c r="T2972" t="s">
        <v>38</v>
      </c>
    </row>
    <row r="2973" spans="1:20" hidden="1" x14ac:dyDescent="0.3">
      <c r="A2973">
        <v>4951</v>
      </c>
      <c r="B2973">
        <v>186</v>
      </c>
      <c r="C2973" t="s">
        <v>24</v>
      </c>
      <c r="D2973" t="s">
        <v>25</v>
      </c>
      <c r="E2973" t="s">
        <v>20</v>
      </c>
      <c r="F2973" s="1">
        <v>44907</v>
      </c>
      <c r="G2973" s="1">
        <v>45281</v>
      </c>
      <c r="H2973">
        <v>7187</v>
      </c>
      <c r="I2973">
        <v>4666</v>
      </c>
      <c r="J2973">
        <v>2521</v>
      </c>
      <c r="K2973" t="s">
        <v>21</v>
      </c>
      <c r="L2973">
        <v>12</v>
      </c>
      <c r="M2973" t="str">
        <f t="shared" si="46"/>
        <v>6-12 Months</v>
      </c>
      <c r="N2973" s="1">
        <v>45281</v>
      </c>
      <c r="O2973">
        <v>0</v>
      </c>
      <c r="P2973">
        <v>2972</v>
      </c>
      <c r="Q2973" s="2">
        <v>0.35</v>
      </c>
      <c r="R2973" t="s">
        <v>27</v>
      </c>
      <c r="S2973">
        <v>2023</v>
      </c>
      <c r="T2973" t="s">
        <v>31</v>
      </c>
    </row>
    <row r="2974" spans="1:20" hidden="1" x14ac:dyDescent="0.3">
      <c r="A2974">
        <v>4952</v>
      </c>
      <c r="B2974">
        <v>309</v>
      </c>
      <c r="C2974" t="s">
        <v>53</v>
      </c>
      <c r="D2974" t="s">
        <v>25</v>
      </c>
      <c r="E2974" t="s">
        <v>37</v>
      </c>
      <c r="F2974" s="1">
        <v>44879</v>
      </c>
      <c r="G2974" s="1">
        <v>45284</v>
      </c>
      <c r="H2974">
        <v>4673</v>
      </c>
      <c r="I2974">
        <v>4012.75</v>
      </c>
      <c r="J2974">
        <v>5281</v>
      </c>
      <c r="K2974" t="s">
        <v>21</v>
      </c>
      <c r="L2974">
        <v>13</v>
      </c>
      <c r="M2974" t="str">
        <f t="shared" si="46"/>
        <v>6-12 Months</v>
      </c>
      <c r="N2974" s="1">
        <v>45284</v>
      </c>
      <c r="O2974">
        <v>0</v>
      </c>
      <c r="P2974">
        <v>2973</v>
      </c>
      <c r="Q2974" s="2">
        <v>1.1299999999999999</v>
      </c>
      <c r="R2974" t="s">
        <v>22</v>
      </c>
      <c r="S2974">
        <v>2023</v>
      </c>
      <c r="T2974" t="s">
        <v>31</v>
      </c>
    </row>
    <row r="2975" spans="1:20" hidden="1" x14ac:dyDescent="0.3">
      <c r="A2975">
        <v>4954</v>
      </c>
      <c r="B2975">
        <v>488</v>
      </c>
      <c r="C2975" t="s">
        <v>24</v>
      </c>
      <c r="D2975" t="s">
        <v>25</v>
      </c>
      <c r="E2975" t="s">
        <v>26</v>
      </c>
      <c r="F2975" s="1">
        <v>44898</v>
      </c>
      <c r="G2975" s="1">
        <v>44999</v>
      </c>
      <c r="H2975">
        <v>580</v>
      </c>
      <c r="I2975">
        <v>205</v>
      </c>
      <c r="J2975">
        <v>375</v>
      </c>
      <c r="K2975" t="s">
        <v>54</v>
      </c>
      <c r="L2975">
        <v>3</v>
      </c>
      <c r="M2975" t="str">
        <f t="shared" si="46"/>
        <v>0-6 Months</v>
      </c>
      <c r="N2975" s="1">
        <v>44999</v>
      </c>
      <c r="O2975">
        <v>0</v>
      </c>
      <c r="P2975">
        <v>2974</v>
      </c>
      <c r="Q2975" s="2">
        <v>0.65</v>
      </c>
      <c r="R2975" t="s">
        <v>27</v>
      </c>
      <c r="S2975">
        <v>2023</v>
      </c>
      <c r="T2975" t="s">
        <v>38</v>
      </c>
    </row>
    <row r="2976" spans="1:20" hidden="1" x14ac:dyDescent="0.3">
      <c r="A2976">
        <v>4955</v>
      </c>
      <c r="B2976">
        <v>410</v>
      </c>
      <c r="C2976" t="s">
        <v>53</v>
      </c>
      <c r="D2976" t="s">
        <v>19</v>
      </c>
      <c r="E2976" t="s">
        <v>37</v>
      </c>
      <c r="F2976" s="1">
        <v>44794</v>
      </c>
      <c r="G2976" s="1">
        <v>45009</v>
      </c>
      <c r="H2976">
        <v>5076</v>
      </c>
      <c r="I2976">
        <v>6402</v>
      </c>
      <c r="J2976">
        <v>-1326</v>
      </c>
      <c r="K2976" t="s">
        <v>54</v>
      </c>
      <c r="L2976">
        <v>7</v>
      </c>
      <c r="M2976" t="str">
        <f t="shared" si="46"/>
        <v>6-12 Months</v>
      </c>
      <c r="N2976" s="1">
        <v>45009</v>
      </c>
      <c r="O2976">
        <v>1</v>
      </c>
      <c r="P2976">
        <v>2975</v>
      </c>
      <c r="Q2976" s="2">
        <v>-0.26</v>
      </c>
      <c r="R2976" t="s">
        <v>27</v>
      </c>
      <c r="S2976">
        <v>2023</v>
      </c>
      <c r="T2976" t="s">
        <v>38</v>
      </c>
    </row>
    <row r="2977" spans="1:20" hidden="1" x14ac:dyDescent="0.3">
      <c r="A2977">
        <v>4957</v>
      </c>
      <c r="B2977">
        <v>174</v>
      </c>
      <c r="C2977" t="s">
        <v>24</v>
      </c>
      <c r="D2977" t="s">
        <v>34</v>
      </c>
      <c r="E2977" t="s">
        <v>26</v>
      </c>
      <c r="F2977" s="1">
        <v>44693</v>
      </c>
      <c r="G2977" s="1">
        <v>44892</v>
      </c>
      <c r="H2977">
        <v>2290</v>
      </c>
      <c r="I2977">
        <v>1594</v>
      </c>
      <c r="J2977">
        <v>696</v>
      </c>
      <c r="K2977" t="s">
        <v>54</v>
      </c>
      <c r="L2977">
        <v>6</v>
      </c>
      <c r="M2977" t="str">
        <f t="shared" si="46"/>
        <v>12+ Months</v>
      </c>
      <c r="N2977" s="1">
        <v>44892</v>
      </c>
      <c r="O2977">
        <v>1</v>
      </c>
      <c r="P2977">
        <v>2976</v>
      </c>
      <c r="Q2977" s="2">
        <v>0.3</v>
      </c>
      <c r="R2977" t="s">
        <v>27</v>
      </c>
      <c r="S2977">
        <v>2022</v>
      </c>
      <c r="T2977" t="s">
        <v>42</v>
      </c>
    </row>
    <row r="2978" spans="1:20" hidden="1" x14ac:dyDescent="0.3">
      <c r="A2978">
        <v>4960</v>
      </c>
      <c r="B2978">
        <v>270</v>
      </c>
      <c r="C2978" t="s">
        <v>53</v>
      </c>
      <c r="D2978" t="s">
        <v>19</v>
      </c>
      <c r="E2978" t="s">
        <v>26</v>
      </c>
      <c r="F2978" s="1">
        <v>44885</v>
      </c>
      <c r="G2978" s="1">
        <v>44953</v>
      </c>
      <c r="H2978">
        <v>9441</v>
      </c>
      <c r="I2978">
        <v>6823</v>
      </c>
      <c r="J2978">
        <v>2618</v>
      </c>
      <c r="K2978" t="s">
        <v>54</v>
      </c>
      <c r="L2978">
        <v>2</v>
      </c>
      <c r="M2978" t="str">
        <f t="shared" si="46"/>
        <v>0-6 Months</v>
      </c>
      <c r="N2978" s="1">
        <v>44953</v>
      </c>
      <c r="O2978">
        <v>0</v>
      </c>
      <c r="P2978">
        <v>2977</v>
      </c>
      <c r="Q2978" s="2">
        <v>0.28000000000000003</v>
      </c>
      <c r="R2978" t="s">
        <v>27</v>
      </c>
      <c r="S2978">
        <v>2023</v>
      </c>
      <c r="T2978" t="s">
        <v>23</v>
      </c>
    </row>
    <row r="2979" spans="1:20" hidden="1" x14ac:dyDescent="0.3">
      <c r="A2979">
        <v>4961</v>
      </c>
      <c r="B2979">
        <v>336</v>
      </c>
      <c r="C2979" t="s">
        <v>53</v>
      </c>
      <c r="D2979" t="s">
        <v>29</v>
      </c>
      <c r="E2979" t="s">
        <v>20</v>
      </c>
      <c r="F2979" s="1">
        <v>44694</v>
      </c>
      <c r="G2979" s="1">
        <v>45107</v>
      </c>
      <c r="H2979">
        <v>7106</v>
      </c>
      <c r="I2979">
        <v>3963</v>
      </c>
      <c r="J2979">
        <v>3143</v>
      </c>
      <c r="K2979" t="s">
        <v>21</v>
      </c>
      <c r="L2979">
        <v>13</v>
      </c>
      <c r="M2979" t="str">
        <f t="shared" si="46"/>
        <v>6-12 Months</v>
      </c>
      <c r="N2979" s="1">
        <v>45107</v>
      </c>
      <c r="O2979">
        <v>1</v>
      </c>
      <c r="P2979">
        <v>2978</v>
      </c>
      <c r="Q2979" s="2">
        <v>0.44</v>
      </c>
      <c r="R2979" t="s">
        <v>27</v>
      </c>
      <c r="S2979">
        <v>2023</v>
      </c>
      <c r="T2979" t="s">
        <v>41</v>
      </c>
    </row>
    <row r="2980" spans="1:20" hidden="1" x14ac:dyDescent="0.3">
      <c r="A2980">
        <v>4969</v>
      </c>
      <c r="B2980">
        <v>331</v>
      </c>
      <c r="C2980" t="s">
        <v>53</v>
      </c>
      <c r="D2980" t="s">
        <v>34</v>
      </c>
      <c r="E2980" t="s">
        <v>37</v>
      </c>
      <c r="F2980" s="1">
        <v>44916</v>
      </c>
      <c r="G2980" s="1">
        <v>45269</v>
      </c>
      <c r="H2980">
        <v>4967.93</v>
      </c>
      <c r="I2980">
        <v>835</v>
      </c>
      <c r="J2980">
        <v>-1474</v>
      </c>
      <c r="K2980" t="s">
        <v>54</v>
      </c>
      <c r="L2980">
        <v>11</v>
      </c>
      <c r="M2980" t="str">
        <f t="shared" si="46"/>
        <v>6-12 Months</v>
      </c>
      <c r="N2980" s="1">
        <v>45269</v>
      </c>
      <c r="O2980">
        <v>0</v>
      </c>
      <c r="P2980">
        <v>2979</v>
      </c>
      <c r="Q2980" s="2">
        <v>-0.3</v>
      </c>
      <c r="R2980" t="s">
        <v>27</v>
      </c>
      <c r="S2980">
        <v>2023</v>
      </c>
      <c r="T2980" t="s">
        <v>31</v>
      </c>
    </row>
    <row r="2981" spans="1:20" hidden="1" x14ac:dyDescent="0.3">
      <c r="A2981">
        <v>4971</v>
      </c>
      <c r="B2981">
        <v>100</v>
      </c>
      <c r="C2981" t="s">
        <v>24</v>
      </c>
      <c r="D2981" t="s">
        <v>34</v>
      </c>
      <c r="E2981" t="s">
        <v>37</v>
      </c>
      <c r="F2981" s="1">
        <v>44883</v>
      </c>
      <c r="G2981" s="1">
        <v>44919</v>
      </c>
      <c r="H2981">
        <v>4967.93</v>
      </c>
      <c r="I2981">
        <v>4550</v>
      </c>
      <c r="J2981">
        <v>-5011</v>
      </c>
      <c r="K2981" t="s">
        <v>54</v>
      </c>
      <c r="L2981">
        <v>1</v>
      </c>
      <c r="M2981" t="str">
        <f t="shared" si="46"/>
        <v>0-6 Months</v>
      </c>
      <c r="N2981" s="1">
        <v>44919</v>
      </c>
      <c r="O2981">
        <v>0</v>
      </c>
      <c r="P2981">
        <v>2980</v>
      </c>
      <c r="Q2981" s="2">
        <v>-1.01</v>
      </c>
      <c r="R2981" t="s">
        <v>22</v>
      </c>
      <c r="S2981">
        <v>2022</v>
      </c>
      <c r="T2981" t="s">
        <v>31</v>
      </c>
    </row>
    <row r="2982" spans="1:20" x14ac:dyDescent="0.3">
      <c r="A2982">
        <v>4972</v>
      </c>
      <c r="B2982">
        <v>451</v>
      </c>
      <c r="C2982" t="s">
        <v>39</v>
      </c>
      <c r="D2982" t="s">
        <v>34</v>
      </c>
      <c r="E2982" t="s">
        <v>26</v>
      </c>
      <c r="F2982" s="1">
        <v>44734</v>
      </c>
      <c r="G2982" s="1">
        <v>44983</v>
      </c>
      <c r="H2982">
        <v>969</v>
      </c>
      <c r="I2982">
        <v>6528</v>
      </c>
      <c r="J2982">
        <v>-5559</v>
      </c>
      <c r="K2982" t="s">
        <v>35</v>
      </c>
      <c r="L2982">
        <v>8</v>
      </c>
      <c r="M2982" t="str">
        <f t="shared" si="46"/>
        <v>6-12 Months</v>
      </c>
      <c r="N2982" s="1">
        <v>44983</v>
      </c>
      <c r="O2982">
        <v>0</v>
      </c>
      <c r="P2982">
        <v>2981</v>
      </c>
      <c r="Q2982" s="2">
        <v>-5.74</v>
      </c>
      <c r="R2982" t="s">
        <v>22</v>
      </c>
      <c r="S2982">
        <v>2023</v>
      </c>
      <c r="T2982" t="s">
        <v>43</v>
      </c>
    </row>
    <row r="2983" spans="1:20" hidden="1" x14ac:dyDescent="0.3">
      <c r="A2983">
        <v>4978</v>
      </c>
      <c r="B2983">
        <v>484</v>
      </c>
      <c r="C2983" t="s">
        <v>45</v>
      </c>
      <c r="D2983" t="s">
        <v>34</v>
      </c>
      <c r="E2983" t="s">
        <v>20</v>
      </c>
      <c r="F2983" s="1">
        <v>44869</v>
      </c>
      <c r="G2983" s="1">
        <v>45351</v>
      </c>
      <c r="H2983">
        <v>5192</v>
      </c>
      <c r="I2983">
        <v>4622</v>
      </c>
      <c r="J2983">
        <v>570</v>
      </c>
      <c r="K2983" t="s">
        <v>54</v>
      </c>
      <c r="L2983">
        <v>15</v>
      </c>
      <c r="M2983" t="str">
        <f t="shared" si="46"/>
        <v>6-12 Months</v>
      </c>
      <c r="N2983" s="1">
        <v>45351</v>
      </c>
      <c r="O2983">
        <v>1</v>
      </c>
      <c r="P2983">
        <v>2982</v>
      </c>
      <c r="Q2983" s="2">
        <v>0.11</v>
      </c>
      <c r="R2983" t="s">
        <v>27</v>
      </c>
      <c r="S2983">
        <v>2024</v>
      </c>
      <c r="T2983" t="s">
        <v>43</v>
      </c>
    </row>
    <row r="2984" spans="1:20" hidden="1" x14ac:dyDescent="0.3">
      <c r="A2984">
        <v>4979</v>
      </c>
      <c r="B2984">
        <v>295</v>
      </c>
      <c r="C2984" t="s">
        <v>45</v>
      </c>
      <c r="D2984" t="s">
        <v>34</v>
      </c>
      <c r="E2984" t="s">
        <v>20</v>
      </c>
      <c r="F2984" s="1">
        <v>44595</v>
      </c>
      <c r="G2984" s="1">
        <v>45122</v>
      </c>
      <c r="H2984">
        <v>7384</v>
      </c>
      <c r="I2984">
        <v>5425</v>
      </c>
      <c r="J2984">
        <v>1959</v>
      </c>
      <c r="K2984" t="s">
        <v>54</v>
      </c>
      <c r="L2984">
        <v>17</v>
      </c>
      <c r="M2984" t="str">
        <f t="shared" si="46"/>
        <v>6-12 Months</v>
      </c>
      <c r="N2984" s="1">
        <v>45122</v>
      </c>
      <c r="O2984">
        <v>1</v>
      </c>
      <c r="P2984">
        <v>2983</v>
      </c>
      <c r="Q2984" s="2">
        <v>0.27</v>
      </c>
      <c r="R2984" t="s">
        <v>27</v>
      </c>
      <c r="S2984">
        <v>2023</v>
      </c>
      <c r="T2984" t="s">
        <v>44</v>
      </c>
    </row>
    <row r="2985" spans="1:20" hidden="1" x14ac:dyDescent="0.3">
      <c r="A2985">
        <v>4980</v>
      </c>
      <c r="B2985">
        <v>500</v>
      </c>
      <c r="C2985" t="s">
        <v>24</v>
      </c>
      <c r="D2985" t="s">
        <v>34</v>
      </c>
      <c r="E2985" t="s">
        <v>37</v>
      </c>
      <c r="F2985" s="1">
        <v>44910</v>
      </c>
      <c r="G2985" s="1">
        <v>45138</v>
      </c>
      <c r="H2985">
        <v>827</v>
      </c>
      <c r="I2985">
        <v>3439</v>
      </c>
      <c r="J2985">
        <v>-2612</v>
      </c>
      <c r="K2985" t="s">
        <v>54</v>
      </c>
      <c r="L2985">
        <v>7</v>
      </c>
      <c r="M2985" t="str">
        <f t="shared" si="46"/>
        <v>6-12 Months</v>
      </c>
      <c r="N2985" s="1">
        <v>45138</v>
      </c>
      <c r="O2985">
        <v>0</v>
      </c>
      <c r="P2985">
        <v>2984</v>
      </c>
      <c r="Q2985" s="2">
        <v>-3.16</v>
      </c>
      <c r="R2985" t="s">
        <v>22</v>
      </c>
      <c r="S2985">
        <v>2023</v>
      </c>
      <c r="T2985" t="s">
        <v>44</v>
      </c>
    </row>
    <row r="2986" spans="1:20" x14ac:dyDescent="0.3">
      <c r="A2986">
        <v>4981</v>
      </c>
      <c r="B2986">
        <v>319</v>
      </c>
      <c r="C2986" t="s">
        <v>39</v>
      </c>
      <c r="D2986" t="s">
        <v>25</v>
      </c>
      <c r="E2986" t="s">
        <v>26</v>
      </c>
      <c r="F2986" s="1">
        <v>44673</v>
      </c>
      <c r="G2986" s="1">
        <v>44738</v>
      </c>
      <c r="H2986">
        <v>3142</v>
      </c>
      <c r="I2986">
        <v>3280</v>
      </c>
      <c r="J2986">
        <v>-138</v>
      </c>
      <c r="K2986" t="s">
        <v>35</v>
      </c>
      <c r="L2986">
        <v>2</v>
      </c>
      <c r="M2986" t="str">
        <f t="shared" si="46"/>
        <v>0-6 Months</v>
      </c>
      <c r="N2986" s="1">
        <v>44738</v>
      </c>
      <c r="O2986">
        <v>1</v>
      </c>
      <c r="P2986">
        <v>2985</v>
      </c>
      <c r="Q2986" s="2">
        <v>-0.04</v>
      </c>
      <c r="R2986" t="s">
        <v>27</v>
      </c>
      <c r="S2986">
        <v>2022</v>
      </c>
      <c r="T2986" t="s">
        <v>41</v>
      </c>
    </row>
    <row r="2987" spans="1:20" hidden="1" x14ac:dyDescent="0.3">
      <c r="A2987">
        <v>4986</v>
      </c>
      <c r="B2987">
        <v>321</v>
      </c>
      <c r="C2987" t="s">
        <v>24</v>
      </c>
      <c r="D2987" t="s">
        <v>19</v>
      </c>
      <c r="E2987" t="s">
        <v>20</v>
      </c>
      <c r="F2987" s="1">
        <v>44591</v>
      </c>
      <c r="G2987" s="1">
        <v>45086</v>
      </c>
      <c r="H2987">
        <v>4967.93</v>
      </c>
      <c r="I2987">
        <v>4038</v>
      </c>
      <c r="J2987">
        <v>-5816</v>
      </c>
      <c r="K2987" t="s">
        <v>21</v>
      </c>
      <c r="L2987">
        <v>16</v>
      </c>
      <c r="M2987" t="str">
        <f t="shared" si="46"/>
        <v>6-12 Months</v>
      </c>
      <c r="N2987" s="1">
        <v>45086</v>
      </c>
      <c r="O2987">
        <v>0</v>
      </c>
      <c r="P2987">
        <v>2986</v>
      </c>
      <c r="Q2987" s="2">
        <v>-1.17</v>
      </c>
      <c r="R2987" t="s">
        <v>22</v>
      </c>
      <c r="S2987">
        <v>2023</v>
      </c>
      <c r="T2987" t="s">
        <v>41</v>
      </c>
    </row>
    <row r="2988" spans="1:20" hidden="1" x14ac:dyDescent="0.3">
      <c r="A2988">
        <v>4987</v>
      </c>
      <c r="B2988">
        <v>346</v>
      </c>
      <c r="C2988" t="s">
        <v>40</v>
      </c>
      <c r="D2988" t="s">
        <v>34</v>
      </c>
      <c r="E2988" t="s">
        <v>26</v>
      </c>
      <c r="F2988" s="1">
        <v>44588</v>
      </c>
      <c r="G2988" s="1">
        <v>44830</v>
      </c>
      <c r="H2988">
        <v>2677</v>
      </c>
      <c r="I2988">
        <v>7466</v>
      </c>
      <c r="J2988">
        <v>-4789</v>
      </c>
      <c r="K2988" t="s">
        <v>54</v>
      </c>
      <c r="L2988">
        <v>7</v>
      </c>
      <c r="M2988" t="str">
        <f t="shared" si="46"/>
        <v>6-12 Months</v>
      </c>
      <c r="N2988" s="1">
        <v>44830</v>
      </c>
      <c r="O2988">
        <v>0</v>
      </c>
      <c r="P2988">
        <v>2987</v>
      </c>
      <c r="Q2988" s="2">
        <v>-1.79</v>
      </c>
      <c r="R2988" t="s">
        <v>22</v>
      </c>
      <c r="S2988">
        <v>2022</v>
      </c>
      <c r="T2988" t="s">
        <v>30</v>
      </c>
    </row>
    <row r="2989" spans="1:20" x14ac:dyDescent="0.3">
      <c r="A2989">
        <v>4989</v>
      </c>
      <c r="B2989">
        <v>117</v>
      </c>
      <c r="C2989" t="s">
        <v>40</v>
      </c>
      <c r="D2989" t="s">
        <v>19</v>
      </c>
      <c r="E2989" t="s">
        <v>26</v>
      </c>
      <c r="F2989" s="1">
        <v>44670</v>
      </c>
      <c r="G2989" s="1">
        <v>44974</v>
      </c>
      <c r="H2989">
        <v>4273</v>
      </c>
      <c r="I2989">
        <v>3574</v>
      </c>
      <c r="J2989">
        <v>699</v>
      </c>
      <c r="K2989" t="s">
        <v>35</v>
      </c>
      <c r="L2989">
        <v>9</v>
      </c>
      <c r="M2989" t="str">
        <f t="shared" si="46"/>
        <v>6-12 Months</v>
      </c>
      <c r="N2989" s="1">
        <v>44974</v>
      </c>
      <c r="O2989">
        <v>0</v>
      </c>
      <c r="P2989">
        <v>2988</v>
      </c>
      <c r="Q2989" s="2">
        <v>0.16</v>
      </c>
      <c r="R2989" t="s">
        <v>27</v>
      </c>
      <c r="S2989">
        <v>2023</v>
      </c>
      <c r="T2989" t="s">
        <v>43</v>
      </c>
    </row>
    <row r="2990" spans="1:20" hidden="1" x14ac:dyDescent="0.3">
      <c r="A2990">
        <v>4990</v>
      </c>
      <c r="B2990">
        <v>361</v>
      </c>
      <c r="C2990" t="s">
        <v>45</v>
      </c>
      <c r="D2990" t="s">
        <v>19</v>
      </c>
      <c r="E2990" t="s">
        <v>26</v>
      </c>
      <c r="F2990" s="1">
        <v>44795</v>
      </c>
      <c r="G2990" s="1">
        <v>45393</v>
      </c>
      <c r="H2990">
        <v>5645</v>
      </c>
      <c r="I2990">
        <v>1471</v>
      </c>
      <c r="J2990">
        <v>577.01</v>
      </c>
      <c r="K2990" t="s">
        <v>54</v>
      </c>
      <c r="L2990">
        <v>19</v>
      </c>
      <c r="M2990" t="str">
        <f t="shared" si="46"/>
        <v>6-12 Months</v>
      </c>
      <c r="N2990" s="1">
        <v>45393</v>
      </c>
      <c r="O2990">
        <v>0</v>
      </c>
      <c r="P2990">
        <v>2989</v>
      </c>
      <c r="Q2990" s="2">
        <v>0.1</v>
      </c>
      <c r="R2990" t="s">
        <v>27</v>
      </c>
      <c r="S2990">
        <v>2024</v>
      </c>
      <c r="T2990" t="s">
        <v>32</v>
      </c>
    </row>
    <row r="2991" spans="1:20" hidden="1" x14ac:dyDescent="0.3">
      <c r="A2991">
        <v>4991</v>
      </c>
      <c r="B2991">
        <v>415</v>
      </c>
      <c r="C2991" t="s">
        <v>53</v>
      </c>
      <c r="D2991" t="s">
        <v>29</v>
      </c>
      <c r="E2991" t="s">
        <v>20</v>
      </c>
      <c r="F2991" s="1">
        <v>44687</v>
      </c>
      <c r="G2991" s="1">
        <v>45278</v>
      </c>
      <c r="H2991">
        <v>3410</v>
      </c>
      <c r="I2991">
        <v>1175</v>
      </c>
      <c r="J2991">
        <v>2235</v>
      </c>
      <c r="K2991" t="s">
        <v>54</v>
      </c>
      <c r="L2991">
        <v>19</v>
      </c>
      <c r="M2991" t="str">
        <f t="shared" si="46"/>
        <v>6-12 Months</v>
      </c>
      <c r="N2991" s="1">
        <v>45278</v>
      </c>
      <c r="O2991">
        <v>0</v>
      </c>
      <c r="P2991">
        <v>2990</v>
      </c>
      <c r="Q2991" s="2">
        <v>0.66</v>
      </c>
      <c r="R2991" t="s">
        <v>27</v>
      </c>
      <c r="S2991">
        <v>2023</v>
      </c>
      <c r="T2991" t="s">
        <v>31</v>
      </c>
    </row>
    <row r="2992" spans="1:20" hidden="1" x14ac:dyDescent="0.3">
      <c r="A2992">
        <v>4993</v>
      </c>
      <c r="B2992">
        <v>201</v>
      </c>
      <c r="C2992" t="s">
        <v>45</v>
      </c>
      <c r="D2992" t="s">
        <v>29</v>
      </c>
      <c r="E2992" t="s">
        <v>20</v>
      </c>
      <c r="F2992" s="1">
        <v>44793</v>
      </c>
      <c r="G2992" s="1">
        <v>45328</v>
      </c>
      <c r="H2992">
        <v>4967.93</v>
      </c>
      <c r="I2992">
        <v>5733</v>
      </c>
      <c r="J2992">
        <v>-7406</v>
      </c>
      <c r="K2992" t="s">
        <v>54</v>
      </c>
      <c r="L2992">
        <v>17</v>
      </c>
      <c r="M2992" t="str">
        <f t="shared" si="46"/>
        <v>6-12 Months</v>
      </c>
      <c r="N2992" s="1">
        <v>45328</v>
      </c>
      <c r="O2992">
        <v>1</v>
      </c>
      <c r="P2992">
        <v>2991</v>
      </c>
      <c r="Q2992" s="2">
        <v>-1.49</v>
      </c>
      <c r="R2992" t="s">
        <v>22</v>
      </c>
      <c r="S2992">
        <v>2024</v>
      </c>
      <c r="T2992" t="s">
        <v>43</v>
      </c>
    </row>
    <row r="2993" spans="1:20" x14ac:dyDescent="0.3">
      <c r="A2993">
        <v>4994</v>
      </c>
      <c r="B2993">
        <v>455</v>
      </c>
      <c r="C2993" t="s">
        <v>40</v>
      </c>
      <c r="D2993" t="s">
        <v>25</v>
      </c>
      <c r="E2993" t="s">
        <v>26</v>
      </c>
      <c r="F2993" s="1">
        <v>44877</v>
      </c>
      <c r="G2993" s="1">
        <v>45065</v>
      </c>
      <c r="H2993">
        <v>4967.93</v>
      </c>
      <c r="I2993">
        <v>1445</v>
      </c>
      <c r="J2993">
        <v>-2606</v>
      </c>
      <c r="K2993" t="s">
        <v>35</v>
      </c>
      <c r="L2993">
        <v>6</v>
      </c>
      <c r="M2993" t="str">
        <f t="shared" si="46"/>
        <v>12+ Months</v>
      </c>
      <c r="N2993" s="1">
        <v>45065</v>
      </c>
      <c r="O2993">
        <v>1</v>
      </c>
      <c r="P2993">
        <v>2992</v>
      </c>
      <c r="Q2993" s="2">
        <v>-0.52</v>
      </c>
      <c r="R2993" t="s">
        <v>27</v>
      </c>
      <c r="S2993">
        <v>2023</v>
      </c>
      <c r="T2993" t="s">
        <v>28</v>
      </c>
    </row>
    <row r="2994" spans="1:20" x14ac:dyDescent="0.3">
      <c r="A2994">
        <v>4997</v>
      </c>
      <c r="B2994">
        <v>241</v>
      </c>
      <c r="C2994" t="s">
        <v>40</v>
      </c>
      <c r="D2994" t="s">
        <v>29</v>
      </c>
      <c r="E2994" t="s">
        <v>26</v>
      </c>
      <c r="F2994" s="1">
        <v>44693</v>
      </c>
      <c r="G2994" s="1">
        <v>45016</v>
      </c>
      <c r="H2994">
        <v>1827</v>
      </c>
      <c r="I2994">
        <v>6882</v>
      </c>
      <c r="J2994">
        <v>-5055</v>
      </c>
      <c r="K2994" t="s">
        <v>35</v>
      </c>
      <c r="L2994">
        <v>10</v>
      </c>
      <c r="M2994" t="str">
        <f t="shared" si="46"/>
        <v>6-12 Months</v>
      </c>
      <c r="N2994" s="1">
        <v>45016</v>
      </c>
      <c r="O2994">
        <v>0</v>
      </c>
      <c r="P2994">
        <v>2993</v>
      </c>
      <c r="Q2994" s="2">
        <v>-2.77</v>
      </c>
      <c r="R2994" t="s">
        <v>22</v>
      </c>
      <c r="S2994">
        <v>2023</v>
      </c>
      <c r="T2994" t="s">
        <v>38</v>
      </c>
    </row>
    <row r="2995" spans="1:20" hidden="1" x14ac:dyDescent="0.3">
      <c r="A2995">
        <v>4999</v>
      </c>
      <c r="B2995">
        <v>309</v>
      </c>
      <c r="C2995" t="s">
        <v>53</v>
      </c>
      <c r="D2995" t="s">
        <v>34</v>
      </c>
      <c r="E2995" t="s">
        <v>20</v>
      </c>
      <c r="F2995" s="1">
        <v>44785</v>
      </c>
      <c r="G2995" s="1">
        <v>44921</v>
      </c>
      <c r="H2995">
        <v>6714</v>
      </c>
      <c r="I2995">
        <v>1497</v>
      </c>
      <c r="J2995">
        <v>5217</v>
      </c>
      <c r="K2995" t="s">
        <v>54</v>
      </c>
      <c r="L2995">
        <v>4</v>
      </c>
      <c r="M2995" t="str">
        <f t="shared" si="46"/>
        <v>0-6 Months</v>
      </c>
      <c r="N2995" s="1">
        <v>44921</v>
      </c>
      <c r="O2995">
        <v>0</v>
      </c>
      <c r="P2995">
        <v>2994</v>
      </c>
      <c r="Q2995" s="2">
        <v>0.78</v>
      </c>
      <c r="R2995" t="s">
        <v>27</v>
      </c>
      <c r="S2995">
        <v>2022</v>
      </c>
      <c r="T2995" t="s">
        <v>31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C252B-2310-4F1B-80B4-3E8061709D5B}">
  <dimension ref="A3:B7"/>
  <sheetViews>
    <sheetView workbookViewId="0">
      <selection activeCell="B5" sqref="A3:B7"/>
    </sheetView>
  </sheetViews>
  <sheetFormatPr defaultRowHeight="14.4" x14ac:dyDescent="0.3"/>
  <cols>
    <col min="1" max="1" width="12.5546875" bestFit="1" customWidth="1"/>
    <col min="2" max="2" width="12.109375" bestFit="1" customWidth="1"/>
  </cols>
  <sheetData>
    <row r="3" spans="1:2" x14ac:dyDescent="0.3">
      <c r="A3" s="3" t="s">
        <v>51</v>
      </c>
      <c r="B3" t="s">
        <v>81</v>
      </c>
    </row>
    <row r="4" spans="1:2" x14ac:dyDescent="0.3">
      <c r="A4" s="4" t="s">
        <v>20</v>
      </c>
      <c r="B4">
        <v>649639.03000000049</v>
      </c>
    </row>
    <row r="5" spans="1:2" x14ac:dyDescent="0.3">
      <c r="A5" s="4" t="s">
        <v>26</v>
      </c>
      <c r="B5">
        <v>537715.94000000064</v>
      </c>
    </row>
    <row r="6" spans="1:2" x14ac:dyDescent="0.3">
      <c r="A6" s="4" t="s">
        <v>37</v>
      </c>
      <c r="B6">
        <v>540215.06000000064</v>
      </c>
    </row>
    <row r="7" spans="1:2" x14ac:dyDescent="0.3">
      <c r="A7" s="4" t="s">
        <v>52</v>
      </c>
      <c r="B7">
        <v>1727570.0300000017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FB454-65A6-4A1E-99D0-C7EA118BD518}">
  <dimension ref="A3:I22"/>
  <sheetViews>
    <sheetView workbookViewId="0">
      <selection activeCell="F16" sqref="F16"/>
    </sheetView>
  </sheetViews>
  <sheetFormatPr defaultRowHeight="14.4" x14ac:dyDescent="0.3"/>
  <cols>
    <col min="1" max="1" width="13.109375" bestFit="1" customWidth="1"/>
    <col min="2" max="2" width="11" bestFit="1" customWidth="1"/>
    <col min="3" max="3" width="14.6640625" bestFit="1" customWidth="1"/>
    <col min="4" max="4" width="10.33203125" bestFit="1" customWidth="1"/>
    <col min="5" max="804" width="22.33203125" bestFit="1" customWidth="1"/>
    <col min="805" max="805" width="27.109375" bestFit="1" customWidth="1"/>
    <col min="806" max="806" width="16.88671875" bestFit="1" customWidth="1"/>
  </cols>
  <sheetData>
    <row r="3" spans="1:9" x14ac:dyDescent="0.3">
      <c r="A3" t="s">
        <v>46</v>
      </c>
      <c r="B3" t="s">
        <v>47</v>
      </c>
      <c r="C3" t="s">
        <v>48</v>
      </c>
      <c r="D3" t="s">
        <v>49</v>
      </c>
    </row>
    <row r="4" spans="1:9" x14ac:dyDescent="0.3">
      <c r="A4">
        <v>14873970.889999911</v>
      </c>
      <c r="B4">
        <v>1727570.0300000024</v>
      </c>
      <c r="C4">
        <v>900343</v>
      </c>
      <c r="D4" s="2">
        <v>0.49298597194388777</v>
      </c>
    </row>
    <row r="5" spans="1:9" x14ac:dyDescent="0.3">
      <c r="A5">
        <v>14873970.889999911</v>
      </c>
      <c r="B5">
        <v>1727570.0300000024</v>
      </c>
    </row>
    <row r="8" spans="1:9" x14ac:dyDescent="0.3">
      <c r="I8" t="s">
        <v>74</v>
      </c>
    </row>
    <row r="9" spans="1:9" x14ac:dyDescent="0.3">
      <c r="I9" s="8">
        <f>AVERAGE(financial_Operations!O2:O2995)</f>
        <v>0.49298597194388777</v>
      </c>
    </row>
    <row r="12" spans="1:9" x14ac:dyDescent="0.3">
      <c r="F12" t="s">
        <v>70</v>
      </c>
    </row>
    <row r="13" spans="1:9" x14ac:dyDescent="0.3">
      <c r="F13">
        <f>COUNTIF(Table1[profit],"&lt;0")</f>
        <v>1203</v>
      </c>
    </row>
    <row r="14" spans="1:9" x14ac:dyDescent="0.3">
      <c r="F14">
        <f>COUNTIF(Table1[profit],"&lt;0")</f>
        <v>1203</v>
      </c>
    </row>
    <row r="15" spans="1:9" x14ac:dyDescent="0.3">
      <c r="I15" t="s">
        <v>71</v>
      </c>
    </row>
    <row r="16" spans="1:9" x14ac:dyDescent="0.3">
      <c r="I16">
        <f>SUMIF(financial_Operations!J1:J2955,"&lt;0",Table1[revenue_amount])</f>
        <v>5801527.2600000016</v>
      </c>
    </row>
    <row r="17" spans="5:7" x14ac:dyDescent="0.3">
      <c r="E17" t="s">
        <v>72</v>
      </c>
    </row>
    <row r="18" spans="5:7" x14ac:dyDescent="0.3">
      <c r="E18" s="8">
        <f>SUM(Table1[[#All],[profit]])/SUM(Table1[[#All],[revenue_amount]])</f>
        <v>0.11614719719274727</v>
      </c>
    </row>
    <row r="21" spans="5:7" x14ac:dyDescent="0.3">
      <c r="G21" t="s">
        <v>73</v>
      </c>
    </row>
    <row r="22" spans="5:7" x14ac:dyDescent="0.3">
      <c r="G22" s="8">
        <f>COUNTIF(financial_Operations!J2:J2995,"&lt;0")
/
COUNTA(financial_Operations!B2:B2995)</f>
        <v>0.40180360721442887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A5C2-9C32-48EA-BA26-7887A9B37129}">
  <dimension ref="A1"/>
  <sheetViews>
    <sheetView tabSelected="1" topLeftCell="B2" zoomScale="72" zoomScaleNormal="90" workbookViewId="0">
      <selection activeCell="AE2" sqref="AE1:AE104857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EEB4D-8DC9-42EE-8640-C5E56C75BF36}">
  <dimension ref="A1"/>
  <sheetViews>
    <sheetView topLeftCell="A17" zoomScale="75" zoomScaleNormal="90" workbookViewId="0">
      <selection activeCell="AC51" sqref="AC51"/>
    </sheetView>
  </sheetViews>
  <sheetFormatPr defaultRowHeight="14.4" x14ac:dyDescent="0.3"/>
  <cols>
    <col min="1" max="16384" width="8.88671875" style="9"/>
  </cols>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986EB-E166-4145-B64D-D0CBEAB90386}">
  <dimension ref="A1"/>
  <sheetViews>
    <sheetView zoomScale="79" zoomScaleNormal="90" workbookViewId="0">
      <selection activeCell="AB14" sqref="AB14"/>
    </sheetView>
  </sheetViews>
  <sheetFormatPr defaultRowHeight="14.4" x14ac:dyDescent="0.3"/>
  <cols>
    <col min="1" max="16384" width="8.88671875" style="9"/>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Churn Rate by Payment Status</vt:lpstr>
      <vt:lpstr>MONTHLY REVENUE TREND</vt:lpstr>
      <vt:lpstr>Churn Rate by Industry</vt:lpstr>
      <vt:lpstr>Churn Rate by Tenure Segment</vt:lpstr>
      <vt:lpstr>Overdue Revenue by Region</vt:lpstr>
      <vt:lpstr>Churn Risk by Subscription Plan</vt:lpstr>
      <vt:lpstr>Industry Profit Margin (%)</vt:lpstr>
      <vt:lpstr>Revenue by Industry</vt:lpstr>
      <vt:lpstr>Profit by Industry</vt:lpstr>
      <vt:lpstr>Profit by Region</vt:lpstr>
      <vt:lpstr>financial_Operations</vt:lpstr>
      <vt:lpstr>Profit by Subscription_plan</vt:lpstr>
      <vt:lpstr>KPI Summary</vt:lpstr>
      <vt:lpstr>REVENUE &amp; PROFITABILITY ANALYSI</vt:lpstr>
      <vt:lpstr>CUSTOMER CHURN ANALYSIS</vt:lpstr>
      <vt:lpstr>RISK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Laxman Konukati</dc:creator>
  <cp:lastModifiedBy>Laxman Konukati</cp:lastModifiedBy>
  <dcterms:created xsi:type="dcterms:W3CDTF">2026-02-16T10:59:06Z</dcterms:created>
  <dcterms:modified xsi:type="dcterms:W3CDTF">2026-02-20T05:58:01Z</dcterms:modified>
</cp:coreProperties>
</file>